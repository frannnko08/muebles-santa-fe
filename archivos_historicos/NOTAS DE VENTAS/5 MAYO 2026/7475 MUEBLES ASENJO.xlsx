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0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franc\Dropbox\PC\Desktop\POSTFORMADO 2020\NOTAS DE VENTAS TOPMOBILI\5 MAYO 2026\"/>
    </mc:Choice>
  </mc:AlternateContent>
  <xr:revisionPtr revIDLastSave="0" documentId="13_ncr:1_{B5F658CC-227F-42E6-AD9A-59D876D97215}" xr6:coauthVersionLast="47" xr6:coauthVersionMax="47" xr10:uidLastSave="{00000000-0000-0000-0000-000000000000}"/>
  <bookViews>
    <workbookView xWindow="-108" yWindow="-108" windowWidth="23256" windowHeight="12456" activeTab="3" xr2:uid="{00000000-000D-0000-FFFF-FFFF00000000}"/>
  </bookViews>
  <sheets>
    <sheet name="4637" sheetId="4" r:id="rId1"/>
    <sheet name="REGLAS" sheetId="5" r:id="rId2"/>
    <sheet name="CUBIERTA" sheetId="3" r:id="rId3"/>
    <sheet name="RESUMEN" sheetId="6" r:id="rId4"/>
  </sheets>
  <definedNames>
    <definedName name="_xlnm.Print_Area" localSheetId="0">'4637'!$A$1:$H$31</definedName>
    <definedName name="_xlnm.Print_Area" localSheetId="2">CUBIERTA!$A$1:$F$27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2" i="6" l="1"/>
  <c r="D2" i="6"/>
  <c r="C2" i="6"/>
  <c r="B2" i="6"/>
  <c r="A2" i="6"/>
  <c r="D26" i="3" l="1"/>
  <c r="D15" i="3"/>
  <c r="B16" i="3"/>
  <c r="E16" i="3"/>
  <c r="B17" i="3"/>
  <c r="E17" i="3"/>
  <c r="B33" i="3"/>
  <c r="I26" i="3" s="1"/>
  <c r="B26" i="3" s="1"/>
  <c r="C33" i="3"/>
  <c r="F26" i="3" s="1"/>
  <c r="D33" i="3"/>
  <c r="J26" i="3" s="1"/>
  <c r="E33" i="3"/>
  <c r="K26" i="3" s="1"/>
  <c r="F33" i="3"/>
  <c r="B55" i="3"/>
  <c r="C55" i="3"/>
  <c r="D55" i="3"/>
  <c r="E55" i="3"/>
  <c r="F55" i="3"/>
  <c r="H22" i="4"/>
  <c r="H21" i="4"/>
  <c r="I15" i="3" l="1"/>
  <c r="B15" i="3" s="1"/>
  <c r="K15" i="3"/>
  <c r="E15" i="3" s="1"/>
  <c r="J15" i="3"/>
  <c r="F15" i="3"/>
  <c r="B32" i="3"/>
  <c r="I25" i="3" s="1"/>
  <c r="I14" i="3" s="1"/>
  <c r="B14" i="3" s="1"/>
  <c r="C32" i="3"/>
  <c r="F14" i="3" s="1"/>
  <c r="D32" i="3"/>
  <c r="J25" i="3" s="1"/>
  <c r="J14" i="3" s="1"/>
  <c r="D14" i="3" s="1"/>
  <c r="E32" i="3"/>
  <c r="F32" i="3"/>
  <c r="B54" i="3"/>
  <c r="C54" i="3"/>
  <c r="D54" i="3"/>
  <c r="E54" i="3"/>
  <c r="F54" i="3"/>
  <c r="H25" i="4"/>
  <c r="K25" i="3" l="1"/>
  <c r="K14" i="3" s="1"/>
  <c r="E14" i="3" s="1"/>
  <c r="D25" i="3"/>
  <c r="B25" i="3"/>
  <c r="F25" i="3"/>
  <c r="H26" i="4" l="1"/>
  <c r="H27" i="4" l="1"/>
  <c r="N5" i="3" l="1"/>
  <c r="M5" i="3" l="1"/>
  <c r="L5" i="3"/>
  <c r="K5" i="3"/>
  <c r="C47" i="3" l="1"/>
  <c r="C7" i="3"/>
  <c r="D45" i="3"/>
  <c r="D5" i="3"/>
  <c r="D47" i="3"/>
  <c r="D7" i="3"/>
  <c r="D44" i="3"/>
  <c r="D4" i="3"/>
</calcChain>
</file>

<file path=xl/sharedStrings.xml><?xml version="1.0" encoding="utf-8"?>
<sst xmlns="http://schemas.openxmlformats.org/spreadsheetml/2006/main" count="260" uniqueCount="150">
  <si>
    <t>SEPTIMA AVENIDA 1631, SAN MIGUEL</t>
  </si>
  <si>
    <t>DIRECCION:</t>
  </si>
  <si>
    <t>RUT:</t>
  </si>
  <si>
    <t>CIUDAD:</t>
  </si>
  <si>
    <t>TOTAL</t>
  </si>
  <si>
    <t>NETO</t>
  </si>
  <si>
    <t>I.V.A.</t>
  </si>
  <si>
    <t>ALTO</t>
  </si>
  <si>
    <t>ANCHO</t>
  </si>
  <si>
    <t>MATERIAL</t>
  </si>
  <si>
    <t>CANTIDAD</t>
  </si>
  <si>
    <t>CORTE</t>
  </si>
  <si>
    <t>DESCRIPCION</t>
  </si>
  <si>
    <t>E-MAIL: ventas@topmobili.cl</t>
  </si>
  <si>
    <t>LAMINADO</t>
  </si>
  <si>
    <t>FONO 22521 6502</t>
  </si>
  <si>
    <t>P R E S U P U E S T O</t>
  </si>
  <si>
    <t>FONO:</t>
  </si>
  <si>
    <t>VALIDEZ COTIZACIÓN: 5 DÍAS</t>
  </si>
  <si>
    <t xml:space="preserve">D E T A L L E </t>
  </si>
  <si>
    <t>UNIDAD</t>
  </si>
  <si>
    <t>TIPO</t>
  </si>
  <si>
    <t>LARGO</t>
  </si>
  <si>
    <t>COLOR</t>
  </si>
  <si>
    <t xml:space="preserve">VALOR </t>
  </si>
  <si>
    <t xml:space="preserve">VISITANOS Y DESCUBRE NUESTROS PRODUCTOS EN </t>
  </si>
  <si>
    <t>WWW.TOPMOBILICHILE.CL</t>
  </si>
  <si>
    <t>NOTA DE VENTA :</t>
  </si>
  <si>
    <t>FECHA :</t>
  </si>
  <si>
    <t xml:space="preserve">SERVICIO EXPRESS: </t>
  </si>
  <si>
    <t xml:space="preserve">ORDEN DE COMPRA: </t>
  </si>
  <si>
    <t>DETALLE CORTE LAMINA</t>
  </si>
  <si>
    <t>CUB C/R</t>
  </si>
  <si>
    <t>CUB S/R</t>
  </si>
  <si>
    <t xml:space="preserve">CUB C/R 180° </t>
  </si>
  <si>
    <t>CUB MESA 4 LADOS</t>
  </si>
  <si>
    <t>CUB MESA 180° 2 LADOS</t>
  </si>
  <si>
    <t>CUB MESA 180° 3 LADOS</t>
  </si>
  <si>
    <t>CUB MESA 180° 4 LADOS</t>
  </si>
  <si>
    <t>CORNISA 1LADO</t>
  </si>
  <si>
    <t>CORNISA 180° 1LADO</t>
  </si>
  <si>
    <t>CORNISA 2 LADOS</t>
  </si>
  <si>
    <t>CENEFA 1 LADO</t>
  </si>
  <si>
    <t>CENEFA 2 LADOS</t>
  </si>
  <si>
    <t>CUB C/R FRENTE ESPAÑOL</t>
  </si>
  <si>
    <t>CUB S/R FRENTE ESPAÑOL</t>
  </si>
  <si>
    <t>CUB MESA FRENTE ESPAÑOL 2 LADOS</t>
  </si>
  <si>
    <t>CUB MESA FRENTE ESPAÑOL 3 LADOS</t>
  </si>
  <si>
    <t>CUB MESA FRENTE ESPAÑOL 4 LADOS</t>
  </si>
  <si>
    <t>CUB PUNTA TIBURON 1 LADO</t>
  </si>
  <si>
    <t>CUB C/R PUNTA 1 LADO</t>
  </si>
  <si>
    <t>CUB MESA PUNTA TIBURON 2 LADOS</t>
  </si>
  <si>
    <t>CUB MESA PUNTA TIBURON 3 LADOS</t>
  </si>
  <si>
    <t>CUB MESA PUNTA TIBURON 4 LADOS</t>
  </si>
  <si>
    <t>CORNISA PUNTA TIBURON 1 LADO</t>
  </si>
  <si>
    <t>CORNISA PUNTA TIBURON 2 LADOS</t>
  </si>
  <si>
    <t>CORNISA  FRENTE ESPAÑOL 1 LADO</t>
  </si>
  <si>
    <t>CORNISA  FRENTE ESPAÑOL 2 LADO</t>
  </si>
  <si>
    <t>DETALLE CORTE MERA</t>
  </si>
  <si>
    <t>CUB S/R y CUB MESA</t>
  </si>
  <si>
    <t>PR</t>
  </si>
  <si>
    <t>SUSTRATO</t>
  </si>
  <si>
    <t>PR2</t>
  </si>
  <si>
    <t>PR6</t>
  </si>
  <si>
    <t>PR8</t>
  </si>
  <si>
    <t>PR12</t>
  </si>
  <si>
    <t>PR19</t>
  </si>
  <si>
    <t>CLIENTE :</t>
  </si>
  <si>
    <t>PRODUCCIÓN</t>
  </si>
  <si>
    <t>DETALLE</t>
  </si>
  <si>
    <t>DETALLE CORTE SUSTRATO</t>
  </si>
  <si>
    <t>CORNISA R8 1LADO</t>
  </si>
  <si>
    <t>CORNISA R8 2 LADOS</t>
  </si>
  <si>
    <t xml:space="preserve">CUB S/R </t>
  </si>
  <si>
    <t>CUB C/R PUNTA TIBURON 1 LADO</t>
  </si>
  <si>
    <t>FORMA DE PAGO :</t>
  </si>
  <si>
    <t>B</t>
  </si>
  <si>
    <t>C</t>
  </si>
  <si>
    <t>D</t>
  </si>
  <si>
    <t>E</t>
  </si>
  <si>
    <t>F</t>
  </si>
  <si>
    <t>G</t>
  </si>
  <si>
    <t>H</t>
  </si>
  <si>
    <t>I</t>
  </si>
  <si>
    <t>J</t>
  </si>
  <si>
    <t>K</t>
  </si>
  <si>
    <t>L</t>
  </si>
  <si>
    <t>M</t>
  </si>
  <si>
    <t>N</t>
  </si>
  <si>
    <t>O</t>
  </si>
  <si>
    <t>P</t>
  </si>
  <si>
    <t>Q</t>
  </si>
  <si>
    <t>R</t>
  </si>
  <si>
    <t>S</t>
  </si>
  <si>
    <t>T</t>
  </si>
  <si>
    <t>U</t>
  </si>
  <si>
    <t>V</t>
  </si>
  <si>
    <t>W</t>
  </si>
  <si>
    <t>X</t>
  </si>
  <si>
    <t>Y</t>
  </si>
  <si>
    <t>Z</t>
  </si>
  <si>
    <t>A1</t>
  </si>
  <si>
    <t>A2</t>
  </si>
  <si>
    <t>A3</t>
  </si>
  <si>
    <t>A4</t>
  </si>
  <si>
    <t>A5</t>
  </si>
  <si>
    <t>CUB C/R R2</t>
  </si>
  <si>
    <t>MEDIDAS ORIGINALES</t>
  </si>
  <si>
    <t>CUB S/R R2</t>
  </si>
  <si>
    <t>REGLA SIEMPRE LLEVAR MEDIDA MINIMO A 100</t>
  </si>
  <si>
    <t>DESCRIPCIÓN</t>
  </si>
  <si>
    <t>ES IGUAL A LO PEDIDO NO SE DEBE SUMAR NI RESTAR</t>
  </si>
  <si>
    <t xml:space="preserve">CUB MESA 3L </t>
  </si>
  <si>
    <t>CEN 1V</t>
  </si>
  <si>
    <t>CEN 2V</t>
  </si>
  <si>
    <t xml:space="preserve">CEN 2V </t>
  </si>
  <si>
    <t xml:space="preserve">CUB C/R FRENTE ESPAÑOL </t>
  </si>
  <si>
    <t>REGLA SIEMPRE LLEVAR MEDIDA MINIMO A 101</t>
  </si>
  <si>
    <t xml:space="preserve">CUB MESA 2L </t>
  </si>
  <si>
    <t>MUEBLES SANTA FE SPA</t>
  </si>
  <si>
    <t>VENTAS POR MENOR DE MUEBLES</t>
  </si>
  <si>
    <t>RUT: 77.054.606-0</t>
  </si>
  <si>
    <t>"MUEBLES SANTA FE SPA." - RUT : 77.054.606-0, VENTAS@TOPMOBILI.CL</t>
  </si>
  <si>
    <t xml:space="preserve">CUENTA VISTA DEL BANCO ESTADO N° 35571389078 A NOMBRE DE </t>
  </si>
  <si>
    <t>FECHA LIMITE :</t>
  </si>
  <si>
    <t>FECHA ENTREGA:</t>
  </si>
  <si>
    <t>NO BORRAR REGLAS!!!!! SI NO LAS SABEN USAR NO BORREN ESTO POR FAVOR!!!!!</t>
  </si>
  <si>
    <t>CUB C/R R6</t>
  </si>
  <si>
    <t>HECHO POR:</t>
  </si>
  <si>
    <t xml:space="preserve">CLIENTE: </t>
  </si>
  <si>
    <t xml:space="preserve">GIRO: </t>
  </si>
  <si>
    <t>SANTIAGO</t>
  </si>
  <si>
    <t>CONTACTO:</t>
  </si>
  <si>
    <t>MUEBLES ASENJO LTDA.</t>
  </si>
  <si>
    <t>77.018.060-0</t>
  </si>
  <si>
    <t>MUEBLES</t>
  </si>
  <si>
    <t>LOS PINOS 02622 SAN BERNARDO</t>
  </si>
  <si>
    <t>MIGUEL ASENJO</t>
  </si>
  <si>
    <t>O/C 30 DIAS</t>
  </si>
  <si>
    <t>SI</t>
  </si>
  <si>
    <t>CORNISA 2L F/7CMS R8</t>
  </si>
  <si>
    <t>GLACIAL WHITE 22191 SF</t>
  </si>
  <si>
    <t>NV 28530</t>
  </si>
  <si>
    <t>FALDON</t>
  </si>
  <si>
    <t>N° 12174</t>
  </si>
  <si>
    <t>MDF18MM</t>
  </si>
  <si>
    <t>COTIZACION</t>
  </si>
  <si>
    <t>NOTA DE VENTA</t>
  </si>
  <si>
    <t>NOMBRE</t>
  </si>
  <si>
    <t>FECHA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</si>
</sst>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_-* #,##0.00_-;\-* #,##0.00_-;_-* &quot;-&quot;??_-;_-@_-"/>
    <numFmt numFmtId="165" formatCode="0.000"/>
    <numFmt numFmtId="166" formatCode="_-* #,##0_-;\-* #,##0_-;_-* &quot;-&quot;??_-;_-@_-"/>
  </numFmts>
  <fonts count="18" x14ac:knownFonts="1">
    <font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0"/>
      <color theme="1"/>
      <name val="Calibri"/>
      <family val="2"/>
      <scheme val="minor"/>
    </font>
    <font>
      <b/>
      <i/>
      <sz val="10"/>
      <color theme="1"/>
      <name val="Calibri"/>
      <family val="2"/>
      <scheme val="minor"/>
    </font>
    <font>
      <b/>
      <i/>
      <sz val="12"/>
      <color theme="1"/>
      <name val="Calibri"/>
      <family val="2"/>
      <scheme val="minor"/>
    </font>
    <font>
      <sz val="8"/>
      <name val="Calibri"/>
      <family val="2"/>
      <scheme val="minor"/>
    </font>
    <font>
      <i/>
      <sz val="12"/>
      <color theme="1"/>
      <name val="Calibri"/>
      <family val="2"/>
      <scheme val="minor"/>
    </font>
    <font>
      <b/>
      <sz val="12"/>
      <color rgb="FFFF0000"/>
      <name val="Calibri"/>
      <family val="2"/>
      <scheme val="minor"/>
    </font>
    <font>
      <sz val="12"/>
      <color rgb="FFFF0000"/>
      <name val="Calibri"/>
      <family val="2"/>
      <scheme val="minor"/>
    </font>
    <font>
      <u/>
      <sz val="12"/>
      <color theme="1"/>
      <name val="Calibri"/>
      <family val="2"/>
      <scheme val="minor"/>
    </font>
    <font>
      <sz val="12"/>
      <name val="Calibri"/>
      <family val="2"/>
      <scheme val="minor"/>
    </font>
    <font>
      <b/>
      <u/>
      <sz val="11"/>
      <name val="Calibri"/>
      <family val="2"/>
      <scheme val="minor"/>
    </font>
    <font>
      <b/>
      <sz val="10"/>
      <color theme="1"/>
      <name val="Calibri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ADDB7B"/>
        <bgColor indexed="64"/>
      </patternFill>
    </fill>
    <fill>
      <patternFill patternType="solid">
        <fgColor theme="3" tint="0.79998168889431442"/>
        <bgColor indexed="64"/>
      </patternFill>
    </fill>
  </fills>
  <borders count="32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theme="1"/>
      </left>
      <right style="thin">
        <color theme="1"/>
      </right>
      <top style="thin">
        <color theme="1"/>
      </top>
      <bottom style="thin">
        <color theme="1"/>
      </bottom>
      <diagonal/>
    </border>
    <border>
      <left/>
      <right style="thin">
        <color theme="1"/>
      </right>
      <top style="thin">
        <color theme="1"/>
      </top>
      <bottom style="thin">
        <color theme="1"/>
      </bottom>
      <diagonal/>
    </border>
    <border>
      <left style="thin">
        <color theme="1"/>
      </left>
      <right/>
      <top style="thin">
        <color theme="1"/>
      </top>
      <bottom style="thin">
        <color theme="1"/>
      </bottom>
      <diagonal/>
    </border>
    <border>
      <left/>
      <right/>
      <top style="thin">
        <color theme="1"/>
      </top>
      <bottom style="thin">
        <color theme="1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theme="1"/>
      </left>
      <right style="thin">
        <color theme="1"/>
      </right>
      <top style="thin">
        <color theme="1"/>
      </top>
      <bottom/>
      <diagonal/>
    </border>
    <border>
      <left style="thin">
        <color theme="1"/>
      </left>
      <right style="thin">
        <color theme="1"/>
      </right>
      <top/>
      <bottom style="thin">
        <color theme="1"/>
      </bottom>
      <diagonal/>
    </border>
    <border>
      <left/>
      <right/>
      <top style="thin">
        <color theme="1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164" fontId="4" fillId="0" borderId="0" applyFont="0" applyFill="0" applyBorder="0" applyAlignment="0" applyProtection="0"/>
    <xf numFmtId="0" fontId="6" fillId="0" borderId="0" applyNumberFormat="0" applyFill="0" applyBorder="0" applyAlignment="0" applyProtection="0"/>
  </cellStyleXfs>
  <cellXfs count="124">
    <xf numFmtId="0" fontId="0" fillId="0" borderId="0" xfId="0"/>
    <xf numFmtId="0" fontId="3" fillId="0" borderId="0" xfId="0" applyFont="1"/>
    <xf numFmtId="0" fontId="0" fillId="0" borderId="0" xfId="0" applyAlignment="1">
      <alignment horizontal="center"/>
    </xf>
    <xf numFmtId="0" fontId="0" fillId="2" borderId="1" xfId="0" applyFill="1" applyBorder="1" applyAlignment="1">
      <alignment horizontal="center"/>
    </xf>
    <xf numFmtId="0" fontId="0" fillId="0" borderId="2" xfId="0" applyBorder="1" applyAlignment="1">
      <alignment horizontal="center"/>
    </xf>
    <xf numFmtId="0" fontId="0" fillId="2" borderId="2" xfId="0" applyFill="1" applyBorder="1" applyAlignment="1">
      <alignment horizontal="center"/>
    </xf>
    <xf numFmtId="0" fontId="3" fillId="0" borderId="0" xfId="0" applyFont="1" applyAlignment="1">
      <alignment horizontal="center"/>
    </xf>
    <xf numFmtId="0" fontId="1" fillId="0" borderId="0" xfId="0" applyFont="1"/>
    <xf numFmtId="0" fontId="0" fillId="3" borderId="0" xfId="0" applyFill="1"/>
    <xf numFmtId="0" fontId="0" fillId="3" borderId="2" xfId="0" applyFill="1" applyBorder="1" applyAlignment="1">
      <alignment horizontal="center"/>
    </xf>
    <xf numFmtId="0" fontId="0" fillId="3" borderId="2" xfId="0" applyFill="1" applyBorder="1"/>
    <xf numFmtId="0" fontId="8" fillId="6" borderId="2" xfId="0" applyFont="1" applyFill="1" applyBorder="1" applyAlignment="1">
      <alignment horizontal="center"/>
    </xf>
    <xf numFmtId="0" fontId="9" fillId="0" borderId="0" xfId="0" applyFont="1"/>
    <xf numFmtId="14" fontId="1" fillId="0" borderId="0" xfId="0" applyNumberFormat="1" applyFont="1" applyAlignment="1">
      <alignment horizontal="left" wrapText="1" shrinkToFit="1"/>
    </xf>
    <xf numFmtId="0" fontId="1" fillId="0" borderId="0" xfId="0" applyFont="1" applyAlignment="1">
      <alignment horizontal="left"/>
    </xf>
    <xf numFmtId="0" fontId="2" fillId="0" borderId="0" xfId="0" applyFont="1"/>
    <xf numFmtId="0" fontId="3" fillId="0" borderId="18" xfId="0" applyFont="1" applyBorder="1" applyAlignment="1">
      <alignment horizontal="center"/>
    </xf>
    <xf numFmtId="0" fontId="0" fillId="0" borderId="0" xfId="0" applyAlignment="1">
      <alignment horizontal="center" vertical="center"/>
    </xf>
    <xf numFmtId="0" fontId="0" fillId="5" borderId="0" xfId="0" applyFill="1" applyAlignment="1">
      <alignment horizontal="center"/>
    </xf>
    <xf numFmtId="0" fontId="8" fillId="6" borderId="0" xfId="0" applyFont="1" applyFill="1" applyAlignment="1">
      <alignment horizontal="center"/>
    </xf>
    <xf numFmtId="0" fontId="7" fillId="0" borderId="0" xfId="0" applyFont="1"/>
    <xf numFmtId="0" fontId="3" fillId="7" borderId="18" xfId="0" applyFont="1" applyFill="1" applyBorder="1" applyAlignment="1">
      <alignment horizontal="center"/>
    </xf>
    <xf numFmtId="0" fontId="9" fillId="0" borderId="15" xfId="0" applyFont="1" applyBorder="1"/>
    <xf numFmtId="0" fontId="9" fillId="0" borderId="16" xfId="0" applyFont="1" applyBorder="1"/>
    <xf numFmtId="0" fontId="9" fillId="0" borderId="17" xfId="0" applyFont="1" applyBorder="1"/>
    <xf numFmtId="0" fontId="3" fillId="0" borderId="2" xfId="0" applyFont="1" applyBorder="1" applyAlignment="1">
      <alignment horizontal="center"/>
    </xf>
    <xf numFmtId="0" fontId="7" fillId="0" borderId="0" xfId="0" applyFont="1" applyAlignment="1">
      <alignment horizontal="center" vertical="center"/>
    </xf>
    <xf numFmtId="0" fontId="0" fillId="3" borderId="22" xfId="0" applyFill="1" applyBorder="1" applyAlignment="1">
      <alignment horizontal="center"/>
    </xf>
    <xf numFmtId="0" fontId="0" fillId="3" borderId="22" xfId="0" applyFill="1" applyBorder="1"/>
    <xf numFmtId="0" fontId="0" fillId="5" borderId="2" xfId="0" applyFill="1" applyBorder="1" applyAlignment="1">
      <alignment horizontal="center"/>
    </xf>
    <xf numFmtId="0" fontId="0" fillId="5" borderId="2" xfId="0" applyFill="1" applyBorder="1"/>
    <xf numFmtId="0" fontId="0" fillId="5" borderId="0" xfId="0" applyFill="1"/>
    <xf numFmtId="0" fontId="3" fillId="7" borderId="26" xfId="0" applyFont="1" applyFill="1" applyBorder="1" applyAlignment="1">
      <alignment horizontal="center"/>
    </xf>
    <xf numFmtId="166" fontId="0" fillId="0" borderId="0" xfId="0" applyNumberFormat="1"/>
    <xf numFmtId="0" fontId="5" fillId="0" borderId="0" xfId="0" applyFont="1"/>
    <xf numFmtId="0" fontId="3" fillId="3" borderId="2" xfId="0" applyFont="1" applyFill="1" applyBorder="1" applyAlignment="1">
      <alignment horizontal="center"/>
    </xf>
    <xf numFmtId="0" fontId="9" fillId="0" borderId="18" xfId="0" applyFont="1" applyBorder="1" applyAlignment="1">
      <alignment horizontal="center"/>
    </xf>
    <xf numFmtId="0" fontId="9" fillId="0" borderId="26" xfId="0" applyFont="1" applyBorder="1" applyAlignment="1">
      <alignment horizontal="center"/>
    </xf>
    <xf numFmtId="0" fontId="1" fillId="0" borderId="18" xfId="0" applyFont="1" applyBorder="1" applyAlignment="1">
      <alignment horizontal="center"/>
    </xf>
    <xf numFmtId="0" fontId="1" fillId="0" borderId="27" xfId="0" applyFont="1" applyBorder="1" applyAlignment="1">
      <alignment horizontal="center"/>
    </xf>
    <xf numFmtId="0" fontId="11" fillId="0" borderId="0" xfId="0" applyFont="1" applyAlignment="1">
      <alignment horizontal="left" indent="1"/>
    </xf>
    <xf numFmtId="0" fontId="11" fillId="3" borderId="0" xfId="0" applyFont="1" applyFill="1" applyAlignment="1">
      <alignment horizontal="left" indent="1"/>
    </xf>
    <xf numFmtId="0" fontId="9" fillId="3" borderId="0" xfId="0" applyFont="1" applyFill="1" applyAlignment="1">
      <alignment horizontal="left"/>
    </xf>
    <xf numFmtId="0" fontId="3" fillId="3" borderId="0" xfId="0" applyFont="1" applyFill="1"/>
    <xf numFmtId="0" fontId="3" fillId="0" borderId="0" xfId="0" applyFont="1" applyAlignment="1">
      <alignment horizontal="left" indent="1"/>
    </xf>
    <xf numFmtId="14" fontId="3" fillId="0" borderId="0" xfId="0" applyNumberFormat="1" applyFont="1" applyAlignment="1">
      <alignment horizontal="right" vertical="top"/>
    </xf>
    <xf numFmtId="14" fontId="11" fillId="0" borderId="0" xfId="0" applyNumberFormat="1" applyFont="1" applyAlignment="1">
      <alignment horizontal="left" indent="1"/>
    </xf>
    <xf numFmtId="0" fontId="9" fillId="0" borderId="21" xfId="0" applyFont="1" applyBorder="1" applyAlignment="1">
      <alignment horizontal="center"/>
    </xf>
    <xf numFmtId="0" fontId="9" fillId="0" borderId="2" xfId="0" applyFont="1" applyBorder="1" applyAlignment="1">
      <alignment horizontal="center"/>
    </xf>
    <xf numFmtId="0" fontId="9" fillId="0" borderId="19" xfId="0" applyFont="1" applyBorder="1" applyAlignment="1">
      <alignment horizontal="center"/>
    </xf>
    <xf numFmtId="0" fontId="3" fillId="0" borderId="0" xfId="0" applyFont="1" applyAlignment="1">
      <alignment horizontal="right"/>
    </xf>
    <xf numFmtId="0" fontId="3" fillId="0" borderId="0" xfId="0" applyFont="1" applyAlignment="1">
      <alignment vertical="center"/>
    </xf>
    <xf numFmtId="0" fontId="1" fillId="0" borderId="0" xfId="0" applyFont="1" applyAlignment="1">
      <alignment horizontal="center"/>
    </xf>
    <xf numFmtId="0" fontId="3" fillId="0" borderId="0" xfId="0" applyFont="1" applyAlignment="1">
      <alignment horizontal="left"/>
    </xf>
    <xf numFmtId="0" fontId="1" fillId="3" borderId="3" xfId="0" applyFont="1" applyFill="1" applyBorder="1"/>
    <xf numFmtId="0" fontId="3" fillId="3" borderId="4" xfId="0" applyFont="1" applyFill="1" applyBorder="1"/>
    <xf numFmtId="0" fontId="3" fillId="3" borderId="4" xfId="0" applyFont="1" applyFill="1" applyBorder="1" applyAlignment="1">
      <alignment horizontal="left"/>
    </xf>
    <xf numFmtId="14" fontId="3" fillId="3" borderId="4" xfId="0" applyNumberFormat="1" applyFont="1" applyFill="1" applyBorder="1" applyAlignment="1">
      <alignment horizontal="left"/>
    </xf>
    <xf numFmtId="0" fontId="3" fillId="3" borderId="5" xfId="0" applyFont="1" applyFill="1" applyBorder="1"/>
    <xf numFmtId="0" fontId="3" fillId="4" borderId="6" xfId="0" applyFont="1" applyFill="1" applyBorder="1"/>
    <xf numFmtId="0" fontId="3" fillId="4" borderId="0" xfId="0" applyFont="1" applyFill="1"/>
    <xf numFmtId="14" fontId="3" fillId="4" borderId="29" xfId="0" applyNumberFormat="1" applyFont="1" applyFill="1" applyBorder="1" applyAlignment="1">
      <alignment horizontal="left"/>
    </xf>
    <xf numFmtId="0" fontId="3" fillId="4" borderId="7" xfId="0" applyFont="1" applyFill="1" applyBorder="1"/>
    <xf numFmtId="0" fontId="3" fillId="3" borderId="6" xfId="0" applyFont="1" applyFill="1" applyBorder="1"/>
    <xf numFmtId="0" fontId="3" fillId="3" borderId="0" xfId="0" applyFont="1" applyFill="1" applyAlignment="1">
      <alignment horizontal="left"/>
    </xf>
    <xf numFmtId="0" fontId="3" fillId="3" borderId="7" xfId="0" applyFont="1" applyFill="1" applyBorder="1"/>
    <xf numFmtId="0" fontId="3" fillId="4" borderId="0" xfId="0" applyFont="1" applyFill="1" applyAlignment="1">
      <alignment horizontal="left"/>
    </xf>
    <xf numFmtId="0" fontId="1" fillId="3" borderId="0" xfId="0" applyFont="1" applyFill="1"/>
    <xf numFmtId="0" fontId="3" fillId="4" borderId="8" xfId="0" applyFont="1" applyFill="1" applyBorder="1"/>
    <xf numFmtId="0" fontId="3" fillId="4" borderId="9" xfId="2" applyFont="1" applyFill="1" applyBorder="1" applyAlignment="1">
      <alignment horizontal="left"/>
    </xf>
    <xf numFmtId="0" fontId="3" fillId="4" borderId="9" xfId="0" applyFont="1" applyFill="1" applyBorder="1"/>
    <xf numFmtId="0" fontId="1" fillId="8" borderId="23" xfId="0" applyFont="1" applyFill="1" applyBorder="1" applyAlignment="1">
      <alignment horizontal="center" vertical="center"/>
    </xf>
    <xf numFmtId="0" fontId="1" fillId="8" borderId="24" xfId="0" applyFont="1" applyFill="1" applyBorder="1" applyAlignment="1">
      <alignment horizontal="center" vertical="center"/>
    </xf>
    <xf numFmtId="0" fontId="1" fillId="8" borderId="25" xfId="0" applyFont="1" applyFill="1" applyBorder="1" applyAlignment="1">
      <alignment horizontal="center" vertical="center"/>
    </xf>
    <xf numFmtId="0" fontId="3" fillId="0" borderId="0" xfId="0" applyFont="1" applyAlignment="1">
      <alignment horizontal="center" vertical="center"/>
    </xf>
    <xf numFmtId="166" fontId="3" fillId="0" borderId="0" xfId="1" applyNumberFormat="1" applyFont="1" applyFill="1" applyBorder="1" applyAlignment="1">
      <alignment horizontal="center" vertical="center"/>
    </xf>
    <xf numFmtId="0" fontId="1" fillId="0" borderId="11" xfId="0" applyFont="1" applyBorder="1" applyAlignment="1">
      <alignment horizontal="center"/>
    </xf>
    <xf numFmtId="166" fontId="1" fillId="0" borderId="12" xfId="1" applyNumberFormat="1" applyFont="1" applyFill="1" applyBorder="1"/>
    <xf numFmtId="3" fontId="1" fillId="3" borderId="13" xfId="0" applyNumberFormat="1" applyFont="1" applyFill="1" applyBorder="1" applyAlignment="1">
      <alignment horizontal="center"/>
    </xf>
    <xf numFmtId="166" fontId="1" fillId="0" borderId="31" xfId="1" applyNumberFormat="1" applyFont="1" applyFill="1" applyBorder="1"/>
    <xf numFmtId="0" fontId="1" fillId="0" borderId="14" xfId="0" applyFont="1" applyBorder="1" applyAlignment="1">
      <alignment horizontal="center"/>
    </xf>
    <xf numFmtId="166" fontId="1" fillId="0" borderId="30" xfId="1" applyNumberFormat="1" applyFont="1" applyFill="1" applyBorder="1"/>
    <xf numFmtId="0" fontId="12" fillId="0" borderId="0" xfId="0" applyFont="1" applyAlignment="1">
      <alignment horizontal="left" vertical="center"/>
    </xf>
    <xf numFmtId="0" fontId="13" fillId="0" borderId="0" xfId="0" applyFont="1" applyAlignment="1">
      <alignment horizontal="center" vertical="center"/>
    </xf>
    <xf numFmtId="165" fontId="3" fillId="0" borderId="0" xfId="0" applyNumberFormat="1" applyFont="1" applyAlignment="1">
      <alignment horizontal="center" vertical="center"/>
    </xf>
    <xf numFmtId="0" fontId="14" fillId="0" borderId="0" xfId="2" applyFont="1" applyFill="1" applyBorder="1" applyAlignment="1">
      <alignment horizontal="left" vertical="center" indent="1"/>
    </xf>
    <xf numFmtId="0" fontId="5" fillId="3" borderId="4" xfId="0" applyFont="1" applyFill="1" applyBorder="1"/>
    <xf numFmtId="14" fontId="11" fillId="0" borderId="0" xfId="0" applyNumberFormat="1" applyFont="1" applyAlignment="1">
      <alignment horizontal="left" vertical="top" indent="1"/>
    </xf>
    <xf numFmtId="0" fontId="9" fillId="0" borderId="2" xfId="0" applyFont="1" applyBorder="1" applyAlignment="1">
      <alignment horizontal="center" vertical="center"/>
    </xf>
    <xf numFmtId="0" fontId="0" fillId="2" borderId="0" xfId="0" applyFill="1" applyAlignment="1">
      <alignment horizontal="center"/>
    </xf>
    <xf numFmtId="0" fontId="1" fillId="0" borderId="15" xfId="0" applyFont="1" applyBorder="1" applyAlignment="1">
      <alignment horizontal="left" indent="1"/>
    </xf>
    <xf numFmtId="0" fontId="1" fillId="0" borderId="16" xfId="0" applyFont="1" applyBorder="1"/>
    <xf numFmtId="0" fontId="1" fillId="0" borderId="17" xfId="0" applyFont="1" applyBorder="1" applyAlignment="1">
      <alignment horizontal="center"/>
    </xf>
    <xf numFmtId="0" fontId="1" fillId="0" borderId="15" xfId="0" applyFont="1" applyBorder="1" applyAlignment="1">
      <alignment horizontal="left"/>
    </xf>
    <xf numFmtId="0" fontId="3" fillId="0" borderId="17" xfId="0" applyFont="1" applyBorder="1" applyAlignment="1">
      <alignment horizontal="left"/>
    </xf>
    <xf numFmtId="0" fontId="7" fillId="0" borderId="0" xfId="0" applyFont="1" applyAlignment="1">
      <alignment horizontal="right"/>
    </xf>
    <xf numFmtId="166" fontId="1" fillId="0" borderId="0" xfId="1" applyNumberFormat="1" applyFont="1" applyFill="1" applyBorder="1"/>
    <xf numFmtId="0" fontId="7" fillId="3" borderId="0" xfId="0" applyFont="1" applyFill="1"/>
    <xf numFmtId="0" fontId="17" fillId="0" borderId="18" xfId="0" applyFont="1" applyBorder="1" applyAlignment="1">
      <alignment horizontal="center"/>
    </xf>
    <xf numFmtId="0" fontId="7" fillId="0" borderId="2" xfId="0" applyFont="1" applyBorder="1" applyAlignment="1">
      <alignment horizontal="center"/>
    </xf>
    <xf numFmtId="0" fontId="7" fillId="0" borderId="18" xfId="0" applyFont="1" applyBorder="1" applyAlignment="1">
      <alignment horizontal="center"/>
    </xf>
    <xf numFmtId="0" fontId="16" fillId="0" borderId="0" xfId="2" quotePrefix="1" applyFont="1" applyFill="1" applyBorder="1" applyAlignment="1">
      <alignment horizontal="left"/>
    </xf>
    <xf numFmtId="0" fontId="15" fillId="0" borderId="2" xfId="0" applyFont="1" applyBorder="1" applyAlignment="1">
      <alignment horizontal="center" vertical="center"/>
    </xf>
    <xf numFmtId="166" fontId="3" fillId="0" borderId="2" xfId="1" applyNumberFormat="1" applyFont="1" applyFill="1" applyBorder="1" applyAlignment="1">
      <alignment horizontal="center" vertical="center"/>
    </xf>
    <xf numFmtId="1" fontId="15" fillId="0" borderId="2" xfId="0" applyNumberFormat="1" applyFont="1" applyBorder="1" applyAlignment="1">
      <alignment horizontal="center" vertical="center"/>
    </xf>
    <xf numFmtId="0" fontId="3" fillId="3" borderId="0" xfId="0" applyFont="1" applyFill="1" applyAlignment="1">
      <alignment horizontal="center"/>
    </xf>
    <xf numFmtId="0" fontId="17" fillId="0" borderId="0" xfId="0" applyFont="1" applyAlignment="1">
      <alignment horizontal="center"/>
    </xf>
    <xf numFmtId="0" fontId="7" fillId="0" borderId="0" xfId="0" applyFont="1" applyAlignment="1">
      <alignment horizontal="center"/>
    </xf>
    <xf numFmtId="0" fontId="15" fillId="0" borderId="0" xfId="0" applyFont="1" applyAlignment="1">
      <alignment horizontal="center" vertical="center"/>
    </xf>
    <xf numFmtId="1" fontId="15" fillId="0" borderId="0" xfId="0" applyNumberFormat="1" applyFont="1" applyAlignment="1">
      <alignment horizontal="center" vertical="center"/>
    </xf>
    <xf numFmtId="0" fontId="0" fillId="0" borderId="0" xfId="0" applyAlignment="1">
      <alignment horizontal="center"/>
    </xf>
    <xf numFmtId="0" fontId="9" fillId="0" borderId="0" xfId="0" applyFont="1" applyAlignment="1">
      <alignment horizontal="center"/>
    </xf>
    <xf numFmtId="0" fontId="9" fillId="3" borderId="20" xfId="0" applyFont="1" applyFill="1" applyBorder="1" applyAlignment="1">
      <alignment horizontal="left" vertical="top" indent="28"/>
    </xf>
    <xf numFmtId="0" fontId="9" fillId="3" borderId="21" xfId="0" applyFont="1" applyFill="1" applyBorder="1" applyAlignment="1">
      <alignment horizontal="left" vertical="top" indent="28"/>
    </xf>
    <xf numFmtId="0" fontId="9" fillId="3" borderId="28" xfId="0" applyFont="1" applyFill="1" applyBorder="1" applyAlignment="1">
      <alignment horizontal="left" vertical="top" indent="28"/>
    </xf>
    <xf numFmtId="0" fontId="9" fillId="3" borderId="19" xfId="0" applyFont="1" applyFill="1" applyBorder="1" applyAlignment="1">
      <alignment horizontal="left" vertical="top" indent="28"/>
    </xf>
    <xf numFmtId="0" fontId="11" fillId="4" borderId="9" xfId="0" applyFont="1" applyFill="1" applyBorder="1" applyAlignment="1">
      <alignment horizontal="left"/>
    </xf>
    <xf numFmtId="0" fontId="11" fillId="4" borderId="10" xfId="0" applyFont="1" applyFill="1" applyBorder="1" applyAlignment="1">
      <alignment horizontal="left"/>
    </xf>
    <xf numFmtId="0" fontId="9" fillId="3" borderId="15" xfId="0" applyFont="1" applyFill="1" applyBorder="1" applyAlignment="1">
      <alignment horizontal="center" vertical="center"/>
    </xf>
    <xf numFmtId="0" fontId="9" fillId="3" borderId="16" xfId="0" applyFont="1" applyFill="1" applyBorder="1" applyAlignment="1">
      <alignment horizontal="center" vertical="center"/>
    </xf>
    <xf numFmtId="0" fontId="9" fillId="3" borderId="17" xfId="0" applyFont="1" applyFill="1" applyBorder="1" applyAlignment="1">
      <alignment horizontal="center" vertical="center"/>
    </xf>
    <xf numFmtId="0" fontId="5" fillId="5" borderId="2" xfId="0" applyFont="1" applyFill="1" applyBorder="1" applyAlignment="1">
      <alignment horizontal="center"/>
    </xf>
    <xf numFmtId="0" fontId="0" fillId="5" borderId="2" xfId="0" applyFill="1" applyBorder="1" applyAlignment="1">
      <alignment horizontal="center"/>
    </xf>
    <xf numFmtId="14" fontId="0" fillId="0" borderId="0" xfId="0" applyNumberFormat="1"/>
  </cellXfs>
  <cellStyles count="3">
    <cellStyle name="Hipervínculo" xfId="2" builtinId="8"/>
    <cellStyle name="Millares" xfId="1" builtinId="3"/>
    <cellStyle name="Normal" xfId="0" builtinId="0"/>
  </cellStyles>
  <dxfs count="1"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</dxfs>
  <tableStyles count="0" defaultTableStyle="TableStyleMedium9" defaultPivotStyle="PivotStyleLight16"/>
  <colors>
    <mruColors>
      <color rgb="FFADDB7B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3.jpeg"/><Relationship Id="rId1" Type="http://schemas.openxmlformats.org/officeDocument/2006/relationships/image" Target="../media/image2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11430</xdr:colOff>
      <xdr:row>24</xdr:row>
      <xdr:rowOff>9525</xdr:rowOff>
    </xdr:from>
    <xdr:to>
      <xdr:col>5</xdr:col>
      <xdr:colOff>1390650</xdr:colOff>
      <xdr:row>28</xdr:row>
      <xdr:rowOff>47625</xdr:rowOff>
    </xdr:to>
    <xdr:sp macro="" textlink="">
      <xdr:nvSpPr>
        <xdr:cNvPr id="3" name="Rectángulo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SpPr/>
      </xdr:nvSpPr>
      <xdr:spPr>
        <a:xfrm>
          <a:off x="201930" y="5800725"/>
          <a:ext cx="5532120" cy="64770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es-CL" sz="900" b="1" i="1"/>
            <a:t>OBSERVACIONES:   CLIENTE</a:t>
          </a:r>
          <a:r>
            <a:rPr lang="es-CL" sz="900" b="1" i="1" baseline="0"/>
            <a:t> APORTA LAMINAS</a:t>
          </a:r>
        </a:p>
      </xdr:txBody>
    </xdr:sp>
    <xdr:clientData/>
  </xdr:twoCellAnchor>
  <xdr:twoCellAnchor editAs="oneCell">
    <xdr:from>
      <xdr:col>1</xdr:col>
      <xdr:colOff>327660</xdr:colOff>
      <xdr:row>0</xdr:row>
      <xdr:rowOff>38100</xdr:rowOff>
    </xdr:from>
    <xdr:to>
      <xdr:col>2</xdr:col>
      <xdr:colOff>1108468</xdr:colOff>
      <xdr:row>6</xdr:row>
      <xdr:rowOff>26670</xdr:rowOff>
    </xdr:to>
    <xdr:pic>
      <xdr:nvPicPr>
        <xdr:cNvPr id="8" name="Imagen 7">
          <a:extLst>
            <a:ext uri="{FF2B5EF4-FFF2-40B4-BE49-F238E27FC236}">
              <a16:creationId xmlns:a16="http://schemas.microsoft.com/office/drawing/2014/main" id="{00000000-0008-0000-0000-00000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25780" y="38100"/>
          <a:ext cx="1586623" cy="1148715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895350</xdr:colOff>
      <xdr:row>5</xdr:row>
      <xdr:rowOff>47625</xdr:rowOff>
    </xdr:from>
    <xdr:to>
      <xdr:col>5</xdr:col>
      <xdr:colOff>1666875</xdr:colOff>
      <xdr:row>6</xdr:row>
      <xdr:rowOff>190500</xdr:rowOff>
    </xdr:to>
    <xdr:sp macro="" textlink="">
      <xdr:nvSpPr>
        <xdr:cNvPr id="3" name="Rectángulo 2">
          <a:extLst>
            <a:ext uri="{FF2B5EF4-FFF2-40B4-BE49-F238E27FC236}">
              <a16:creationId xmlns:a16="http://schemas.microsoft.com/office/drawing/2014/main" id="{00000000-0008-0000-0200-000003000000}"/>
            </a:ext>
          </a:extLst>
        </xdr:cNvPr>
        <xdr:cNvSpPr/>
      </xdr:nvSpPr>
      <xdr:spPr>
        <a:xfrm>
          <a:off x="1790700" y="1066800"/>
          <a:ext cx="5248275" cy="200025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1</xdr:col>
      <xdr:colOff>923925</xdr:colOff>
      <xdr:row>4</xdr:row>
      <xdr:rowOff>28575</xdr:rowOff>
    </xdr:from>
    <xdr:to>
      <xdr:col>6</xdr:col>
      <xdr:colOff>0</xdr:colOff>
      <xdr:row>5</xdr:row>
      <xdr:rowOff>9525</xdr:rowOff>
    </xdr:to>
    <xdr:sp macro="" textlink="">
      <xdr:nvSpPr>
        <xdr:cNvPr id="5" name="Rectángulo 4">
          <a:extLst>
            <a:ext uri="{FF2B5EF4-FFF2-40B4-BE49-F238E27FC236}">
              <a16:creationId xmlns:a16="http://schemas.microsoft.com/office/drawing/2014/main" id="{00000000-0008-0000-0200-000005000000}"/>
            </a:ext>
          </a:extLst>
        </xdr:cNvPr>
        <xdr:cNvSpPr/>
      </xdr:nvSpPr>
      <xdr:spPr>
        <a:xfrm>
          <a:off x="1819275" y="819150"/>
          <a:ext cx="5248275" cy="209550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1</xdr:col>
      <xdr:colOff>923925</xdr:colOff>
      <xdr:row>2</xdr:row>
      <xdr:rowOff>180975</xdr:rowOff>
    </xdr:from>
    <xdr:to>
      <xdr:col>6</xdr:col>
      <xdr:colOff>0</xdr:colOff>
      <xdr:row>3</xdr:row>
      <xdr:rowOff>190500</xdr:rowOff>
    </xdr:to>
    <xdr:sp macro="" textlink="">
      <xdr:nvSpPr>
        <xdr:cNvPr id="6" name="Rectángulo 5">
          <a:extLst>
            <a:ext uri="{FF2B5EF4-FFF2-40B4-BE49-F238E27FC236}">
              <a16:creationId xmlns:a16="http://schemas.microsoft.com/office/drawing/2014/main" id="{00000000-0008-0000-0200-000006000000}"/>
            </a:ext>
          </a:extLst>
        </xdr:cNvPr>
        <xdr:cNvSpPr/>
      </xdr:nvSpPr>
      <xdr:spPr>
        <a:xfrm>
          <a:off x="1819275" y="581025"/>
          <a:ext cx="5248275" cy="200025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0</xdr:col>
      <xdr:colOff>152400</xdr:colOff>
      <xdr:row>19</xdr:row>
      <xdr:rowOff>76200</xdr:rowOff>
    </xdr:from>
    <xdr:to>
      <xdr:col>5</xdr:col>
      <xdr:colOff>1676399</xdr:colOff>
      <xdr:row>21</xdr:row>
      <xdr:rowOff>19050</xdr:rowOff>
    </xdr:to>
    <xdr:sp macro="" textlink="">
      <xdr:nvSpPr>
        <xdr:cNvPr id="7" name="Rectángulo 6">
          <a:extLst>
            <a:ext uri="{FF2B5EF4-FFF2-40B4-BE49-F238E27FC236}">
              <a16:creationId xmlns:a16="http://schemas.microsoft.com/office/drawing/2014/main" id="{00000000-0008-0000-0200-000007000000}"/>
            </a:ext>
          </a:extLst>
        </xdr:cNvPr>
        <xdr:cNvSpPr/>
      </xdr:nvSpPr>
      <xdr:spPr>
        <a:xfrm>
          <a:off x="152400" y="1514475"/>
          <a:ext cx="6991349" cy="228600"/>
        </a:xfrm>
        <a:prstGeom prst="rect">
          <a:avLst/>
        </a:prstGeom>
        <a:solidFill>
          <a:schemeClr val="bg1">
            <a:lumMod val="95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s-CL" sz="1200" b="1" i="1">
              <a:solidFill>
                <a:sysClr val="windowText" lastClr="000000"/>
              </a:solidFill>
            </a:rPr>
            <a:t>LAMINADO</a:t>
          </a:r>
          <a:endParaRPr lang="es-CL" sz="1100" b="1" i="1">
            <a:solidFill>
              <a:sysClr val="windowText" lastClr="000000"/>
            </a:solidFill>
          </a:endParaRPr>
        </a:p>
        <a:p>
          <a:pPr algn="l"/>
          <a:endParaRPr lang="es-CL" sz="1100"/>
        </a:p>
      </xdr:txBody>
    </xdr:sp>
    <xdr:clientData/>
  </xdr:twoCellAnchor>
  <xdr:twoCellAnchor>
    <xdr:from>
      <xdr:col>0</xdr:col>
      <xdr:colOff>171450</xdr:colOff>
      <xdr:row>8</xdr:row>
      <xdr:rowOff>171450</xdr:rowOff>
    </xdr:from>
    <xdr:to>
      <xdr:col>5</xdr:col>
      <xdr:colOff>1695449</xdr:colOff>
      <xdr:row>10</xdr:row>
      <xdr:rowOff>19050</xdr:rowOff>
    </xdr:to>
    <xdr:sp macro="" textlink="">
      <xdr:nvSpPr>
        <xdr:cNvPr id="8" name="Rectángulo 7">
          <a:extLst>
            <a:ext uri="{FF2B5EF4-FFF2-40B4-BE49-F238E27FC236}">
              <a16:creationId xmlns:a16="http://schemas.microsoft.com/office/drawing/2014/main" id="{00000000-0008-0000-0200-000008000000}"/>
            </a:ext>
          </a:extLst>
        </xdr:cNvPr>
        <xdr:cNvSpPr/>
      </xdr:nvSpPr>
      <xdr:spPr>
        <a:xfrm>
          <a:off x="171450" y="3419475"/>
          <a:ext cx="6991349" cy="228600"/>
        </a:xfrm>
        <a:prstGeom prst="rect">
          <a:avLst/>
        </a:prstGeom>
        <a:solidFill>
          <a:schemeClr val="bg1">
            <a:lumMod val="95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s-CL" sz="1200" b="1" i="1">
              <a:solidFill>
                <a:sysClr val="windowText" lastClr="000000"/>
              </a:solidFill>
            </a:rPr>
            <a:t>SUSTRATO</a:t>
          </a:r>
        </a:p>
      </xdr:txBody>
    </xdr:sp>
    <xdr:clientData/>
  </xdr:twoCellAnchor>
  <xdr:twoCellAnchor>
    <xdr:from>
      <xdr:col>0</xdr:col>
      <xdr:colOff>161925</xdr:colOff>
      <xdr:row>48</xdr:row>
      <xdr:rowOff>171450</xdr:rowOff>
    </xdr:from>
    <xdr:to>
      <xdr:col>5</xdr:col>
      <xdr:colOff>1685924</xdr:colOff>
      <xdr:row>50</xdr:row>
      <xdr:rowOff>19050</xdr:rowOff>
    </xdr:to>
    <xdr:sp macro="" textlink="">
      <xdr:nvSpPr>
        <xdr:cNvPr id="9" name="Rectángulo 8">
          <a:extLst>
            <a:ext uri="{FF2B5EF4-FFF2-40B4-BE49-F238E27FC236}">
              <a16:creationId xmlns:a16="http://schemas.microsoft.com/office/drawing/2014/main" id="{00000000-0008-0000-0200-000009000000}"/>
            </a:ext>
          </a:extLst>
        </xdr:cNvPr>
        <xdr:cNvSpPr/>
      </xdr:nvSpPr>
      <xdr:spPr>
        <a:xfrm>
          <a:off x="161925" y="9277350"/>
          <a:ext cx="6810374" cy="228600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1</xdr:col>
      <xdr:colOff>923925</xdr:colOff>
      <xdr:row>46</xdr:row>
      <xdr:rowOff>0</xdr:rowOff>
    </xdr:from>
    <xdr:to>
      <xdr:col>6</xdr:col>
      <xdr:colOff>0</xdr:colOff>
      <xdr:row>47</xdr:row>
      <xdr:rowOff>0</xdr:rowOff>
    </xdr:to>
    <xdr:sp macro="" textlink="">
      <xdr:nvSpPr>
        <xdr:cNvPr id="15" name="Rectángulo 14">
          <a:extLst>
            <a:ext uri="{FF2B5EF4-FFF2-40B4-BE49-F238E27FC236}">
              <a16:creationId xmlns:a16="http://schemas.microsoft.com/office/drawing/2014/main" id="{00000000-0008-0000-0200-00000F000000}"/>
            </a:ext>
          </a:extLst>
        </xdr:cNvPr>
        <xdr:cNvSpPr/>
      </xdr:nvSpPr>
      <xdr:spPr>
        <a:xfrm>
          <a:off x="1743075" y="1047750"/>
          <a:ext cx="5162550" cy="200025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1</xdr:col>
      <xdr:colOff>923925</xdr:colOff>
      <xdr:row>44</xdr:row>
      <xdr:rowOff>38100</xdr:rowOff>
    </xdr:from>
    <xdr:to>
      <xdr:col>6</xdr:col>
      <xdr:colOff>0</xdr:colOff>
      <xdr:row>45</xdr:row>
      <xdr:rowOff>19050</xdr:rowOff>
    </xdr:to>
    <xdr:sp macro="" textlink="">
      <xdr:nvSpPr>
        <xdr:cNvPr id="16" name="Rectángulo 15">
          <a:extLst>
            <a:ext uri="{FF2B5EF4-FFF2-40B4-BE49-F238E27FC236}">
              <a16:creationId xmlns:a16="http://schemas.microsoft.com/office/drawing/2014/main" id="{00000000-0008-0000-0200-000010000000}"/>
            </a:ext>
          </a:extLst>
        </xdr:cNvPr>
        <xdr:cNvSpPr/>
      </xdr:nvSpPr>
      <xdr:spPr>
        <a:xfrm>
          <a:off x="1743075" y="800100"/>
          <a:ext cx="5162550" cy="209550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1</xdr:col>
      <xdr:colOff>923925</xdr:colOff>
      <xdr:row>43</xdr:row>
      <xdr:rowOff>0</xdr:rowOff>
    </xdr:from>
    <xdr:to>
      <xdr:col>6</xdr:col>
      <xdr:colOff>0</xdr:colOff>
      <xdr:row>44</xdr:row>
      <xdr:rowOff>0</xdr:rowOff>
    </xdr:to>
    <xdr:sp macro="" textlink="">
      <xdr:nvSpPr>
        <xdr:cNvPr id="17" name="Rectángulo 16">
          <a:extLst>
            <a:ext uri="{FF2B5EF4-FFF2-40B4-BE49-F238E27FC236}">
              <a16:creationId xmlns:a16="http://schemas.microsoft.com/office/drawing/2014/main" id="{00000000-0008-0000-0200-000011000000}"/>
            </a:ext>
          </a:extLst>
        </xdr:cNvPr>
        <xdr:cNvSpPr/>
      </xdr:nvSpPr>
      <xdr:spPr>
        <a:xfrm>
          <a:off x="1743075" y="571500"/>
          <a:ext cx="5162550" cy="190500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1</xdr:col>
      <xdr:colOff>0</xdr:colOff>
      <xdr:row>57</xdr:row>
      <xdr:rowOff>0</xdr:rowOff>
    </xdr:from>
    <xdr:to>
      <xdr:col>2</xdr:col>
      <xdr:colOff>38100</xdr:colOff>
      <xdr:row>58</xdr:row>
      <xdr:rowOff>9525</xdr:rowOff>
    </xdr:to>
    <xdr:sp macro="" textlink="">
      <xdr:nvSpPr>
        <xdr:cNvPr id="18" name="Rectángulo 17">
          <a:extLst>
            <a:ext uri="{FF2B5EF4-FFF2-40B4-BE49-F238E27FC236}">
              <a16:creationId xmlns:a16="http://schemas.microsoft.com/office/drawing/2014/main" id="{00000000-0008-0000-0200-000012000000}"/>
            </a:ext>
          </a:extLst>
        </xdr:cNvPr>
        <xdr:cNvSpPr/>
      </xdr:nvSpPr>
      <xdr:spPr>
        <a:xfrm>
          <a:off x="819150" y="7505700"/>
          <a:ext cx="971550" cy="22860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lvl="0" algn="ctr"/>
          <a:r>
            <a:rPr lang="es-CL" sz="900" b="1" i="1"/>
            <a:t>CORTE</a:t>
          </a:r>
        </a:p>
      </xdr:txBody>
    </xdr:sp>
    <xdr:clientData/>
  </xdr:twoCellAnchor>
  <xdr:twoCellAnchor>
    <xdr:from>
      <xdr:col>2</xdr:col>
      <xdr:colOff>38100</xdr:colOff>
      <xdr:row>57</xdr:row>
      <xdr:rowOff>0</xdr:rowOff>
    </xdr:from>
    <xdr:to>
      <xdr:col>2</xdr:col>
      <xdr:colOff>1019175</xdr:colOff>
      <xdr:row>57</xdr:row>
      <xdr:rowOff>190500</xdr:rowOff>
    </xdr:to>
    <xdr:sp macro="" textlink="">
      <xdr:nvSpPr>
        <xdr:cNvPr id="19" name="Rectángulo 18">
          <a:extLst>
            <a:ext uri="{FF2B5EF4-FFF2-40B4-BE49-F238E27FC236}">
              <a16:creationId xmlns:a16="http://schemas.microsoft.com/office/drawing/2014/main" id="{00000000-0008-0000-0200-000013000000}"/>
            </a:ext>
          </a:extLst>
        </xdr:cNvPr>
        <xdr:cNvSpPr/>
      </xdr:nvSpPr>
      <xdr:spPr>
        <a:xfrm>
          <a:off x="1790700" y="7505700"/>
          <a:ext cx="981075" cy="20955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s-CL" sz="900" b="1" i="1"/>
            <a:t>LAMINADO</a:t>
          </a:r>
          <a:endParaRPr lang="es-CL" sz="1050" b="1" i="1"/>
        </a:p>
        <a:p>
          <a:pPr algn="ctr"/>
          <a:endParaRPr lang="es-CL" sz="1050" b="1" i="1"/>
        </a:p>
        <a:p>
          <a:pPr algn="ctr"/>
          <a:endParaRPr lang="es-CL" sz="1050" b="1" i="1"/>
        </a:p>
      </xdr:txBody>
    </xdr:sp>
    <xdr:clientData/>
  </xdr:twoCellAnchor>
  <xdr:twoCellAnchor>
    <xdr:from>
      <xdr:col>2</xdr:col>
      <xdr:colOff>1009650</xdr:colOff>
      <xdr:row>57</xdr:row>
      <xdr:rowOff>0</xdr:rowOff>
    </xdr:from>
    <xdr:to>
      <xdr:col>3</xdr:col>
      <xdr:colOff>352425</xdr:colOff>
      <xdr:row>58</xdr:row>
      <xdr:rowOff>0</xdr:rowOff>
    </xdr:to>
    <xdr:sp macro="" textlink="">
      <xdr:nvSpPr>
        <xdr:cNvPr id="20" name="Rectángulo 19">
          <a:extLst>
            <a:ext uri="{FF2B5EF4-FFF2-40B4-BE49-F238E27FC236}">
              <a16:creationId xmlns:a16="http://schemas.microsoft.com/office/drawing/2014/main" id="{00000000-0008-0000-0200-000014000000}"/>
            </a:ext>
          </a:extLst>
        </xdr:cNvPr>
        <xdr:cNvSpPr/>
      </xdr:nvSpPr>
      <xdr:spPr>
        <a:xfrm>
          <a:off x="2762250" y="7505700"/>
          <a:ext cx="971550" cy="21907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s-CL" sz="900" b="1" i="1"/>
            <a:t>TUPIZADO</a:t>
          </a:r>
          <a:endParaRPr lang="es-CL" sz="1050" b="1" i="1"/>
        </a:p>
        <a:p>
          <a:pPr algn="ctr"/>
          <a:endParaRPr lang="es-CL" sz="1050" b="1" i="1"/>
        </a:p>
        <a:p>
          <a:pPr algn="ctr"/>
          <a:endParaRPr lang="es-CL" sz="1050" b="1" i="1"/>
        </a:p>
      </xdr:txBody>
    </xdr:sp>
    <xdr:clientData/>
  </xdr:twoCellAnchor>
  <xdr:twoCellAnchor>
    <xdr:from>
      <xdr:col>3</xdr:col>
      <xdr:colOff>352425</xdr:colOff>
      <xdr:row>57</xdr:row>
      <xdr:rowOff>0</xdr:rowOff>
    </xdr:from>
    <xdr:to>
      <xdr:col>4</xdr:col>
      <xdr:colOff>257175</xdr:colOff>
      <xdr:row>58</xdr:row>
      <xdr:rowOff>0</xdr:rowOff>
    </xdr:to>
    <xdr:sp macro="" textlink="">
      <xdr:nvSpPr>
        <xdr:cNvPr id="21" name="Rectángulo 20">
          <a:extLst>
            <a:ext uri="{FF2B5EF4-FFF2-40B4-BE49-F238E27FC236}">
              <a16:creationId xmlns:a16="http://schemas.microsoft.com/office/drawing/2014/main" id="{00000000-0008-0000-0200-000015000000}"/>
            </a:ext>
          </a:extLst>
        </xdr:cNvPr>
        <xdr:cNvSpPr/>
      </xdr:nvSpPr>
      <xdr:spPr>
        <a:xfrm>
          <a:off x="3733800" y="7505700"/>
          <a:ext cx="971550" cy="21907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s-CL" sz="900" b="1" i="1"/>
            <a:t>ARMADO</a:t>
          </a:r>
          <a:endParaRPr lang="es-CL" sz="1050" b="1" i="1"/>
        </a:p>
        <a:p>
          <a:pPr algn="ctr"/>
          <a:endParaRPr lang="es-CL" sz="1050" b="1" i="1"/>
        </a:p>
        <a:p>
          <a:pPr algn="ctr"/>
          <a:endParaRPr lang="es-CL" sz="1050" b="1" i="1"/>
        </a:p>
      </xdr:txBody>
    </xdr:sp>
    <xdr:clientData/>
  </xdr:twoCellAnchor>
  <xdr:twoCellAnchor>
    <xdr:from>
      <xdr:col>4</xdr:col>
      <xdr:colOff>247650</xdr:colOff>
      <xdr:row>57</xdr:row>
      <xdr:rowOff>0</xdr:rowOff>
    </xdr:from>
    <xdr:to>
      <xdr:col>5</xdr:col>
      <xdr:colOff>447675</xdr:colOff>
      <xdr:row>57</xdr:row>
      <xdr:rowOff>190500</xdr:rowOff>
    </xdr:to>
    <xdr:sp macro="" textlink="">
      <xdr:nvSpPr>
        <xdr:cNvPr id="22" name="Rectángulo 21">
          <a:extLst>
            <a:ext uri="{FF2B5EF4-FFF2-40B4-BE49-F238E27FC236}">
              <a16:creationId xmlns:a16="http://schemas.microsoft.com/office/drawing/2014/main" id="{00000000-0008-0000-0200-000016000000}"/>
            </a:ext>
          </a:extLst>
        </xdr:cNvPr>
        <xdr:cNvSpPr/>
      </xdr:nvSpPr>
      <xdr:spPr>
        <a:xfrm>
          <a:off x="4695825" y="7505700"/>
          <a:ext cx="962025" cy="20955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s-CL" sz="900" b="1" i="1"/>
            <a:t>PEGADO</a:t>
          </a:r>
          <a:endParaRPr lang="es-CL" sz="1050" b="1" i="1"/>
        </a:p>
        <a:p>
          <a:pPr algn="ctr"/>
          <a:endParaRPr lang="es-CL" sz="1050" b="1" i="1"/>
        </a:p>
        <a:p>
          <a:pPr algn="ctr"/>
          <a:endParaRPr lang="es-CL" sz="1050" b="1" i="1"/>
        </a:p>
      </xdr:txBody>
    </xdr:sp>
    <xdr:clientData/>
  </xdr:twoCellAnchor>
  <xdr:twoCellAnchor>
    <xdr:from>
      <xdr:col>5</xdr:col>
      <xdr:colOff>457200</xdr:colOff>
      <xdr:row>57</xdr:row>
      <xdr:rowOff>0</xdr:rowOff>
    </xdr:from>
    <xdr:to>
      <xdr:col>6</xdr:col>
      <xdr:colOff>0</xdr:colOff>
      <xdr:row>57</xdr:row>
      <xdr:rowOff>190500</xdr:rowOff>
    </xdr:to>
    <xdr:sp macro="" textlink="">
      <xdr:nvSpPr>
        <xdr:cNvPr id="23" name="Rectángulo 22">
          <a:extLst>
            <a:ext uri="{FF2B5EF4-FFF2-40B4-BE49-F238E27FC236}">
              <a16:creationId xmlns:a16="http://schemas.microsoft.com/office/drawing/2014/main" id="{00000000-0008-0000-0200-000017000000}"/>
            </a:ext>
          </a:extLst>
        </xdr:cNvPr>
        <xdr:cNvSpPr/>
      </xdr:nvSpPr>
      <xdr:spPr>
        <a:xfrm>
          <a:off x="5667375" y="7505700"/>
          <a:ext cx="1238250" cy="20955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s-CL" sz="900" b="1" i="1"/>
            <a:t>POSTFORMADO</a:t>
          </a:r>
        </a:p>
      </xdr:txBody>
    </xdr:sp>
    <xdr:clientData/>
  </xdr:twoCellAnchor>
  <xdr:twoCellAnchor>
    <xdr:from>
      <xdr:col>1</xdr:col>
      <xdr:colOff>0</xdr:colOff>
      <xdr:row>57</xdr:row>
      <xdr:rowOff>190500</xdr:rowOff>
    </xdr:from>
    <xdr:to>
      <xdr:col>2</xdr:col>
      <xdr:colOff>304800</xdr:colOff>
      <xdr:row>59</xdr:row>
      <xdr:rowOff>95250</xdr:rowOff>
    </xdr:to>
    <xdr:sp macro="" textlink="">
      <xdr:nvSpPr>
        <xdr:cNvPr id="24" name="Rectángulo 23">
          <a:extLst>
            <a:ext uri="{FF2B5EF4-FFF2-40B4-BE49-F238E27FC236}">
              <a16:creationId xmlns:a16="http://schemas.microsoft.com/office/drawing/2014/main" id="{00000000-0008-0000-0200-000018000000}"/>
            </a:ext>
          </a:extLst>
        </xdr:cNvPr>
        <xdr:cNvSpPr/>
      </xdr:nvSpPr>
      <xdr:spPr>
        <a:xfrm>
          <a:off x="819150" y="7715250"/>
          <a:ext cx="1238250" cy="30480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endParaRPr lang="es-CL" sz="1050" b="1" i="1"/>
        </a:p>
      </xdr:txBody>
    </xdr:sp>
    <xdr:clientData/>
  </xdr:twoCellAnchor>
  <xdr:twoCellAnchor>
    <xdr:from>
      <xdr:col>2</xdr:col>
      <xdr:colOff>38100</xdr:colOff>
      <xdr:row>57</xdr:row>
      <xdr:rowOff>190500</xdr:rowOff>
    </xdr:from>
    <xdr:to>
      <xdr:col>2</xdr:col>
      <xdr:colOff>1276350</xdr:colOff>
      <xdr:row>59</xdr:row>
      <xdr:rowOff>95250</xdr:rowOff>
    </xdr:to>
    <xdr:sp macro="" textlink="">
      <xdr:nvSpPr>
        <xdr:cNvPr id="25" name="Rectángulo 24">
          <a:extLst>
            <a:ext uri="{FF2B5EF4-FFF2-40B4-BE49-F238E27FC236}">
              <a16:creationId xmlns:a16="http://schemas.microsoft.com/office/drawing/2014/main" id="{00000000-0008-0000-0200-000019000000}"/>
            </a:ext>
          </a:extLst>
        </xdr:cNvPr>
        <xdr:cNvSpPr/>
      </xdr:nvSpPr>
      <xdr:spPr>
        <a:xfrm>
          <a:off x="1790700" y="7715250"/>
          <a:ext cx="1238250" cy="30480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endParaRPr lang="es-CL" sz="1050" b="1" i="1"/>
        </a:p>
      </xdr:txBody>
    </xdr:sp>
    <xdr:clientData/>
  </xdr:twoCellAnchor>
  <xdr:twoCellAnchor>
    <xdr:from>
      <xdr:col>2</xdr:col>
      <xdr:colOff>1009650</xdr:colOff>
      <xdr:row>57</xdr:row>
      <xdr:rowOff>190500</xdr:rowOff>
    </xdr:from>
    <xdr:to>
      <xdr:col>3</xdr:col>
      <xdr:colOff>619125</xdr:colOff>
      <xdr:row>59</xdr:row>
      <xdr:rowOff>95250</xdr:rowOff>
    </xdr:to>
    <xdr:sp macro="" textlink="">
      <xdr:nvSpPr>
        <xdr:cNvPr id="26" name="Rectángulo 25">
          <a:extLst>
            <a:ext uri="{FF2B5EF4-FFF2-40B4-BE49-F238E27FC236}">
              <a16:creationId xmlns:a16="http://schemas.microsoft.com/office/drawing/2014/main" id="{00000000-0008-0000-0200-00001A000000}"/>
            </a:ext>
          </a:extLst>
        </xdr:cNvPr>
        <xdr:cNvSpPr/>
      </xdr:nvSpPr>
      <xdr:spPr>
        <a:xfrm>
          <a:off x="2762250" y="7715250"/>
          <a:ext cx="1238250" cy="30480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endParaRPr lang="es-CL" sz="1050" b="1" i="1"/>
        </a:p>
      </xdr:txBody>
    </xdr:sp>
    <xdr:clientData/>
  </xdr:twoCellAnchor>
  <xdr:twoCellAnchor>
    <xdr:from>
      <xdr:col>3</xdr:col>
      <xdr:colOff>352425</xdr:colOff>
      <xdr:row>57</xdr:row>
      <xdr:rowOff>190500</xdr:rowOff>
    </xdr:from>
    <xdr:to>
      <xdr:col>4</xdr:col>
      <xdr:colOff>523875</xdr:colOff>
      <xdr:row>59</xdr:row>
      <xdr:rowOff>95250</xdr:rowOff>
    </xdr:to>
    <xdr:sp macro="" textlink="">
      <xdr:nvSpPr>
        <xdr:cNvPr id="27" name="Rectángulo 26">
          <a:extLst>
            <a:ext uri="{FF2B5EF4-FFF2-40B4-BE49-F238E27FC236}">
              <a16:creationId xmlns:a16="http://schemas.microsoft.com/office/drawing/2014/main" id="{00000000-0008-0000-0200-00001B000000}"/>
            </a:ext>
          </a:extLst>
        </xdr:cNvPr>
        <xdr:cNvSpPr/>
      </xdr:nvSpPr>
      <xdr:spPr>
        <a:xfrm>
          <a:off x="3733800" y="7715250"/>
          <a:ext cx="1238250" cy="30480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endParaRPr lang="es-CL" sz="1050" b="1" i="1"/>
        </a:p>
        <a:p>
          <a:pPr algn="ctr"/>
          <a:endParaRPr lang="es-CL" sz="1050" b="1" i="1"/>
        </a:p>
      </xdr:txBody>
    </xdr:sp>
    <xdr:clientData/>
  </xdr:twoCellAnchor>
  <xdr:twoCellAnchor>
    <xdr:from>
      <xdr:col>4</xdr:col>
      <xdr:colOff>247650</xdr:colOff>
      <xdr:row>57</xdr:row>
      <xdr:rowOff>190500</xdr:rowOff>
    </xdr:from>
    <xdr:to>
      <xdr:col>5</xdr:col>
      <xdr:colOff>723900</xdr:colOff>
      <xdr:row>59</xdr:row>
      <xdr:rowOff>95250</xdr:rowOff>
    </xdr:to>
    <xdr:sp macro="" textlink="">
      <xdr:nvSpPr>
        <xdr:cNvPr id="28" name="Rectángulo 27">
          <a:extLst>
            <a:ext uri="{FF2B5EF4-FFF2-40B4-BE49-F238E27FC236}">
              <a16:creationId xmlns:a16="http://schemas.microsoft.com/office/drawing/2014/main" id="{00000000-0008-0000-0200-00001C000000}"/>
            </a:ext>
          </a:extLst>
        </xdr:cNvPr>
        <xdr:cNvSpPr/>
      </xdr:nvSpPr>
      <xdr:spPr>
        <a:xfrm>
          <a:off x="4695825" y="7715250"/>
          <a:ext cx="1238250" cy="30480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endParaRPr lang="es-CL" sz="1050" b="1" i="1"/>
        </a:p>
      </xdr:txBody>
    </xdr:sp>
    <xdr:clientData/>
  </xdr:twoCellAnchor>
  <xdr:twoCellAnchor>
    <xdr:from>
      <xdr:col>5</xdr:col>
      <xdr:colOff>457200</xdr:colOff>
      <xdr:row>57</xdr:row>
      <xdr:rowOff>190500</xdr:rowOff>
    </xdr:from>
    <xdr:to>
      <xdr:col>6</xdr:col>
      <xdr:colOff>0</xdr:colOff>
      <xdr:row>59</xdr:row>
      <xdr:rowOff>95250</xdr:rowOff>
    </xdr:to>
    <xdr:sp macro="" textlink="">
      <xdr:nvSpPr>
        <xdr:cNvPr id="29" name="Rectángulo 28">
          <a:extLst>
            <a:ext uri="{FF2B5EF4-FFF2-40B4-BE49-F238E27FC236}">
              <a16:creationId xmlns:a16="http://schemas.microsoft.com/office/drawing/2014/main" id="{00000000-0008-0000-0200-00001D000000}"/>
            </a:ext>
          </a:extLst>
        </xdr:cNvPr>
        <xdr:cNvSpPr/>
      </xdr:nvSpPr>
      <xdr:spPr>
        <a:xfrm>
          <a:off x="5667375" y="7715250"/>
          <a:ext cx="1238250" cy="30480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endParaRPr lang="es-CL" sz="1050" b="1" i="1"/>
        </a:p>
        <a:p>
          <a:pPr algn="ctr"/>
          <a:endParaRPr lang="es-CL" sz="1050" b="1" i="1"/>
        </a:p>
      </xdr:txBody>
    </xdr:sp>
    <xdr:clientData/>
  </xdr:twoCellAnchor>
  <xdr:twoCellAnchor>
    <xdr:from>
      <xdr:col>0</xdr:col>
      <xdr:colOff>392430</xdr:colOff>
      <xdr:row>35</xdr:row>
      <xdr:rowOff>15239</xdr:rowOff>
    </xdr:from>
    <xdr:to>
      <xdr:col>6</xdr:col>
      <xdr:colOff>68580</xdr:colOff>
      <xdr:row>39</xdr:row>
      <xdr:rowOff>57150</xdr:rowOff>
    </xdr:to>
    <xdr:sp macro="" textlink="">
      <xdr:nvSpPr>
        <xdr:cNvPr id="4" name="Rectángulo 3">
          <a:extLst>
            <a:ext uri="{FF2B5EF4-FFF2-40B4-BE49-F238E27FC236}">
              <a16:creationId xmlns:a16="http://schemas.microsoft.com/office/drawing/2014/main" id="{00000000-0008-0000-0200-000004000000}"/>
            </a:ext>
          </a:extLst>
        </xdr:cNvPr>
        <xdr:cNvSpPr/>
      </xdr:nvSpPr>
      <xdr:spPr>
        <a:xfrm>
          <a:off x="392430" y="6473189"/>
          <a:ext cx="7820025" cy="842011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r>
            <a:rPr lang="es-ES" sz="1050" baseline="0">
              <a:effectLst/>
            </a:rPr>
            <a:t> </a:t>
          </a:r>
          <a:r>
            <a:rPr lang="es-CL" sz="1100" b="1" i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OBSERVACIONES: CLIENTE APORTA LAMINAS</a:t>
          </a:r>
          <a:endParaRPr lang="es-ES" sz="1050">
            <a:effectLst/>
          </a:endParaRPr>
        </a:p>
      </xdr:txBody>
    </xdr:sp>
    <xdr:clientData/>
  </xdr:twoCellAnchor>
  <xdr:twoCellAnchor>
    <xdr:from>
      <xdr:col>0</xdr:col>
      <xdr:colOff>190500</xdr:colOff>
      <xdr:row>27</xdr:row>
      <xdr:rowOff>200025</xdr:rowOff>
    </xdr:from>
    <xdr:to>
      <xdr:col>6</xdr:col>
      <xdr:colOff>19049</xdr:colOff>
      <xdr:row>29</xdr:row>
      <xdr:rowOff>9525</xdr:rowOff>
    </xdr:to>
    <xdr:sp macro="" textlink="">
      <xdr:nvSpPr>
        <xdr:cNvPr id="30" name="Rectángulo 29">
          <a:extLst>
            <a:ext uri="{FF2B5EF4-FFF2-40B4-BE49-F238E27FC236}">
              <a16:creationId xmlns:a16="http://schemas.microsoft.com/office/drawing/2014/main" id="{00000000-0008-0000-0200-00001E000000}"/>
            </a:ext>
          </a:extLst>
        </xdr:cNvPr>
        <xdr:cNvSpPr/>
      </xdr:nvSpPr>
      <xdr:spPr>
        <a:xfrm>
          <a:off x="190500" y="5629275"/>
          <a:ext cx="6810374" cy="228600"/>
        </a:xfrm>
        <a:prstGeom prst="rect">
          <a:avLst/>
        </a:prstGeom>
        <a:solidFill>
          <a:schemeClr val="bg1">
            <a:lumMod val="95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s-CL" sz="1200" b="1" i="1">
              <a:solidFill>
                <a:sysClr val="windowText" lastClr="000000"/>
              </a:solidFill>
            </a:rPr>
            <a:t>MEDIDAS</a:t>
          </a:r>
          <a:r>
            <a:rPr lang="es-CL" sz="1200" b="1" i="1" baseline="0">
              <a:solidFill>
                <a:sysClr val="windowText" lastClr="000000"/>
              </a:solidFill>
            </a:rPr>
            <a:t> ORIGINALES</a:t>
          </a:r>
          <a:endParaRPr lang="es-CL" sz="1200" b="1" i="1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1</xdr:col>
      <xdr:colOff>20955</xdr:colOff>
      <xdr:row>60</xdr:row>
      <xdr:rowOff>32385</xdr:rowOff>
    </xdr:from>
    <xdr:to>
      <xdr:col>6</xdr:col>
      <xdr:colOff>19050</xdr:colOff>
      <xdr:row>64</xdr:row>
      <xdr:rowOff>152400</xdr:rowOff>
    </xdr:to>
    <xdr:sp macro="" textlink="">
      <xdr:nvSpPr>
        <xdr:cNvPr id="32" name="Rectángulo 31">
          <a:extLst>
            <a:ext uri="{FF2B5EF4-FFF2-40B4-BE49-F238E27FC236}">
              <a16:creationId xmlns:a16="http://schemas.microsoft.com/office/drawing/2014/main" id="{00000000-0008-0000-0200-000020000000}"/>
            </a:ext>
          </a:extLst>
        </xdr:cNvPr>
        <xdr:cNvSpPr/>
      </xdr:nvSpPr>
      <xdr:spPr>
        <a:xfrm>
          <a:off x="725805" y="11290935"/>
          <a:ext cx="7437120" cy="91059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r>
            <a:rPr lang="es-CL" sz="1100" b="1" i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OBSERVACIONES: CLIENTE APORTA LAMINAS</a:t>
          </a:r>
          <a:endParaRPr lang="es-CL">
            <a:effectLst/>
          </a:endParaRPr>
        </a:p>
      </xdr:txBody>
    </xdr:sp>
    <xdr:clientData/>
  </xdr:twoCellAnchor>
  <xdr:twoCellAnchor editAs="oneCell">
    <xdr:from>
      <xdr:col>0</xdr:col>
      <xdr:colOff>160020</xdr:colOff>
      <xdr:row>42</xdr:row>
      <xdr:rowOff>41910</xdr:rowOff>
    </xdr:from>
    <xdr:to>
      <xdr:col>1</xdr:col>
      <xdr:colOff>565543</xdr:colOff>
      <xdr:row>48</xdr:row>
      <xdr:rowOff>137160</xdr:rowOff>
    </xdr:to>
    <xdr:pic>
      <xdr:nvPicPr>
        <xdr:cNvPr id="33" name="Imagen 32">
          <a:extLst>
            <a:ext uri="{FF2B5EF4-FFF2-40B4-BE49-F238E27FC236}">
              <a16:creationId xmlns:a16="http://schemas.microsoft.com/office/drawing/2014/main" id="{00000000-0008-0000-0200-000021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60020" y="7219950"/>
          <a:ext cx="1594243" cy="1154430"/>
        </a:xfrm>
        <a:prstGeom prst="rect">
          <a:avLst/>
        </a:prstGeom>
      </xdr:spPr>
    </xdr:pic>
    <xdr:clientData/>
  </xdr:twoCellAnchor>
  <xdr:twoCellAnchor editAs="oneCell">
    <xdr:from>
      <xdr:col>0</xdr:col>
      <xdr:colOff>129540</xdr:colOff>
      <xdr:row>1</xdr:row>
      <xdr:rowOff>114300</xdr:rowOff>
    </xdr:from>
    <xdr:to>
      <xdr:col>1</xdr:col>
      <xdr:colOff>544588</xdr:colOff>
      <xdr:row>7</xdr:row>
      <xdr:rowOff>194310</xdr:rowOff>
    </xdr:to>
    <xdr:pic>
      <xdr:nvPicPr>
        <xdr:cNvPr id="34" name="Imagen 33">
          <a:extLst>
            <a:ext uri="{FF2B5EF4-FFF2-40B4-BE49-F238E27FC236}">
              <a16:creationId xmlns:a16="http://schemas.microsoft.com/office/drawing/2014/main" id="{00000000-0008-0000-0200-00002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29540" y="297180"/>
          <a:ext cx="1586623" cy="1148715"/>
        </a:xfrm>
        <a:prstGeom prst="rect">
          <a:avLst/>
        </a:prstGeom>
      </xdr:spPr>
    </xdr:pic>
    <xdr:clientData/>
  </xdr:twoCellAnchor>
  <xdr:twoCellAnchor>
    <xdr:from>
      <xdr:col>1</xdr:col>
      <xdr:colOff>923925</xdr:colOff>
      <xdr:row>7</xdr:row>
      <xdr:rowOff>28575</xdr:rowOff>
    </xdr:from>
    <xdr:to>
      <xdr:col>6</xdr:col>
      <xdr:colOff>0</xdr:colOff>
      <xdr:row>8</xdr:row>
      <xdr:rowOff>38100</xdr:rowOff>
    </xdr:to>
    <xdr:sp macro="" textlink="">
      <xdr:nvSpPr>
        <xdr:cNvPr id="31" name="Rectángulo 30">
          <a:extLst>
            <a:ext uri="{FF2B5EF4-FFF2-40B4-BE49-F238E27FC236}">
              <a16:creationId xmlns:a16="http://schemas.microsoft.com/office/drawing/2014/main" id="{00000000-0008-0000-0200-00001F000000}"/>
            </a:ext>
          </a:extLst>
        </xdr:cNvPr>
        <xdr:cNvSpPr/>
      </xdr:nvSpPr>
      <xdr:spPr>
        <a:xfrm>
          <a:off x="1819275" y="1304925"/>
          <a:ext cx="5248275" cy="200025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www.topmobilichile.cl/" TargetMode="Externa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Q34"/>
  <sheetViews>
    <sheetView topLeftCell="A4" workbookViewId="0">
      <selection activeCell="G23" sqref="G23"/>
    </sheetView>
  </sheetViews>
  <sheetFormatPr baseColWidth="10" defaultRowHeight="14.4" x14ac:dyDescent="0.3"/>
  <cols>
    <col min="1" max="1" width="2.88671875" customWidth="1"/>
    <col min="2" max="2" width="11.33203125" customWidth="1"/>
    <col min="3" max="3" width="27.5546875" customWidth="1"/>
    <col min="4" max="5" width="9.109375" customWidth="1"/>
    <col min="6" max="6" width="27.44140625" customWidth="1"/>
    <col min="7" max="8" width="13" customWidth="1"/>
  </cols>
  <sheetData>
    <row r="1" spans="1:17" ht="15.6" x14ac:dyDescent="0.3">
      <c r="A1" s="1"/>
      <c r="B1" s="1"/>
      <c r="C1" s="1"/>
      <c r="D1" s="1"/>
      <c r="E1" s="1"/>
      <c r="F1" s="1"/>
      <c r="G1" s="1"/>
      <c r="H1" s="1"/>
      <c r="I1" s="1"/>
    </row>
    <row r="2" spans="1:17" ht="15.6" x14ac:dyDescent="0.3">
      <c r="A2" s="1"/>
      <c r="B2" s="1"/>
      <c r="C2" s="1"/>
      <c r="D2" s="1"/>
      <c r="E2" s="1"/>
      <c r="F2" s="7" t="s">
        <v>119</v>
      </c>
      <c r="G2" s="1"/>
      <c r="H2" s="1"/>
      <c r="I2" s="1"/>
    </row>
    <row r="3" spans="1:17" ht="15.6" x14ac:dyDescent="0.3">
      <c r="A3" s="1"/>
      <c r="B3" s="1"/>
      <c r="C3" s="1"/>
      <c r="D3" s="1"/>
      <c r="E3" s="1"/>
      <c r="F3" s="1" t="s">
        <v>120</v>
      </c>
      <c r="G3" s="1"/>
      <c r="H3" s="1"/>
      <c r="I3" s="1"/>
    </row>
    <row r="4" spans="1:17" ht="15.6" x14ac:dyDescent="0.3">
      <c r="A4" s="1"/>
      <c r="B4" s="1"/>
      <c r="C4" s="1"/>
      <c r="D4" s="1"/>
      <c r="E4" s="1"/>
      <c r="F4" s="1" t="s">
        <v>121</v>
      </c>
      <c r="G4" s="1"/>
      <c r="H4" s="1"/>
      <c r="I4" s="1"/>
    </row>
    <row r="5" spans="1:17" ht="15.6" x14ac:dyDescent="0.3">
      <c r="A5" s="1"/>
      <c r="B5" s="1"/>
      <c r="C5" s="1"/>
      <c r="D5" s="1"/>
      <c r="E5" s="1"/>
      <c r="F5" s="1" t="s">
        <v>0</v>
      </c>
      <c r="G5" s="1"/>
      <c r="H5" s="1"/>
      <c r="I5" s="1"/>
    </row>
    <row r="6" spans="1:17" ht="15.6" x14ac:dyDescent="0.3">
      <c r="A6" s="1"/>
      <c r="B6" s="1"/>
      <c r="C6" s="1"/>
      <c r="D6" s="1"/>
      <c r="E6" s="1"/>
      <c r="F6" s="1" t="s">
        <v>15</v>
      </c>
      <c r="G6" s="1"/>
      <c r="H6" s="1"/>
      <c r="I6" s="1"/>
    </row>
    <row r="7" spans="1:17" ht="16.2" thickBot="1" x14ac:dyDescent="0.35">
      <c r="A7" s="1"/>
      <c r="B7" s="1"/>
      <c r="C7" s="1"/>
      <c r="D7" s="1"/>
      <c r="E7" s="1"/>
      <c r="F7" s="1" t="s">
        <v>13</v>
      </c>
      <c r="G7" s="1"/>
      <c r="H7" s="1"/>
      <c r="I7" s="1"/>
    </row>
    <row r="8" spans="1:17" ht="16.2" thickBot="1" x14ac:dyDescent="0.35">
      <c r="A8" s="1"/>
      <c r="B8" s="90" t="s">
        <v>16</v>
      </c>
      <c r="C8" s="91"/>
      <c r="D8" s="92" t="s">
        <v>144</v>
      </c>
      <c r="E8" s="1"/>
      <c r="F8" s="93" t="s">
        <v>27</v>
      </c>
      <c r="G8" s="94">
        <v>7475</v>
      </c>
      <c r="H8" s="1"/>
      <c r="I8" s="1"/>
    </row>
    <row r="9" spans="1:17" ht="16.2" thickBot="1" x14ac:dyDescent="0.35">
      <c r="A9" s="1"/>
      <c r="B9" s="1"/>
      <c r="C9" s="1"/>
      <c r="D9" s="1"/>
      <c r="E9" s="1"/>
      <c r="F9" s="1"/>
      <c r="G9" s="1"/>
      <c r="H9" s="1"/>
      <c r="I9" s="1"/>
    </row>
    <row r="10" spans="1:17" ht="16.2" thickBot="1" x14ac:dyDescent="0.35">
      <c r="A10" s="1"/>
      <c r="B10" s="54" t="s">
        <v>129</v>
      </c>
      <c r="C10" s="86" t="s">
        <v>133</v>
      </c>
      <c r="D10" s="55"/>
      <c r="E10" s="55"/>
      <c r="F10" s="56" t="s">
        <v>28</v>
      </c>
      <c r="G10" s="57">
        <v>46170</v>
      </c>
      <c r="H10" s="58"/>
      <c r="I10" s="1"/>
      <c r="J10" s="1"/>
      <c r="K10" s="1"/>
      <c r="L10" s="1"/>
      <c r="M10" s="1"/>
      <c r="N10" s="1"/>
      <c r="O10" s="1"/>
      <c r="P10" s="1"/>
      <c r="Q10" s="1"/>
    </row>
    <row r="11" spans="1:17" ht="16.2" thickBot="1" x14ac:dyDescent="0.35">
      <c r="A11" s="1"/>
      <c r="B11" s="59" t="s">
        <v>2</v>
      </c>
      <c r="C11" s="1" t="s">
        <v>134</v>
      </c>
      <c r="D11" s="60"/>
      <c r="E11" s="60"/>
      <c r="F11" s="60" t="s">
        <v>124</v>
      </c>
      <c r="G11" s="61"/>
      <c r="H11" s="62"/>
      <c r="I11" s="1"/>
    </row>
    <row r="12" spans="1:17" ht="16.2" thickBot="1" x14ac:dyDescent="0.35">
      <c r="A12" s="1"/>
      <c r="B12" s="63" t="s">
        <v>130</v>
      </c>
      <c r="C12" t="s">
        <v>135</v>
      </c>
      <c r="D12" s="43"/>
      <c r="E12" s="43"/>
      <c r="F12" s="43" t="s">
        <v>30</v>
      </c>
      <c r="G12" s="64">
        <v>24288</v>
      </c>
      <c r="H12" s="65"/>
      <c r="I12" s="1"/>
    </row>
    <row r="13" spans="1:17" ht="15.6" x14ac:dyDescent="0.3">
      <c r="A13" s="1"/>
      <c r="B13" s="63" t="s">
        <v>132</v>
      </c>
      <c r="C13" s="86" t="s">
        <v>137</v>
      </c>
      <c r="D13" s="43"/>
      <c r="E13" s="43"/>
      <c r="F13" s="43" t="s">
        <v>128</v>
      </c>
      <c r="G13" s="64"/>
      <c r="H13" s="65"/>
      <c r="I13" s="1"/>
    </row>
    <row r="14" spans="1:17" ht="15.6" x14ac:dyDescent="0.3">
      <c r="A14" s="1"/>
      <c r="B14" s="59" t="s">
        <v>17</v>
      </c>
      <c r="C14" s="101">
        <v>56998844786</v>
      </c>
      <c r="D14" s="66"/>
      <c r="E14" s="60"/>
      <c r="F14" s="60" t="s">
        <v>29</v>
      </c>
      <c r="G14" s="60" t="s">
        <v>139</v>
      </c>
      <c r="H14" s="62"/>
      <c r="I14" s="1"/>
    </row>
    <row r="15" spans="1:17" ht="15.6" x14ac:dyDescent="0.3">
      <c r="A15" s="1"/>
      <c r="B15" s="63" t="s">
        <v>1</v>
      </c>
      <c r="C15" s="97" t="s">
        <v>136</v>
      </c>
      <c r="D15" s="43"/>
      <c r="E15" s="43"/>
      <c r="F15" s="67" t="s">
        <v>75</v>
      </c>
      <c r="G15" s="67" t="s">
        <v>138</v>
      </c>
      <c r="H15" s="65"/>
      <c r="I15" s="1"/>
    </row>
    <row r="16" spans="1:17" ht="16.2" thickBot="1" x14ac:dyDescent="0.35">
      <c r="A16" s="1"/>
      <c r="B16" s="68" t="s">
        <v>3</v>
      </c>
      <c r="C16" s="69" t="s">
        <v>131</v>
      </c>
      <c r="D16" s="69"/>
      <c r="E16" s="70"/>
      <c r="F16" s="116" t="s">
        <v>18</v>
      </c>
      <c r="G16" s="116"/>
      <c r="H16" s="117"/>
      <c r="I16" s="1"/>
    </row>
    <row r="17" spans="1:16" ht="15.6" x14ac:dyDescent="0.3">
      <c r="A17" s="1"/>
      <c r="B17" s="1"/>
      <c r="C17" s="1"/>
      <c r="D17" s="1"/>
      <c r="E17" s="1"/>
      <c r="F17" s="1"/>
      <c r="G17" s="1"/>
      <c r="H17" s="1"/>
      <c r="I17" s="1"/>
    </row>
    <row r="18" spans="1:16" ht="16.2" thickBot="1" x14ac:dyDescent="0.35">
      <c r="A18" s="1"/>
      <c r="B18" s="1"/>
      <c r="C18" s="1"/>
      <c r="D18" s="1"/>
      <c r="E18" s="1"/>
      <c r="F18" s="1"/>
      <c r="G18" s="1"/>
      <c r="H18" s="1"/>
      <c r="I18" s="1"/>
    </row>
    <row r="19" spans="1:16" ht="16.2" thickBot="1" x14ac:dyDescent="0.35">
      <c r="A19" s="1"/>
      <c r="B19" s="118" t="s">
        <v>19</v>
      </c>
      <c r="C19" s="119"/>
      <c r="D19" s="119"/>
      <c r="E19" s="119"/>
      <c r="F19" s="119"/>
      <c r="G19" s="119"/>
      <c r="H19" s="120"/>
      <c r="I19" s="1"/>
    </row>
    <row r="20" spans="1:16" ht="15.6" x14ac:dyDescent="0.3">
      <c r="A20" s="1"/>
      <c r="B20" s="71" t="s">
        <v>20</v>
      </c>
      <c r="C20" s="72" t="s">
        <v>21</v>
      </c>
      <c r="D20" s="72" t="s">
        <v>22</v>
      </c>
      <c r="E20" s="72" t="s">
        <v>8</v>
      </c>
      <c r="F20" s="73" t="s">
        <v>23</v>
      </c>
      <c r="G20" s="71" t="s">
        <v>24</v>
      </c>
      <c r="H20" s="73" t="s">
        <v>4</v>
      </c>
      <c r="I20" s="1"/>
    </row>
    <row r="21" spans="1:16" ht="18" customHeight="1" x14ac:dyDescent="0.3">
      <c r="A21" s="1"/>
      <c r="B21" s="102">
        <v>31</v>
      </c>
      <c r="C21" s="102" t="s">
        <v>140</v>
      </c>
      <c r="D21" s="104">
        <v>2600</v>
      </c>
      <c r="E21" s="104">
        <v>342</v>
      </c>
      <c r="F21" s="102" t="s">
        <v>141</v>
      </c>
      <c r="G21" s="103">
        <v>36588</v>
      </c>
      <c r="H21" s="103">
        <f t="shared" ref="H21:H22" si="0">G21*B21</f>
        <v>1134228</v>
      </c>
      <c r="I21" s="1"/>
      <c r="K21" s="17"/>
      <c r="L21" s="26"/>
      <c r="M21" s="17"/>
      <c r="N21" s="17"/>
      <c r="O21" s="26"/>
      <c r="P21" s="33"/>
    </row>
    <row r="22" spans="1:16" ht="18" customHeight="1" x14ac:dyDescent="0.3">
      <c r="A22" s="1"/>
      <c r="B22" s="102">
        <v>1</v>
      </c>
      <c r="C22" s="102" t="s">
        <v>140</v>
      </c>
      <c r="D22" s="104">
        <v>1300</v>
      </c>
      <c r="E22" s="104">
        <v>342</v>
      </c>
      <c r="F22" s="102" t="s">
        <v>141</v>
      </c>
      <c r="G22" s="103">
        <v>29588</v>
      </c>
      <c r="H22" s="103">
        <f t="shared" si="0"/>
        <v>29588</v>
      </c>
      <c r="I22" s="1"/>
      <c r="K22" s="17"/>
      <c r="L22" s="26"/>
      <c r="M22" s="17"/>
      <c r="N22" s="17"/>
      <c r="O22" s="26"/>
      <c r="P22" s="33"/>
    </row>
    <row r="23" spans="1:16" ht="18" customHeight="1" x14ac:dyDescent="0.3">
      <c r="A23" s="1"/>
      <c r="B23" s="108"/>
      <c r="C23" s="108"/>
      <c r="D23" s="109"/>
      <c r="E23" s="109"/>
      <c r="F23" s="108"/>
      <c r="G23" s="75"/>
      <c r="H23" s="75"/>
      <c r="I23" s="1"/>
      <c r="K23" s="17"/>
      <c r="L23" s="26"/>
      <c r="M23" s="17"/>
      <c r="N23" s="17"/>
      <c r="O23" s="26"/>
      <c r="P23" s="33"/>
    </row>
    <row r="24" spans="1:16" ht="8.25" customHeight="1" thickBot="1" x14ac:dyDescent="0.35">
      <c r="A24" s="1"/>
      <c r="B24" s="74"/>
      <c r="C24" s="74"/>
      <c r="D24" s="74"/>
      <c r="E24" s="74"/>
      <c r="F24" s="74"/>
      <c r="G24" s="75"/>
      <c r="H24" s="75"/>
      <c r="I24" s="1"/>
    </row>
    <row r="25" spans="1:16" ht="15.6" x14ac:dyDescent="0.3">
      <c r="A25" s="1"/>
      <c r="B25" s="1"/>
      <c r="C25" s="1"/>
      <c r="D25" s="1"/>
      <c r="E25" s="1"/>
      <c r="F25" s="1"/>
      <c r="G25" s="76" t="s">
        <v>5</v>
      </c>
      <c r="H25" s="77">
        <f>SUM(H21:H24)</f>
        <v>1163816</v>
      </c>
      <c r="I25" s="1"/>
    </row>
    <row r="26" spans="1:16" ht="15.6" x14ac:dyDescent="0.3">
      <c r="A26" s="1"/>
      <c r="B26" s="1"/>
      <c r="C26" s="1"/>
      <c r="D26" s="1"/>
      <c r="E26" s="1"/>
      <c r="F26" s="1"/>
      <c r="G26" s="78" t="s">
        <v>6</v>
      </c>
      <c r="H26" s="79">
        <f>H25*19%</f>
        <v>221125.04</v>
      </c>
      <c r="I26" s="1"/>
    </row>
    <row r="27" spans="1:16" ht="16.2" thickBot="1" x14ac:dyDescent="0.35">
      <c r="A27" s="1"/>
      <c r="B27" s="1"/>
      <c r="C27" s="1"/>
      <c r="D27" s="1"/>
      <c r="E27" s="1"/>
      <c r="F27" s="1"/>
      <c r="G27" s="80" t="s">
        <v>4</v>
      </c>
      <c r="H27" s="81">
        <f>H25+H26</f>
        <v>1384941.04</v>
      </c>
      <c r="I27" s="1"/>
    </row>
    <row r="28" spans="1:16" ht="15.6" x14ac:dyDescent="0.3">
      <c r="A28" s="1"/>
      <c r="B28" s="1"/>
      <c r="C28" s="1"/>
      <c r="D28" s="1"/>
      <c r="E28" s="1"/>
      <c r="F28" s="1"/>
      <c r="G28" s="52"/>
      <c r="H28" s="96"/>
      <c r="I28" s="1"/>
    </row>
    <row r="29" spans="1:16" ht="15.6" x14ac:dyDescent="0.3">
      <c r="A29" s="1"/>
      <c r="B29" s="1"/>
      <c r="C29" s="1"/>
      <c r="D29" s="1"/>
      <c r="E29" s="1"/>
      <c r="F29" s="1"/>
      <c r="G29" s="1"/>
      <c r="H29" s="1"/>
      <c r="I29" s="1"/>
    </row>
    <row r="30" spans="1:16" ht="15.6" x14ac:dyDescent="0.3">
      <c r="A30" s="1"/>
      <c r="B30" s="82" t="s">
        <v>123</v>
      </c>
      <c r="C30" s="83"/>
      <c r="D30" s="84"/>
      <c r="E30" s="84"/>
      <c r="F30" s="74"/>
      <c r="G30" s="1"/>
      <c r="H30" s="1"/>
      <c r="I30" s="1"/>
    </row>
    <row r="31" spans="1:16" ht="15.6" x14ac:dyDescent="0.3">
      <c r="A31" s="1"/>
      <c r="B31" s="82" t="s">
        <v>122</v>
      </c>
      <c r="C31" s="83"/>
      <c r="D31" s="84"/>
      <c r="E31" s="84"/>
      <c r="F31" s="74"/>
      <c r="G31" s="1"/>
      <c r="H31" s="1"/>
      <c r="I31" s="1"/>
    </row>
    <row r="32" spans="1:16" ht="15.6" x14ac:dyDescent="0.3">
      <c r="A32" s="1"/>
      <c r="B32" s="1" t="s">
        <v>25</v>
      </c>
      <c r="C32" s="1"/>
      <c r="D32" s="1"/>
      <c r="E32" s="85" t="s">
        <v>26</v>
      </c>
      <c r="F32" s="1"/>
      <c r="G32" s="1"/>
      <c r="H32" s="1"/>
      <c r="I32" s="1"/>
    </row>
    <row r="33" spans="1:9" ht="15.6" x14ac:dyDescent="0.3">
      <c r="A33" s="1"/>
      <c r="B33" s="1"/>
      <c r="C33" s="1"/>
      <c r="D33" s="1"/>
      <c r="E33" s="1"/>
      <c r="F33" s="1"/>
      <c r="G33" s="1"/>
      <c r="H33" s="1"/>
      <c r="I33" s="1"/>
    </row>
    <row r="34" spans="1:9" ht="15.6" x14ac:dyDescent="0.3">
      <c r="A34" s="1"/>
      <c r="B34" s="1"/>
      <c r="C34" s="1"/>
      <c r="D34" s="1"/>
      <c r="E34" s="1"/>
      <c r="F34" s="1"/>
      <c r="G34" s="1"/>
      <c r="H34" s="1"/>
      <c r="I34" s="1"/>
    </row>
  </sheetData>
  <sortState xmlns:xlrd2="http://schemas.microsoft.com/office/spreadsheetml/2017/richdata2" ref="B36">
    <sortCondition sortBy="fontColor" ref="B36" dxfId="0"/>
  </sortState>
  <mergeCells count="2">
    <mergeCell ref="F16:H16"/>
    <mergeCell ref="B19:H19"/>
  </mergeCells>
  <phoneticPr fontId="10" type="noConversion"/>
  <hyperlinks>
    <hyperlink ref="E32" r:id="rId1" xr:uid="{00000000-0004-0000-0000-000000000000}"/>
  </hyperlinks>
  <pageMargins left="0.70866141732283472" right="0.70866141732283472" top="0.74803149606299213" bottom="0.74803149606299213" header="0.31496062992125984" footer="0.31496062992125984"/>
  <pageSetup paperSize="9" scale="78" orientation="portrait" horizontalDpi="300" verticalDpi="300" r:id="rId2"/>
  <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2:R48"/>
  <sheetViews>
    <sheetView workbookViewId="0">
      <selection activeCell="D14" sqref="D14"/>
    </sheetView>
  </sheetViews>
  <sheetFormatPr baseColWidth="10" defaultRowHeight="14.4" x14ac:dyDescent="0.3"/>
  <cols>
    <col min="4" max="4" width="33.88671875" bestFit="1" customWidth="1"/>
    <col min="5" max="5" width="6.109375" customWidth="1"/>
    <col min="9" max="9" width="33.88671875" bestFit="1" customWidth="1"/>
  </cols>
  <sheetData>
    <row r="2" spans="2:18" x14ac:dyDescent="0.3">
      <c r="B2" s="121" t="s">
        <v>31</v>
      </c>
      <c r="C2" s="121"/>
      <c r="D2" s="121"/>
      <c r="E2" s="18"/>
      <c r="G2" s="121" t="s">
        <v>70</v>
      </c>
      <c r="H2" s="121"/>
      <c r="I2" s="121"/>
      <c r="P2" s="122" t="s">
        <v>58</v>
      </c>
      <c r="Q2" s="122"/>
      <c r="R2" s="122"/>
    </row>
    <row r="3" spans="2:18" x14ac:dyDescent="0.3">
      <c r="B3" s="11" t="s">
        <v>7</v>
      </c>
      <c r="C3" s="11" t="s">
        <v>8</v>
      </c>
      <c r="D3" s="11" t="s">
        <v>21</v>
      </c>
      <c r="E3" s="19"/>
      <c r="G3" s="11" t="s">
        <v>7</v>
      </c>
      <c r="H3" s="11" t="s">
        <v>8</v>
      </c>
      <c r="I3" s="11" t="s">
        <v>21</v>
      </c>
      <c r="P3" s="11" t="s">
        <v>7</v>
      </c>
      <c r="Q3" s="11" t="s">
        <v>8</v>
      </c>
      <c r="R3" s="11" t="s">
        <v>21</v>
      </c>
    </row>
    <row r="4" spans="2:18" x14ac:dyDescent="0.3">
      <c r="B4" s="9">
        <v>40</v>
      </c>
      <c r="C4" s="9">
        <v>60</v>
      </c>
      <c r="D4" s="10" t="s">
        <v>113</v>
      </c>
      <c r="E4" s="8" t="s">
        <v>101</v>
      </c>
      <c r="G4" s="29">
        <v>50</v>
      </c>
      <c r="H4" s="29">
        <v>100</v>
      </c>
      <c r="I4" s="30" t="s">
        <v>113</v>
      </c>
      <c r="J4" s="31" t="s">
        <v>109</v>
      </c>
      <c r="K4" s="31"/>
      <c r="L4" s="31"/>
      <c r="M4" s="31"/>
      <c r="P4">
        <v>50</v>
      </c>
      <c r="Q4">
        <v>-30</v>
      </c>
      <c r="R4" t="s">
        <v>32</v>
      </c>
    </row>
    <row r="5" spans="2:18" x14ac:dyDescent="0.3">
      <c r="B5" s="9">
        <v>40</v>
      </c>
      <c r="C5" s="9">
        <v>90</v>
      </c>
      <c r="D5" s="10" t="s">
        <v>114</v>
      </c>
      <c r="E5" s="8" t="s">
        <v>102</v>
      </c>
      <c r="G5" s="29">
        <v>50</v>
      </c>
      <c r="H5" s="29"/>
      <c r="I5" s="30" t="s">
        <v>115</v>
      </c>
      <c r="J5" s="31" t="s">
        <v>117</v>
      </c>
      <c r="K5" s="31"/>
      <c r="L5" s="31"/>
      <c r="M5" s="31"/>
      <c r="P5">
        <v>50</v>
      </c>
      <c r="Q5">
        <v>-30</v>
      </c>
      <c r="R5" t="s">
        <v>32</v>
      </c>
    </row>
    <row r="6" spans="2:18" x14ac:dyDescent="0.3">
      <c r="B6" s="9">
        <v>40</v>
      </c>
      <c r="C6" s="9">
        <v>100</v>
      </c>
      <c r="D6" s="10" t="s">
        <v>56</v>
      </c>
      <c r="E6" s="8" t="s">
        <v>103</v>
      </c>
      <c r="G6" s="9">
        <v>50</v>
      </c>
      <c r="H6" s="9">
        <v>100</v>
      </c>
      <c r="I6" s="10" t="s">
        <v>56</v>
      </c>
      <c r="P6">
        <v>50</v>
      </c>
      <c r="Q6">
        <v>-30</v>
      </c>
      <c r="R6" t="s">
        <v>34</v>
      </c>
    </row>
    <row r="7" spans="2:18" x14ac:dyDescent="0.3">
      <c r="B7" s="9">
        <v>40</v>
      </c>
      <c r="C7" s="9">
        <v>150</v>
      </c>
      <c r="D7" s="10" t="s">
        <v>57</v>
      </c>
      <c r="E7" s="8" t="s">
        <v>104</v>
      </c>
      <c r="G7" s="9">
        <v>50</v>
      </c>
      <c r="H7" s="9"/>
      <c r="I7" s="10" t="s">
        <v>57</v>
      </c>
      <c r="P7">
        <v>50</v>
      </c>
      <c r="Q7">
        <v>-30</v>
      </c>
      <c r="R7" t="s">
        <v>44</v>
      </c>
    </row>
    <row r="8" spans="2:18" x14ac:dyDescent="0.3">
      <c r="B8" s="9">
        <v>40</v>
      </c>
      <c r="C8" s="9">
        <v>100</v>
      </c>
      <c r="D8" s="10" t="s">
        <v>40</v>
      </c>
      <c r="E8" s="8" t="s">
        <v>105</v>
      </c>
      <c r="G8" s="9">
        <v>50</v>
      </c>
      <c r="H8" s="9">
        <v>100</v>
      </c>
      <c r="I8" s="10" t="s">
        <v>40</v>
      </c>
      <c r="L8" s="122" t="s">
        <v>58</v>
      </c>
      <c r="M8" s="122"/>
      <c r="N8" s="122"/>
      <c r="P8">
        <v>50</v>
      </c>
      <c r="Q8">
        <v>-30</v>
      </c>
      <c r="R8" t="s">
        <v>50</v>
      </c>
    </row>
    <row r="9" spans="2:18" x14ac:dyDescent="0.3">
      <c r="B9" s="9">
        <v>40</v>
      </c>
      <c r="C9" s="9">
        <v>50</v>
      </c>
      <c r="D9" s="10" t="s">
        <v>54</v>
      </c>
      <c r="E9" s="8" t="s">
        <v>76</v>
      </c>
      <c r="G9" s="9">
        <v>50</v>
      </c>
      <c r="H9" s="9">
        <v>100</v>
      </c>
      <c r="I9" s="10" t="s">
        <v>39</v>
      </c>
      <c r="L9" s="11" t="s">
        <v>7</v>
      </c>
      <c r="M9" s="11" t="s">
        <v>8</v>
      </c>
      <c r="N9" s="11" t="s">
        <v>21</v>
      </c>
      <c r="P9">
        <v>50</v>
      </c>
      <c r="Q9">
        <v>0</v>
      </c>
      <c r="R9" t="s">
        <v>45</v>
      </c>
    </row>
    <row r="10" spans="2:18" x14ac:dyDescent="0.3">
      <c r="B10" s="9">
        <v>40</v>
      </c>
      <c r="C10" s="9">
        <v>80</v>
      </c>
      <c r="D10" s="10" t="s">
        <v>55</v>
      </c>
      <c r="E10" s="8" t="s">
        <v>77</v>
      </c>
      <c r="G10" s="9">
        <v>50</v>
      </c>
      <c r="H10" s="9"/>
      <c r="I10" s="10" t="s">
        <v>41</v>
      </c>
      <c r="L10" s="9">
        <v>50</v>
      </c>
      <c r="M10" s="9">
        <v>-30</v>
      </c>
      <c r="N10" s="10" t="s">
        <v>32</v>
      </c>
      <c r="P10">
        <v>50</v>
      </c>
      <c r="Q10">
        <v>0</v>
      </c>
      <c r="R10" t="s">
        <v>33</v>
      </c>
    </row>
    <row r="11" spans="2:18" x14ac:dyDescent="0.3">
      <c r="B11" s="9">
        <v>40</v>
      </c>
      <c r="C11" s="9">
        <v>60</v>
      </c>
      <c r="D11" s="10" t="s">
        <v>71</v>
      </c>
      <c r="E11" s="8" t="s">
        <v>78</v>
      </c>
      <c r="G11" s="9">
        <v>50</v>
      </c>
      <c r="H11" s="9">
        <v>100</v>
      </c>
      <c r="I11" s="10" t="s">
        <v>54</v>
      </c>
      <c r="L11" s="9">
        <v>50</v>
      </c>
      <c r="M11" s="9">
        <v>0</v>
      </c>
      <c r="N11" s="10" t="s">
        <v>59</v>
      </c>
      <c r="P11">
        <v>50</v>
      </c>
      <c r="Q11">
        <v>0</v>
      </c>
      <c r="R11" t="s">
        <v>36</v>
      </c>
    </row>
    <row r="12" spans="2:18" x14ac:dyDescent="0.3">
      <c r="B12" s="9">
        <v>40</v>
      </c>
      <c r="C12" s="9">
        <v>100</v>
      </c>
      <c r="D12" s="10" t="s">
        <v>72</v>
      </c>
      <c r="E12" s="8" t="s">
        <v>79</v>
      </c>
      <c r="G12" s="9">
        <v>50</v>
      </c>
      <c r="H12" s="9"/>
      <c r="I12" s="10" t="s">
        <v>55</v>
      </c>
      <c r="L12" s="9">
        <v>50</v>
      </c>
      <c r="M12" s="9">
        <v>-2</v>
      </c>
      <c r="N12" s="10" t="s">
        <v>60</v>
      </c>
      <c r="P12">
        <v>50</v>
      </c>
      <c r="Q12">
        <v>0</v>
      </c>
      <c r="R12" t="s">
        <v>37</v>
      </c>
    </row>
    <row r="13" spans="2:18" x14ac:dyDescent="0.3">
      <c r="B13" s="9">
        <v>40</v>
      </c>
      <c r="C13" s="9">
        <v>130</v>
      </c>
      <c r="D13" s="10" t="s">
        <v>127</v>
      </c>
      <c r="E13" s="8" t="s">
        <v>80</v>
      </c>
      <c r="G13" s="9">
        <v>50</v>
      </c>
      <c r="H13" s="9">
        <v>-30</v>
      </c>
      <c r="I13" s="10" t="s">
        <v>32</v>
      </c>
      <c r="P13">
        <v>50</v>
      </c>
      <c r="Q13">
        <v>0</v>
      </c>
      <c r="R13" t="s">
        <v>38</v>
      </c>
    </row>
    <row r="14" spans="2:18" x14ac:dyDescent="0.3">
      <c r="B14" s="9">
        <v>40</v>
      </c>
      <c r="C14" s="9">
        <v>150</v>
      </c>
      <c r="D14" s="10" t="s">
        <v>34</v>
      </c>
      <c r="E14" s="8"/>
      <c r="G14" s="9">
        <v>50</v>
      </c>
      <c r="H14" s="9">
        <v>-30</v>
      </c>
      <c r="I14" s="10" t="s">
        <v>34</v>
      </c>
    </row>
    <row r="15" spans="2:18" x14ac:dyDescent="0.3">
      <c r="B15" s="9">
        <v>40</v>
      </c>
      <c r="C15" s="9">
        <v>150</v>
      </c>
      <c r="D15" s="10" t="s">
        <v>116</v>
      </c>
      <c r="E15" s="8" t="s">
        <v>81</v>
      </c>
      <c r="G15" s="9">
        <v>50</v>
      </c>
      <c r="H15" s="9">
        <v>-30</v>
      </c>
      <c r="I15" s="10" t="s">
        <v>44</v>
      </c>
      <c r="P15">
        <v>50</v>
      </c>
      <c r="Q15">
        <v>0</v>
      </c>
      <c r="R15" t="s">
        <v>35</v>
      </c>
    </row>
    <row r="16" spans="2:18" x14ac:dyDescent="0.3">
      <c r="B16" s="9">
        <v>40</v>
      </c>
      <c r="C16" s="9">
        <v>130</v>
      </c>
      <c r="D16" s="10" t="s">
        <v>106</v>
      </c>
      <c r="E16" s="8" t="s">
        <v>82</v>
      </c>
      <c r="G16" s="9">
        <v>50</v>
      </c>
      <c r="H16" s="9">
        <v>-30</v>
      </c>
      <c r="I16" s="10" t="s">
        <v>74</v>
      </c>
      <c r="P16">
        <v>50</v>
      </c>
      <c r="Q16">
        <v>0</v>
      </c>
      <c r="R16" t="s">
        <v>46</v>
      </c>
    </row>
    <row r="17" spans="2:18" x14ac:dyDescent="0.3">
      <c r="B17" s="9">
        <v>40</v>
      </c>
      <c r="C17" s="9">
        <v>150</v>
      </c>
      <c r="D17" s="10" t="s">
        <v>36</v>
      </c>
      <c r="E17" s="8" t="s">
        <v>83</v>
      </c>
      <c r="G17" s="9">
        <v>50</v>
      </c>
      <c r="H17" s="9"/>
      <c r="I17" s="10" t="s">
        <v>36</v>
      </c>
      <c r="P17">
        <v>50</v>
      </c>
      <c r="Q17">
        <v>0</v>
      </c>
      <c r="R17" t="s">
        <v>47</v>
      </c>
    </row>
    <row r="18" spans="2:18" x14ac:dyDescent="0.3">
      <c r="B18" s="9">
        <v>140</v>
      </c>
      <c r="C18" s="9">
        <v>150</v>
      </c>
      <c r="D18" s="10" t="s">
        <v>37</v>
      </c>
      <c r="E18" s="8" t="s">
        <v>84</v>
      </c>
      <c r="G18" s="9">
        <v>50</v>
      </c>
      <c r="H18" s="9"/>
      <c r="I18" s="10" t="s">
        <v>37</v>
      </c>
      <c r="P18">
        <v>50</v>
      </c>
      <c r="Q18">
        <v>0</v>
      </c>
      <c r="R18" t="s">
        <v>48</v>
      </c>
    </row>
    <row r="19" spans="2:18" x14ac:dyDescent="0.3">
      <c r="B19" s="9">
        <v>150</v>
      </c>
      <c r="C19" s="9">
        <v>150</v>
      </c>
      <c r="D19" s="10" t="s">
        <v>38</v>
      </c>
      <c r="E19" s="8" t="s">
        <v>85</v>
      </c>
      <c r="G19" s="9">
        <v>50</v>
      </c>
      <c r="H19" s="9"/>
      <c r="I19" s="10" t="s">
        <v>38</v>
      </c>
      <c r="P19">
        <v>50</v>
      </c>
      <c r="Q19">
        <v>0</v>
      </c>
      <c r="R19" t="s">
        <v>51</v>
      </c>
    </row>
    <row r="20" spans="2:18" x14ac:dyDescent="0.3">
      <c r="B20" s="9">
        <v>40</v>
      </c>
      <c r="C20" s="9">
        <v>100</v>
      </c>
      <c r="D20" s="10" t="s">
        <v>118</v>
      </c>
      <c r="E20" s="8" t="s">
        <v>86</v>
      </c>
      <c r="G20" s="9">
        <v>50</v>
      </c>
      <c r="H20" s="9">
        <v>0</v>
      </c>
      <c r="I20" s="10" t="s">
        <v>118</v>
      </c>
      <c r="J20" s="31" t="s">
        <v>111</v>
      </c>
      <c r="K20" s="31"/>
      <c r="L20" s="31"/>
      <c r="M20" s="31"/>
      <c r="P20">
        <v>50</v>
      </c>
      <c r="Q20">
        <v>0</v>
      </c>
      <c r="R20" t="s">
        <v>52</v>
      </c>
    </row>
    <row r="21" spans="2:18" x14ac:dyDescent="0.3">
      <c r="B21" s="9">
        <v>100</v>
      </c>
      <c r="C21" s="9">
        <v>100</v>
      </c>
      <c r="D21" s="10" t="s">
        <v>112</v>
      </c>
      <c r="E21" s="8" t="s">
        <v>87</v>
      </c>
      <c r="G21" s="9">
        <v>50</v>
      </c>
      <c r="H21" s="9">
        <v>0</v>
      </c>
      <c r="I21" s="10" t="s">
        <v>112</v>
      </c>
      <c r="P21">
        <v>50</v>
      </c>
      <c r="Q21">
        <v>0</v>
      </c>
      <c r="R21" t="s">
        <v>53</v>
      </c>
    </row>
    <row r="22" spans="2:18" x14ac:dyDescent="0.3">
      <c r="B22" s="9">
        <v>100</v>
      </c>
      <c r="C22" s="9">
        <v>100</v>
      </c>
      <c r="D22" s="10" t="s">
        <v>35</v>
      </c>
      <c r="E22" s="8" t="s">
        <v>88</v>
      </c>
      <c r="G22" s="29"/>
      <c r="H22" s="29"/>
      <c r="I22" s="30" t="s">
        <v>35</v>
      </c>
      <c r="P22">
        <v>50</v>
      </c>
      <c r="Q22">
        <v>0</v>
      </c>
      <c r="R22" t="s">
        <v>49</v>
      </c>
    </row>
    <row r="23" spans="2:18" x14ac:dyDescent="0.3">
      <c r="B23" s="9">
        <v>40</v>
      </c>
      <c r="C23" s="9">
        <v>150</v>
      </c>
      <c r="D23" s="10" t="s">
        <v>46</v>
      </c>
      <c r="E23" s="8" t="s">
        <v>89</v>
      </c>
      <c r="G23" s="9">
        <v>50</v>
      </c>
      <c r="H23" s="9"/>
      <c r="I23" s="10" t="s">
        <v>46</v>
      </c>
      <c r="R23" t="s">
        <v>42</v>
      </c>
    </row>
    <row r="24" spans="2:18" x14ac:dyDescent="0.3">
      <c r="B24" s="9">
        <v>140</v>
      </c>
      <c r="C24" s="9">
        <v>150</v>
      </c>
      <c r="D24" s="10" t="s">
        <v>47</v>
      </c>
      <c r="E24" s="8" t="s">
        <v>90</v>
      </c>
      <c r="G24" s="9">
        <v>50</v>
      </c>
      <c r="H24" s="9"/>
      <c r="I24" s="10" t="s">
        <v>47</v>
      </c>
      <c r="R24" t="s">
        <v>43</v>
      </c>
    </row>
    <row r="25" spans="2:18" x14ac:dyDescent="0.3">
      <c r="B25" s="9">
        <v>150</v>
      </c>
      <c r="C25" s="9">
        <v>150</v>
      </c>
      <c r="D25" s="10" t="s">
        <v>48</v>
      </c>
      <c r="E25" s="8" t="s">
        <v>91</v>
      </c>
      <c r="G25" s="9">
        <v>50</v>
      </c>
      <c r="H25" s="9"/>
      <c r="I25" s="10" t="s">
        <v>48</v>
      </c>
      <c r="R25" t="s">
        <v>56</v>
      </c>
    </row>
    <row r="26" spans="2:18" x14ac:dyDescent="0.3">
      <c r="B26" s="9">
        <v>40</v>
      </c>
      <c r="C26" s="9">
        <v>77</v>
      </c>
      <c r="D26" s="10" t="s">
        <v>51</v>
      </c>
      <c r="E26" s="8" t="s">
        <v>92</v>
      </c>
      <c r="G26" s="9">
        <v>50</v>
      </c>
      <c r="H26" s="9"/>
      <c r="I26" s="10" t="s">
        <v>51</v>
      </c>
      <c r="R26" t="s">
        <v>57</v>
      </c>
    </row>
    <row r="27" spans="2:18" x14ac:dyDescent="0.3">
      <c r="B27" s="9">
        <v>110</v>
      </c>
      <c r="C27" s="9">
        <v>77</v>
      </c>
      <c r="D27" s="10" t="s">
        <v>52</v>
      </c>
      <c r="E27" s="8" t="s">
        <v>93</v>
      </c>
      <c r="G27" s="9">
        <v>50</v>
      </c>
      <c r="H27" s="9"/>
      <c r="I27" s="10" t="s">
        <v>52</v>
      </c>
      <c r="R27" t="s">
        <v>40</v>
      </c>
    </row>
    <row r="28" spans="2:18" x14ac:dyDescent="0.3">
      <c r="B28" s="9">
        <v>120</v>
      </c>
      <c r="C28" s="9">
        <v>77</v>
      </c>
      <c r="D28" s="10" t="s">
        <v>53</v>
      </c>
      <c r="E28" s="8" t="s">
        <v>94</v>
      </c>
      <c r="G28" s="9">
        <v>50</v>
      </c>
      <c r="H28" s="9"/>
      <c r="I28" s="10" t="s">
        <v>53</v>
      </c>
      <c r="R28" t="s">
        <v>39</v>
      </c>
    </row>
    <row r="29" spans="2:18" x14ac:dyDescent="0.3">
      <c r="B29" s="9">
        <v>40</v>
      </c>
      <c r="C29" s="9">
        <v>50</v>
      </c>
      <c r="D29" s="10" t="s">
        <v>49</v>
      </c>
      <c r="E29" s="8" t="s">
        <v>95</v>
      </c>
      <c r="G29" s="9">
        <v>50</v>
      </c>
      <c r="H29" s="9"/>
      <c r="I29" s="10" t="s">
        <v>49</v>
      </c>
      <c r="R29" t="s">
        <v>41</v>
      </c>
    </row>
    <row r="30" spans="2:18" x14ac:dyDescent="0.3">
      <c r="B30" s="9">
        <v>40</v>
      </c>
      <c r="C30" s="9">
        <v>60</v>
      </c>
      <c r="D30" s="10" t="s">
        <v>73</v>
      </c>
      <c r="E30" s="8" t="s">
        <v>96</v>
      </c>
      <c r="G30" s="9">
        <v>50</v>
      </c>
      <c r="H30" s="9"/>
      <c r="I30" s="10" t="s">
        <v>33</v>
      </c>
      <c r="R30" t="s">
        <v>54</v>
      </c>
    </row>
    <row r="31" spans="2:18" x14ac:dyDescent="0.3">
      <c r="B31" s="9">
        <v>40</v>
      </c>
      <c r="C31" s="9">
        <v>100</v>
      </c>
      <c r="D31" s="10" t="s">
        <v>45</v>
      </c>
      <c r="E31" s="8" t="s">
        <v>97</v>
      </c>
      <c r="G31" s="9">
        <v>50</v>
      </c>
      <c r="H31" s="9"/>
      <c r="I31" s="10" t="s">
        <v>45</v>
      </c>
      <c r="R31" t="s">
        <v>55</v>
      </c>
    </row>
    <row r="32" spans="2:18" x14ac:dyDescent="0.3">
      <c r="B32" s="9">
        <v>40</v>
      </c>
      <c r="C32" s="9">
        <v>60</v>
      </c>
      <c r="D32" s="10" t="s">
        <v>108</v>
      </c>
      <c r="E32" s="8" t="s">
        <v>98</v>
      </c>
      <c r="G32" s="9">
        <v>50</v>
      </c>
      <c r="H32" s="9"/>
      <c r="I32" s="10" t="s">
        <v>108</v>
      </c>
      <c r="R32" t="s">
        <v>62</v>
      </c>
    </row>
    <row r="33" spans="2:18" x14ac:dyDescent="0.3">
      <c r="B33" s="9">
        <v>40</v>
      </c>
      <c r="C33" s="9">
        <v>90</v>
      </c>
      <c r="D33" s="10" t="s">
        <v>65</v>
      </c>
      <c r="E33" s="8" t="s">
        <v>99</v>
      </c>
      <c r="G33" s="9">
        <v>50</v>
      </c>
      <c r="H33" s="9">
        <v>-2</v>
      </c>
      <c r="I33" s="10" t="s">
        <v>65</v>
      </c>
      <c r="R33" t="s">
        <v>63</v>
      </c>
    </row>
    <row r="34" spans="2:18" x14ac:dyDescent="0.3">
      <c r="B34" s="9">
        <v>40</v>
      </c>
      <c r="C34" s="9">
        <v>90</v>
      </c>
      <c r="D34" s="10" t="s">
        <v>66</v>
      </c>
      <c r="E34" s="8"/>
      <c r="G34" s="9">
        <v>50</v>
      </c>
      <c r="H34" s="9">
        <v>-2</v>
      </c>
      <c r="I34" s="10" t="s">
        <v>66</v>
      </c>
    </row>
    <row r="35" spans="2:18" x14ac:dyDescent="0.3">
      <c r="B35" s="9">
        <v>40</v>
      </c>
      <c r="C35" s="9">
        <v>90</v>
      </c>
      <c r="D35" s="10" t="s">
        <v>62</v>
      </c>
      <c r="E35" s="8" t="s">
        <v>100</v>
      </c>
      <c r="G35" s="9">
        <v>50</v>
      </c>
      <c r="H35" s="9">
        <v>-2</v>
      </c>
      <c r="I35" s="10" t="s">
        <v>62</v>
      </c>
      <c r="R35" t="s">
        <v>64</v>
      </c>
    </row>
    <row r="36" spans="2:18" x14ac:dyDescent="0.3">
      <c r="B36" s="27">
        <v>40</v>
      </c>
      <c r="C36" s="27">
        <v>90</v>
      </c>
      <c r="D36" s="28" t="s">
        <v>63</v>
      </c>
      <c r="G36" s="9">
        <v>50</v>
      </c>
      <c r="H36" s="9">
        <v>-2</v>
      </c>
      <c r="I36" s="10" t="s">
        <v>63</v>
      </c>
      <c r="R36" t="s">
        <v>65</v>
      </c>
    </row>
    <row r="37" spans="2:18" x14ac:dyDescent="0.3">
      <c r="B37" s="27">
        <v>40</v>
      </c>
      <c r="C37" s="27">
        <v>90</v>
      </c>
      <c r="D37" s="28" t="s">
        <v>64</v>
      </c>
      <c r="G37" s="9">
        <v>50</v>
      </c>
      <c r="H37" s="9">
        <v>-2</v>
      </c>
      <c r="I37" s="10" t="s">
        <v>64</v>
      </c>
      <c r="R37" t="s">
        <v>66</v>
      </c>
    </row>
    <row r="48" spans="2:18" x14ac:dyDescent="0.3">
      <c r="B48" s="9">
        <v>40</v>
      </c>
      <c r="C48" s="9">
        <v>150</v>
      </c>
    </row>
  </sheetData>
  <sortState xmlns:xlrd2="http://schemas.microsoft.com/office/spreadsheetml/2017/richdata2" ref="G4:I37">
    <sortCondition ref="I4:I37"/>
  </sortState>
  <mergeCells count="4">
    <mergeCell ref="B2:D2"/>
    <mergeCell ref="L8:N8"/>
    <mergeCell ref="P2:R2"/>
    <mergeCell ref="G2:I2"/>
  </mergeCells>
  <pageMargins left="0.7" right="0.7" top="0.75" bottom="0.75" header="0.3" footer="0.3"/>
  <pageSetup orientation="portrait" horizontalDpi="0" verticalDpi="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A1:N68"/>
  <sheetViews>
    <sheetView zoomScaleNormal="100" workbookViewId="0">
      <selection activeCell="A55" sqref="A55"/>
    </sheetView>
  </sheetViews>
  <sheetFormatPr baseColWidth="10" defaultRowHeight="14.4" x14ac:dyDescent="0.3"/>
  <cols>
    <col min="1" max="1" width="17.33203125" customWidth="1"/>
    <col min="2" max="2" width="13.5546875" customWidth="1"/>
    <col min="3" max="3" width="35.33203125" customWidth="1"/>
    <col min="4" max="4" width="16" customWidth="1"/>
    <col min="5" max="5" width="12.6640625" bestFit="1" customWidth="1"/>
    <col min="6" max="6" width="35" customWidth="1"/>
    <col min="9" max="9" width="5.44140625" customWidth="1"/>
    <col min="10" max="10" width="9.33203125" customWidth="1"/>
    <col min="11" max="11" width="8.6640625" customWidth="1"/>
  </cols>
  <sheetData>
    <row r="1" spans="1:14" ht="15.6" x14ac:dyDescent="0.3">
      <c r="A1" s="1"/>
      <c r="B1" s="1"/>
      <c r="C1" s="1"/>
      <c r="D1" s="1"/>
      <c r="E1" s="1"/>
      <c r="F1" s="1"/>
      <c r="G1" s="1"/>
    </row>
    <row r="2" spans="1:14" ht="16.5" customHeight="1" x14ac:dyDescent="0.3">
      <c r="A2" s="1"/>
      <c r="B2" s="1"/>
      <c r="C2" s="1"/>
      <c r="D2" s="1"/>
      <c r="E2" s="1"/>
      <c r="F2" s="1"/>
      <c r="G2" s="1"/>
      <c r="K2" s="34" t="s">
        <v>126</v>
      </c>
      <c r="L2" s="34"/>
      <c r="M2" s="34"/>
    </row>
    <row r="3" spans="1:14" ht="15.6" x14ac:dyDescent="0.3">
      <c r="A3" s="1"/>
      <c r="B3" s="1"/>
      <c r="C3" s="1"/>
      <c r="D3" s="1"/>
      <c r="E3" s="1"/>
      <c r="F3" s="1"/>
      <c r="G3" s="1"/>
      <c r="K3" s="110" t="s">
        <v>61</v>
      </c>
      <c r="L3" s="110"/>
      <c r="M3" s="110" t="s">
        <v>14</v>
      </c>
      <c r="N3" s="110"/>
    </row>
    <row r="4" spans="1:14" ht="15.75" customHeight="1" x14ac:dyDescent="0.3">
      <c r="A4" s="1"/>
      <c r="B4" s="1"/>
      <c r="C4" s="40" t="s">
        <v>27</v>
      </c>
      <c r="D4" s="14">
        <f>'4637'!G8</f>
        <v>7475</v>
      </c>
      <c r="E4" s="1"/>
      <c r="F4" s="1"/>
      <c r="G4" s="1"/>
      <c r="K4" t="s">
        <v>7</v>
      </c>
      <c r="L4" t="s">
        <v>8</v>
      </c>
      <c r="M4" t="s">
        <v>7</v>
      </c>
      <c r="N4" t="s">
        <v>8</v>
      </c>
    </row>
    <row r="5" spans="1:14" ht="18" customHeight="1" x14ac:dyDescent="0.3">
      <c r="A5" s="1"/>
      <c r="B5" s="1"/>
      <c r="C5" s="41" t="s">
        <v>67</v>
      </c>
      <c r="D5" s="42" t="str">
        <f>'4637'!C10</f>
        <v>MUEBLES ASENJO LTDA.</v>
      </c>
      <c r="E5" s="43"/>
      <c r="F5" s="43"/>
      <c r="G5" s="1"/>
      <c r="K5" t="e">
        <f>LOOKUP(#REF!,REGLAS!$I$4:$I$37,REGLAS!$G$4:$G$37)+#REF!</f>
        <v>#REF!</v>
      </c>
      <c r="L5" t="e">
        <f>LOOKUP(#REF!,REGLAS!$I$4:$I$37,REGLAS!$H$4:$H$37)+#REF!</f>
        <v>#REF!</v>
      </c>
      <c r="M5" t="e">
        <f>LOOKUP(#REF!,REGLAS!$D$4:$D$37,REGLAS!$B$4:$B$37)+#REF!</f>
        <v>#REF!</v>
      </c>
      <c r="N5" t="e">
        <f>LOOKUP(#REF!,REGLAS!$D$4:$D$37,REGLAS!$C$4:$C$37)+#REF!</f>
        <v>#REF!</v>
      </c>
    </row>
    <row r="6" spans="1:14" ht="4.5" customHeight="1" x14ac:dyDescent="0.3">
      <c r="A6" s="1"/>
      <c r="B6" s="1"/>
      <c r="C6" s="44"/>
      <c r="D6" s="45"/>
      <c r="E6" s="1"/>
      <c r="F6" s="1"/>
      <c r="G6" s="1"/>
    </row>
    <row r="7" spans="1:14" ht="15.6" x14ac:dyDescent="0.3">
      <c r="A7" s="1"/>
      <c r="B7" s="1"/>
      <c r="C7" s="87" t="str">
        <f>'4637'!F11</f>
        <v>FECHA LIMITE :</v>
      </c>
      <c r="D7" s="13">
        <f>'4637'!G11</f>
        <v>0</v>
      </c>
      <c r="E7" s="1"/>
      <c r="F7" s="1"/>
      <c r="G7" s="1"/>
    </row>
    <row r="8" spans="1:14" ht="15.6" x14ac:dyDescent="0.3">
      <c r="A8" s="1"/>
      <c r="B8" s="1"/>
      <c r="C8" s="53" t="s">
        <v>125</v>
      </c>
      <c r="D8" s="1"/>
      <c r="E8" s="1"/>
      <c r="F8" s="1"/>
      <c r="G8" s="1"/>
    </row>
    <row r="9" spans="1:14" ht="15.6" x14ac:dyDescent="0.3">
      <c r="A9" s="1"/>
      <c r="B9" s="1"/>
      <c r="C9" s="1"/>
      <c r="D9" s="1"/>
      <c r="E9" s="1"/>
      <c r="F9" s="1"/>
      <c r="G9" s="1"/>
    </row>
    <row r="10" spans="1:14" ht="15" customHeight="1" x14ac:dyDescent="0.3">
      <c r="A10" s="111" t="s">
        <v>61</v>
      </c>
      <c r="B10" s="111"/>
      <c r="C10" s="111"/>
      <c r="D10" s="111"/>
      <c r="E10" s="111"/>
      <c r="F10" s="111"/>
      <c r="G10" s="1"/>
    </row>
    <row r="11" spans="1:14" ht="15.6" x14ac:dyDescent="0.3">
      <c r="A11" s="1"/>
      <c r="B11" s="1"/>
      <c r="C11" s="12"/>
      <c r="D11" s="1"/>
      <c r="E11" s="1"/>
      <c r="F11" s="1"/>
      <c r="G11" s="1"/>
    </row>
    <row r="12" spans="1:14" ht="15.6" x14ac:dyDescent="0.3">
      <c r="A12" s="1"/>
      <c r="B12" s="1"/>
      <c r="C12" s="1"/>
      <c r="D12" s="52" t="s">
        <v>7</v>
      </c>
      <c r="E12" s="52" t="s">
        <v>8</v>
      </c>
      <c r="F12" s="1"/>
      <c r="G12" s="1"/>
    </row>
    <row r="13" spans="1:14" ht="15.6" x14ac:dyDescent="0.3">
      <c r="A13" s="52" t="s">
        <v>9</v>
      </c>
      <c r="B13" s="37" t="s">
        <v>10</v>
      </c>
      <c r="C13" s="37" t="s">
        <v>11</v>
      </c>
      <c r="D13" s="32">
        <v>80</v>
      </c>
      <c r="E13" s="32"/>
      <c r="F13" s="37" t="s">
        <v>110</v>
      </c>
      <c r="G13" s="1"/>
      <c r="J13" s="5" t="s">
        <v>7</v>
      </c>
      <c r="K13" s="5" t="s">
        <v>8</v>
      </c>
    </row>
    <row r="14" spans="1:14" ht="15.6" x14ac:dyDescent="0.3">
      <c r="A14" s="95" t="s">
        <v>145</v>
      </c>
      <c r="B14" s="25">
        <f t="shared" ref="B14" si="0">I14</f>
        <v>31</v>
      </c>
      <c r="C14" s="25" t="s">
        <v>142</v>
      </c>
      <c r="D14" s="25">
        <f>J14+D$13</f>
        <v>2680</v>
      </c>
      <c r="E14" s="35">
        <f>K14+E$13</f>
        <v>342</v>
      </c>
      <c r="F14" s="99" t="str">
        <f>C32</f>
        <v>CORNISA 2L F/7CMS R8</v>
      </c>
      <c r="G14" s="1"/>
      <c r="I14" s="89">
        <f t="shared" ref="I14:K14" si="1">I25</f>
        <v>31</v>
      </c>
      <c r="J14" s="4">
        <f t="shared" si="1"/>
        <v>2600</v>
      </c>
      <c r="K14" s="4">
        <f t="shared" si="1"/>
        <v>342</v>
      </c>
    </row>
    <row r="15" spans="1:14" ht="15.6" x14ac:dyDescent="0.3">
      <c r="A15" s="95"/>
      <c r="B15" s="25">
        <f t="shared" ref="B15" si="2">I15</f>
        <v>1</v>
      </c>
      <c r="C15" s="25" t="s">
        <v>142</v>
      </c>
      <c r="D15" s="25">
        <f>J15+D13</f>
        <v>1380</v>
      </c>
      <c r="E15" s="35">
        <f t="shared" ref="E15" si="3">K15+E$13</f>
        <v>342</v>
      </c>
      <c r="F15" s="99" t="str">
        <f>C33</f>
        <v>CORNISA 2L F/7CMS R8</v>
      </c>
      <c r="G15" s="1"/>
      <c r="I15" s="89">
        <f t="shared" ref="I15:K15" si="4">I26</f>
        <v>1</v>
      </c>
      <c r="J15" s="4">
        <f t="shared" si="4"/>
        <v>1300</v>
      </c>
      <c r="K15" s="4">
        <f t="shared" si="4"/>
        <v>342</v>
      </c>
    </row>
    <row r="16" spans="1:14" ht="15.6" x14ac:dyDescent="0.3">
      <c r="A16" s="95"/>
      <c r="B16" s="25">
        <f t="shared" ref="B16:B17" si="5">I16</f>
        <v>62</v>
      </c>
      <c r="C16" s="25" t="s">
        <v>142</v>
      </c>
      <c r="D16" s="25">
        <v>2680</v>
      </c>
      <c r="E16" s="35">
        <f t="shared" ref="E16:E17" si="6">K16+E$13</f>
        <v>52</v>
      </c>
      <c r="F16" s="99" t="s">
        <v>143</v>
      </c>
      <c r="G16" s="1"/>
      <c r="I16" s="89">
        <v>62</v>
      </c>
      <c r="J16" s="4">
        <v>2600</v>
      </c>
      <c r="K16" s="4">
        <v>52</v>
      </c>
    </row>
    <row r="17" spans="1:11" ht="15.6" x14ac:dyDescent="0.3">
      <c r="A17" s="95"/>
      <c r="B17" s="25">
        <f t="shared" si="5"/>
        <v>2</v>
      </c>
      <c r="C17" s="25" t="s">
        <v>142</v>
      </c>
      <c r="D17" s="25">
        <v>1380</v>
      </c>
      <c r="E17" s="35">
        <f t="shared" si="6"/>
        <v>52</v>
      </c>
      <c r="F17" s="99" t="s">
        <v>143</v>
      </c>
      <c r="G17" s="1"/>
      <c r="I17" s="89">
        <v>2</v>
      </c>
      <c r="J17" s="4">
        <v>1300</v>
      </c>
      <c r="K17" s="4">
        <v>52</v>
      </c>
    </row>
    <row r="18" spans="1:11" ht="15.6" x14ac:dyDescent="0.3">
      <c r="A18" s="95"/>
      <c r="B18" s="6"/>
      <c r="C18" s="6"/>
      <c r="D18" s="6"/>
      <c r="E18" s="105"/>
      <c r="F18" s="107"/>
      <c r="G18" s="1"/>
      <c r="I18" s="89"/>
      <c r="J18" s="2"/>
      <c r="K18" s="2"/>
    </row>
    <row r="19" spans="1:11" ht="15.6" x14ac:dyDescent="0.3">
      <c r="A19" s="52"/>
      <c r="B19" s="6"/>
      <c r="C19" s="6"/>
      <c r="D19" s="6"/>
      <c r="E19" s="105"/>
      <c r="F19" s="6"/>
      <c r="G19" s="1"/>
      <c r="I19" s="89"/>
      <c r="J19" s="2"/>
      <c r="K19" s="2"/>
    </row>
    <row r="20" spans="1:11" ht="6.75" customHeight="1" x14ac:dyDescent="0.3">
      <c r="A20" s="1"/>
      <c r="B20" s="1"/>
      <c r="C20" s="1"/>
      <c r="D20" s="1"/>
      <c r="E20" s="1"/>
      <c r="F20" s="1"/>
      <c r="G20" s="1"/>
    </row>
    <row r="21" spans="1:11" ht="15.6" x14ac:dyDescent="0.3">
      <c r="A21" s="111" t="s">
        <v>14</v>
      </c>
      <c r="B21" s="111"/>
      <c r="C21" s="111"/>
      <c r="D21" s="111"/>
      <c r="E21" s="111"/>
      <c r="F21" s="111"/>
      <c r="G21" s="1"/>
    </row>
    <row r="22" spans="1:11" ht="10.5" customHeight="1" x14ac:dyDescent="0.3">
      <c r="A22" s="1"/>
      <c r="B22" s="1"/>
      <c r="C22" s="12"/>
      <c r="D22" s="1"/>
      <c r="E22" s="1"/>
      <c r="F22" s="1"/>
      <c r="G22" s="1"/>
    </row>
    <row r="23" spans="1:11" ht="15.6" x14ac:dyDescent="0.3">
      <c r="A23" s="1"/>
      <c r="B23" s="1"/>
      <c r="C23" s="1"/>
      <c r="D23" s="52" t="s">
        <v>7</v>
      </c>
      <c r="E23" s="52" t="s">
        <v>8</v>
      </c>
      <c r="F23" s="1"/>
      <c r="G23" s="1"/>
    </row>
    <row r="24" spans="1:11" ht="15.6" x14ac:dyDescent="0.3">
      <c r="A24" s="52" t="s">
        <v>9</v>
      </c>
      <c r="B24" s="36" t="s">
        <v>10</v>
      </c>
      <c r="C24" s="36" t="s">
        <v>11</v>
      </c>
      <c r="D24" s="21">
        <v>40</v>
      </c>
      <c r="E24" s="21">
        <v>130</v>
      </c>
      <c r="F24" s="36" t="s">
        <v>110</v>
      </c>
      <c r="G24" s="1"/>
      <c r="J24" s="5" t="s">
        <v>7</v>
      </c>
      <c r="K24" s="5" t="s">
        <v>8</v>
      </c>
    </row>
    <row r="25" spans="1:11" ht="15.6" x14ac:dyDescent="0.3">
      <c r="A25" s="95"/>
      <c r="B25" s="16">
        <f t="shared" ref="B25" si="7">I25</f>
        <v>31</v>
      </c>
      <c r="C25" s="16"/>
      <c r="D25" s="16">
        <f t="shared" ref="D25:D26" si="8">J25+D$24</f>
        <v>2640</v>
      </c>
      <c r="E25" s="16">
        <v>520</v>
      </c>
      <c r="F25" s="100" t="str">
        <f>C32</f>
        <v>CORNISA 2L F/7CMS R8</v>
      </c>
      <c r="G25" s="1"/>
      <c r="I25" s="3">
        <f>B32</f>
        <v>31</v>
      </c>
      <c r="J25" s="4">
        <f>D32</f>
        <v>2600</v>
      </c>
      <c r="K25" s="4">
        <f t="shared" ref="K25" si="9">E32</f>
        <v>342</v>
      </c>
    </row>
    <row r="26" spans="1:11" ht="15.6" x14ac:dyDescent="0.3">
      <c r="A26" s="95"/>
      <c r="B26" s="16">
        <f t="shared" ref="B26" si="10">I26</f>
        <v>1</v>
      </c>
      <c r="C26" s="16"/>
      <c r="D26" s="16">
        <f t="shared" si="8"/>
        <v>1340</v>
      </c>
      <c r="E26" s="16">
        <v>520</v>
      </c>
      <c r="F26" s="100" t="str">
        <f>C33</f>
        <v>CORNISA 2L F/7CMS R8</v>
      </c>
      <c r="G26" s="1"/>
      <c r="I26" s="3">
        <f>B33</f>
        <v>1</v>
      </c>
      <c r="J26" s="4">
        <f>D33</f>
        <v>1300</v>
      </c>
      <c r="K26" s="4">
        <f>E33</f>
        <v>342</v>
      </c>
    </row>
    <row r="27" spans="1:11" ht="15.6" x14ac:dyDescent="0.3">
      <c r="A27" s="95"/>
      <c r="B27" s="6"/>
      <c r="C27" s="6"/>
      <c r="D27" s="6"/>
      <c r="E27" s="6"/>
      <c r="F27" s="107"/>
      <c r="G27" s="1"/>
      <c r="I27" s="89"/>
      <c r="J27" s="2"/>
      <c r="K27" s="2"/>
    </row>
    <row r="28" spans="1:11" ht="16.2" thickBot="1" x14ac:dyDescent="0.35">
      <c r="A28" s="52"/>
      <c r="B28" s="6"/>
      <c r="C28" s="6"/>
      <c r="D28" s="6"/>
      <c r="E28" s="6"/>
      <c r="F28" s="6"/>
      <c r="G28" s="1"/>
      <c r="I28" s="2"/>
      <c r="J28" s="2"/>
      <c r="K28" s="2"/>
    </row>
    <row r="29" spans="1:11" ht="16.2" thickBot="1" x14ac:dyDescent="0.35">
      <c r="A29" s="52"/>
      <c r="B29" s="22" t="s">
        <v>107</v>
      </c>
      <c r="C29" s="23"/>
      <c r="D29" s="23"/>
      <c r="E29" s="23"/>
      <c r="F29" s="24"/>
      <c r="G29" s="1"/>
      <c r="I29" s="2"/>
      <c r="J29" s="2"/>
      <c r="K29" s="2"/>
    </row>
    <row r="30" spans="1:11" ht="10.5" customHeight="1" x14ac:dyDescent="0.3">
      <c r="A30" s="1"/>
      <c r="B30" s="1"/>
      <c r="C30" s="1"/>
      <c r="D30" s="1"/>
      <c r="E30" s="1"/>
      <c r="F30" s="1"/>
      <c r="G30" s="1"/>
    </row>
    <row r="31" spans="1:11" ht="15.6" x14ac:dyDescent="0.3">
      <c r="A31" s="52" t="s">
        <v>9</v>
      </c>
      <c r="B31" s="88" t="s">
        <v>10</v>
      </c>
      <c r="C31" s="88" t="s">
        <v>110</v>
      </c>
      <c r="D31" s="88" t="s">
        <v>7</v>
      </c>
      <c r="E31" s="88" t="s">
        <v>8</v>
      </c>
      <c r="F31" s="88" t="s">
        <v>23</v>
      </c>
      <c r="G31" s="1"/>
    </row>
    <row r="32" spans="1:11" ht="15.6" x14ac:dyDescent="0.3">
      <c r="A32" s="95" t="s">
        <v>145</v>
      </c>
      <c r="B32" s="25">
        <f>'4637'!B21</f>
        <v>31</v>
      </c>
      <c r="C32" s="99" t="str">
        <f>'4637'!C21</f>
        <v>CORNISA 2L F/7CMS R8</v>
      </c>
      <c r="D32" s="25">
        <f>'4637'!D21</f>
        <v>2600</v>
      </c>
      <c r="E32" s="25">
        <f>'4637'!E21</f>
        <v>342</v>
      </c>
      <c r="F32" s="25" t="str">
        <f>'4637'!F21</f>
        <v>GLACIAL WHITE 22191 SF</v>
      </c>
      <c r="G32" s="1"/>
    </row>
    <row r="33" spans="1:7" ht="15.6" x14ac:dyDescent="0.3">
      <c r="A33" s="95"/>
      <c r="B33" s="25">
        <f>'4637'!B22</f>
        <v>1</v>
      </c>
      <c r="C33" s="99" t="str">
        <f>'4637'!C22</f>
        <v>CORNISA 2L F/7CMS R8</v>
      </c>
      <c r="D33" s="25">
        <f>'4637'!D22</f>
        <v>1300</v>
      </c>
      <c r="E33" s="25">
        <f>'4637'!E22</f>
        <v>342</v>
      </c>
      <c r="F33" s="25" t="str">
        <f>'4637'!F22</f>
        <v>GLACIAL WHITE 22191 SF</v>
      </c>
      <c r="G33" s="1"/>
    </row>
    <row r="34" spans="1:7" ht="15.6" x14ac:dyDescent="0.3">
      <c r="A34" s="95"/>
      <c r="B34" s="6"/>
      <c r="C34" s="107"/>
      <c r="D34" s="6"/>
      <c r="E34" s="6"/>
      <c r="F34" s="6"/>
      <c r="G34" s="1"/>
    </row>
    <row r="35" spans="1:7" ht="15.6" x14ac:dyDescent="0.3">
      <c r="A35" s="1"/>
      <c r="B35" s="6"/>
      <c r="C35" s="6"/>
      <c r="D35" s="6"/>
      <c r="E35" s="6"/>
      <c r="F35" s="6"/>
      <c r="G35" s="1"/>
    </row>
    <row r="36" spans="1:7" ht="15.6" x14ac:dyDescent="0.3">
      <c r="A36" s="1"/>
      <c r="B36" s="6"/>
      <c r="C36" s="6"/>
      <c r="D36" s="6"/>
      <c r="E36" s="6"/>
      <c r="F36" s="6"/>
      <c r="G36" s="1"/>
    </row>
    <row r="37" spans="1:7" ht="15.6" x14ac:dyDescent="0.3">
      <c r="A37" s="1"/>
      <c r="B37" s="6"/>
      <c r="C37" s="6"/>
      <c r="D37" s="6"/>
      <c r="E37" s="6"/>
      <c r="F37" s="6"/>
      <c r="G37" s="1"/>
    </row>
    <row r="38" spans="1:7" ht="15.6" x14ac:dyDescent="0.3">
      <c r="A38" s="1"/>
      <c r="B38" s="6"/>
      <c r="C38" s="6"/>
      <c r="D38" s="6"/>
      <c r="E38" s="6"/>
      <c r="F38" s="6"/>
      <c r="G38" s="1"/>
    </row>
    <row r="39" spans="1:7" ht="15.6" x14ac:dyDescent="0.3">
      <c r="A39" s="1"/>
      <c r="B39" s="6"/>
      <c r="C39" s="6"/>
      <c r="D39" s="6"/>
      <c r="E39" s="6"/>
      <c r="F39" s="6"/>
      <c r="G39" s="1"/>
    </row>
    <row r="40" spans="1:7" ht="15.6" x14ac:dyDescent="0.3">
      <c r="A40" s="1"/>
      <c r="B40" s="6"/>
      <c r="C40" s="6"/>
      <c r="D40" s="6"/>
      <c r="E40" s="6"/>
      <c r="F40" s="6"/>
      <c r="G40" s="1"/>
    </row>
    <row r="41" spans="1:7" ht="15.6" x14ac:dyDescent="0.3">
      <c r="A41" s="1"/>
      <c r="B41" s="6"/>
      <c r="C41" s="6"/>
      <c r="D41" s="6"/>
      <c r="E41" s="6"/>
      <c r="F41" s="6"/>
      <c r="G41" s="1"/>
    </row>
    <row r="42" spans="1:7" ht="15.6" x14ac:dyDescent="0.3">
      <c r="A42" s="1"/>
      <c r="B42" s="6"/>
      <c r="C42" s="6"/>
      <c r="D42" s="6"/>
      <c r="E42" s="6"/>
      <c r="F42" s="6"/>
      <c r="G42" s="1"/>
    </row>
    <row r="43" spans="1:7" ht="15.6" x14ac:dyDescent="0.3">
      <c r="A43" s="1"/>
      <c r="B43" s="1"/>
      <c r="C43" s="1"/>
      <c r="D43" s="1"/>
      <c r="E43" s="1"/>
      <c r="F43" s="1"/>
      <c r="G43" s="1"/>
    </row>
    <row r="44" spans="1:7" ht="15.6" x14ac:dyDescent="0.3">
      <c r="A44" s="1"/>
      <c r="B44" s="1"/>
      <c r="C44" s="40" t="s">
        <v>27</v>
      </c>
      <c r="D44" s="14">
        <f>'4637'!G8</f>
        <v>7475</v>
      </c>
      <c r="E44" s="1"/>
      <c r="F44" s="1"/>
      <c r="G44" s="1"/>
    </row>
    <row r="45" spans="1:7" ht="17.25" customHeight="1" x14ac:dyDescent="0.3">
      <c r="A45" s="1"/>
      <c r="B45" s="1"/>
      <c r="C45" s="41" t="s">
        <v>67</v>
      </c>
      <c r="D45" s="42" t="str">
        <f>'4637'!C10</f>
        <v>MUEBLES ASENJO LTDA.</v>
      </c>
      <c r="E45" s="43"/>
      <c r="F45" s="43"/>
      <c r="G45" s="1"/>
    </row>
    <row r="46" spans="1:7" ht="4.5" customHeight="1" x14ac:dyDescent="0.3">
      <c r="A46" s="1"/>
      <c r="B46" s="1"/>
      <c r="C46" s="44"/>
      <c r="D46" s="45"/>
      <c r="E46" s="1"/>
      <c r="F46" s="1"/>
      <c r="G46" s="1"/>
    </row>
    <row r="47" spans="1:7" ht="15.6" x14ac:dyDescent="0.3">
      <c r="A47" s="1"/>
      <c r="B47" s="1"/>
      <c r="C47" s="46" t="str">
        <f>'4637'!F11</f>
        <v>FECHA LIMITE :</v>
      </c>
      <c r="D47" s="13">
        <f>'4637'!G11</f>
        <v>0</v>
      </c>
      <c r="E47" s="1"/>
      <c r="F47" s="1"/>
      <c r="G47" s="1"/>
    </row>
    <row r="48" spans="1:7" ht="15.6" x14ac:dyDescent="0.3">
      <c r="A48" s="1"/>
      <c r="B48" s="1"/>
      <c r="C48" s="1"/>
      <c r="D48" s="1"/>
      <c r="E48" s="1"/>
      <c r="F48" s="1"/>
      <c r="G48" s="1"/>
    </row>
    <row r="49" spans="1:7" ht="15.6" x14ac:dyDescent="0.3">
      <c r="A49" s="1"/>
      <c r="B49" s="1"/>
      <c r="C49" s="1"/>
      <c r="D49" s="1"/>
      <c r="E49" s="1"/>
      <c r="F49" s="1"/>
      <c r="G49" s="1"/>
    </row>
    <row r="50" spans="1:7" ht="15.6" x14ac:dyDescent="0.3">
      <c r="A50" s="111" t="s">
        <v>68</v>
      </c>
      <c r="B50" s="111"/>
      <c r="C50" s="111"/>
      <c r="D50" s="111"/>
      <c r="E50" s="111"/>
      <c r="F50" s="111"/>
      <c r="G50" s="1"/>
    </row>
    <row r="51" spans="1:7" ht="15.6" x14ac:dyDescent="0.3">
      <c r="A51" s="1"/>
      <c r="B51" s="1"/>
      <c r="C51" s="1"/>
      <c r="D51" s="1"/>
      <c r="E51" s="1"/>
      <c r="F51" s="1"/>
      <c r="G51" s="1"/>
    </row>
    <row r="52" spans="1:7" ht="15.75" customHeight="1" x14ac:dyDescent="0.3">
      <c r="A52" s="1"/>
      <c r="B52" s="112" t="s">
        <v>69</v>
      </c>
      <c r="C52" s="113"/>
      <c r="D52" s="114"/>
      <c r="E52" s="114"/>
      <c r="F52" s="115"/>
      <c r="G52" s="1"/>
    </row>
    <row r="53" spans="1:7" s="15" customFormat="1" ht="12.75" customHeight="1" x14ac:dyDescent="0.3">
      <c r="A53" s="1"/>
      <c r="B53" s="36" t="s">
        <v>10</v>
      </c>
      <c r="C53" s="47" t="s">
        <v>11</v>
      </c>
      <c r="D53" s="48" t="s">
        <v>7</v>
      </c>
      <c r="E53" s="48" t="s">
        <v>8</v>
      </c>
      <c r="F53" s="49" t="s">
        <v>12</v>
      </c>
      <c r="G53" s="1"/>
    </row>
    <row r="54" spans="1:7" s="15" customFormat="1" ht="15" customHeight="1" x14ac:dyDescent="0.3">
      <c r="A54" s="95" t="s">
        <v>145</v>
      </c>
      <c r="B54" s="38">
        <f>'4637'!B21</f>
        <v>31</v>
      </c>
      <c r="C54" s="98" t="str">
        <f>'4637'!C21</f>
        <v>CORNISA 2L F/7CMS R8</v>
      </c>
      <c r="D54" s="39">
        <f>'4637'!D21</f>
        <v>2600</v>
      </c>
      <c r="E54" s="39">
        <f>'4637'!E21</f>
        <v>342</v>
      </c>
      <c r="F54" s="38" t="str">
        <f>'4637'!F21</f>
        <v>GLACIAL WHITE 22191 SF</v>
      </c>
      <c r="G54" s="1"/>
    </row>
    <row r="55" spans="1:7" s="15" customFormat="1" ht="15" customHeight="1" x14ac:dyDescent="0.3">
      <c r="A55" s="95"/>
      <c r="B55" s="38">
        <f>'4637'!B22</f>
        <v>1</v>
      </c>
      <c r="C55" s="98" t="str">
        <f>'4637'!C22</f>
        <v>CORNISA 2L F/7CMS R8</v>
      </c>
      <c r="D55" s="39">
        <f>'4637'!D22</f>
        <v>1300</v>
      </c>
      <c r="E55" s="39">
        <f>'4637'!E22</f>
        <v>342</v>
      </c>
      <c r="F55" s="38" t="str">
        <f>'4637'!F22</f>
        <v>GLACIAL WHITE 22191 SF</v>
      </c>
      <c r="G55" s="1"/>
    </row>
    <row r="56" spans="1:7" s="15" customFormat="1" ht="15" customHeight="1" x14ac:dyDescent="0.3">
      <c r="B56" s="52"/>
      <c r="C56" s="106"/>
      <c r="D56" s="52"/>
      <c r="E56" s="52"/>
      <c r="F56" s="52"/>
      <c r="G56" s="1"/>
    </row>
    <row r="57" spans="1:7" s="15" customFormat="1" ht="15" customHeight="1" x14ac:dyDescent="0.3">
      <c r="A57" s="50"/>
      <c r="B57" s="52"/>
      <c r="C57" s="52"/>
      <c r="D57" s="52"/>
      <c r="E57" s="52"/>
      <c r="F57" s="52"/>
      <c r="G57" s="1"/>
    </row>
    <row r="58" spans="1:7" ht="15.6" x14ac:dyDescent="0.3">
      <c r="A58" s="6"/>
      <c r="B58" s="6"/>
      <c r="C58" s="1"/>
      <c r="D58" s="6"/>
      <c r="E58" s="6"/>
      <c r="F58" s="44"/>
      <c r="G58" s="1"/>
    </row>
    <row r="59" spans="1:7" ht="15.6" x14ac:dyDescent="0.3">
      <c r="A59" s="6"/>
      <c r="B59" s="6"/>
      <c r="C59" s="1"/>
      <c r="D59" s="6"/>
      <c r="E59" s="6"/>
      <c r="F59" s="6"/>
      <c r="G59" s="1"/>
    </row>
    <row r="60" spans="1:7" ht="15.6" x14ac:dyDescent="0.3">
      <c r="A60" s="1"/>
      <c r="B60" s="1"/>
      <c r="C60" s="1"/>
      <c r="D60" s="1"/>
      <c r="E60" s="1"/>
      <c r="F60" s="1"/>
      <c r="G60" s="1"/>
    </row>
    <row r="61" spans="1:7" ht="15.6" x14ac:dyDescent="0.3">
      <c r="A61" s="1"/>
      <c r="B61" s="1"/>
      <c r="C61" s="1"/>
      <c r="D61" s="1"/>
      <c r="E61" s="1"/>
      <c r="F61" s="1"/>
      <c r="G61" s="1"/>
    </row>
    <row r="62" spans="1:7" ht="15.6" x14ac:dyDescent="0.3">
      <c r="A62" s="1"/>
      <c r="B62" s="1"/>
      <c r="C62" s="1"/>
      <c r="D62" s="1"/>
      <c r="E62" s="1"/>
      <c r="F62" s="1"/>
      <c r="G62" s="1"/>
    </row>
    <row r="63" spans="1:7" ht="15" customHeight="1" x14ac:dyDescent="0.3">
      <c r="A63" s="1"/>
      <c r="B63" s="1"/>
      <c r="C63" s="1"/>
      <c r="D63" s="1"/>
      <c r="E63" s="1"/>
      <c r="F63" s="1"/>
      <c r="G63" s="1"/>
    </row>
    <row r="64" spans="1:7" ht="15.6" x14ac:dyDescent="0.3">
      <c r="A64" s="1"/>
      <c r="B64" s="1"/>
      <c r="C64" s="1"/>
      <c r="D64" s="1"/>
      <c r="E64" s="1"/>
      <c r="F64" s="1"/>
      <c r="G64" s="1"/>
    </row>
    <row r="65" spans="1:7" ht="15.6" x14ac:dyDescent="0.3">
      <c r="A65" s="6"/>
      <c r="B65" s="51"/>
      <c r="C65" s="1"/>
      <c r="D65" s="1"/>
      <c r="E65" s="1"/>
      <c r="F65" s="1"/>
      <c r="G65" s="1"/>
    </row>
    <row r="66" spans="1:7" ht="15.6" x14ac:dyDescent="0.3">
      <c r="A66" s="1"/>
      <c r="B66" s="1"/>
      <c r="C66" s="1"/>
      <c r="D66" s="1"/>
      <c r="E66" s="1"/>
      <c r="F66" s="1"/>
      <c r="G66" s="1"/>
    </row>
    <row r="67" spans="1:7" x14ac:dyDescent="0.3">
      <c r="B67" s="20"/>
      <c r="C67" s="20"/>
      <c r="D67" s="20"/>
      <c r="E67" s="20"/>
      <c r="F67" s="20"/>
    </row>
    <row r="68" spans="1:7" x14ac:dyDescent="0.3">
      <c r="B68" s="20"/>
      <c r="C68" s="20"/>
      <c r="E68" s="20"/>
      <c r="F68" s="20"/>
    </row>
  </sheetData>
  <mergeCells count="6">
    <mergeCell ref="M3:N3"/>
    <mergeCell ref="A21:F21"/>
    <mergeCell ref="A10:F10"/>
    <mergeCell ref="A50:F50"/>
    <mergeCell ref="B52:F52"/>
    <mergeCell ref="K3:L3"/>
  </mergeCells>
  <phoneticPr fontId="10" type="noConversion"/>
  <pageMargins left="0.70866141732283472" right="0.70866141732283472" top="0.74803149606299213" bottom="0.74803149606299213" header="0.31496062992125984" footer="0.31496062992125984"/>
  <pageSetup scale="70" orientation="portrait" horizontalDpi="300" verticalDpi="300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1B1EEBC-F7A7-4F44-B5AE-3BD450BA83F9}">
  <dimension ref="A1:E2"/>
  <sheetViews>
    <sheetView tabSelected="1" workbookViewId="0">
      <selection activeCell="E3" sqref="E3"/>
    </sheetView>
  </sheetViews>
  <sheetFormatPr baseColWidth="10" defaultRowHeight="14.4" x14ac:dyDescent="0.3"/>
  <cols>
    <col min="3" max="3" width="21" bestFit="1" customWidth="1"/>
  </cols>
  <sheetData>
    <row r="1" spans="1:5" x14ac:dyDescent="0.3">
      <c r="A1" t="s">
        <v>146</v>
      </c>
      <c r="B1" t="s">
        <v>147</v>
      </c>
      <c r="C1" t="s">
        <v>148</v>
      </c>
      <c r="D1" s="123" t="s">
        <v>149</v>
      </c>
      <c r="E1" t="s">
        <v>4</v>
      </c>
    </row>
    <row r="2" spans="1:5" x14ac:dyDescent="0.3">
      <c r="A2" t="str">
        <f>'4637'!D8</f>
        <v>N° 12174</v>
      </c>
      <c r="B2">
        <f>'4637'!G8</f>
        <v>7475</v>
      </c>
      <c r="C2" t="str">
        <f>'4637'!C10</f>
        <v>MUEBLES ASENJO LTDA.</v>
      </c>
      <c r="D2" s="123">
        <f>'4637'!G10</f>
        <v>46170</v>
      </c>
      <c r="E2">
        <f>'4637'!H27</f>
        <v>1384941.04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4</vt:i4>
      </vt:variant>
      <vt:variant>
        <vt:lpstr>Rangos con nombre</vt:lpstr>
      </vt:variant>
      <vt:variant>
        <vt:i4>2</vt:i4>
      </vt:variant>
    </vt:vector>
  </HeadingPairs>
  <TitlesOfParts>
    <vt:vector size="6" baseType="lpstr">
      <vt:lpstr>4637</vt:lpstr>
      <vt:lpstr>REGLAS</vt:lpstr>
      <vt:lpstr>CUBIERTA</vt:lpstr>
      <vt:lpstr>RESUMEN</vt:lpstr>
      <vt:lpstr>'4637'!Área_de_impresión</vt:lpstr>
      <vt:lpstr>CUBIERTA!Área_de_impresión</vt:lpstr>
    </vt:vector>
  </TitlesOfParts>
  <Company>http://www.centor.mx.gd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Centor</dc:creator>
  <cp:lastModifiedBy>franco donoso</cp:lastModifiedBy>
  <cp:lastPrinted>2026-05-11T14:51:32Z</cp:lastPrinted>
  <dcterms:created xsi:type="dcterms:W3CDTF">2013-03-19T12:54:14Z</dcterms:created>
  <dcterms:modified xsi:type="dcterms:W3CDTF">2026-05-29T23:15:14Z</dcterms:modified>
</cp:coreProperties>
</file>