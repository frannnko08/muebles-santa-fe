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48C40447-A204-4002-A2E8-FCEF5F812A1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" l="1"/>
  <c r="H22" i="4" s="1"/>
  <c r="E14" i="3"/>
  <c r="E22" i="3"/>
  <c r="J23" i="3"/>
  <c r="J15" i="3" s="1"/>
  <c r="C15" i="3" s="1"/>
  <c r="K23" i="3"/>
  <c r="L23" i="3"/>
  <c r="K15" i="3"/>
  <c r="L15" i="3"/>
  <c r="C23" i="3"/>
  <c r="F15" i="3"/>
  <c r="H21" i="4"/>
  <c r="C29" i="3"/>
  <c r="E29" i="3"/>
  <c r="F29" i="3"/>
  <c r="G29" i="3"/>
  <c r="C52" i="3"/>
  <c r="D52" i="3"/>
  <c r="D29" i="3" s="1"/>
  <c r="E52" i="3"/>
  <c r="F52" i="3"/>
  <c r="G52" i="3"/>
  <c r="G23" i="3" l="1"/>
  <c r="G15" i="3"/>
  <c r="H25" i="4"/>
  <c r="H26" i="4" s="1"/>
  <c r="G28" i="3"/>
  <c r="F28" i="3"/>
  <c r="L14" i="3" s="1"/>
  <c r="E28" i="3"/>
  <c r="K14" i="3" s="1"/>
  <c r="C28" i="3"/>
  <c r="G51" i="3"/>
  <c r="F51" i="3"/>
  <c r="E51" i="3"/>
  <c r="D51" i="3"/>
  <c r="D28" i="3" s="1"/>
  <c r="C51" i="3"/>
  <c r="H27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I51" i="3"/>
  <c r="J51" i="3" s="1"/>
  <c r="G14" i="3"/>
  <c r="F14" i="3"/>
  <c r="C22" i="3" l="1"/>
  <c r="J14" i="3"/>
  <c r="C14" i="3" s="1"/>
  <c r="J32" i="3"/>
  <c r="K51" i="3"/>
  <c r="J55" i="3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<sst xmlns="http://schemas.openxmlformats.org/spreadsheetml/2006/main" count="249" uniqueCount="143">
  <si>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</si>
  <si>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</si>
  <si>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</si>
  <si>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</si>
  <si>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</si>
  <si>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</si>
  <si>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</si>
  <si>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</si>
  <si>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</si>
  <si>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</si>
  <si>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</si>
  <si>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</si>
  <si>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</si>
  <si>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</si>
  <si>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</si>
  <si>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</si>
  <si>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</si>
  <si>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</si>
  <si>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</si>
  <si>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</si>
  <si>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</si>
  <si>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</si>
  <si>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</si>
  <si>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</si>
  <si>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</si>
  <si>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</si>
  <si>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</si>
  <si>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</si>
  <si>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</si>
  <si>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</si>
  <si>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</si>
  <si>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</si>
  <si>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</si>
  <si>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</si>
  <si>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</si>
  <si>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</si>
  <si>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</si>
  <si>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</si>
  <si>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</si>
  <si>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</si>
  <si>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</si>
  <si>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</si>
  <si>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</si>
  <si>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</si>
  <si>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</si>
  <si>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</si>
  <si>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</si>
  <si>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</si>
  <si>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</si>
  <si>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</si>
  <si>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</si>
  <si>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</si>
  <si>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</si>
  <si>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</si>
  <si>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</si>
  <si>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</si>
  <si>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</si>
  <si>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</si>
  <si>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</si>
  <si>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</si>
  <si>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</si>
  <si>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</si>
  <si>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</si>
  <si>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</si>
  <si>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</si>
  <si>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</si>
  <si>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</si>
  <si>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</si>
  <si>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</si>
  <si>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</si>
  <si>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</si>
  <si>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</si>
  <si>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</si>
  <si>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</si>
  <si>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</si>
  <si>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</si>
  <si>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</si>
  <si>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</si>
  <si>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</si>
  <si>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</si>
  <si>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</si>
  <si>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</si>
  <si>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</si>
  <si>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</si>
  <si>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</si>
  <si>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</si>
  <si>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</si>
  <si>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</si>
  <si>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</si>
  <si>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</si>
  <si>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</si>
  <si>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</si>
  <si>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</si>
  <si>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</si>
  <si>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</si>
  <si>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</si>
  <si>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</si>
  <si>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</si>
  <si>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</si>
  <si>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</si>
  <si>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</si>
  <si>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</si>
  <si>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</si>
  <si>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</si>
  <si>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</si>
  <si>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</si>
  <si>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</si>
  <si>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</si>
  <si>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</si>
  <si>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</si>
  <si>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</si>
  <si>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</si>
  <si>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</si>
  <si>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</si>
  <si>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</si>
  <si>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</si>
  <si>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</si>
  <si>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</si>
  <si>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</si>
  <si>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</si>
  <si>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</si>
  <si>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</si>
  <si>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</si>
  <si>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</si>
  <si>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</si>
  <si>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</si>
  <si>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</si>
  <si>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</si>
  <si>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</si>
  <si>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</si>
  <si>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</si>
  <si>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</si>
  <si>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</si>
  <si>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</si>
  <si>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</si>
  <si>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</si>
  <si>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</si>
  <si>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</si>
  <si>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</si>
  <si>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12123</t>
  </si>
  <si>
    <t>CUB MESA 3 LADOS</t>
  </si>
  <si>
    <t>SHELL WHITE BR</t>
  </si>
  <si>
    <t>GUSTAVO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</si>
</sst>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2" fillId="3" borderId="4" xfId="0" applyFont="1" applyFill="1" applyBorder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$133.250.-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CENEFA ES RESPALDO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782713</xdr:colOff>
      <xdr:row>45</xdr:row>
      <xdr:rowOff>95250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401955</xdr:colOff>
      <xdr:row>7</xdr:row>
      <xdr:rowOff>171450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5" zoomScale="98" zoomScaleNormal="98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7456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21" t="s">
        <v>142</v>
      </c>
      <c r="D10" s="37"/>
      <c r="E10" s="37"/>
      <c r="F10" s="38" t="s">
        <v>26</v>
      </c>
      <c r="G10" s="39">
        <v>46154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120</v>
      </c>
      <c r="G11" s="43"/>
      <c r="H11" s="44"/>
      <c r="I11" s="29"/>
    </row>
    <row r="12" spans="1:17" ht="18" x14ac:dyDescent="0.35">
      <c r="A12" s="29"/>
      <c r="B12" s="116" t="s">
        <v>126</v>
      </c>
      <c r="C12" s="37"/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C13" s="113"/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14"/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116" t="s">
        <v>1</v>
      </c>
      <c r="C15" s="115"/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52" t="s">
        <v>137</v>
      </c>
      <c r="D16" s="53"/>
      <c r="E16" s="54"/>
      <c r="F16" s="129" t="s">
        <v>17</v>
      </c>
      <c r="G16" s="129"/>
      <c r="H16" s="130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1" t="s">
        <v>18</v>
      </c>
      <c r="C19" s="132"/>
      <c r="D19" s="132"/>
      <c r="E19" s="132"/>
      <c r="F19" s="132"/>
      <c r="G19" s="132"/>
      <c r="H19" s="133"/>
      <c r="I19" s="29"/>
    </row>
    <row r="20" spans="1:16" ht="20.100000000000001" customHeight="1" x14ac:dyDescent="0.35">
      <c r="A20" s="29"/>
      <c r="B20" s="55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5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19">
        <v>1</v>
      </c>
      <c r="C21" s="119" t="s">
        <v>140</v>
      </c>
      <c r="D21" s="100">
        <v>1640</v>
      </c>
      <c r="E21" s="100">
        <v>760</v>
      </c>
      <c r="F21" s="119" t="s">
        <v>141</v>
      </c>
      <c r="G21" s="120">
        <v>111968</v>
      </c>
      <c r="H21" s="120">
        <f>G21*B21</f>
        <v>111968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19">
        <v>1</v>
      </c>
      <c r="C22" s="119" t="s">
        <v>110</v>
      </c>
      <c r="D22" s="100">
        <v>760</v>
      </c>
      <c r="E22" s="100">
        <v>100</v>
      </c>
      <c r="F22" s="119" t="s">
        <v>141</v>
      </c>
      <c r="G22" s="120">
        <f>7000/1.19</f>
        <v>5882.3529411764712</v>
      </c>
      <c r="H22" s="120">
        <f>G22*B22</f>
        <v>5882.3529411764712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/>
      <c r="C23" s="101"/>
      <c r="D23" s="102"/>
      <c r="E23" s="102"/>
      <c r="F23" s="101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1"/>
      <c r="C24" s="101"/>
      <c r="D24" s="109"/>
      <c r="E24" s="109"/>
      <c r="F24" s="101"/>
      <c r="G24" s="103"/>
      <c r="H24" s="103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58" t="s">
        <v>5</v>
      </c>
      <c r="H25" s="59">
        <f>SUM(H21:H22)</f>
        <v>117850.35294117648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G26" s="60" t="s">
        <v>136</v>
      </c>
      <c r="H26" s="61">
        <f>H25*0.19</f>
        <v>22391.56705882353</v>
      </c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1"/>
      <c r="C27" s="101"/>
      <c r="D27" s="109"/>
      <c r="E27" s="109"/>
      <c r="F27" s="101"/>
      <c r="G27" s="62" t="s">
        <v>4</v>
      </c>
      <c r="H27" s="63">
        <f>H25+H26</f>
        <v>140241.92000000001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9"/>
      <c r="E30" s="109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/>
      <c r="C32" s="101"/>
      <c r="D32" s="102"/>
      <c r="E32" s="102"/>
      <c r="F32" s="101"/>
      <c r="G32" s="103"/>
      <c r="H32" s="103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7"/>
      <c r="C33" s="57"/>
      <c r="D33" s="57"/>
      <c r="E33" s="57"/>
      <c r="F33" s="57"/>
      <c r="G33" s="56"/>
      <c r="H33" s="56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4"/>
      <c r="H37" s="65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6" t="s">
        <v>133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66" t="s">
        <v>119</v>
      </c>
      <c r="C40" s="67"/>
      <c r="D40" s="68"/>
      <c r="E40" s="68"/>
      <c r="F40" s="57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9" t="s">
        <v>24</v>
      </c>
      <c r="C42" s="6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9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0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28</v>
      </c>
      <c r="C2" s="134"/>
      <c r="D2" s="134"/>
      <c r="E2" s="12"/>
      <c r="G2" s="134" t="s">
        <v>67</v>
      </c>
      <c r="H2" s="134"/>
      <c r="I2" s="134"/>
      <c r="P2" s="135" t="s">
        <v>55</v>
      </c>
      <c r="Q2" s="135"/>
      <c r="R2" s="13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5" t="s">
        <v>55</v>
      </c>
      <c r="M8" s="135"/>
      <c r="N8" s="13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C9" zoomScaleNormal="100" workbookViewId="0">
      <selection activeCell="H37" sqref="B1:H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2" t="s">
        <v>58</v>
      </c>
      <c r="M3" s="122"/>
      <c r="N3" s="122" t="s">
        <v>13</v>
      </c>
      <c r="O3" s="122"/>
    </row>
    <row r="4" spans="1:15" ht="15.75" customHeight="1" x14ac:dyDescent="0.35">
      <c r="B4" s="29"/>
      <c r="C4" s="29"/>
      <c r="D4" s="72" t="s">
        <v>25</v>
      </c>
      <c r="E4" s="73">
        <f>'4637'!G8</f>
        <v>7456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64</v>
      </c>
      <c r="E5" s="75" t="str">
        <f>'4637'!C10</f>
        <v>GUSTAVO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8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3" t="s">
        <v>58</v>
      </c>
      <c r="C10" s="123"/>
      <c r="D10" s="123"/>
      <c r="E10" s="123"/>
      <c r="F10" s="123"/>
      <c r="G10" s="123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50</v>
      </c>
      <c r="F13" s="91"/>
      <c r="G13" s="90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138</v>
      </c>
      <c r="C14" s="92">
        <f>J14</f>
        <v>1</v>
      </c>
      <c r="D14" s="92"/>
      <c r="E14" s="92">
        <f>K14</f>
        <v>1640</v>
      </c>
      <c r="F14" s="92">
        <f>L14+F$13</f>
        <v>760</v>
      </c>
      <c r="G14" s="92" t="str">
        <f>D28</f>
        <v>CUB MESA 3 LADOS</v>
      </c>
      <c r="H14" s="29"/>
      <c r="J14" s="3">
        <f>J22</f>
        <v>1</v>
      </c>
      <c r="K14" s="4">
        <f t="shared" ref="K14:L14" si="0">E28</f>
        <v>1640</v>
      </c>
      <c r="L14" s="4">
        <f t="shared" si="0"/>
        <v>760</v>
      </c>
    </row>
    <row r="15" spans="1:15" ht="18" x14ac:dyDescent="0.35">
      <c r="A15" s="107"/>
      <c r="B15" s="99"/>
      <c r="C15" s="92">
        <f>J15</f>
        <v>1</v>
      </c>
      <c r="D15" s="92"/>
      <c r="E15" s="92">
        <v>810</v>
      </c>
      <c r="F15" s="92">
        <f>L15+F$13</f>
        <v>100</v>
      </c>
      <c r="G15" s="92" t="str">
        <f>D29</f>
        <v>CEN 1V</v>
      </c>
      <c r="H15" s="29"/>
      <c r="J15" s="3">
        <f>J23</f>
        <v>1</v>
      </c>
      <c r="K15" s="4">
        <f t="shared" ref="K15" si="1">E29</f>
        <v>760</v>
      </c>
      <c r="L15" s="4">
        <f t="shared" ref="L15" si="2">F29</f>
        <v>100</v>
      </c>
    </row>
    <row r="16" spans="1:15" ht="18" x14ac:dyDescent="0.35">
      <c r="A16" s="2"/>
      <c r="B16" s="81"/>
      <c r="C16" s="71"/>
      <c r="D16" s="71"/>
      <c r="E16" s="71"/>
      <c r="F16" s="71"/>
      <c r="G16" s="71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3" t="s">
        <v>13</v>
      </c>
      <c r="C18" s="123"/>
      <c r="D18" s="123"/>
      <c r="E18" s="123"/>
      <c r="F18" s="123"/>
      <c r="G18" s="123"/>
      <c r="H18" s="29"/>
    </row>
    <row r="19" spans="1:12" ht="10.5" customHeight="1" x14ac:dyDescent="0.35">
      <c r="A19" s="2"/>
      <c r="B19" s="29"/>
      <c r="C19" s="29"/>
      <c r="D19" s="89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4" t="s">
        <v>6</v>
      </c>
      <c r="F20" s="64" t="s">
        <v>7</v>
      </c>
      <c r="G20" s="29"/>
      <c r="H20" s="29"/>
    </row>
    <row r="21" spans="1:12" ht="18" x14ac:dyDescent="0.35">
      <c r="A21" s="2"/>
      <c r="B21" s="64" t="s">
        <v>8</v>
      </c>
      <c r="C21" s="80" t="s">
        <v>9</v>
      </c>
      <c r="D21" s="80" t="s">
        <v>10</v>
      </c>
      <c r="E21" s="93">
        <v>100</v>
      </c>
      <c r="F21" s="93">
        <v>100</v>
      </c>
      <c r="G21" s="80" t="s">
        <v>107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4">
        <f t="shared" ref="C22" si="3">J22</f>
        <v>1</v>
      </c>
      <c r="D22" s="94"/>
      <c r="E22" s="94">
        <f>K22+$E$21</f>
        <v>1740</v>
      </c>
      <c r="F22" s="94">
        <f t="shared" ref="F22" si="4">L22+F$21</f>
        <v>860</v>
      </c>
      <c r="G22" s="94" t="str">
        <f>D28</f>
        <v>CUB MESA 3 LADOS</v>
      </c>
      <c r="H22" s="29"/>
      <c r="J22" s="3">
        <f>C28</f>
        <v>1</v>
      </c>
      <c r="K22" s="104">
        <f>E28</f>
        <v>1640</v>
      </c>
      <c r="L22" s="104">
        <f>F28</f>
        <v>760</v>
      </c>
    </row>
    <row r="23" spans="1:12" ht="18" x14ac:dyDescent="0.35">
      <c r="A23" s="107"/>
      <c r="B23" s="99"/>
      <c r="C23" s="94">
        <f t="shared" ref="C23" si="5">J23</f>
        <v>1</v>
      </c>
      <c r="D23" s="94"/>
      <c r="E23" s="94">
        <v>800</v>
      </c>
      <c r="F23" s="94">
        <v>160</v>
      </c>
      <c r="G23" s="94" t="str">
        <f>D29</f>
        <v>CEN 1V</v>
      </c>
      <c r="H23" s="29"/>
      <c r="J23" s="3">
        <f>C29</f>
        <v>1</v>
      </c>
      <c r="K23" s="104">
        <f>E29</f>
        <v>760</v>
      </c>
      <c r="L23" s="104">
        <f>F29</f>
        <v>100</v>
      </c>
    </row>
    <row r="24" spans="1:12" ht="18.600000000000001" thickBot="1" x14ac:dyDescent="0.4">
      <c r="A24" s="2"/>
      <c r="B24" s="81"/>
      <c r="C24" s="71"/>
      <c r="D24" s="71"/>
      <c r="E24" s="71"/>
      <c r="F24" s="71"/>
      <c r="G24" s="71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64"/>
      <c r="C25" s="95" t="s">
        <v>104</v>
      </c>
      <c r="D25" s="32"/>
      <c r="E25" s="32"/>
      <c r="F25" s="32"/>
      <c r="G25" s="96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4" t="s">
        <v>8</v>
      </c>
      <c r="C27" s="97" t="s">
        <v>9</v>
      </c>
      <c r="D27" s="97" t="s">
        <v>107</v>
      </c>
      <c r="E27" s="97" t="s">
        <v>6</v>
      </c>
      <c r="F27" s="97" t="s">
        <v>7</v>
      </c>
      <c r="G27" s="97" t="s">
        <v>21</v>
      </c>
      <c r="H27" s="29"/>
    </row>
    <row r="28" spans="1:12" ht="18" x14ac:dyDescent="0.35">
      <c r="A28" s="107">
        <v>1</v>
      </c>
      <c r="B28" s="99" t="s">
        <v>138</v>
      </c>
      <c r="C28" s="92">
        <f>'4637'!B21</f>
        <v>1</v>
      </c>
      <c r="D28" s="92" t="str">
        <f>D51</f>
        <v>CUB MESA 3 LADOS</v>
      </c>
      <c r="E28" s="112">
        <f>'4637'!D21</f>
        <v>1640</v>
      </c>
      <c r="F28" s="112">
        <f>'4637'!E21</f>
        <v>760</v>
      </c>
      <c r="G28" s="4" t="str">
        <f>'4637'!F21</f>
        <v>SHELL WHITE BR</v>
      </c>
      <c r="H28" s="29"/>
      <c r="I28" s="28">
        <f>E28*F28/1000000</f>
        <v>1.2464</v>
      </c>
      <c r="J28" s="28">
        <f>I28*C28</f>
        <v>1.2464</v>
      </c>
    </row>
    <row r="29" spans="1:12" ht="18" x14ac:dyDescent="0.35">
      <c r="A29" s="107"/>
      <c r="B29" s="99"/>
      <c r="C29" s="92">
        <f>'4637'!B22</f>
        <v>1</v>
      </c>
      <c r="D29" s="92" t="str">
        <f>D52</f>
        <v>CEN 1V</v>
      </c>
      <c r="E29" s="112">
        <f>'4637'!D22</f>
        <v>760</v>
      </c>
      <c r="F29" s="112">
        <f>'4637'!E22</f>
        <v>100</v>
      </c>
      <c r="G29" s="4" t="str">
        <f>'4637'!F22</f>
        <v>SHELL WHITE BR</v>
      </c>
      <c r="H29" s="29"/>
      <c r="I29" s="28"/>
      <c r="J29" s="28"/>
    </row>
    <row r="30" spans="1:12" ht="18" x14ac:dyDescent="0.35">
      <c r="A30" s="107"/>
      <c r="B30" s="99"/>
      <c r="C30" s="71"/>
      <c r="D30" s="71"/>
      <c r="E30" s="117"/>
      <c r="F30" s="117"/>
      <c r="G30" s="2"/>
      <c r="H30" s="29"/>
      <c r="I30" s="28"/>
      <c r="J30" s="28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  <c r="J32" s="28">
        <f>SUM(J28:J28)*2</f>
        <v>2.4927999999999999</v>
      </c>
    </row>
    <row r="33" spans="1:8" ht="18" x14ac:dyDescent="0.35">
      <c r="A33" s="2"/>
      <c r="B33" s="29"/>
      <c r="C33" s="71"/>
      <c r="D33" s="71"/>
      <c r="E33" s="71"/>
      <c r="F33" s="71"/>
      <c r="G33" s="71"/>
      <c r="H33" s="29"/>
    </row>
    <row r="34" spans="1:8" ht="18" x14ac:dyDescent="0.35">
      <c r="A34" s="2"/>
      <c r="B34" s="29"/>
      <c r="C34" s="71"/>
      <c r="D34" s="71"/>
      <c r="E34" s="71"/>
      <c r="F34" s="71"/>
      <c r="G34" s="71"/>
      <c r="H34" s="29"/>
    </row>
    <row r="35" spans="1:8" ht="18" x14ac:dyDescent="0.35">
      <c r="A35" s="2"/>
      <c r="B35" s="29"/>
      <c r="C35" s="71"/>
      <c r="D35" s="71"/>
      <c r="E35" s="71"/>
      <c r="F35" s="71"/>
      <c r="G35" s="71"/>
      <c r="H35" s="29"/>
    </row>
    <row r="36" spans="1:8" ht="18" x14ac:dyDescent="0.35">
      <c r="A36" s="2"/>
      <c r="B36" s="29"/>
      <c r="C36" s="71"/>
      <c r="D36" s="71"/>
      <c r="E36" s="71"/>
      <c r="F36" s="71"/>
      <c r="G36" s="71"/>
      <c r="H36" s="29"/>
    </row>
    <row r="37" spans="1:8" ht="18" x14ac:dyDescent="0.35">
      <c r="A37" s="2"/>
      <c r="B37" s="29"/>
      <c r="C37" s="71"/>
      <c r="D37" s="71"/>
      <c r="E37" s="71"/>
      <c r="F37" s="71"/>
      <c r="G37" s="71"/>
      <c r="H37" s="29"/>
    </row>
    <row r="38" spans="1:8" ht="18" x14ac:dyDescent="0.35">
      <c r="A38" s="2"/>
      <c r="B38" s="29"/>
      <c r="C38" s="71"/>
      <c r="D38" s="71"/>
      <c r="E38" s="71"/>
      <c r="F38" s="71"/>
      <c r="G38" s="71"/>
      <c r="H38" s="29"/>
    </row>
    <row r="39" spans="1:8" ht="18" x14ac:dyDescent="0.35">
      <c r="A39" s="2"/>
      <c r="B39" s="29"/>
      <c r="C39" s="71"/>
      <c r="D39" s="71"/>
      <c r="E39" s="71"/>
      <c r="F39" s="71"/>
      <c r="G39" s="71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2" t="s">
        <v>25</v>
      </c>
      <c r="E41" s="73">
        <f>'4637'!G8</f>
        <v>7456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4" t="s">
        <v>64</v>
      </c>
      <c r="E42" s="75" t="str">
        <f>'4637'!C10</f>
        <v>GUSTAVO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6"/>
      <c r="E43" s="77"/>
      <c r="F43" s="29"/>
      <c r="G43" s="29"/>
      <c r="H43" s="29"/>
    </row>
    <row r="44" spans="1:8" ht="18" x14ac:dyDescent="0.35">
      <c r="A44" s="2"/>
      <c r="B44" s="29"/>
      <c r="C44" s="29"/>
      <c r="D44" s="78" t="str">
        <f>'4637'!F11</f>
        <v>FECHA LIMITE :</v>
      </c>
      <c r="E44" s="79">
        <f>'4637'!G11</f>
        <v>0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135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24" t="s">
        <v>65</v>
      </c>
      <c r="C47" s="124"/>
      <c r="D47" s="124"/>
      <c r="E47" s="124"/>
      <c r="F47" s="124"/>
      <c r="G47" s="124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25" t="s">
        <v>66</v>
      </c>
      <c r="D49" s="126"/>
      <c r="E49" s="127"/>
      <c r="F49" s="127"/>
      <c r="G49" s="128"/>
      <c r="H49" s="29"/>
      <c r="I49" s="25" t="s">
        <v>130</v>
      </c>
    </row>
    <row r="50" spans="1:13" s="10" customFormat="1" ht="20.100000000000001" customHeight="1" x14ac:dyDescent="0.35">
      <c r="A50" s="108"/>
      <c r="B50" s="29"/>
      <c r="C50" s="82" t="s">
        <v>9</v>
      </c>
      <c r="D50" s="83" t="s">
        <v>10</v>
      </c>
      <c r="E50" s="86" t="s">
        <v>6</v>
      </c>
      <c r="F50" s="86" t="s">
        <v>7</v>
      </c>
      <c r="G50" s="84" t="s">
        <v>11</v>
      </c>
      <c r="H50" s="29"/>
      <c r="K50" s="10">
        <v>15000</v>
      </c>
    </row>
    <row r="51" spans="1:13" s="10" customFormat="1" ht="20.100000000000001" customHeight="1" x14ac:dyDescent="0.35">
      <c r="A51" s="107">
        <v>1</v>
      </c>
      <c r="B51" s="98" t="s">
        <v>138</v>
      </c>
      <c r="C51" s="94">
        <f>'4637'!B21</f>
        <v>1</v>
      </c>
      <c r="D51" s="4" t="str">
        <f>'4637'!C21</f>
        <v>CUB MESA 3 LADOS</v>
      </c>
      <c r="E51" s="112">
        <f>'4637'!D21</f>
        <v>1640</v>
      </c>
      <c r="F51" s="100">
        <f>'4637'!E21</f>
        <v>760</v>
      </c>
      <c r="G51" s="4" t="str">
        <f>'4637'!F21</f>
        <v>SHELL WHITE BR</v>
      </c>
      <c r="H51" s="29"/>
      <c r="I51" s="10">
        <f>E51*F51/1000000</f>
        <v>1.2464</v>
      </c>
      <c r="J51" s="10">
        <f>I51*C51</f>
        <v>1.2464</v>
      </c>
      <c r="K51" s="26">
        <f>J51*K$50</f>
        <v>18696</v>
      </c>
      <c r="M51" s="24">
        <v>12096</v>
      </c>
    </row>
    <row r="52" spans="1:13" s="10" customFormat="1" ht="20.100000000000001" customHeight="1" x14ac:dyDescent="0.35">
      <c r="A52" s="107"/>
      <c r="B52" s="98"/>
      <c r="C52" s="94">
        <f>'4637'!B22</f>
        <v>1</v>
      </c>
      <c r="D52" s="4" t="str">
        <f>'4637'!C22</f>
        <v>CEN 1V</v>
      </c>
      <c r="E52" s="112">
        <f>'4637'!D22</f>
        <v>760</v>
      </c>
      <c r="F52" s="100">
        <f>'4637'!E22</f>
        <v>100</v>
      </c>
      <c r="G52" s="4" t="str">
        <f>'4637'!F22</f>
        <v>SHELL WHITE BR</v>
      </c>
      <c r="H52" s="29"/>
      <c r="K52" s="26"/>
      <c r="M52" s="118"/>
    </row>
    <row r="53" spans="1:13" s="10" customFormat="1" ht="15" customHeight="1" x14ac:dyDescent="0.35">
      <c r="B53" s="81"/>
      <c r="C53" s="64"/>
      <c r="D53" s="64"/>
      <c r="E53" s="64"/>
      <c r="F53" s="64"/>
      <c r="G53" s="64"/>
      <c r="H53" s="29"/>
    </row>
    <row r="54" spans="1:13" ht="18" x14ac:dyDescent="0.35">
      <c r="B54" s="71"/>
      <c r="C54" s="71"/>
      <c r="D54" s="29"/>
      <c r="E54" s="71"/>
      <c r="F54" s="71"/>
      <c r="G54" s="76"/>
      <c r="H54" s="29"/>
    </row>
    <row r="55" spans="1:13" ht="18" x14ac:dyDescent="0.35">
      <c r="B55" s="71"/>
      <c r="C55" s="71"/>
      <c r="D55" s="29"/>
      <c r="E55" s="71"/>
      <c r="F55" s="71"/>
      <c r="G55" s="71"/>
      <c r="H55" s="29"/>
      <c r="J55" s="10">
        <f>SUM(J51:J51)</f>
        <v>1.2464</v>
      </c>
      <c r="K55" s="27">
        <f>SUM(K51:K51)</f>
        <v>18696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1"/>
      <c r="C61" s="85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2026-05-15T18:34:33Z</cp:lastPrinted>
  <dcterms:created xsi:type="dcterms:W3CDTF">2013-03-19T12:54:14Z</dcterms:created>
  <dcterms:modified xsi:type="dcterms:W3CDTF">2026-05-15T20:26:20Z</dcterms:modified>
</cp:coreProperties>
</file>