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6E1A182E-F623-44E7-B3EB-4542D8A6A8C0}" xr6:coauthVersionLast="47" xr6:coauthVersionMax="47" xr10:uidLastSave="{00000000-0000-0000-0000-000000000000}"/>
  <bookViews>
    <workbookView xWindow="-20610" yWindow="1635" windowWidth="20730" windowHeight="11040" activeTab="3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'4637'!$A$1:$H$30</definedName>
    <definedName name="_xlnm.Print_Area" localSheetId="2">CUBIERTA!$A$1:$F$21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A2" i="6"/>
  <c r="B2" i="6"/>
  <c r="H21" i="4"/>
  <c r="B26" i="3" l="1"/>
  <c r="I21" i="3" s="1"/>
  <c r="I14" i="3" s="1"/>
  <c r="B14" i="3" s="1"/>
  <c r="C26" i="3"/>
  <c r="F14" i="3" s="1"/>
  <c r="D26" i="3"/>
  <c r="J21" i="3" s="1"/>
  <c r="J14" i="3" s="1"/>
  <c r="D14" i="3" s="1"/>
  <c r="E26" i="3"/>
  <c r="F26" i="3"/>
  <c r="B46" i="3"/>
  <c r="C46" i="3"/>
  <c r="D46" i="3"/>
  <c r="E46" i="3"/>
  <c r="F46" i="3"/>
  <c r="H24" i="4"/>
  <c r="K21" i="3" l="1"/>
  <c r="D21" i="3"/>
  <c r="B21" i="3"/>
  <c r="F21" i="3"/>
  <c r="K14" i="3" l="1"/>
  <c r="E14" i="3" s="1"/>
  <c r="E21" i="3"/>
  <c r="H25" i="4"/>
  <c r="H26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<sst xmlns="http://schemas.openxmlformats.org/spreadsheetml/2006/main" count="249" uniqueCount="146">
  <si>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</si>
  <si>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</si>
  <si>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</si>
  <si>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</si>
  <si>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</si>
  <si>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</si>
  <si>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</si>
  <si>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</si>
  <si>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</si>
  <si>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</si>
  <si>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</si>
  <si>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</si>
  <si>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</si>
  <si>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</si>
  <si>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</si>
  <si>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</si>
  <si>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</si>
  <si>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</si>
  <si>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</si>
  <si>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</si>
  <si>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</si>
  <si>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</si>
  <si>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</si>
  <si>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</si>
  <si>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</si>
  <si>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</si>
  <si>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</si>
  <si>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</si>
  <si>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</si>
  <si>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</si>
  <si>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</si>
  <si>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</si>
  <si>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</si>
  <si>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</si>
  <si>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</si>
  <si>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</si>
  <si>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</si>
  <si>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</si>
  <si>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</si>
  <si>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</si>
  <si>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</si>
  <si>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</si>
  <si>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</si>
  <si>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</si>
  <si>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</si>
  <si>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</si>
  <si>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</si>
  <si>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</si>
  <si>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</si>
  <si>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</si>
  <si>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</si>
  <si>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</si>
  <si>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</si>
  <si>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</si>
  <si>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</si>
  <si>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</si>
  <si>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</si>
  <si>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</si>
  <si>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</si>
  <si>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</si>
  <si>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</si>
  <si>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</si>
  <si>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</si>
  <si>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</si>
  <si>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</si>
  <si>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</si>
  <si>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</si>
  <si>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</si>
  <si>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</si>
  <si>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</si>
  <si>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</si>
  <si>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</si>
  <si>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</si>
  <si>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</si>
  <si>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</si>
  <si>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</si>
  <si>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</si>
  <si>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</si>
  <si>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</si>
  <si>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</si>
  <si>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</si>
  <si>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</si>
  <si>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</si>
  <si>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</si>
  <si>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</si>
  <si>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</si>
  <si>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</si>
  <si>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</si>
  <si>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</si>
  <si>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</si>
  <si>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</si>
  <si>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</si>
  <si>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</si>
  <si>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</si>
  <si>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</si>
  <si>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</si>
  <si>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</si>
  <si>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</si>
  <si>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</si>
  <si>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</si>
  <si>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</si>
  <si>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</si>
  <si>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</si>
  <si>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</si>
  <si>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</si>
  <si>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</si>
  <si>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</si>
  <si>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</si>
  <si>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</si>
  <si>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</si>
  <si>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</si>
  <si>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</si>
  <si>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</si>
  <si>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</si>
  <si>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</si>
  <si>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</si>
  <si>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</si>
  <si>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</si>
  <si>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</si>
  <si>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</si>
  <si>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</si>
  <si>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</si>
  <si>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</si>
  <si>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</si>
  <si>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</si>
  <si>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</si>
  <si>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</si>
  <si>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</si>
  <si>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</si>
  <si>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</si>
  <si>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</si>
  <si>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</si>
  <si>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</si>
  <si>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</si>
  <si>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MDF30MM</t>
  </si>
  <si>
    <t>NO</t>
  </si>
  <si>
    <t>MDF15MM</t>
  </si>
  <si>
    <t>CUB C/R 180°</t>
  </si>
  <si>
    <t>BLANCO MT</t>
  </si>
  <si>
    <t>MARCO</t>
  </si>
  <si>
    <t>+56 9 9435 8963</t>
  </si>
  <si>
    <t>NOTA DE VENTA</t>
  </si>
  <si>
    <t>COTIZACION</t>
  </si>
  <si>
    <t>NOMBRE</t>
  </si>
  <si>
    <t>FECHA</t>
  </si>
  <si>
    <t>N° 12167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</si>
</sst>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0" fillId="0" borderId="0" xfId="3" applyNumberFormat="1" applyFont="1"/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5967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38100</xdr:colOff>
      <xdr:row>48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0</xdr:rowOff>
    </xdr:from>
    <xdr:to>
      <xdr:col>2</xdr:col>
      <xdr:colOff>1019175</xdr:colOff>
      <xdr:row>47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0</xdr:rowOff>
    </xdr:from>
    <xdr:to>
      <xdr:col>3</xdr:col>
      <xdr:colOff>352425</xdr:colOff>
      <xdr:row>48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0</xdr:rowOff>
    </xdr:from>
    <xdr:to>
      <xdr:col>4</xdr:col>
      <xdr:colOff>257175</xdr:colOff>
      <xdr:row>48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0</xdr:rowOff>
    </xdr:from>
    <xdr:to>
      <xdr:col>5</xdr:col>
      <xdr:colOff>447675</xdr:colOff>
      <xdr:row>47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0</xdr:rowOff>
    </xdr:from>
    <xdr:to>
      <xdr:col>6</xdr:col>
      <xdr:colOff>0</xdr:colOff>
      <xdr:row>47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47</xdr:row>
      <xdr:rowOff>190500</xdr:rowOff>
    </xdr:from>
    <xdr:to>
      <xdr:col>2</xdr:col>
      <xdr:colOff>304800</xdr:colOff>
      <xdr:row>49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47</xdr:row>
      <xdr:rowOff>190500</xdr:rowOff>
    </xdr:from>
    <xdr:to>
      <xdr:col>2</xdr:col>
      <xdr:colOff>1276350</xdr:colOff>
      <xdr:row>49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190500</xdr:rowOff>
    </xdr:from>
    <xdr:to>
      <xdr:col>3</xdr:col>
      <xdr:colOff>619125</xdr:colOff>
      <xdr:row>49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190500</xdr:rowOff>
    </xdr:from>
    <xdr:to>
      <xdr:col>4</xdr:col>
      <xdr:colOff>523875</xdr:colOff>
      <xdr:row>49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190500</xdr:rowOff>
    </xdr:from>
    <xdr:to>
      <xdr:col>5</xdr:col>
      <xdr:colOff>723900</xdr:colOff>
      <xdr:row>49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190500</xdr:rowOff>
    </xdr:from>
    <xdr:to>
      <xdr:col>6</xdr:col>
      <xdr:colOff>0</xdr:colOff>
      <xdr:row>49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50</xdr:row>
      <xdr:rowOff>32385</xdr:rowOff>
    </xdr:from>
    <xdr:to>
      <xdr:col>6</xdr:col>
      <xdr:colOff>19050</xdr:colOff>
      <xdr:row>54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552208</xdr:colOff>
      <xdr:row>40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5" width="9.109375" customWidth="1"/>
    <col min="6" max="6" width="28.88671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145</v>
      </c>
      <c r="E8" s="1"/>
      <c r="F8" s="93" t="s">
        <v>27</v>
      </c>
      <c r="G8" s="94">
        <v>7473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46167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46169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 t="s">
        <v>140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6" t="s">
        <v>137</v>
      </c>
      <c r="D21" s="107">
        <v>1030</v>
      </c>
      <c r="E21" s="107">
        <v>550</v>
      </c>
      <c r="F21" s="106" t="s">
        <v>138</v>
      </c>
      <c r="G21" s="108">
        <v>43382</v>
      </c>
      <c r="H21" s="109">
        <f t="shared" ref="H21" si="0">G21*B21</f>
        <v>43382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43382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8242.58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51624.58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topLeftCell="A39" zoomScaleNormal="100" workbookViewId="0">
      <selection activeCell="H52" sqref="H5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7473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MARCO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46169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1</v>
      </c>
      <c r="C14" s="25"/>
      <c r="D14" s="25">
        <f t="shared" ref="D14:E14" si="1">J14+D$13</f>
        <v>1080</v>
      </c>
      <c r="E14" s="35">
        <f t="shared" si="1"/>
        <v>520</v>
      </c>
      <c r="F14" s="99" t="str">
        <f>C26</f>
        <v>CUB C/R 180°</v>
      </c>
      <c r="G14" s="1"/>
      <c r="I14" s="89">
        <f>I21</f>
        <v>1</v>
      </c>
      <c r="J14" s="4">
        <f>J21</f>
        <v>1030</v>
      </c>
      <c r="K14" s="4">
        <f>K21</f>
        <v>550</v>
      </c>
    </row>
    <row r="15" spans="1:14" ht="15.6" x14ac:dyDescent="0.3">
      <c r="A15" s="52"/>
      <c r="B15" s="6"/>
      <c r="C15" s="6"/>
      <c r="D15" s="6"/>
      <c r="E15" s="102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 t="shared" ref="D21" si="3">J21+D$20</f>
        <v>1070</v>
      </c>
      <c r="E21" s="16">
        <f>K21+$E$20</f>
        <v>700</v>
      </c>
      <c r="F21" s="100" t="str">
        <f>C26</f>
        <v>CUB C/R 180°</v>
      </c>
      <c r="G21" s="1"/>
      <c r="I21" s="3">
        <f>B26</f>
        <v>1</v>
      </c>
      <c r="J21" s="4">
        <f>D26</f>
        <v>1030</v>
      </c>
      <c r="K21" s="4">
        <f t="shared" ref="K21" si="4">E26</f>
        <v>550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136</v>
      </c>
      <c r="B26" s="25">
        <f>'4637'!B21</f>
        <v>1</v>
      </c>
      <c r="C26" s="99" t="str">
        <f>'4637'!C21</f>
        <v>CUB C/R 180°</v>
      </c>
      <c r="D26" s="25">
        <f>'4637'!D21</f>
        <v>1030</v>
      </c>
      <c r="E26" s="25">
        <f>'4637'!E21</f>
        <v>550</v>
      </c>
      <c r="F26" s="25" t="str">
        <f>'4637'!F21</f>
        <v>BLANCO MT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40" t="s">
        <v>27</v>
      </c>
      <c r="D36" s="14">
        <f>'4637'!G8</f>
        <v>7473</v>
      </c>
      <c r="E36" s="1"/>
      <c r="F36" s="1"/>
      <c r="G36" s="1"/>
    </row>
    <row r="37" spans="1:7" ht="17.25" customHeight="1" x14ac:dyDescent="0.3">
      <c r="A37" s="1"/>
      <c r="B37" s="1"/>
      <c r="C37" s="41" t="s">
        <v>67</v>
      </c>
      <c r="D37" s="42" t="str">
        <f>'4637'!C10</f>
        <v>MARCO</v>
      </c>
      <c r="E37" s="43"/>
      <c r="F37" s="43"/>
      <c r="G37" s="1"/>
    </row>
    <row r="38" spans="1:7" ht="4.5" customHeight="1" x14ac:dyDescent="0.3">
      <c r="A38" s="1"/>
      <c r="B38" s="1"/>
      <c r="C38" s="44"/>
      <c r="D38" s="45"/>
      <c r="E38" s="1"/>
      <c r="F38" s="1"/>
      <c r="G38" s="1"/>
    </row>
    <row r="39" spans="1:7" ht="15.6" x14ac:dyDescent="0.3">
      <c r="A39" s="1"/>
      <c r="B39" s="1"/>
      <c r="C39" s="46" t="str">
        <f>'4637'!F11</f>
        <v>FECHA LIMITE :</v>
      </c>
      <c r="D39" s="13">
        <f>'4637'!G11</f>
        <v>46169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9" t="s">
        <v>68</v>
      </c>
      <c r="B42" s="119"/>
      <c r="C42" s="119"/>
      <c r="D42" s="119"/>
      <c r="E42" s="119"/>
      <c r="F42" s="119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20" t="s">
        <v>69</v>
      </c>
      <c r="C44" s="121"/>
      <c r="D44" s="122"/>
      <c r="E44" s="122"/>
      <c r="F44" s="123"/>
      <c r="G44" s="1"/>
    </row>
    <row r="45" spans="1:7" s="15" customFormat="1" ht="12.75" customHeight="1" x14ac:dyDescent="0.3">
      <c r="A45" s="1"/>
      <c r="B45" s="36" t="s">
        <v>10</v>
      </c>
      <c r="C45" s="47" t="s">
        <v>11</v>
      </c>
      <c r="D45" s="48" t="s">
        <v>7</v>
      </c>
      <c r="E45" s="48" t="s">
        <v>8</v>
      </c>
      <c r="F45" s="49" t="s">
        <v>12</v>
      </c>
      <c r="G45" s="1"/>
    </row>
    <row r="46" spans="1:7" s="15" customFormat="1" ht="15" customHeight="1" x14ac:dyDescent="0.3">
      <c r="A46" s="95" t="s">
        <v>134</v>
      </c>
      <c r="B46" s="38">
        <f>'4637'!B21</f>
        <v>1</v>
      </c>
      <c r="C46" s="98" t="str">
        <f>'4637'!C21</f>
        <v>CUB C/R 180°</v>
      </c>
      <c r="D46" s="39">
        <f>'4637'!D21</f>
        <v>1030</v>
      </c>
      <c r="E46" s="39">
        <f>'4637'!E21</f>
        <v>550</v>
      </c>
      <c r="F46" s="38" t="str">
        <f>'4637'!F21</f>
        <v>BLANCO MT</v>
      </c>
      <c r="G46" s="1"/>
    </row>
    <row r="47" spans="1:7" s="15" customFormat="1" ht="15" customHeight="1" x14ac:dyDescent="0.3">
      <c r="A47" s="50"/>
      <c r="B47" s="52"/>
      <c r="C47" s="52"/>
      <c r="D47" s="52"/>
      <c r="E47" s="52"/>
      <c r="F47" s="52"/>
      <c r="G47" s="1"/>
    </row>
    <row r="48" spans="1:7" ht="15.6" x14ac:dyDescent="0.3">
      <c r="A48" s="6"/>
      <c r="B48" s="6"/>
      <c r="C48" s="1"/>
      <c r="D48" s="6"/>
      <c r="E48" s="6"/>
      <c r="F48" s="44"/>
      <c r="G48" s="1"/>
    </row>
    <row r="49" spans="1:7" ht="15.6" x14ac:dyDescent="0.3">
      <c r="A49" s="6"/>
      <c r="B49" s="6"/>
      <c r="C49" s="1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" customHeight="1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6"/>
      <c r="B55" s="5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x14ac:dyDescent="0.3">
      <c r="B57" s="20"/>
      <c r="C57" s="20"/>
      <c r="D57" s="20"/>
      <c r="E57" s="20"/>
      <c r="F57" s="20"/>
    </row>
    <row r="58" spans="1:7" x14ac:dyDescent="0.3">
      <c r="B58" s="20"/>
      <c r="C58" s="20"/>
      <c r="E58" s="20"/>
      <c r="F58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2744-7F05-45F2-9812-7325CAC792EF}">
  <dimension ref="A1:E2"/>
  <sheetViews>
    <sheetView tabSelected="1" workbookViewId="0">
      <selection activeCell="G7" sqref="G7"/>
    </sheetView>
  </sheetViews>
  <sheetFormatPr baseColWidth="10" defaultRowHeight="14.4" x14ac:dyDescent="0.3"/>
  <cols>
    <col min="2" max="2" width="14.88671875" bestFit="1" customWidth="1"/>
    <col min="3" max="3" width="33.33203125" customWidth="1"/>
  </cols>
  <sheetData>
    <row r="1" spans="1:5" x14ac:dyDescent="0.3">
      <c r="A1" t="s">
        <v>142</v>
      </c>
      <c r="B1" t="s">
        <v>141</v>
      </c>
      <c r="C1" t="s">
        <v>143</v>
      </c>
      <c r="D1" s="110" t="s">
        <v>144</v>
      </c>
      <c r="E1" t="s">
        <v>4</v>
      </c>
    </row>
    <row r="2" spans="1:5" x14ac:dyDescent="0.3">
      <c r="A2" t="str">
        <f>'4637'!D8</f>
        <v>N° 12167</v>
      </c>
      <c r="B2">
        <f>'4637'!G8</f>
        <v>7473</v>
      </c>
      <c r="C2" t="str">
        <f>'4637'!C10</f>
        <v>MARCO</v>
      </c>
      <c r="D2" s="110">
        <f>'4637'!G10</f>
        <v>46167</v>
      </c>
      <c r="E2" s="124">
        <f>'4637'!H26</f>
        <v>51624.58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2026-05-26T16:49:45Z</cp:lastPrinted>
  <dcterms:created xsi:type="dcterms:W3CDTF">2013-03-19T12:54:14Z</dcterms:created>
  <dcterms:modified xsi:type="dcterms:W3CDTF">2026-05-27T13:43:45Z</dcterms:modified>
</cp:coreProperties>
</file>