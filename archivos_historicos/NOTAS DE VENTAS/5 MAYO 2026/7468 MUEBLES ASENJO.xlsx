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939AC910-B68D-4B06-8D4B-1CD9537B8B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" l="1"/>
  <c r="I24" i="3" s="1"/>
  <c r="B24" i="3" s="1"/>
  <c r="C31" i="3"/>
  <c r="F24" i="3" s="1"/>
  <c r="D31" i="3"/>
  <c r="J24" i="3" s="1"/>
  <c r="D24" i="3" s="1"/>
  <c r="E31" i="3"/>
  <c r="K24" i="3" s="1"/>
  <c r="E24" i="3" s="1"/>
  <c r="F31" i="3"/>
  <c r="B53" i="3"/>
  <c r="C53" i="3"/>
  <c r="D53" i="3"/>
  <c r="E53" i="3"/>
  <c r="F53" i="3"/>
  <c r="H22" i="4"/>
  <c r="H21" i="4"/>
  <c r="I15" i="3" l="1"/>
  <c r="B15" i="3" s="1"/>
  <c r="K15" i="3"/>
  <c r="E15" i="3" s="1"/>
  <c r="J15" i="3"/>
  <c r="D15" i="3" s="1"/>
  <c r="F15" i="3"/>
  <c r="B30" i="3"/>
  <c r="I23" i="3" s="1"/>
  <c r="I14" i="3" s="1"/>
  <c r="B14" i="3" s="1"/>
  <c r="C30" i="3"/>
  <c r="F14" i="3" s="1"/>
  <c r="D30" i="3"/>
  <c r="J23" i="3" s="1"/>
  <c r="J14" i="3" s="1"/>
  <c r="D14" i="3" s="1"/>
  <c r="E30" i="3"/>
  <c r="F30" i="3"/>
  <c r="B52" i="3"/>
  <c r="C52" i="3"/>
  <c r="D52" i="3"/>
  <c r="E52" i="3"/>
  <c r="F52" i="3"/>
  <c r="H25" i="4"/>
  <c r="K23" i="3" l="1"/>
  <c r="K14" i="3" s="1"/>
  <c r="E14" i="3" s="1"/>
  <c r="D23" i="3"/>
  <c r="B23" i="3"/>
  <c r="F23" i="3"/>
  <c r="E23" i="3" l="1"/>
  <c r="H26" i="4"/>
  <c r="H27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<sst xmlns="http://schemas.openxmlformats.org/spreadsheetml/2006/main" count="251" uniqueCount="145">
  <si>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</si>
  <si>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</si>
  <si>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</si>
  <si>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</si>
  <si>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</si>
  <si>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</si>
  <si>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</si>
  <si>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</si>
  <si>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</si>
  <si>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</si>
  <si>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</si>
  <si>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</si>
  <si>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</si>
  <si>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</si>
  <si>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</si>
  <si>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</si>
  <si>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</si>
  <si>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</si>
  <si>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</si>
  <si>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</si>
  <si>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</si>
  <si>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</si>
  <si>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</si>
  <si>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</si>
  <si>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</si>
  <si>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</si>
  <si>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</si>
  <si>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</si>
  <si>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</si>
  <si>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</si>
  <si>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</si>
  <si>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</si>
  <si>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</si>
  <si>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</si>
  <si>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</si>
  <si>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</si>
  <si>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</si>
  <si>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</si>
  <si>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</si>
  <si>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</si>
  <si>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</si>
  <si>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</si>
  <si>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</si>
  <si>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</si>
  <si>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</si>
  <si>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</si>
  <si>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</si>
  <si>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</si>
  <si>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</si>
  <si>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</si>
  <si>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</si>
  <si>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</si>
  <si>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</si>
  <si>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</si>
  <si>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</si>
  <si>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</si>
  <si>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</si>
  <si>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</si>
  <si>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</si>
  <si>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</si>
  <si>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</si>
  <si>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</si>
  <si>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</si>
  <si>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</si>
  <si>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</si>
  <si>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</si>
  <si>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</si>
  <si>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</si>
  <si>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</si>
  <si>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</si>
  <si>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</si>
  <si>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</si>
  <si>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</si>
  <si>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</si>
  <si>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</si>
  <si>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</si>
  <si>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</si>
  <si>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</si>
  <si>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</si>
  <si>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</si>
  <si>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</si>
  <si>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</si>
  <si>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</si>
  <si>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</si>
  <si>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</si>
  <si>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</si>
  <si>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</si>
  <si>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</si>
  <si>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</si>
  <si>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</si>
  <si>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</si>
  <si>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</si>
  <si>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</si>
  <si>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</si>
  <si>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</si>
  <si>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</si>
  <si>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</si>
  <si>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</si>
  <si>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</si>
  <si>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</si>
  <si>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</si>
  <si>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</si>
  <si>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</si>
  <si>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</si>
  <si>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</si>
  <si>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</si>
  <si>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</si>
  <si>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</si>
  <si>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</si>
  <si>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</si>
  <si>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</si>
  <si>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</si>
  <si>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</si>
  <si>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</si>
  <si>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</si>
  <si>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</si>
  <si>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</si>
  <si>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</si>
  <si>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</si>
  <si>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</si>
  <si>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</si>
  <si>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</si>
  <si>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</si>
  <si>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</si>
  <si>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</si>
  <si>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</si>
  <si>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</si>
  <si>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</si>
  <si>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</si>
  <si>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</si>
  <si>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</si>
  <si>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</si>
  <si>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</si>
  <si>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</si>
  <si>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</si>
  <si>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</si>
  <si>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</si>
  <si>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</si>
  <si>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</si>
  <si>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SI</t>
  </si>
  <si>
    <t>CUB MESA PT 2L</t>
  </si>
  <si>
    <t>HAYA 1750 MT</t>
  </si>
  <si>
    <t>N° 12143</t>
  </si>
  <si>
    <t>MDF30MM</t>
  </si>
  <si>
    <t>NV 28556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</si>
</sst>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565543</xdr:colOff>
      <xdr:row>46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7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7468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46161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24284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5</v>
      </c>
      <c r="C21" s="102" t="s">
        <v>140</v>
      </c>
      <c r="D21" s="104">
        <v>1500</v>
      </c>
      <c r="E21" s="104">
        <v>700</v>
      </c>
      <c r="F21" s="102" t="s">
        <v>141</v>
      </c>
      <c r="G21" s="103">
        <v>78901</v>
      </c>
      <c r="H21" s="103">
        <f t="shared" ref="H21:H22" si="0">G21*B21</f>
        <v>394505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2</v>
      </c>
      <c r="C22" s="102" t="s">
        <v>140</v>
      </c>
      <c r="D22" s="104">
        <v>1300</v>
      </c>
      <c r="E22" s="104">
        <v>700</v>
      </c>
      <c r="F22" s="102" t="s">
        <v>141</v>
      </c>
      <c r="G22" s="103">
        <v>68913</v>
      </c>
      <c r="H22" s="103">
        <f t="shared" si="0"/>
        <v>137826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8"/>
      <c r="C23" s="108"/>
      <c r="D23" s="109"/>
      <c r="E23" s="109"/>
      <c r="F23" s="108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532331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101142.89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633473.89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topLeftCell="A3" zoomScaleNormal="100" workbookViewId="0">
      <selection activeCell="A53" sqref="A53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7468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100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143</v>
      </c>
      <c r="B14" s="25">
        <f t="shared" ref="B14" si="0">I14</f>
        <v>5</v>
      </c>
      <c r="C14" s="25" t="s">
        <v>144</v>
      </c>
      <c r="D14" s="25">
        <f>J14+D$13</f>
        <v>1600</v>
      </c>
      <c r="E14" s="35">
        <f>K14+E$13</f>
        <v>670</v>
      </c>
      <c r="F14" s="99" t="str">
        <f>C30</f>
        <v>CUB MESA PT 2L</v>
      </c>
      <c r="G14" s="1"/>
      <c r="I14" s="89">
        <f t="shared" ref="I14:K14" si="1">I23</f>
        <v>5</v>
      </c>
      <c r="J14" s="4">
        <f t="shared" si="1"/>
        <v>1500</v>
      </c>
      <c r="K14" s="4">
        <f t="shared" si="1"/>
        <v>700</v>
      </c>
    </row>
    <row r="15" spans="1:14" ht="15.6" x14ac:dyDescent="0.3">
      <c r="A15" s="95"/>
      <c r="B15" s="25">
        <f t="shared" ref="B15" si="2">I15</f>
        <v>2</v>
      </c>
      <c r="C15" s="25" t="s">
        <v>144</v>
      </c>
      <c r="D15" s="25">
        <f t="shared" ref="D15" si="3">J15+D$13</f>
        <v>1400</v>
      </c>
      <c r="E15" s="35">
        <f t="shared" ref="E15" si="4">K15+E$13</f>
        <v>670</v>
      </c>
      <c r="F15" s="99" t="str">
        <f>C31</f>
        <v>CUB MESA PT 2L</v>
      </c>
      <c r="G15" s="1"/>
      <c r="I15" s="89">
        <f t="shared" ref="I15:K15" si="5">I24</f>
        <v>2</v>
      </c>
      <c r="J15" s="4">
        <f t="shared" si="5"/>
        <v>1300</v>
      </c>
      <c r="K15" s="4">
        <f t="shared" si="5"/>
        <v>700</v>
      </c>
    </row>
    <row r="16" spans="1:14" ht="15.6" x14ac:dyDescent="0.3">
      <c r="A16" s="95"/>
      <c r="B16" s="6"/>
      <c r="C16" s="6"/>
      <c r="D16" s="6"/>
      <c r="E16" s="105"/>
      <c r="F16" s="107"/>
      <c r="G16" s="1"/>
      <c r="I16" s="89"/>
      <c r="J16" s="2"/>
      <c r="K16" s="2"/>
    </row>
    <row r="17" spans="1:11" ht="15.6" x14ac:dyDescent="0.3">
      <c r="A17" s="52"/>
      <c r="B17" s="6"/>
      <c r="C17" s="6"/>
      <c r="D17" s="6"/>
      <c r="E17" s="105"/>
      <c r="F17" s="6"/>
      <c r="G17" s="1"/>
      <c r="I17" s="89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8" t="s">
        <v>14</v>
      </c>
      <c r="B19" s="118"/>
      <c r="C19" s="118"/>
      <c r="D19" s="118"/>
      <c r="E19" s="118"/>
      <c r="F19" s="11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80</v>
      </c>
      <c r="E22" s="21">
        <v>130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5"/>
      <c r="B23" s="16">
        <f t="shared" ref="B23" si="6">I23</f>
        <v>5</v>
      </c>
      <c r="C23" s="16"/>
      <c r="D23" s="16">
        <f t="shared" ref="D23:D24" si="7">J23+D$22</f>
        <v>1580</v>
      </c>
      <c r="E23" s="16">
        <f t="shared" ref="E23:E24" si="8">K23+E$22</f>
        <v>830</v>
      </c>
      <c r="F23" s="100" t="str">
        <f>C30</f>
        <v>CUB MESA PT 2L</v>
      </c>
      <c r="G23" s="1"/>
      <c r="I23" s="3">
        <f>B30</f>
        <v>5</v>
      </c>
      <c r="J23" s="4">
        <f>D30</f>
        <v>1500</v>
      </c>
      <c r="K23" s="4">
        <f t="shared" ref="K23" si="9">E30</f>
        <v>700</v>
      </c>
    </row>
    <row r="24" spans="1:11" ht="15.6" x14ac:dyDescent="0.3">
      <c r="A24" s="95"/>
      <c r="B24" s="16">
        <f t="shared" ref="B24" si="10">I24</f>
        <v>2</v>
      </c>
      <c r="C24" s="16"/>
      <c r="D24" s="16">
        <f t="shared" si="7"/>
        <v>1380</v>
      </c>
      <c r="E24" s="16">
        <f t="shared" si="8"/>
        <v>830</v>
      </c>
      <c r="F24" s="100" t="str">
        <f>C31</f>
        <v>CUB MESA PT 2L</v>
      </c>
      <c r="G24" s="1"/>
      <c r="I24" s="3">
        <f>B31</f>
        <v>2</v>
      </c>
      <c r="J24" s="4">
        <f>D31</f>
        <v>1300</v>
      </c>
      <c r="K24" s="4">
        <f>E31</f>
        <v>700</v>
      </c>
    </row>
    <row r="25" spans="1:11" ht="15.6" x14ac:dyDescent="0.3">
      <c r="A25" s="95"/>
      <c r="B25" s="6"/>
      <c r="C25" s="6"/>
      <c r="D25" s="6"/>
      <c r="E25" s="6"/>
      <c r="F25" s="107"/>
      <c r="G25" s="1"/>
      <c r="I25" s="89"/>
      <c r="J25" s="2"/>
      <c r="K25" s="2"/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8" t="s">
        <v>10</v>
      </c>
      <c r="C29" s="88" t="s">
        <v>110</v>
      </c>
      <c r="D29" s="88" t="s">
        <v>7</v>
      </c>
      <c r="E29" s="88" t="s">
        <v>8</v>
      </c>
      <c r="F29" s="88" t="s">
        <v>23</v>
      </c>
      <c r="G29" s="1"/>
    </row>
    <row r="30" spans="1:11" ht="15.6" x14ac:dyDescent="0.3">
      <c r="A30" s="95" t="s">
        <v>143</v>
      </c>
      <c r="B30" s="25">
        <f>'4637'!B21</f>
        <v>5</v>
      </c>
      <c r="C30" s="99" t="str">
        <f>'4637'!C21</f>
        <v>CUB MESA PT 2L</v>
      </c>
      <c r="D30" s="25">
        <f>'4637'!D21</f>
        <v>1500</v>
      </c>
      <c r="E30" s="25">
        <f>'4637'!E21</f>
        <v>700</v>
      </c>
      <c r="F30" s="25" t="str">
        <f>'4637'!F21</f>
        <v>HAYA 1750 MT</v>
      </c>
      <c r="G30" s="1"/>
    </row>
    <row r="31" spans="1:11" ht="15.6" x14ac:dyDescent="0.3">
      <c r="A31" s="95"/>
      <c r="B31" s="25">
        <f>'4637'!B22</f>
        <v>2</v>
      </c>
      <c r="C31" s="99" t="str">
        <f>'4637'!C22</f>
        <v>CUB MESA PT 2L</v>
      </c>
      <c r="D31" s="25">
        <f>'4637'!D22</f>
        <v>1300</v>
      </c>
      <c r="E31" s="25">
        <f>'4637'!E22</f>
        <v>700</v>
      </c>
      <c r="F31" s="25" t="str">
        <f>'4637'!F22</f>
        <v>HAYA 1750 MT</v>
      </c>
      <c r="G31" s="1"/>
    </row>
    <row r="32" spans="1:11" ht="15.6" x14ac:dyDescent="0.3">
      <c r="A32" s="95"/>
      <c r="B32" s="6"/>
      <c r="C32" s="107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7468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MUEBLES ASENJO LTDA.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0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18" t="s">
        <v>68</v>
      </c>
      <c r="B48" s="118"/>
      <c r="C48" s="118"/>
      <c r="D48" s="118"/>
      <c r="E48" s="118"/>
      <c r="F48" s="118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19" t="s">
        <v>69</v>
      </c>
      <c r="C50" s="120"/>
      <c r="D50" s="121"/>
      <c r="E50" s="121"/>
      <c r="F50" s="122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5" t="s">
        <v>143</v>
      </c>
      <c r="B52" s="38">
        <f>'4637'!B21</f>
        <v>5</v>
      </c>
      <c r="C52" s="98" t="str">
        <f>'4637'!C21</f>
        <v>CUB MESA PT 2L</v>
      </c>
      <c r="D52" s="39">
        <f>'4637'!D21</f>
        <v>1500</v>
      </c>
      <c r="E52" s="39">
        <f>'4637'!E21</f>
        <v>700</v>
      </c>
      <c r="F52" s="38" t="str">
        <f>'4637'!F21</f>
        <v>HAYA 1750 MT</v>
      </c>
      <c r="G52" s="1"/>
    </row>
    <row r="53" spans="1:7" s="15" customFormat="1" ht="15" customHeight="1" x14ac:dyDescent="0.3">
      <c r="A53" s="95"/>
      <c r="B53" s="38">
        <f>'4637'!B22</f>
        <v>2</v>
      </c>
      <c r="C53" s="98" t="str">
        <f>'4637'!C22</f>
        <v>CUB MESA PT 2L</v>
      </c>
      <c r="D53" s="39">
        <f>'4637'!D22</f>
        <v>1300</v>
      </c>
      <c r="E53" s="39">
        <f>'4637'!E22</f>
        <v>700</v>
      </c>
      <c r="F53" s="38" t="str">
        <f>'4637'!F22</f>
        <v>HAYA 1750 MT</v>
      </c>
      <c r="G53" s="1"/>
    </row>
    <row r="54" spans="1:7" s="15" customFormat="1" ht="15" customHeight="1" x14ac:dyDescent="0.3">
      <c r="B54" s="52"/>
      <c r="C54" s="106"/>
      <c r="D54" s="52"/>
      <c r="E54" s="52"/>
      <c r="F54" s="52"/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2026-05-11T14:51:32Z</cp:lastPrinted>
  <dcterms:created xsi:type="dcterms:W3CDTF">2013-03-19T12:54:14Z</dcterms:created>
  <dcterms:modified xsi:type="dcterms:W3CDTF">2026-05-19T17:32:45Z</dcterms:modified>
</cp:coreProperties>
</file>