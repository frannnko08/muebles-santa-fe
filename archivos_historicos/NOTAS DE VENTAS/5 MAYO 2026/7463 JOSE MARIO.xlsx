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610E2FE6-9870-41A1-B988-9762D4BEDFE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'4637'!$A$1:$H$29</definedName>
    <definedName name="_xlnm.Print_Area" localSheetId="2">CUBIERTA!$A$38:$F$61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3" l="1"/>
  <c r="C51" i="3"/>
  <c r="D51" i="3"/>
  <c r="E51" i="3"/>
  <c r="F51" i="3"/>
  <c r="B30" i="3"/>
  <c r="C30" i="3"/>
  <c r="D30" i="3"/>
  <c r="E30" i="3"/>
  <c r="F30" i="3"/>
  <c r="F23" i="3"/>
  <c r="F15" i="3" s="1"/>
  <c r="I23" i="3"/>
  <c r="B23" i="3" s="1"/>
  <c r="J23" i="3"/>
  <c r="D23" i="3" s="1"/>
  <c r="K23" i="3"/>
  <c r="I15" i="3"/>
  <c r="B15" i="3" s="1"/>
  <c r="J15" i="3"/>
  <c r="D15" i="3" s="1"/>
  <c r="H21" i="4"/>
  <c r="H24" i="4" s="1"/>
  <c r="C50" i="3"/>
  <c r="F50" i="3"/>
  <c r="E50" i="3"/>
  <c r="D50" i="3"/>
  <c r="B50" i="3"/>
  <c r="B29" i="3"/>
  <c r="I22" i="3" s="1"/>
  <c r="B22" i="3" s="1"/>
  <c r="C29" i="3"/>
  <c r="F22" i="3" s="1"/>
  <c r="F14" i="3" s="1"/>
  <c r="D29" i="3"/>
  <c r="J22" i="3" s="1"/>
  <c r="D22" i="3" s="1"/>
  <c r="E29" i="3"/>
  <c r="K22" i="3" s="1"/>
  <c r="K14" i="3" s="1"/>
  <c r="E14" i="3" s="1"/>
  <c r="F29" i="3"/>
  <c r="H20" i="4"/>
  <c r="K15" i="3" l="1"/>
  <c r="E15" i="3" s="1"/>
  <c r="E23" i="3"/>
  <c r="E22" i="3"/>
  <c r="I14" i="3"/>
  <c r="B14" i="3" s="1"/>
  <c r="J14" i="3"/>
  <c r="D14" i="3" s="1"/>
  <c r="N5" i="3" l="1"/>
  <c r="M5" i="3"/>
  <c r="L5" i="3"/>
  <c r="K5" i="3"/>
  <c r="H25" i="4"/>
  <c r="H26" i="4" s="1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<sst xmlns="http://schemas.openxmlformats.org/spreadsheetml/2006/main" count="246" uniqueCount="142">
  <si>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</si>
  <si>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</si>
  <si>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</si>
  <si>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</si>
  <si>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</si>
  <si>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</si>
  <si>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</si>
  <si>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</si>
  <si>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</si>
  <si>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</si>
  <si>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</si>
  <si>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</si>
  <si>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</si>
  <si>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</si>
  <si>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</si>
  <si>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</si>
  <si>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</si>
  <si>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</si>
  <si>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</si>
  <si>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</si>
  <si>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</si>
  <si>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</si>
  <si>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</si>
  <si>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</si>
  <si>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</si>
  <si>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</si>
  <si>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</si>
  <si>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</si>
  <si>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</si>
  <si>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</si>
  <si>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</si>
  <si>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</si>
  <si>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</si>
  <si>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</si>
  <si>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</si>
  <si>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</si>
  <si>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</si>
  <si>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</si>
  <si>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</si>
  <si>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</si>
  <si>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</si>
  <si>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</si>
  <si>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</si>
  <si>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</si>
  <si>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</si>
  <si>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</si>
  <si>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</si>
  <si>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</si>
  <si>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</si>
  <si>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</si>
  <si>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</si>
  <si>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</si>
  <si>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</si>
  <si>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</si>
  <si>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</si>
  <si>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</si>
  <si>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</si>
  <si>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</si>
  <si>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</si>
  <si>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</si>
  <si>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</si>
  <si>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</si>
  <si>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</si>
  <si>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</si>
  <si>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</si>
  <si>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</si>
  <si>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</si>
  <si>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</si>
  <si>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</si>
  <si>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</si>
  <si>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</si>
  <si>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</si>
  <si>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</si>
  <si>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</si>
  <si>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</si>
  <si>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</si>
  <si>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</si>
  <si>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</si>
  <si>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</si>
  <si>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</si>
  <si>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</si>
  <si>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</si>
  <si>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</si>
  <si>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</si>
  <si>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</si>
  <si>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</si>
  <si>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</si>
  <si>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</si>
  <si>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</si>
  <si>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</si>
  <si>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</si>
  <si>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</si>
  <si>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</si>
  <si>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</si>
  <si>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</si>
  <si>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</si>
  <si>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</si>
  <si>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</si>
  <si>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</si>
  <si>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</si>
  <si>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</si>
  <si>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</si>
  <si>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</si>
  <si>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</si>
  <si>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</si>
  <si>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</si>
  <si>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</si>
  <si>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</si>
  <si>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</si>
  <si>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</si>
  <si>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</si>
  <si>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</si>
  <si>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</si>
  <si>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</si>
  <si>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</si>
  <si>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</si>
  <si>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</si>
  <si>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</si>
  <si>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</si>
  <si>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</si>
  <si>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</si>
  <si>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</si>
  <si>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</si>
  <si>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</si>
  <si>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</si>
  <si>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</si>
  <si>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</si>
  <si>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</si>
  <si>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</si>
  <si>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</si>
  <si>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</si>
  <si>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</si>
  <si>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</si>
  <si>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</si>
  <si>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</si>
  <si>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</si>
  <si>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</si>
  <si>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</si>
  <si>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CUB C/R R8</t>
  </si>
  <si>
    <t>RUBY 2135 BR</t>
  </si>
  <si>
    <t>JOSE MARIO</t>
  </si>
  <si>
    <t>+569 6256 8746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</si>
</sst>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6" fillId="8" borderId="28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1" fontId="32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18" fillId="0" borderId="12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1" fontId="32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18" fillId="0" borderId="3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12134</a:t>
          </a:r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22</xdr:row>
      <xdr:rowOff>91440</xdr:rowOff>
    </xdr:from>
    <xdr:to>
      <xdr:col>5</xdr:col>
      <xdr:colOff>1337310</xdr:colOff>
      <xdr:row>25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1354213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180975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180975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180975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180975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180975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180975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31</xdr:row>
      <xdr:rowOff>192404</xdr:rowOff>
    </xdr:from>
    <xdr:to>
      <xdr:col>6</xdr:col>
      <xdr:colOff>32385</xdr:colOff>
      <xdr:row>35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54</xdr:row>
      <xdr:rowOff>175260</xdr:rowOff>
    </xdr:from>
    <xdr:to>
      <xdr:col>5</xdr:col>
      <xdr:colOff>1737360</xdr:colOff>
      <xdr:row>58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OBSERVACIONES: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37</xdr:row>
      <xdr:rowOff>99060</xdr:rowOff>
    </xdr:from>
    <xdr:to>
      <xdr:col>1</xdr:col>
      <xdr:colOff>937018</xdr:colOff>
      <xdr:row>44</xdr:row>
      <xdr:rowOff>15240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784618</xdr:colOff>
      <xdr:row>8</xdr:row>
      <xdr:rowOff>20955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30"/>
  <sheetViews>
    <sheetView topLeftCell="A3" workbookViewId="0">
      <selection activeCell="G22" sqref="G22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7463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140</v>
      </c>
      <c r="D10" s="15"/>
      <c r="E10" s="15"/>
      <c r="F10" s="16" t="s">
        <v>31</v>
      </c>
      <c r="G10" s="17">
        <v>46157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/>
      <c r="D11" s="20"/>
      <c r="E11" s="20"/>
      <c r="F11" s="20" t="s">
        <v>131</v>
      </c>
      <c r="G11" s="103">
        <v>46162</v>
      </c>
      <c r="H11" s="21"/>
    </row>
    <row r="12" spans="2:16" x14ac:dyDescent="0.3">
      <c r="B12" s="91" t="s">
        <v>115</v>
      </c>
      <c r="C12" s="117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0" t="s">
        <v>141</v>
      </c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41" t="s">
        <v>21</v>
      </c>
      <c r="G15" s="141"/>
      <c r="H15" s="142"/>
    </row>
    <row r="17" spans="2:15" ht="15" thickBot="1" x14ac:dyDescent="0.35"/>
    <row r="18" spans="2:15" ht="15" thickBot="1" x14ac:dyDescent="0.35">
      <c r="B18" s="143" t="s">
        <v>22</v>
      </c>
      <c r="C18" s="144"/>
      <c r="D18" s="144"/>
      <c r="E18" s="144"/>
      <c r="F18" s="144"/>
      <c r="G18" s="144"/>
      <c r="H18" s="145"/>
    </row>
    <row r="19" spans="2:15" ht="15" thickBot="1" x14ac:dyDescent="0.35">
      <c r="B19" s="121" t="s">
        <v>23</v>
      </c>
      <c r="C19" s="122" t="s">
        <v>24</v>
      </c>
      <c r="D19" s="122" t="s">
        <v>25</v>
      </c>
      <c r="E19" s="122" t="s">
        <v>9</v>
      </c>
      <c r="F19" s="122" t="s">
        <v>26</v>
      </c>
      <c r="G19" s="122" t="s">
        <v>27</v>
      </c>
      <c r="H19" s="123" t="s">
        <v>4</v>
      </c>
    </row>
    <row r="20" spans="2:15" ht="15.6" x14ac:dyDescent="0.3">
      <c r="B20" s="124">
        <v>1</v>
      </c>
      <c r="C20" s="125" t="s">
        <v>138</v>
      </c>
      <c r="D20" s="126">
        <v>800</v>
      </c>
      <c r="E20" s="126">
        <v>700</v>
      </c>
      <c r="F20" s="125" t="s">
        <v>139</v>
      </c>
      <c r="G20" s="127">
        <v>50144</v>
      </c>
      <c r="H20" s="128">
        <f t="shared" ref="H20" si="0">G20*B20</f>
        <v>50144</v>
      </c>
      <c r="J20" s="61"/>
      <c r="K20" s="88"/>
      <c r="L20" s="61"/>
      <c r="M20" s="61"/>
      <c r="N20" s="88"/>
      <c r="O20" s="99"/>
    </row>
    <row r="21" spans="2:15" ht="16.2" thickBot="1" x14ac:dyDescent="0.35">
      <c r="B21" s="129">
        <v>1</v>
      </c>
      <c r="C21" s="130" t="s">
        <v>138</v>
      </c>
      <c r="D21" s="131">
        <v>1450</v>
      </c>
      <c r="E21" s="131">
        <v>600</v>
      </c>
      <c r="F21" s="130" t="s">
        <v>139</v>
      </c>
      <c r="G21" s="132">
        <v>74728</v>
      </c>
      <c r="H21" s="133">
        <f>G21*B21</f>
        <v>74728</v>
      </c>
      <c r="J21" s="61"/>
      <c r="K21" s="88"/>
      <c r="L21" s="61"/>
      <c r="M21" s="61"/>
      <c r="N21" s="88"/>
      <c r="O21" s="99"/>
    </row>
    <row r="22" spans="2:15" x14ac:dyDescent="0.3">
      <c r="B22" s="100"/>
      <c r="C22" s="100"/>
      <c r="D22" s="104"/>
      <c r="E22" s="104"/>
      <c r="F22" s="105"/>
      <c r="G22" s="101"/>
      <c r="H22" s="102"/>
      <c r="J22" s="61"/>
      <c r="K22" s="88"/>
      <c r="L22" s="61"/>
      <c r="M22" s="61"/>
      <c r="N22" s="88"/>
      <c r="O22" s="99"/>
    </row>
    <row r="23" spans="2:15" ht="8.25" customHeight="1" thickBot="1" x14ac:dyDescent="0.35">
      <c r="B23" s="61"/>
      <c r="C23" s="61"/>
      <c r="D23" s="61"/>
      <c r="E23" s="61"/>
      <c r="F23" s="61"/>
      <c r="G23" s="62"/>
      <c r="H23" s="63"/>
    </row>
    <row r="24" spans="2:15" ht="18" thickBot="1" x14ac:dyDescent="0.4">
      <c r="G24" s="30" t="s">
        <v>5</v>
      </c>
      <c r="H24" s="43">
        <f>SUM(H20:H23)</f>
        <v>124872</v>
      </c>
    </row>
    <row r="25" spans="2:15" ht="18" thickBot="1" x14ac:dyDescent="0.4">
      <c r="G25" s="40" t="s">
        <v>6</v>
      </c>
      <c r="H25" s="43">
        <f>H24*19%</f>
        <v>23725.68</v>
      </c>
    </row>
    <row r="26" spans="2:15" ht="18" thickBot="1" x14ac:dyDescent="0.4">
      <c r="G26" s="31" t="s">
        <v>4</v>
      </c>
      <c r="H26" s="43">
        <f>SUM(H24+H25)</f>
        <v>148597.68</v>
      </c>
    </row>
    <row r="28" spans="2:15" x14ac:dyDescent="0.3">
      <c r="B28" s="38" t="s">
        <v>130</v>
      </c>
      <c r="C28" s="32"/>
      <c r="D28" s="33"/>
      <c r="E28" s="33"/>
      <c r="F28" s="34"/>
    </row>
    <row r="29" spans="2:15" x14ac:dyDescent="0.3">
      <c r="B29" s="38" t="s">
        <v>129</v>
      </c>
      <c r="C29" s="39"/>
      <c r="D29" s="33"/>
      <c r="E29" s="33"/>
      <c r="F29" s="34"/>
    </row>
    <row r="30" spans="2:15" x14ac:dyDescent="0.3">
      <c r="B30" s="41" t="s">
        <v>28</v>
      </c>
      <c r="E30" s="42" t="s">
        <v>29</v>
      </c>
    </row>
  </sheetData>
  <sortState xmlns:xlrd2="http://schemas.microsoft.com/office/spreadsheetml/2017/richdata2" ref="B49">
    <sortCondition sortBy="fontColor" ref="B49" dxfId="0"/>
  </sortState>
  <mergeCells count="2">
    <mergeCell ref="F15:H15"/>
    <mergeCell ref="B18:H18"/>
  </mergeCells>
  <phoneticPr fontId="28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6" t="s">
        <v>34</v>
      </c>
      <c r="C2" s="146"/>
      <c r="D2" s="146"/>
      <c r="E2" s="64"/>
      <c r="G2" s="146" t="s">
        <v>73</v>
      </c>
      <c r="H2" s="146"/>
      <c r="I2" s="146"/>
      <c r="P2" s="147" t="s">
        <v>61</v>
      </c>
      <c r="Q2" s="147"/>
      <c r="R2" s="147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47" t="s">
        <v>61</v>
      </c>
      <c r="M8" s="147"/>
      <c r="N8" s="147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3"/>
  <sheetViews>
    <sheetView tabSelected="1" topLeftCell="A18" zoomScaleNormal="100" workbookViewId="0">
      <selection activeCell="G3" sqref="A3:G37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34" t="s">
        <v>64</v>
      </c>
      <c r="L3" s="134"/>
      <c r="M3" s="134" t="s">
        <v>16</v>
      </c>
      <c r="N3" s="134"/>
    </row>
    <row r="4" spans="1:14" ht="15.75" customHeight="1" x14ac:dyDescent="0.3">
      <c r="C4" s="55" t="s">
        <v>30</v>
      </c>
      <c r="D4" s="54">
        <f>'4637'!G8</f>
        <v>7463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JOSE MARIO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46162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35" t="s">
        <v>64</v>
      </c>
      <c r="B10" s="135"/>
      <c r="C10" s="135"/>
      <c r="D10" s="135"/>
      <c r="E10" s="135"/>
      <c r="F10" s="135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>
        <v>-30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850</v>
      </c>
      <c r="E14" s="46">
        <f>K14+$E$13</f>
        <v>670</v>
      </c>
      <c r="F14" s="58" t="str">
        <f>F22</f>
        <v>CUB C/R R8</v>
      </c>
      <c r="I14" s="4">
        <f>I22</f>
        <v>1</v>
      </c>
      <c r="J14" s="5">
        <f>D29</f>
        <v>800</v>
      </c>
      <c r="K14" s="5">
        <f>K22</f>
        <v>700</v>
      </c>
    </row>
    <row r="15" spans="1:14" ht="15.6" x14ac:dyDescent="0.3">
      <c r="A15" s="50"/>
      <c r="B15" s="59">
        <f>I15</f>
        <v>1</v>
      </c>
      <c r="C15" s="59"/>
      <c r="D15" s="59">
        <f t="shared" ref="D15" si="1">J15+D$13</f>
        <v>1500</v>
      </c>
      <c r="E15" s="46">
        <f>K15+$E$13</f>
        <v>570</v>
      </c>
      <c r="F15" s="58" t="str">
        <f>F23</f>
        <v>CUB C/R R8</v>
      </c>
      <c r="I15" s="4">
        <f>I23</f>
        <v>1</v>
      </c>
      <c r="J15" s="5">
        <f>D30</f>
        <v>1450</v>
      </c>
      <c r="K15" s="5">
        <f>K23</f>
        <v>600</v>
      </c>
    </row>
    <row r="16" spans="1:14" ht="15.6" x14ac:dyDescent="0.3">
      <c r="A16" s="50"/>
      <c r="B16" s="7"/>
      <c r="C16" s="7"/>
      <c r="D16" s="7"/>
      <c r="E16" s="7"/>
      <c r="F16" s="49"/>
      <c r="I16" s="96"/>
      <c r="J16" s="3"/>
      <c r="K16" s="3"/>
    </row>
    <row r="17" spans="1:11" ht="6.75" customHeight="1" x14ac:dyDescent="0.3"/>
    <row r="18" spans="1:11" ht="15.6" x14ac:dyDescent="0.3">
      <c r="A18" s="135" t="s">
        <v>16</v>
      </c>
      <c r="B18" s="135"/>
      <c r="C18" s="135"/>
      <c r="D18" s="135"/>
      <c r="E18" s="135"/>
      <c r="F18" s="135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7" t="s">
        <v>11</v>
      </c>
      <c r="C21" s="77" t="s">
        <v>12</v>
      </c>
      <c r="D21" s="69">
        <v>40</v>
      </c>
      <c r="E21" s="69">
        <v>130</v>
      </c>
      <c r="F21" s="77" t="s">
        <v>113</v>
      </c>
      <c r="G21" s="1"/>
      <c r="J21" s="6" t="s">
        <v>8</v>
      </c>
      <c r="K21" s="6" t="s">
        <v>9</v>
      </c>
    </row>
    <row r="22" spans="1:11" ht="15.6" x14ac:dyDescent="0.3">
      <c r="A22" s="50"/>
      <c r="B22" s="59">
        <f t="shared" ref="B22" si="2">I22</f>
        <v>1</v>
      </c>
      <c r="C22" s="59"/>
      <c r="D22" s="59">
        <f>J22+D$21</f>
        <v>840</v>
      </c>
      <c r="E22" s="59">
        <f>K22+$E$21</f>
        <v>830</v>
      </c>
      <c r="F22" s="58" t="str">
        <f>C29</f>
        <v>CUB C/R R8</v>
      </c>
      <c r="G22" s="1"/>
      <c r="I22" s="4">
        <f>B29</f>
        <v>1</v>
      </c>
      <c r="J22" s="5">
        <f t="shared" ref="J22:K22" si="3">D29</f>
        <v>800</v>
      </c>
      <c r="K22" s="5">
        <f t="shared" si="3"/>
        <v>700</v>
      </c>
    </row>
    <row r="23" spans="1:11" ht="15.6" x14ac:dyDescent="0.3">
      <c r="A23" s="50"/>
      <c r="B23" s="59">
        <f t="shared" ref="B23" si="4">I23</f>
        <v>1</v>
      </c>
      <c r="C23" s="59"/>
      <c r="D23" s="59">
        <f>J23+D$21</f>
        <v>1490</v>
      </c>
      <c r="E23" s="59">
        <f>K23+$E$21</f>
        <v>730</v>
      </c>
      <c r="F23" s="58" t="str">
        <f>C30</f>
        <v>CUB C/R R8</v>
      </c>
      <c r="G23" s="1"/>
      <c r="I23" s="4">
        <f>B30</f>
        <v>1</v>
      </c>
      <c r="J23" s="5">
        <f t="shared" ref="J23" si="5">D30</f>
        <v>1450</v>
      </c>
      <c r="K23" s="5">
        <f t="shared" ref="K23" si="6">E30</f>
        <v>600</v>
      </c>
    </row>
    <row r="24" spans="1:11" ht="6.75" customHeight="1" x14ac:dyDescent="0.3">
      <c r="G24" s="1"/>
      <c r="I24" s="3"/>
      <c r="J24" s="3"/>
      <c r="K24" s="3"/>
    </row>
    <row r="25" spans="1:11" ht="16.2" thickBot="1" x14ac:dyDescent="0.35">
      <c r="A25" s="50"/>
      <c r="B25" s="7"/>
      <c r="C25" s="7"/>
      <c r="D25" s="7"/>
      <c r="E25" s="7"/>
      <c r="F25" s="49"/>
      <c r="I25" s="3"/>
      <c r="J25" s="3"/>
      <c r="K25" s="3"/>
    </row>
    <row r="26" spans="1:11" ht="16.2" thickBot="1" x14ac:dyDescent="0.35">
      <c r="A26" s="50"/>
      <c r="B26" s="71" t="s">
        <v>110</v>
      </c>
      <c r="C26" s="72"/>
      <c r="D26" s="72"/>
      <c r="E26" s="72"/>
      <c r="F26" s="73"/>
      <c r="I26" s="3"/>
      <c r="J26" s="3"/>
      <c r="K26" s="3"/>
    </row>
    <row r="27" spans="1:11" ht="10.5" customHeight="1" x14ac:dyDescent="0.3"/>
    <row r="28" spans="1:11" x14ac:dyDescent="0.3">
      <c r="A28" s="50" t="s">
        <v>10</v>
      </c>
      <c r="B28" s="76" t="s">
        <v>11</v>
      </c>
      <c r="C28" s="76" t="s">
        <v>113</v>
      </c>
      <c r="D28" s="76" t="s">
        <v>8</v>
      </c>
      <c r="E28" s="76" t="s">
        <v>9</v>
      </c>
      <c r="F28" s="76" t="s">
        <v>26</v>
      </c>
    </row>
    <row r="29" spans="1:11" ht="15.6" x14ac:dyDescent="0.3">
      <c r="A29" s="50"/>
      <c r="B29" s="74">
        <f>'4637'!B20</f>
        <v>1</v>
      </c>
      <c r="C29" s="75" t="str">
        <f>'4637'!C20</f>
        <v>CUB C/R R8</v>
      </c>
      <c r="D29" s="74">
        <f>'4637'!D20</f>
        <v>800</v>
      </c>
      <c r="E29" s="74">
        <f>'4637'!E20</f>
        <v>700</v>
      </c>
      <c r="F29" s="119" t="str">
        <f>'4637'!F20</f>
        <v>RUBY 2135 BR</v>
      </c>
    </row>
    <row r="30" spans="1:11" ht="15.6" x14ac:dyDescent="0.3">
      <c r="A30" s="50"/>
      <c r="B30" s="74">
        <f>'4637'!B21</f>
        <v>1</v>
      </c>
      <c r="C30" s="75" t="str">
        <f>'4637'!C21</f>
        <v>CUB C/R R8</v>
      </c>
      <c r="D30" s="74">
        <f>'4637'!D21</f>
        <v>1450</v>
      </c>
      <c r="E30" s="74">
        <f>'4637'!E21</f>
        <v>600</v>
      </c>
      <c r="F30" s="119" t="str">
        <f>'4637'!F21</f>
        <v>RUBY 2135 BR</v>
      </c>
    </row>
    <row r="31" spans="1:11" ht="15.6" x14ac:dyDescent="0.3">
      <c r="A31" s="50"/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B37" s="7"/>
      <c r="C37" s="11"/>
      <c r="D37" s="7"/>
      <c r="E37" s="7"/>
      <c r="F37" s="49"/>
    </row>
    <row r="38" spans="1:7" ht="15.6" x14ac:dyDescent="0.3">
      <c r="B38" s="7"/>
      <c r="C38" s="11"/>
      <c r="D38" s="7"/>
      <c r="E38" s="7"/>
      <c r="F38" s="49"/>
    </row>
    <row r="39" spans="1:7" ht="15.6" x14ac:dyDescent="0.3">
      <c r="G39" s="1"/>
    </row>
    <row r="40" spans="1:7" ht="15.6" x14ac:dyDescent="0.3">
      <c r="C40" s="55" t="s">
        <v>30</v>
      </c>
      <c r="D40" s="54">
        <f>'4637'!G8</f>
        <v>7463</v>
      </c>
      <c r="G40" s="1"/>
    </row>
    <row r="41" spans="1:7" ht="17.25" customHeight="1" x14ac:dyDescent="0.3">
      <c r="C41" s="68" t="s">
        <v>70</v>
      </c>
      <c r="D41" s="67" t="str">
        <f>'4637'!C10</f>
        <v>JOSE MARIO</v>
      </c>
      <c r="E41" s="22"/>
      <c r="F41" s="22"/>
      <c r="G41" s="1"/>
    </row>
    <row r="42" spans="1:7" ht="4.5" customHeight="1" x14ac:dyDescent="0.3">
      <c r="C42" s="56"/>
      <c r="D42" s="52"/>
      <c r="G42" s="1"/>
    </row>
    <row r="43" spans="1:7" ht="15.6" x14ac:dyDescent="0.3">
      <c r="C43" s="57" t="str">
        <f>'4637'!F11</f>
        <v>FECHA LIMITE :</v>
      </c>
      <c r="D43" s="53">
        <f>'4637'!G11</f>
        <v>46162</v>
      </c>
      <c r="E43" s="1"/>
      <c r="F43" s="1"/>
    </row>
    <row r="46" spans="1:7" x14ac:dyDescent="0.3">
      <c r="A46" s="136" t="s">
        <v>71</v>
      </c>
      <c r="B46" s="136"/>
      <c r="C46" s="136"/>
      <c r="D46" s="136"/>
      <c r="E46" s="136"/>
      <c r="F46" s="136"/>
    </row>
    <row r="48" spans="1:7" ht="9.75" customHeight="1" x14ac:dyDescent="0.3">
      <c r="B48" s="137" t="s">
        <v>72</v>
      </c>
      <c r="C48" s="138"/>
      <c r="D48" s="139"/>
      <c r="E48" s="139"/>
      <c r="F48" s="140"/>
    </row>
    <row r="49" spans="1:7" s="13" customFormat="1" ht="11.25" customHeight="1" x14ac:dyDescent="0.25">
      <c r="B49" s="111" t="s">
        <v>11</v>
      </c>
      <c r="C49" s="112" t="s">
        <v>12</v>
      </c>
      <c r="D49" s="113" t="s">
        <v>8</v>
      </c>
      <c r="E49" s="113" t="s">
        <v>9</v>
      </c>
      <c r="F49" s="114" t="s">
        <v>13</v>
      </c>
    </row>
    <row r="50" spans="1:7" s="13" customFormat="1" ht="15" customHeight="1" x14ac:dyDescent="0.3">
      <c r="A50" s="98" t="s">
        <v>137</v>
      </c>
      <c r="B50" s="115">
        <f>'4637'!B20</f>
        <v>1</v>
      </c>
      <c r="C50" s="116" t="str">
        <f>'4637'!C20</f>
        <v>CUB C/R R8</v>
      </c>
      <c r="D50" s="115">
        <f>'4637'!D20</f>
        <v>800</v>
      </c>
      <c r="E50" s="115">
        <f>'4637'!E20</f>
        <v>700</v>
      </c>
      <c r="F50" s="118" t="str">
        <f>'4637'!F20</f>
        <v>RUBY 2135 BR</v>
      </c>
    </row>
    <row r="51" spans="1:7" s="13" customFormat="1" ht="15" customHeight="1" x14ac:dyDescent="0.3">
      <c r="A51" s="98"/>
      <c r="B51" s="115">
        <f>'4637'!B21</f>
        <v>1</v>
      </c>
      <c r="C51" s="116" t="str">
        <f>'4637'!C21</f>
        <v>CUB C/R R8</v>
      </c>
      <c r="D51" s="115">
        <f>'4637'!D21</f>
        <v>1450</v>
      </c>
      <c r="E51" s="115">
        <f>'4637'!E21</f>
        <v>600</v>
      </c>
      <c r="F51" s="118" t="str">
        <f>'4637'!F21</f>
        <v>RUBY 2135 BR</v>
      </c>
    </row>
    <row r="52" spans="1:7" ht="15.6" x14ac:dyDescent="0.3">
      <c r="A52" s="60"/>
      <c r="B52" s="3"/>
      <c r="C52" s="41"/>
      <c r="D52" s="7"/>
      <c r="E52" s="7"/>
      <c r="F52" s="49"/>
    </row>
    <row r="53" spans="1:7" ht="15.6" x14ac:dyDescent="0.3">
      <c r="A53" s="60"/>
      <c r="B53" s="3"/>
      <c r="C53" s="41"/>
      <c r="D53" s="7"/>
      <c r="E53" s="7"/>
      <c r="F53" s="56"/>
    </row>
    <row r="54" spans="1:7" ht="15.6" x14ac:dyDescent="0.3">
      <c r="A54" s="60"/>
      <c r="B54" s="3"/>
      <c r="C54" s="41"/>
      <c r="D54" s="7"/>
      <c r="E54" s="7"/>
      <c r="F54" s="49"/>
    </row>
    <row r="55" spans="1:7" ht="15" thickBot="1" x14ac:dyDescent="0.35"/>
    <row r="56" spans="1:7" x14ac:dyDescent="0.3">
      <c r="B56" s="78" t="s">
        <v>15</v>
      </c>
      <c r="C56" s="79"/>
      <c r="D56" s="80"/>
      <c r="E56" s="80"/>
      <c r="F56" s="81"/>
    </row>
    <row r="57" spans="1:7" x14ac:dyDescent="0.3">
      <c r="B57" s="82"/>
      <c r="C57" s="83" t="s">
        <v>117</v>
      </c>
      <c r="D57" s="9"/>
      <c r="E57" s="9"/>
      <c r="F57" s="84"/>
    </row>
    <row r="58" spans="1:7" ht="15" customHeight="1" x14ac:dyDescent="0.35">
      <c r="B58" s="83" t="s">
        <v>124</v>
      </c>
      <c r="C58" s="70"/>
      <c r="D58" s="10"/>
      <c r="E58" s="10"/>
      <c r="F58" s="85"/>
    </row>
    <row r="59" spans="1:7" ht="18.600000000000001" thickBot="1" x14ac:dyDescent="0.4">
      <c r="B59" s="95" t="s">
        <v>123</v>
      </c>
      <c r="C59" s="86"/>
      <c r="D59" s="86"/>
      <c r="E59" s="86"/>
      <c r="F59" s="87"/>
    </row>
    <row r="60" spans="1:7" ht="18" x14ac:dyDescent="0.35">
      <c r="A60" s="2"/>
      <c r="B60" s="8"/>
      <c r="G60" s="1"/>
    </row>
    <row r="61" spans="1:7" x14ac:dyDescent="0.3">
      <c r="B61" s="66"/>
      <c r="C61" s="66"/>
      <c r="D61" s="66"/>
      <c r="E61" s="66"/>
      <c r="F61" s="66"/>
    </row>
    <row r="62" spans="1:7" x14ac:dyDescent="0.3">
      <c r="B62" s="66"/>
      <c r="C62" s="66"/>
      <c r="D62" s="66"/>
      <c r="E62" s="66"/>
      <c r="F62" s="66"/>
    </row>
    <row r="63" spans="1:7" x14ac:dyDescent="0.3">
      <c r="B63" s="66"/>
      <c r="C63" s="66"/>
      <c r="E63" s="66"/>
      <c r="F63" s="66"/>
    </row>
  </sheetData>
  <mergeCells count="6">
    <mergeCell ref="M3:N3"/>
    <mergeCell ref="A18:F18"/>
    <mergeCell ref="A10:F10"/>
    <mergeCell ref="A46:F46"/>
    <mergeCell ref="B48:F48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2026-05-18T14:03:30Z</cp:lastPrinted>
  <dcterms:created xsi:type="dcterms:W3CDTF">2013-03-19T12:54:14Z</dcterms:created>
  <dcterms:modified xsi:type="dcterms:W3CDTF">2026-05-18T14:03:48Z</dcterms:modified>
</cp:coreProperties>
</file>