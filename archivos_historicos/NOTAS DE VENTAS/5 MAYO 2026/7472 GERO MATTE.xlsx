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NOTAS DE VENTAS TOPMOBILI\5 MAYO 2026\"/>
    </mc:Choice>
  </mc:AlternateContent>
  <xr:revisionPtr revIDLastSave="0" documentId="13_ncr:1_{6237CA52-F3B9-455E-A1AF-2DA3BD557C7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4637" sheetId="4" r:id="rId1"/>
    <sheet name="REGLAS" sheetId="5" r:id="rId2"/>
    <sheet name="CUBIERTA" sheetId="3" r:id="rId3"/>
    <sheet name="RESUMEN" sheetId="6" r:id="rId4"/>
  </sheets>
  <definedNames>
    <definedName name="_xlnm.Print_Area" localSheetId="0">'4637'!$A$1:$H$32</definedName>
    <definedName name="_xlnm.Print_Area" localSheetId="2">CUBIERTA!$A$1:$F$25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6" l="1"/>
  <c r="D2" i="6"/>
  <c r="C2" i="6"/>
  <c r="B2" i="6"/>
  <c r="A2" i="6"/>
  <c r="B53" i="3"/>
  <c r="C53" i="3"/>
  <c r="D53" i="3"/>
  <c r="E53" i="3"/>
  <c r="F53" i="3"/>
  <c r="K24" i="3"/>
  <c r="K15" i="3" s="1"/>
  <c r="E15" i="3" s="1"/>
  <c r="B31" i="3"/>
  <c r="I24" i="3" s="1"/>
  <c r="C31" i="3"/>
  <c r="F15" i="3" s="1"/>
  <c r="D31" i="3"/>
  <c r="J24" i="3" s="1"/>
  <c r="E31" i="3"/>
  <c r="F31" i="3"/>
  <c r="H22" i="4"/>
  <c r="B54" i="3"/>
  <c r="C54" i="3"/>
  <c r="D54" i="3"/>
  <c r="E54" i="3"/>
  <c r="F54" i="3"/>
  <c r="B32" i="3"/>
  <c r="I25" i="3" s="1"/>
  <c r="C32" i="3"/>
  <c r="F25" i="3" s="1"/>
  <c r="D32" i="3"/>
  <c r="J25" i="3" s="1"/>
  <c r="E32" i="3"/>
  <c r="K25" i="3" s="1"/>
  <c r="F32" i="3"/>
  <c r="H23" i="4"/>
  <c r="H21" i="4"/>
  <c r="B24" i="3" l="1"/>
  <c r="I15" i="3"/>
  <c r="B15" i="3" s="1"/>
  <c r="J15" i="3"/>
  <c r="D15" i="3" s="1"/>
  <c r="D24" i="3"/>
  <c r="F24" i="3"/>
  <c r="E24" i="3"/>
  <c r="I16" i="3"/>
  <c r="B16" i="3" s="1"/>
  <c r="B25" i="3"/>
  <c r="D25" i="3"/>
  <c r="J16" i="3"/>
  <c r="D16" i="3" s="1"/>
  <c r="E25" i="3"/>
  <c r="K16" i="3"/>
  <c r="E16" i="3" s="1"/>
  <c r="F16" i="3"/>
  <c r="B30" i="3"/>
  <c r="I23" i="3" s="1"/>
  <c r="I14" i="3" s="1"/>
  <c r="B14" i="3" s="1"/>
  <c r="C30" i="3"/>
  <c r="F14" i="3" s="1"/>
  <c r="D30" i="3"/>
  <c r="J23" i="3" s="1"/>
  <c r="J14" i="3" s="1"/>
  <c r="D14" i="3" s="1"/>
  <c r="E30" i="3"/>
  <c r="F30" i="3"/>
  <c r="B52" i="3"/>
  <c r="C52" i="3"/>
  <c r="D52" i="3"/>
  <c r="E52" i="3"/>
  <c r="F52" i="3"/>
  <c r="H26" i="4"/>
  <c r="K23" i="3" l="1"/>
  <c r="D23" i="3"/>
  <c r="B23" i="3"/>
  <c r="F23" i="3"/>
  <c r="K14" i="3" l="1"/>
  <c r="E14" i="3" s="1"/>
  <c r="E23" i="3"/>
  <c r="H27" i="4"/>
  <c r="H28" i="4" l="1"/>
  <c r="N5" i="3" l="1"/>
  <c r="M5" i="3" l="1"/>
  <c r="L5" i="3"/>
  <c r="K5" i="3"/>
  <c r="C45" i="3" l="1"/>
  <c r="C7" i="3"/>
  <c r="D43" i="3"/>
  <c r="D5" i="3"/>
  <c r="D45" i="3"/>
  <c r="D7" i="3"/>
  <c r="D42" i="3"/>
  <c r="D4" i="3"/>
</calcChain>
</file>

<file path=xl/sharedStrings.xml><?xml version="1.0" encoding="utf-8"?>
<sst xmlns="http://schemas.openxmlformats.org/spreadsheetml/2006/main" count="254" uniqueCount="148">
  <si>
    <t>SEPTIMA AVENIDA 1631, SAN MIGUEL</t>
  </si>
  <si>
    <t>DIRECCION:</t>
  </si>
  <si>
    <t>RUT:</t>
  </si>
  <si>
    <t>CIUDAD:</t>
  </si>
  <si>
    <t>TOTAL</t>
  </si>
  <si>
    <t>NETO</t>
  </si>
  <si>
    <t>I.V.A.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</si>
  <si>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</si>
  <si>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</si>
  <si>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</si>
  <si>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</si>
  <si>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</si>
  <si>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</si>
  <si>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</si>
  <si>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</si>
  <si>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</si>
  <si>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</si>
  <si>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</si>
  <si>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>VALIDEZ COTIZACIÓN: 5 DÍAS</t>
  </si>
  <si>
    <t xml:space="preserve">D E T A L L E </t>
  </si>
  <si>
    <t>UNIDAD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</si>
  <si>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</si>
  <si>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</si>
  <si>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</si>
  <si>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</si>
  <si>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</si>
  <si>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</si>
  <si>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</si>
  <si>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</si>
  <si>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SERVICIO EXPRESS: 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</si>
  <si>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</si>
  <si>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</si>
  <si>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</si>
  <si>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</si>
  <si>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</si>
  <si>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</si>
  <si>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</si>
  <si>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</si>
  <si>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</si>
  <si>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</si>
  <si>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</si>
  <si>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</si>
  <si>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</si>
  <si>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</si>
  <si>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</si>
  <si>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</si>
  <si>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</si>
  <si>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</si>
  <si>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</si>
  <si>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</si>
  <si>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</si>
  <si>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</si>
  <si>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</si>
  <si>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</si>
  <si>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</si>
  <si>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</si>
  <si>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</si>
  <si>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</si>
  <si>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</si>
  <si>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</si>
  <si>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</si>
  <si>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</si>
  <si>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</si>
  <si>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</si>
  <si>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</si>
  <si>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</si>
  <si>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</si>
  <si>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</si>
  <si>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</si>
  <si>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</si>
  <si>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</si>
  <si>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</si>
  <si>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</si>
  <si>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</si>
  <si>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</si>
  <si>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</si>
  <si>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</si>
  <si>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</si>
  <si>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</si>
  <si>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</si>
  <si>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</si>
  <si>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</si>
  <si>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</si>
  <si>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</si>
  <si>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</si>
  <si>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</si>
  <si>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</si>
  <si>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</si>
  <si>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</si>
  <si>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</si>
  <si>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</si>
  <si>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</si>
  <si>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</si>
  <si>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</si>
  <si>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</si>
  <si>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</si>
  <si>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</si>
  <si>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</si>
  <si>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</si>
  <si>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</si>
  <si>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</si>
  <si>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</si>
  <si>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</si>
  <si>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</si>
  <si>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</si>
  <si>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</si>
  <si>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</si>
  <si>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</si>
  <si>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</si>
  <si>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</si>
  <si>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</si>
  <si>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</si>
  <si>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</si>
  <si>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</si>
  <si>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</si>
  <si>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</si>
  <si>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</si>
  <si>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</si>
  <si>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</si>
  <si>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</si>
  <si>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</si>
  <si>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</si>
  <si>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</si>
  <si>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 xml:space="preserve">CUENTA VISTA DEL BANCO ESTADO N° 35571389078 A NOMBRE DE </t>
  </si>
  <si>
    <t>FECHA LIMITE :</t>
  </si>
  <si>
    <t>FECHA ENTREGA:</t>
  </si>
  <si>
    <t>NO BORRAR REGLAS!!!!! SI NO LAS SABEN USAR NO BORREN ESTO POR FAVOR!!!!!</t>
  </si>
  <si>
    <t>CUB C/R R6</t>
  </si>
  <si>
    <t>HECHO POR:</t>
  </si>
  <si>
    <t xml:space="preserve">CLIENTE: </t>
  </si>
  <si>
    <t xml:space="preserve">GIRO: </t>
  </si>
  <si>
    <t>SANTIAGO</t>
  </si>
  <si>
    <t>CONTACTO:</t>
  </si>
  <si>
    <t>O/C 30 DIAS</t>
  </si>
  <si>
    <t>MDF30MM</t>
  </si>
  <si>
    <t>NO</t>
  </si>
  <si>
    <t>GERO MATTE</t>
  </si>
  <si>
    <t>N° 12141</t>
  </si>
  <si>
    <t>+569 8143 5444</t>
  </si>
  <si>
    <t>CUB S/R FTE ESPAÑOL</t>
  </si>
  <si>
    <t>CUB S/R FTE ESPAÑOL 2 LADOS</t>
  </si>
  <si>
    <t>DUSKBERG MARBLE 40476 SF</t>
  </si>
  <si>
    <t>MDF15MM</t>
  </si>
  <si>
    <t>COTIZACION</t>
  </si>
  <si>
    <t>NOTA DE VENTA</t>
  </si>
  <si>
    <t>NOMBRE</t>
  </si>
  <si>
    <t>FECHA</t>
  </si>
  <si>
    <t>13,358,842-6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</si>
</sst>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$&quot;* #,##0_ ;_ &quot;$&quot;* \-#,##0_ ;_ &quot;$&quot;* &quot;-&quot;_ ;_ @_ "/>
    <numFmt numFmtId="164" formatCode="_-* #,##0.00_-;\-* #,##0.00_-;_-* &quot;-&quot;??_-;_-@_-"/>
    <numFmt numFmtId="165" formatCode="0.000"/>
    <numFmt numFmtId="166" formatCode="_-* #,##0_-;\-* #,##0_-;_-* &quot;-&quot;??_-;_-@_-"/>
  </numFmts>
  <fonts count="18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u/>
      <sz val="1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</fills>
  <borders count="3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4">
    <xf numFmtId="0" fontId="0" fillId="0" borderId="0"/>
    <xf numFmtId="164" fontId="4" fillId="0" borderId="0" applyFont="0" applyFill="0" applyBorder="0" applyAlignment="0" applyProtection="0"/>
    <xf numFmtId="0" fontId="6" fillId="0" borderId="0" applyNumberFormat="0" applyFill="0" applyBorder="0" applyAlignment="0" applyProtection="0"/>
    <xf numFmtId="42" fontId="4" fillId="0" borderId="0" applyFont="0" applyFill="0" applyBorder="0" applyAlignment="0" applyProtection="0"/>
  </cellStyleXfs>
  <cellXfs count="135">
    <xf numFmtId="0" fontId="0" fillId="0" borderId="0" xfId="0"/>
    <xf numFmtId="0" fontId="3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/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8" fillId="6" borderId="2" xfId="0" applyFont="1" applyFill="1" applyBorder="1" applyAlignment="1">
      <alignment horizontal="center"/>
    </xf>
    <xf numFmtId="0" fontId="9" fillId="0" borderId="0" xfId="0" applyFont="1"/>
    <xf numFmtId="14" fontId="1" fillId="0" borderId="0" xfId="0" applyNumberFormat="1" applyFont="1" applyAlignment="1">
      <alignment horizontal="left" wrapText="1" shrinkToFit="1"/>
    </xf>
    <xf numFmtId="0" fontId="1" fillId="0" borderId="0" xfId="0" applyFont="1" applyAlignment="1">
      <alignment horizontal="left"/>
    </xf>
    <xf numFmtId="0" fontId="2" fillId="0" borderId="0" xfId="0" applyFont="1"/>
    <xf numFmtId="0" fontId="3" fillId="0" borderId="18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8" fillId="6" borderId="0" xfId="0" applyFont="1" applyFill="1" applyAlignment="1">
      <alignment horizontal="center"/>
    </xf>
    <xf numFmtId="0" fontId="7" fillId="0" borderId="0" xfId="0" applyFont="1"/>
    <xf numFmtId="0" fontId="3" fillId="7" borderId="18" xfId="0" applyFont="1" applyFill="1" applyBorder="1" applyAlignment="1">
      <alignment horizontal="center"/>
    </xf>
    <xf numFmtId="0" fontId="9" fillId="0" borderId="15" xfId="0" applyFont="1" applyBorder="1"/>
    <xf numFmtId="0" fontId="9" fillId="0" borderId="16" xfId="0" applyFont="1" applyBorder="1"/>
    <xf numFmtId="0" fontId="9" fillId="0" borderId="17" xfId="0" applyFont="1" applyBorder="1"/>
    <xf numFmtId="0" fontId="3" fillId="0" borderId="2" xfId="0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0" fontId="3" fillId="7" borderId="26" xfId="0" applyFont="1" applyFill="1" applyBorder="1" applyAlignment="1">
      <alignment horizontal="center"/>
    </xf>
    <xf numFmtId="166" fontId="0" fillId="0" borderId="0" xfId="0" applyNumberFormat="1"/>
    <xf numFmtId="0" fontId="5" fillId="0" borderId="0" xfId="0" applyFont="1"/>
    <xf numFmtId="0" fontId="3" fillId="3" borderId="2" xfId="0" applyFont="1" applyFill="1" applyBorder="1" applyAlignment="1">
      <alignment horizontal="center"/>
    </xf>
    <xf numFmtId="0" fontId="9" fillId="0" borderId="18" xfId="0" applyFont="1" applyBorder="1" applyAlignment="1">
      <alignment horizontal="center"/>
    </xf>
    <xf numFmtId="0" fontId="9" fillId="0" borderId="26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11" fillId="0" borderId="0" xfId="0" applyFont="1" applyAlignment="1">
      <alignment horizontal="left" indent="1"/>
    </xf>
    <xf numFmtId="0" fontId="11" fillId="3" borderId="0" xfId="0" applyFont="1" applyFill="1" applyAlignment="1">
      <alignment horizontal="left" indent="1"/>
    </xf>
    <xf numFmtId="0" fontId="9" fillId="3" borderId="0" xfId="0" applyFont="1" applyFill="1" applyAlignment="1">
      <alignment horizontal="left"/>
    </xf>
    <xf numFmtId="0" fontId="3" fillId="3" borderId="0" xfId="0" applyFont="1" applyFill="1"/>
    <xf numFmtId="0" fontId="3" fillId="0" borderId="0" xfId="0" applyFont="1" applyAlignment="1">
      <alignment horizontal="left" indent="1"/>
    </xf>
    <xf numFmtId="14" fontId="3" fillId="0" borderId="0" xfId="0" applyNumberFormat="1" applyFont="1" applyAlignment="1">
      <alignment horizontal="right" vertical="top"/>
    </xf>
    <xf numFmtId="14" fontId="11" fillId="0" borderId="0" xfId="0" applyNumberFormat="1" applyFont="1" applyAlignment="1">
      <alignment horizontal="left" indent="1"/>
    </xf>
    <xf numFmtId="0" fontId="9" fillId="0" borderId="21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1" fillId="3" borderId="3" xfId="0" applyFont="1" applyFill="1" applyBorder="1"/>
    <xf numFmtId="0" fontId="3" fillId="3" borderId="4" xfId="0" applyFont="1" applyFill="1" applyBorder="1"/>
    <xf numFmtId="0" fontId="3" fillId="3" borderId="4" xfId="0" applyFont="1" applyFill="1" applyBorder="1" applyAlignment="1">
      <alignment horizontal="left"/>
    </xf>
    <xf numFmtId="14" fontId="3" fillId="3" borderId="4" xfId="0" applyNumberFormat="1" applyFont="1" applyFill="1" applyBorder="1" applyAlignment="1">
      <alignment horizontal="left"/>
    </xf>
    <xf numFmtId="0" fontId="3" fillId="3" borderId="5" xfId="0" applyFont="1" applyFill="1" applyBorder="1"/>
    <xf numFmtId="0" fontId="3" fillId="4" borderId="6" xfId="0" applyFont="1" applyFill="1" applyBorder="1"/>
    <xf numFmtId="0" fontId="3" fillId="4" borderId="0" xfId="0" applyFont="1" applyFill="1"/>
    <xf numFmtId="14" fontId="3" fillId="4" borderId="29" xfId="0" applyNumberFormat="1" applyFont="1" applyFill="1" applyBorder="1" applyAlignment="1">
      <alignment horizontal="left"/>
    </xf>
    <xf numFmtId="0" fontId="3" fillId="4" borderId="7" xfId="0" applyFont="1" applyFill="1" applyBorder="1"/>
    <xf numFmtId="0" fontId="3" fillId="3" borderId="6" xfId="0" applyFont="1" applyFill="1" applyBorder="1"/>
    <xf numFmtId="0" fontId="3" fillId="3" borderId="0" xfId="0" applyFont="1" applyFill="1" applyAlignment="1">
      <alignment horizontal="left"/>
    </xf>
    <xf numFmtId="0" fontId="3" fillId="3" borderId="7" xfId="0" applyFont="1" applyFill="1" applyBorder="1"/>
    <xf numFmtId="0" fontId="3" fillId="4" borderId="0" xfId="0" applyFont="1" applyFill="1" applyAlignment="1">
      <alignment horizontal="left"/>
    </xf>
    <xf numFmtId="0" fontId="1" fillId="3" borderId="0" xfId="0" applyFont="1" applyFill="1"/>
    <xf numFmtId="0" fontId="3" fillId="4" borderId="8" xfId="0" applyFont="1" applyFill="1" applyBorder="1"/>
    <xf numFmtId="0" fontId="3" fillId="4" borderId="9" xfId="2" applyFont="1" applyFill="1" applyBorder="1" applyAlignment="1">
      <alignment horizontal="left"/>
    </xf>
    <xf numFmtId="0" fontId="3" fillId="4" borderId="9" xfId="0" applyFont="1" applyFill="1" applyBorder="1"/>
    <xf numFmtId="0" fontId="1" fillId="8" borderId="23" xfId="0" applyFont="1" applyFill="1" applyBorder="1" applyAlignment="1">
      <alignment horizontal="center" vertical="center"/>
    </xf>
    <xf numFmtId="0" fontId="1" fillId="8" borderId="24" xfId="0" applyFont="1" applyFill="1" applyBorder="1" applyAlignment="1">
      <alignment horizontal="center" vertical="center"/>
    </xf>
    <xf numFmtId="0" fontId="1" fillId="8" borderId="25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66" fontId="3" fillId="0" borderId="0" xfId="1" applyNumberFormat="1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/>
    </xf>
    <xf numFmtId="166" fontId="1" fillId="0" borderId="12" xfId="1" applyNumberFormat="1" applyFont="1" applyFill="1" applyBorder="1"/>
    <xf numFmtId="3" fontId="1" fillId="3" borderId="13" xfId="0" applyNumberFormat="1" applyFont="1" applyFill="1" applyBorder="1" applyAlignment="1">
      <alignment horizontal="center"/>
    </xf>
    <xf numFmtId="166" fontId="1" fillId="0" borderId="31" xfId="1" applyNumberFormat="1" applyFont="1" applyFill="1" applyBorder="1"/>
    <xf numFmtId="0" fontId="1" fillId="0" borderId="14" xfId="0" applyFont="1" applyBorder="1" applyAlignment="1">
      <alignment horizontal="center"/>
    </xf>
    <xf numFmtId="166" fontId="1" fillId="0" borderId="30" xfId="1" applyNumberFormat="1" applyFont="1" applyFill="1" applyBorder="1"/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0" fontId="14" fillId="0" borderId="0" xfId="2" applyFont="1" applyFill="1" applyBorder="1" applyAlignment="1">
      <alignment horizontal="left" vertical="center" indent="1"/>
    </xf>
    <xf numFmtId="0" fontId="5" fillId="3" borderId="4" xfId="0" applyFont="1" applyFill="1" applyBorder="1"/>
    <xf numFmtId="14" fontId="11" fillId="0" borderId="0" xfId="0" applyNumberFormat="1" applyFont="1" applyAlignment="1">
      <alignment horizontal="left" vertical="top" indent="1"/>
    </xf>
    <xf numFmtId="0" fontId="9" fillId="0" borderId="2" xfId="0" applyFont="1" applyBorder="1" applyAlignment="1">
      <alignment horizontal="center" vertical="center"/>
    </xf>
    <xf numFmtId="0" fontId="0" fillId="2" borderId="0" xfId="0" applyFill="1" applyAlignment="1">
      <alignment horizontal="center"/>
    </xf>
    <xf numFmtId="0" fontId="1" fillId="0" borderId="15" xfId="0" applyFont="1" applyBorder="1" applyAlignment="1">
      <alignment horizontal="left" indent="1"/>
    </xf>
    <xf numFmtId="0" fontId="1" fillId="0" borderId="16" xfId="0" applyFont="1" applyBorder="1"/>
    <xf numFmtId="0" fontId="1" fillId="0" borderId="17" xfId="0" applyFont="1" applyBorder="1" applyAlignment="1">
      <alignment horizontal="center"/>
    </xf>
    <xf numFmtId="0" fontId="1" fillId="0" borderId="15" xfId="0" applyFont="1" applyBorder="1" applyAlignment="1">
      <alignment horizontal="left"/>
    </xf>
    <xf numFmtId="0" fontId="3" fillId="0" borderId="17" xfId="0" applyFont="1" applyBorder="1" applyAlignment="1">
      <alignment horizontal="left"/>
    </xf>
    <xf numFmtId="0" fontId="7" fillId="0" borderId="0" xfId="0" applyFont="1" applyAlignment="1">
      <alignment horizontal="right"/>
    </xf>
    <xf numFmtId="166" fontId="1" fillId="0" borderId="0" xfId="1" applyNumberFormat="1" applyFont="1" applyFill="1" applyBorder="1"/>
    <xf numFmtId="0" fontId="7" fillId="3" borderId="0" xfId="0" applyFont="1" applyFill="1"/>
    <xf numFmtId="0" fontId="17" fillId="0" borderId="18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18" xfId="0" applyFont="1" applyBorder="1" applyAlignment="1">
      <alignment horizontal="center"/>
    </xf>
    <xf numFmtId="0" fontId="16" fillId="0" borderId="0" xfId="2" quotePrefix="1" applyFont="1" applyFill="1" applyBorder="1" applyAlignment="1">
      <alignment horizontal="left"/>
    </xf>
    <xf numFmtId="0" fontId="3" fillId="3" borderId="0" xfId="0" applyFont="1" applyFill="1" applyAlignment="1">
      <alignment horizontal="center"/>
    </xf>
    <xf numFmtId="0" fontId="15" fillId="0" borderId="0" xfId="0" applyFont="1" applyAlignment="1">
      <alignment horizontal="center" vertical="center"/>
    </xf>
    <xf numFmtId="1" fontId="15" fillId="0" borderId="0" xfId="0" applyNumberFormat="1" applyFont="1" applyAlignment="1">
      <alignment horizontal="center" vertical="center"/>
    </xf>
    <xf numFmtId="0" fontId="15" fillId="0" borderId="11" xfId="0" applyFont="1" applyBorder="1" applyAlignment="1">
      <alignment horizontal="center" vertical="center"/>
    </xf>
    <xf numFmtId="0" fontId="15" fillId="0" borderId="32" xfId="0" applyFont="1" applyBorder="1" applyAlignment="1">
      <alignment horizontal="center" vertical="center"/>
    </xf>
    <xf numFmtId="1" fontId="15" fillId="0" borderId="32" xfId="0" applyNumberFormat="1" applyFont="1" applyBorder="1" applyAlignment="1">
      <alignment horizontal="center" vertical="center"/>
    </xf>
    <xf numFmtId="166" fontId="3" fillId="0" borderId="32" xfId="1" applyNumberFormat="1" applyFont="1" applyFill="1" applyBorder="1" applyAlignment="1">
      <alignment horizontal="center" vertical="center"/>
    </xf>
    <xf numFmtId="166" fontId="3" fillId="0" borderId="12" xfId="1" applyNumberFormat="1" applyFont="1" applyFill="1" applyBorder="1" applyAlignment="1">
      <alignment horizontal="center" vertical="center"/>
    </xf>
    <xf numFmtId="0" fontId="15" fillId="0" borderId="14" xfId="0" applyFont="1" applyBorder="1" applyAlignment="1">
      <alignment horizontal="center" vertical="center"/>
    </xf>
    <xf numFmtId="0" fontId="15" fillId="0" borderId="33" xfId="0" applyFont="1" applyBorder="1" applyAlignment="1">
      <alignment horizontal="center" vertical="center"/>
    </xf>
    <xf numFmtId="1" fontId="15" fillId="0" borderId="33" xfId="0" applyNumberFormat="1" applyFont="1" applyBorder="1" applyAlignment="1">
      <alignment horizontal="center" vertical="center"/>
    </xf>
    <xf numFmtId="166" fontId="3" fillId="0" borderId="33" xfId="1" applyNumberFormat="1" applyFont="1" applyFill="1" applyBorder="1" applyAlignment="1">
      <alignment horizontal="center" vertical="center"/>
    </xf>
    <xf numFmtId="166" fontId="3" fillId="0" borderId="30" xfId="1" applyNumberFormat="1" applyFont="1" applyFill="1" applyBorder="1" applyAlignment="1">
      <alignment horizontal="center" vertical="center"/>
    </xf>
    <xf numFmtId="0" fontId="15" fillId="0" borderId="34" xfId="0" applyFont="1" applyBorder="1" applyAlignment="1">
      <alignment horizontal="center" vertical="center"/>
    </xf>
    <xf numFmtId="0" fontId="15" fillId="0" borderId="22" xfId="0" applyFont="1" applyBorder="1" applyAlignment="1">
      <alignment horizontal="center" vertical="center"/>
    </xf>
    <xf numFmtId="1" fontId="15" fillId="0" borderId="22" xfId="0" applyNumberFormat="1" applyFont="1" applyBorder="1" applyAlignment="1">
      <alignment horizontal="center" vertical="center"/>
    </xf>
    <xf numFmtId="166" fontId="3" fillId="0" borderId="22" xfId="1" applyNumberFormat="1" applyFont="1" applyFill="1" applyBorder="1" applyAlignment="1">
      <alignment horizontal="center" vertical="center"/>
    </xf>
    <xf numFmtId="166" fontId="3" fillId="0" borderId="35" xfId="1" applyNumberFormat="1" applyFont="1" applyFill="1" applyBorder="1" applyAlignment="1">
      <alignment horizontal="center" vertical="center"/>
    </xf>
    <xf numFmtId="14" fontId="0" fillId="0" borderId="0" xfId="0" applyNumberFormat="1"/>
    <xf numFmtId="1" fontId="0" fillId="0" borderId="0" xfId="3" applyNumberFormat="1" applyFont="1"/>
    <xf numFmtId="0" fontId="11" fillId="4" borderId="9" xfId="0" applyFont="1" applyFill="1" applyBorder="1" applyAlignment="1">
      <alignment horizontal="left"/>
    </xf>
    <xf numFmtId="0" fontId="11" fillId="4" borderId="10" xfId="0" applyFont="1" applyFill="1" applyBorder="1" applyAlignment="1">
      <alignment horizontal="left"/>
    </xf>
    <xf numFmtId="0" fontId="9" fillId="3" borderId="15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9" fillId="3" borderId="17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0" fontId="9" fillId="3" borderId="20" xfId="0" applyFont="1" applyFill="1" applyBorder="1" applyAlignment="1">
      <alignment horizontal="left" vertical="top" indent="28"/>
    </xf>
    <xf numFmtId="0" fontId="9" fillId="3" borderId="21" xfId="0" applyFont="1" applyFill="1" applyBorder="1" applyAlignment="1">
      <alignment horizontal="left" vertical="top" indent="28"/>
    </xf>
    <xf numFmtId="0" fontId="9" fillId="3" borderId="28" xfId="0" applyFont="1" applyFill="1" applyBorder="1" applyAlignment="1">
      <alignment horizontal="left" vertical="top" indent="28"/>
    </xf>
    <xf numFmtId="0" fontId="9" fillId="3" borderId="19" xfId="0" applyFont="1" applyFill="1" applyBorder="1" applyAlignment="1">
      <alignment horizontal="left" vertical="top" indent="28"/>
    </xf>
  </cellXfs>
  <cellStyles count="4">
    <cellStyle name="Hipervínculo" xfId="2" builtinId="8"/>
    <cellStyle name="Millares" xfId="1" builtinId="3"/>
    <cellStyle name="Moneda [0]" xfId="3" builtinId="7"/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11430</xdr:colOff>
      <xdr:row>25</xdr:row>
      <xdr:rowOff>9525</xdr:rowOff>
    </xdr:from>
    <xdr:to>
      <xdr:col>5</xdr:col>
      <xdr:colOff>1390650</xdr:colOff>
      <xdr:row>28</xdr:row>
      <xdr:rowOff>7620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09550" y="4596765"/>
          <a:ext cx="5295900" cy="600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ABONO $200.000 EL 25-05   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1108468</xdr:colOff>
      <xdr:row>6</xdr:row>
      <xdr:rowOff>17145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895350</xdr:colOff>
      <xdr:row>5</xdr:row>
      <xdr:rowOff>47625</xdr:rowOff>
    </xdr:from>
    <xdr:to>
      <xdr:col>5</xdr:col>
      <xdr:colOff>2385060</xdr:colOff>
      <xdr:row>6</xdr:row>
      <xdr:rowOff>190500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2084070" y="1076325"/>
          <a:ext cx="6808470" cy="19621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0</xdr:col>
      <xdr:colOff>152400</xdr:colOff>
      <xdr:row>17</xdr:row>
      <xdr:rowOff>76200</xdr:rowOff>
    </xdr:from>
    <xdr:to>
      <xdr:col>5</xdr:col>
      <xdr:colOff>1676399</xdr:colOff>
      <xdr:row>19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52400" y="1514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0</xdr:col>
      <xdr:colOff>171450</xdr:colOff>
      <xdr:row>8</xdr:row>
      <xdr:rowOff>171450</xdr:rowOff>
    </xdr:from>
    <xdr:to>
      <xdr:col>5</xdr:col>
      <xdr:colOff>1695449</xdr:colOff>
      <xdr:row>10</xdr:row>
      <xdr:rowOff>19050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71450" y="3419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161925</xdr:colOff>
      <xdr:row>46</xdr:row>
      <xdr:rowOff>171450</xdr:rowOff>
    </xdr:from>
    <xdr:to>
      <xdr:col>5</xdr:col>
      <xdr:colOff>1685924</xdr:colOff>
      <xdr:row>48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61925" y="9277350"/>
          <a:ext cx="6810374" cy="2286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44</xdr:row>
      <xdr:rowOff>0</xdr:rowOff>
    </xdr:from>
    <xdr:to>
      <xdr:col>6</xdr:col>
      <xdr:colOff>0</xdr:colOff>
      <xdr:row>45</xdr:row>
      <xdr:rowOff>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743075" y="1047750"/>
          <a:ext cx="516255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42</xdr:row>
      <xdr:rowOff>38100</xdr:rowOff>
    </xdr:from>
    <xdr:to>
      <xdr:col>6</xdr:col>
      <xdr:colOff>0</xdr:colOff>
      <xdr:row>43</xdr:row>
      <xdr:rowOff>19050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743075" y="800100"/>
          <a:ext cx="5162550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41</xdr:row>
      <xdr:rowOff>0</xdr:rowOff>
    </xdr:from>
    <xdr:to>
      <xdr:col>6</xdr:col>
      <xdr:colOff>0</xdr:colOff>
      <xdr:row>42</xdr:row>
      <xdr:rowOff>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743075" y="571500"/>
          <a:ext cx="5162550" cy="1905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55</xdr:row>
      <xdr:rowOff>0</xdr:rowOff>
    </xdr:from>
    <xdr:to>
      <xdr:col>2</xdr:col>
      <xdr:colOff>38100</xdr:colOff>
      <xdr:row>56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819150" y="7505700"/>
          <a:ext cx="971550" cy="2286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55</xdr:row>
      <xdr:rowOff>0</xdr:rowOff>
    </xdr:from>
    <xdr:to>
      <xdr:col>2</xdr:col>
      <xdr:colOff>1019175</xdr:colOff>
      <xdr:row>55</xdr:row>
      <xdr:rowOff>190500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790700" y="7505700"/>
          <a:ext cx="98107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55</xdr:row>
      <xdr:rowOff>0</xdr:rowOff>
    </xdr:from>
    <xdr:to>
      <xdr:col>3</xdr:col>
      <xdr:colOff>352425</xdr:colOff>
      <xdr:row>56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76225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55</xdr:row>
      <xdr:rowOff>0</xdr:rowOff>
    </xdr:from>
    <xdr:to>
      <xdr:col>4</xdr:col>
      <xdr:colOff>257175</xdr:colOff>
      <xdr:row>56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373380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55</xdr:row>
      <xdr:rowOff>0</xdr:rowOff>
    </xdr:from>
    <xdr:to>
      <xdr:col>5</xdr:col>
      <xdr:colOff>447675</xdr:colOff>
      <xdr:row>55</xdr:row>
      <xdr:rowOff>190500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4695825" y="7505700"/>
          <a:ext cx="96202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55</xdr:row>
      <xdr:rowOff>0</xdr:rowOff>
    </xdr:from>
    <xdr:to>
      <xdr:col>6</xdr:col>
      <xdr:colOff>0</xdr:colOff>
      <xdr:row>55</xdr:row>
      <xdr:rowOff>190500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5667375" y="7505700"/>
          <a:ext cx="123825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55</xdr:row>
      <xdr:rowOff>190500</xdr:rowOff>
    </xdr:from>
    <xdr:to>
      <xdr:col>2</xdr:col>
      <xdr:colOff>304800</xdr:colOff>
      <xdr:row>57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8191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55</xdr:row>
      <xdr:rowOff>190500</xdr:rowOff>
    </xdr:from>
    <xdr:to>
      <xdr:col>2</xdr:col>
      <xdr:colOff>1276350</xdr:colOff>
      <xdr:row>57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7907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55</xdr:row>
      <xdr:rowOff>190500</xdr:rowOff>
    </xdr:from>
    <xdr:to>
      <xdr:col>3</xdr:col>
      <xdr:colOff>619125</xdr:colOff>
      <xdr:row>57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7622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55</xdr:row>
      <xdr:rowOff>190500</xdr:rowOff>
    </xdr:from>
    <xdr:to>
      <xdr:col>4</xdr:col>
      <xdr:colOff>523875</xdr:colOff>
      <xdr:row>57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37338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55</xdr:row>
      <xdr:rowOff>190500</xdr:rowOff>
    </xdr:from>
    <xdr:to>
      <xdr:col>5</xdr:col>
      <xdr:colOff>723900</xdr:colOff>
      <xdr:row>57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469582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55</xdr:row>
      <xdr:rowOff>190500</xdr:rowOff>
    </xdr:from>
    <xdr:to>
      <xdr:col>6</xdr:col>
      <xdr:colOff>0</xdr:colOff>
      <xdr:row>57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566737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0</xdr:col>
      <xdr:colOff>392430</xdr:colOff>
      <xdr:row>33</xdr:row>
      <xdr:rowOff>15239</xdr:rowOff>
    </xdr:from>
    <xdr:to>
      <xdr:col>6</xdr:col>
      <xdr:colOff>68580</xdr:colOff>
      <xdr:row>37</xdr:row>
      <xdr:rowOff>57150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392430" y="6473189"/>
          <a:ext cx="7820025" cy="84201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 SUSTRATO MDF 15MM MAS REGRUESO 15MM</a:t>
          </a:r>
          <a:endParaRPr lang="es-ES" sz="1050">
            <a:effectLst/>
          </a:endParaRPr>
        </a:p>
      </xdr:txBody>
    </xdr:sp>
    <xdr:clientData/>
  </xdr:twoCellAnchor>
  <xdr:twoCellAnchor>
    <xdr:from>
      <xdr:col>0</xdr:col>
      <xdr:colOff>190500</xdr:colOff>
      <xdr:row>25</xdr:row>
      <xdr:rowOff>200025</xdr:rowOff>
    </xdr:from>
    <xdr:to>
      <xdr:col>6</xdr:col>
      <xdr:colOff>19049</xdr:colOff>
      <xdr:row>27</xdr:row>
      <xdr:rowOff>9525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90500" y="5629275"/>
          <a:ext cx="6810374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58</xdr:row>
      <xdr:rowOff>32385</xdr:rowOff>
    </xdr:from>
    <xdr:to>
      <xdr:col>6</xdr:col>
      <xdr:colOff>19050</xdr:colOff>
      <xdr:row>62</xdr:row>
      <xdr:rowOff>152400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725805" y="11290935"/>
          <a:ext cx="7437120" cy="9105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 SUSTRATO MDF 15MM MAS REGRUESO 15MM </a:t>
          </a:r>
          <a:endParaRPr lang="es-CL">
            <a:effectLst/>
          </a:endParaRPr>
        </a:p>
      </xdr:txBody>
    </xdr:sp>
    <xdr:clientData/>
  </xdr:twoCellAnchor>
  <xdr:twoCellAnchor editAs="oneCell">
    <xdr:from>
      <xdr:col>0</xdr:col>
      <xdr:colOff>160020</xdr:colOff>
      <xdr:row>40</xdr:row>
      <xdr:rowOff>41910</xdr:rowOff>
    </xdr:from>
    <xdr:to>
      <xdr:col>1</xdr:col>
      <xdr:colOff>556018</xdr:colOff>
      <xdr:row>46</xdr:row>
      <xdr:rowOff>129540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020" y="7219950"/>
          <a:ext cx="1594243" cy="1154430"/>
        </a:xfrm>
        <a:prstGeom prst="rect">
          <a:avLst/>
        </a:prstGeom>
      </xdr:spPr>
    </xdr:pic>
    <xdr:clientData/>
  </xdr:twoCellAnchor>
  <xdr:twoCellAnchor editAs="oneCell">
    <xdr:from>
      <xdr:col>0</xdr:col>
      <xdr:colOff>129540</xdr:colOff>
      <xdr:row>1</xdr:row>
      <xdr:rowOff>114300</xdr:rowOff>
    </xdr:from>
    <xdr:to>
      <xdr:col>1</xdr:col>
      <xdr:colOff>550303</xdr:colOff>
      <xdr:row>8</xdr:row>
      <xdr:rowOff>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540" y="297180"/>
          <a:ext cx="1586623" cy="1148715"/>
        </a:xfrm>
        <a:prstGeom prst="rect">
          <a:avLst/>
        </a:prstGeom>
      </xdr:spPr>
    </xdr:pic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35"/>
  <sheetViews>
    <sheetView tabSelected="1" topLeftCell="A7" workbookViewId="0">
      <selection activeCell="C15" sqref="C15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31.88671875" customWidth="1"/>
    <col min="4" max="5" width="9.109375" customWidth="1"/>
    <col min="6" max="6" width="28.88671875" customWidth="1"/>
    <col min="7" max="8" width="13" customWidth="1"/>
  </cols>
  <sheetData>
    <row r="1" spans="1:17" ht="15.6" x14ac:dyDescent="0.3">
      <c r="A1" s="1"/>
      <c r="B1" s="1"/>
      <c r="C1" s="1"/>
      <c r="D1" s="1"/>
      <c r="E1" s="1"/>
      <c r="F1" s="1"/>
      <c r="G1" s="1"/>
      <c r="H1" s="1"/>
      <c r="I1" s="1"/>
    </row>
    <row r="2" spans="1:17" ht="15.6" x14ac:dyDescent="0.3">
      <c r="A2" s="1"/>
      <c r="B2" s="1"/>
      <c r="C2" s="1"/>
      <c r="D2" s="1"/>
      <c r="E2" s="1"/>
      <c r="F2" s="7" t="s">
        <v>119</v>
      </c>
      <c r="G2" s="1"/>
      <c r="H2" s="1"/>
      <c r="I2" s="1"/>
    </row>
    <row r="3" spans="1:17" ht="15.6" x14ac:dyDescent="0.3">
      <c r="A3" s="1"/>
      <c r="B3" s="1"/>
      <c r="C3" s="1"/>
      <c r="D3" s="1"/>
      <c r="E3" s="1"/>
      <c r="F3" s="1" t="s">
        <v>120</v>
      </c>
      <c r="G3" s="1"/>
      <c r="H3" s="1"/>
      <c r="I3" s="1"/>
    </row>
    <row r="4" spans="1:17" ht="15.6" x14ac:dyDescent="0.3">
      <c r="A4" s="1"/>
      <c r="B4" s="1"/>
      <c r="C4" s="1"/>
      <c r="D4" s="1"/>
      <c r="E4" s="1"/>
      <c r="F4" s="1" t="s">
        <v>121</v>
      </c>
      <c r="G4" s="1"/>
      <c r="H4" s="1"/>
      <c r="I4" s="1"/>
    </row>
    <row r="5" spans="1:17" ht="15.6" x14ac:dyDescent="0.3">
      <c r="A5" s="1"/>
      <c r="B5" s="1"/>
      <c r="C5" s="1"/>
      <c r="D5" s="1"/>
      <c r="E5" s="1"/>
      <c r="F5" s="1" t="s">
        <v>0</v>
      </c>
      <c r="G5" s="1"/>
      <c r="H5" s="1"/>
      <c r="I5" s="1"/>
    </row>
    <row r="6" spans="1:17" ht="15.6" x14ac:dyDescent="0.3">
      <c r="A6" s="1"/>
      <c r="B6" s="1"/>
      <c r="C6" s="1"/>
      <c r="D6" s="1"/>
      <c r="E6" s="1"/>
      <c r="F6" s="1" t="s">
        <v>15</v>
      </c>
      <c r="G6" s="1"/>
      <c r="H6" s="1"/>
      <c r="I6" s="1"/>
    </row>
    <row r="7" spans="1:17" ht="16.2" thickBot="1" x14ac:dyDescent="0.35">
      <c r="A7" s="1"/>
      <c r="B7" s="1"/>
      <c r="C7" s="1"/>
      <c r="D7" s="1"/>
      <c r="E7" s="1"/>
      <c r="F7" s="1" t="s">
        <v>13</v>
      </c>
      <c r="G7" s="1"/>
      <c r="H7" s="1"/>
      <c r="I7" s="1"/>
    </row>
    <row r="8" spans="1:17" ht="16.2" thickBot="1" x14ac:dyDescent="0.35">
      <c r="A8" s="1"/>
      <c r="B8" s="90" t="s">
        <v>16</v>
      </c>
      <c r="C8" s="91"/>
      <c r="D8" s="92" t="s">
        <v>137</v>
      </c>
      <c r="E8" s="1"/>
      <c r="F8" s="93" t="s">
        <v>27</v>
      </c>
      <c r="G8" s="94">
        <v>7472</v>
      </c>
      <c r="H8" s="1"/>
      <c r="I8" s="1"/>
    </row>
    <row r="9" spans="1:17" ht="16.2" thickBot="1" x14ac:dyDescent="0.35">
      <c r="A9" s="1"/>
      <c r="B9" s="1"/>
      <c r="C9" s="1"/>
      <c r="D9" s="1"/>
      <c r="E9" s="1"/>
      <c r="F9" s="1"/>
      <c r="G9" s="1"/>
      <c r="H9" s="1"/>
      <c r="I9" s="1"/>
    </row>
    <row r="10" spans="1:17" ht="16.2" thickBot="1" x14ac:dyDescent="0.35">
      <c r="A10" s="1"/>
      <c r="B10" s="54" t="s">
        <v>129</v>
      </c>
      <c r="C10" s="86" t="s">
        <v>136</v>
      </c>
      <c r="D10" s="55"/>
      <c r="E10" s="55"/>
      <c r="F10" s="56" t="s">
        <v>28</v>
      </c>
      <c r="G10" s="57">
        <v>46167</v>
      </c>
      <c r="H10" s="58"/>
      <c r="I10" s="1"/>
      <c r="J10" s="1"/>
      <c r="K10" s="1"/>
      <c r="L10" s="1"/>
      <c r="M10" s="1"/>
      <c r="N10" s="1"/>
      <c r="O10" s="1"/>
      <c r="P10" s="1"/>
      <c r="Q10" s="1"/>
    </row>
    <row r="11" spans="1:17" ht="16.2" thickBot="1" x14ac:dyDescent="0.35">
      <c r="A11" s="1"/>
      <c r="B11" s="59" t="s">
        <v>2</v>
      </c>
      <c r="C11" s="1" t="s">
        <v>147</v>
      </c>
      <c r="D11" s="60"/>
      <c r="E11" s="60"/>
      <c r="F11" s="60" t="s">
        <v>124</v>
      </c>
      <c r="G11" s="61">
        <v>46171</v>
      </c>
      <c r="H11" s="62"/>
      <c r="I11" s="1"/>
    </row>
    <row r="12" spans="1:17" ht="16.2" thickBot="1" x14ac:dyDescent="0.35">
      <c r="A12" s="1"/>
      <c r="B12" s="63" t="s">
        <v>130</v>
      </c>
      <c r="D12" s="43"/>
      <c r="E12" s="43"/>
      <c r="F12" s="43" t="s">
        <v>30</v>
      </c>
      <c r="G12" s="64"/>
      <c r="H12" s="65"/>
      <c r="I12" s="1"/>
    </row>
    <row r="13" spans="1:17" ht="15.6" x14ac:dyDescent="0.3">
      <c r="A13" s="1"/>
      <c r="B13" s="63" t="s">
        <v>132</v>
      </c>
      <c r="C13" s="86"/>
      <c r="D13" s="43"/>
      <c r="E13" s="43"/>
      <c r="F13" s="43" t="s">
        <v>128</v>
      </c>
      <c r="G13" s="64"/>
      <c r="H13" s="65"/>
      <c r="I13" s="1"/>
    </row>
    <row r="14" spans="1:17" ht="15.6" x14ac:dyDescent="0.3">
      <c r="A14" s="1"/>
      <c r="B14" s="59" t="s">
        <v>17</v>
      </c>
      <c r="C14" s="101" t="s">
        <v>138</v>
      </c>
      <c r="D14" s="66"/>
      <c r="E14" s="60"/>
      <c r="F14" s="60" t="s">
        <v>29</v>
      </c>
      <c r="G14" s="60" t="s">
        <v>135</v>
      </c>
      <c r="H14" s="62"/>
      <c r="I14" s="1"/>
    </row>
    <row r="15" spans="1:17" ht="15.6" x14ac:dyDescent="0.3">
      <c r="A15" s="1"/>
      <c r="B15" s="63" t="s">
        <v>1</v>
      </c>
      <c r="C15" s="97"/>
      <c r="D15" s="43"/>
      <c r="E15" s="43"/>
      <c r="F15" s="67" t="s">
        <v>75</v>
      </c>
      <c r="G15" s="67" t="s">
        <v>133</v>
      </c>
      <c r="H15" s="65"/>
      <c r="I15" s="1"/>
    </row>
    <row r="16" spans="1:17" ht="16.2" thickBot="1" x14ac:dyDescent="0.35">
      <c r="A16" s="1"/>
      <c r="B16" s="68" t="s">
        <v>3</v>
      </c>
      <c r="C16" s="69" t="s">
        <v>131</v>
      </c>
      <c r="D16" s="69"/>
      <c r="E16" s="70"/>
      <c r="F16" s="122" t="s">
        <v>18</v>
      </c>
      <c r="G16" s="122"/>
      <c r="H16" s="123"/>
      <c r="I16" s="1"/>
    </row>
    <row r="17" spans="1:16" ht="15.6" x14ac:dyDescent="0.3">
      <c r="A17" s="1"/>
      <c r="B17" s="1"/>
      <c r="C17" s="1"/>
      <c r="D17" s="1"/>
      <c r="E17" s="1"/>
      <c r="F17" s="1"/>
      <c r="G17" s="1"/>
      <c r="H17" s="1"/>
      <c r="I17" s="1"/>
    </row>
    <row r="18" spans="1:16" ht="16.2" thickBot="1" x14ac:dyDescent="0.35">
      <c r="A18" s="1"/>
      <c r="B18" s="1"/>
      <c r="C18" s="1"/>
      <c r="D18" s="1"/>
      <c r="E18" s="1"/>
      <c r="F18" s="1"/>
      <c r="G18" s="1"/>
      <c r="H18" s="1"/>
      <c r="I18" s="1"/>
    </row>
    <row r="19" spans="1:16" ht="16.2" thickBot="1" x14ac:dyDescent="0.35">
      <c r="A19" s="1"/>
      <c r="B19" s="124" t="s">
        <v>19</v>
      </c>
      <c r="C19" s="125"/>
      <c r="D19" s="125"/>
      <c r="E19" s="125"/>
      <c r="F19" s="125"/>
      <c r="G19" s="125"/>
      <c r="H19" s="126"/>
      <c r="I19" s="1"/>
    </row>
    <row r="20" spans="1:16" ht="16.2" thickBot="1" x14ac:dyDescent="0.35">
      <c r="A20" s="1"/>
      <c r="B20" s="71" t="s">
        <v>20</v>
      </c>
      <c r="C20" s="72" t="s">
        <v>21</v>
      </c>
      <c r="D20" s="72" t="s">
        <v>22</v>
      </c>
      <c r="E20" s="72" t="s">
        <v>8</v>
      </c>
      <c r="F20" s="73" t="s">
        <v>23</v>
      </c>
      <c r="G20" s="71" t="s">
        <v>24</v>
      </c>
      <c r="H20" s="73" t="s">
        <v>4</v>
      </c>
      <c r="I20" s="1"/>
    </row>
    <row r="21" spans="1:16" ht="18" customHeight="1" x14ac:dyDescent="0.3">
      <c r="A21" s="1"/>
      <c r="B21" s="105">
        <v>1</v>
      </c>
      <c r="C21" s="106" t="s">
        <v>139</v>
      </c>
      <c r="D21" s="107">
        <v>1250</v>
      </c>
      <c r="E21" s="107">
        <v>600</v>
      </c>
      <c r="F21" s="106" t="s">
        <v>141</v>
      </c>
      <c r="G21" s="108">
        <v>73347</v>
      </c>
      <c r="H21" s="109">
        <f t="shared" ref="H21" si="0">G21*B21</f>
        <v>73347</v>
      </c>
      <c r="I21" s="1"/>
      <c r="K21" s="17"/>
      <c r="L21" s="26"/>
      <c r="M21" s="17"/>
      <c r="N21" s="17"/>
      <c r="O21" s="26"/>
      <c r="P21" s="33"/>
    </row>
    <row r="22" spans="1:16" ht="18" customHeight="1" x14ac:dyDescent="0.3">
      <c r="A22" s="1"/>
      <c r="B22" s="115">
        <v>1</v>
      </c>
      <c r="C22" s="116" t="s">
        <v>139</v>
      </c>
      <c r="D22" s="117">
        <v>2750</v>
      </c>
      <c r="E22" s="117">
        <v>600</v>
      </c>
      <c r="F22" s="116" t="s">
        <v>141</v>
      </c>
      <c r="G22" s="118">
        <v>152685</v>
      </c>
      <c r="H22" s="119">
        <f>G22*B22</f>
        <v>152685</v>
      </c>
      <c r="I22" s="1"/>
      <c r="K22" s="17"/>
      <c r="L22" s="26"/>
      <c r="M22" s="17"/>
      <c r="N22" s="17"/>
      <c r="O22" s="26"/>
      <c r="P22" s="33"/>
    </row>
    <row r="23" spans="1:16" ht="18" customHeight="1" thickBot="1" x14ac:dyDescent="0.35">
      <c r="A23" s="1"/>
      <c r="B23" s="110">
        <v>1</v>
      </c>
      <c r="C23" s="111" t="s">
        <v>140</v>
      </c>
      <c r="D23" s="112">
        <v>1500</v>
      </c>
      <c r="E23" s="112">
        <v>780</v>
      </c>
      <c r="F23" s="111" t="s">
        <v>141</v>
      </c>
      <c r="G23" s="113">
        <v>111641</v>
      </c>
      <c r="H23" s="114">
        <f>G23*B23</f>
        <v>111641</v>
      </c>
      <c r="I23" s="1"/>
      <c r="K23" s="17"/>
      <c r="L23" s="26"/>
      <c r="M23" s="17"/>
      <c r="N23" s="17"/>
      <c r="O23" s="26"/>
      <c r="P23" s="33"/>
    </row>
    <row r="24" spans="1:16" ht="18" customHeight="1" x14ac:dyDescent="0.3">
      <c r="A24" s="1"/>
      <c r="B24" s="103"/>
      <c r="C24" s="103"/>
      <c r="D24" s="104"/>
      <c r="E24" s="104"/>
      <c r="F24" s="103"/>
      <c r="G24" s="75"/>
      <c r="H24" s="75"/>
      <c r="I24" s="1"/>
      <c r="K24" s="17"/>
      <c r="L24" s="26"/>
      <c r="M24" s="17"/>
      <c r="N24" s="17"/>
      <c r="O24" s="26"/>
      <c r="P24" s="33"/>
    </row>
    <row r="25" spans="1:16" ht="8.25" customHeight="1" thickBot="1" x14ac:dyDescent="0.35">
      <c r="A25" s="1"/>
      <c r="B25" s="74"/>
      <c r="C25" s="74"/>
      <c r="D25" s="74"/>
      <c r="E25" s="74"/>
      <c r="F25" s="74"/>
      <c r="G25" s="75"/>
      <c r="H25" s="75"/>
      <c r="I25" s="1"/>
    </row>
    <row r="26" spans="1:16" ht="15.6" x14ac:dyDescent="0.3">
      <c r="A26" s="1"/>
      <c r="B26" s="1"/>
      <c r="C26" s="1"/>
      <c r="D26" s="1"/>
      <c r="E26" s="1"/>
      <c r="F26" s="1"/>
      <c r="G26" s="76" t="s">
        <v>5</v>
      </c>
      <c r="H26" s="77">
        <f>SUM(H21:H25)</f>
        <v>337673</v>
      </c>
      <c r="I26" s="1"/>
    </row>
    <row r="27" spans="1:16" ht="15.6" x14ac:dyDescent="0.3">
      <c r="A27" s="1"/>
      <c r="B27" s="1"/>
      <c r="C27" s="1"/>
      <c r="D27" s="1"/>
      <c r="E27" s="1"/>
      <c r="F27" s="1"/>
      <c r="G27" s="78" t="s">
        <v>6</v>
      </c>
      <c r="H27" s="79">
        <f>H26*19%</f>
        <v>64157.87</v>
      </c>
      <c r="I27" s="1"/>
    </row>
    <row r="28" spans="1:16" ht="16.2" thickBot="1" x14ac:dyDescent="0.35">
      <c r="A28" s="1"/>
      <c r="B28" s="1"/>
      <c r="C28" s="1"/>
      <c r="D28" s="1"/>
      <c r="E28" s="1"/>
      <c r="F28" s="1"/>
      <c r="G28" s="80" t="s">
        <v>4</v>
      </c>
      <c r="H28" s="81">
        <f>H26+H27</f>
        <v>401830.87</v>
      </c>
      <c r="I28" s="1"/>
    </row>
    <row r="29" spans="1:16" ht="15.6" x14ac:dyDescent="0.3">
      <c r="A29" s="1"/>
      <c r="B29" s="1"/>
      <c r="C29" s="1"/>
      <c r="D29" s="1"/>
      <c r="E29" s="1"/>
      <c r="F29" s="1"/>
      <c r="G29" s="52"/>
      <c r="H29" s="96"/>
      <c r="I29" s="1"/>
    </row>
    <row r="30" spans="1:16" ht="15.6" x14ac:dyDescent="0.3">
      <c r="A30" s="1"/>
      <c r="B30" s="1"/>
      <c r="C30" s="1"/>
      <c r="D30" s="1"/>
      <c r="E30" s="1"/>
      <c r="F30" s="1"/>
      <c r="G30" s="1"/>
      <c r="H30" s="1"/>
      <c r="I30" s="1"/>
    </row>
    <row r="31" spans="1:16" ht="15.6" x14ac:dyDescent="0.3">
      <c r="A31" s="1"/>
      <c r="B31" s="82" t="s">
        <v>123</v>
      </c>
      <c r="C31" s="83"/>
      <c r="D31" s="84"/>
      <c r="E31" s="84"/>
      <c r="F31" s="74"/>
      <c r="G31" s="1"/>
      <c r="H31" s="1"/>
      <c r="I31" s="1"/>
    </row>
    <row r="32" spans="1:16" ht="15.6" x14ac:dyDescent="0.3">
      <c r="A32" s="1"/>
      <c r="B32" s="82" t="s">
        <v>122</v>
      </c>
      <c r="C32" s="83"/>
      <c r="D32" s="84"/>
      <c r="E32" s="84"/>
      <c r="F32" s="74"/>
      <c r="G32" s="1"/>
      <c r="H32" s="1"/>
      <c r="I32" s="1"/>
    </row>
    <row r="33" spans="1:9" ht="15.6" x14ac:dyDescent="0.3">
      <c r="A33" s="1"/>
      <c r="B33" s="1" t="s">
        <v>25</v>
      </c>
      <c r="C33" s="1"/>
      <c r="D33" s="1"/>
      <c r="E33" s="85" t="s">
        <v>26</v>
      </c>
      <c r="F33" s="1"/>
      <c r="G33" s="1"/>
      <c r="H33" s="1"/>
      <c r="I33" s="1"/>
    </row>
    <row r="34" spans="1:9" ht="15.6" x14ac:dyDescent="0.3">
      <c r="A34" s="1"/>
      <c r="B34" s="1"/>
      <c r="C34" s="1"/>
      <c r="D34" s="1"/>
      <c r="E34" s="1"/>
      <c r="F34" s="1"/>
      <c r="G34" s="1"/>
      <c r="H34" s="1"/>
      <c r="I34" s="1"/>
    </row>
    <row r="35" spans="1:9" ht="15.6" x14ac:dyDescent="0.3">
      <c r="A35" s="1"/>
      <c r="B35" s="1"/>
      <c r="C35" s="1"/>
      <c r="D35" s="1"/>
      <c r="E35" s="1"/>
      <c r="F35" s="1"/>
      <c r="G35" s="1"/>
      <c r="H35" s="1"/>
      <c r="I35" s="1"/>
    </row>
  </sheetData>
  <sortState xmlns:xlrd2="http://schemas.microsoft.com/office/spreadsheetml/2017/richdata2" ref="B37">
    <sortCondition sortBy="fontColor" ref="B37" dxfId="0"/>
  </sortState>
  <mergeCells count="2">
    <mergeCell ref="F16:H16"/>
    <mergeCell ref="B19:H19"/>
  </mergeCells>
  <phoneticPr fontId="10" type="noConversion"/>
  <hyperlinks>
    <hyperlink ref="E33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78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27" t="s">
        <v>31</v>
      </c>
      <c r="C2" s="127"/>
      <c r="D2" s="127"/>
      <c r="E2" s="18"/>
      <c r="G2" s="127" t="s">
        <v>70</v>
      </c>
      <c r="H2" s="127"/>
      <c r="I2" s="127"/>
      <c r="P2" s="128" t="s">
        <v>58</v>
      </c>
      <c r="Q2" s="128"/>
      <c r="R2" s="128"/>
    </row>
    <row r="3" spans="2:18" x14ac:dyDescent="0.3">
      <c r="B3" s="11" t="s">
        <v>7</v>
      </c>
      <c r="C3" s="11" t="s">
        <v>8</v>
      </c>
      <c r="D3" s="11" t="s">
        <v>21</v>
      </c>
      <c r="E3" s="19"/>
      <c r="G3" s="11" t="s">
        <v>7</v>
      </c>
      <c r="H3" s="11" t="s">
        <v>8</v>
      </c>
      <c r="I3" s="11" t="s">
        <v>21</v>
      </c>
      <c r="P3" s="11" t="s">
        <v>7</v>
      </c>
      <c r="Q3" s="11" t="s">
        <v>8</v>
      </c>
      <c r="R3" s="11" t="s">
        <v>21</v>
      </c>
    </row>
    <row r="4" spans="2:18" x14ac:dyDescent="0.3">
      <c r="B4" s="9">
        <v>40</v>
      </c>
      <c r="C4" s="9">
        <v>60</v>
      </c>
      <c r="D4" s="10" t="s">
        <v>113</v>
      </c>
      <c r="E4" s="8" t="s">
        <v>101</v>
      </c>
      <c r="G4" s="29">
        <v>50</v>
      </c>
      <c r="H4" s="29">
        <v>100</v>
      </c>
      <c r="I4" s="30" t="s">
        <v>113</v>
      </c>
      <c r="J4" s="31" t="s">
        <v>109</v>
      </c>
      <c r="K4" s="31"/>
      <c r="L4" s="31"/>
      <c r="M4" s="31"/>
      <c r="P4">
        <v>50</v>
      </c>
      <c r="Q4">
        <v>-30</v>
      </c>
      <c r="R4" t="s">
        <v>32</v>
      </c>
    </row>
    <row r="5" spans="2:18" x14ac:dyDescent="0.3">
      <c r="B5" s="9">
        <v>40</v>
      </c>
      <c r="C5" s="9">
        <v>90</v>
      </c>
      <c r="D5" s="10" t="s">
        <v>114</v>
      </c>
      <c r="E5" s="8" t="s">
        <v>102</v>
      </c>
      <c r="G5" s="29">
        <v>50</v>
      </c>
      <c r="H5" s="29"/>
      <c r="I5" s="30" t="s">
        <v>115</v>
      </c>
      <c r="J5" s="31" t="s">
        <v>117</v>
      </c>
      <c r="K5" s="31"/>
      <c r="L5" s="31"/>
      <c r="M5" s="31"/>
      <c r="P5">
        <v>50</v>
      </c>
      <c r="Q5">
        <v>-30</v>
      </c>
      <c r="R5" t="s">
        <v>32</v>
      </c>
    </row>
    <row r="6" spans="2:18" x14ac:dyDescent="0.3">
      <c r="B6" s="9">
        <v>40</v>
      </c>
      <c r="C6" s="9">
        <v>100</v>
      </c>
      <c r="D6" s="10" t="s">
        <v>56</v>
      </c>
      <c r="E6" s="8" t="s">
        <v>103</v>
      </c>
      <c r="G6" s="9">
        <v>50</v>
      </c>
      <c r="H6" s="9">
        <v>100</v>
      </c>
      <c r="I6" s="10" t="s">
        <v>56</v>
      </c>
      <c r="P6">
        <v>50</v>
      </c>
      <c r="Q6">
        <v>-30</v>
      </c>
      <c r="R6" t="s">
        <v>34</v>
      </c>
    </row>
    <row r="7" spans="2:18" x14ac:dyDescent="0.3">
      <c r="B7" s="9">
        <v>40</v>
      </c>
      <c r="C7" s="9">
        <v>150</v>
      </c>
      <c r="D7" s="10" t="s">
        <v>57</v>
      </c>
      <c r="E7" s="8" t="s">
        <v>104</v>
      </c>
      <c r="G7" s="9">
        <v>50</v>
      </c>
      <c r="H7" s="9"/>
      <c r="I7" s="10" t="s">
        <v>57</v>
      </c>
      <c r="P7">
        <v>50</v>
      </c>
      <c r="Q7">
        <v>-30</v>
      </c>
      <c r="R7" t="s">
        <v>44</v>
      </c>
    </row>
    <row r="8" spans="2:18" x14ac:dyDescent="0.3">
      <c r="B8" s="9">
        <v>40</v>
      </c>
      <c r="C8" s="9">
        <v>100</v>
      </c>
      <c r="D8" s="10" t="s">
        <v>40</v>
      </c>
      <c r="E8" s="8" t="s">
        <v>105</v>
      </c>
      <c r="G8" s="9">
        <v>50</v>
      </c>
      <c r="H8" s="9">
        <v>100</v>
      </c>
      <c r="I8" s="10" t="s">
        <v>40</v>
      </c>
      <c r="L8" s="128" t="s">
        <v>58</v>
      </c>
      <c r="M8" s="128"/>
      <c r="N8" s="128"/>
      <c r="P8">
        <v>50</v>
      </c>
      <c r="Q8">
        <v>-30</v>
      </c>
      <c r="R8" t="s">
        <v>50</v>
      </c>
    </row>
    <row r="9" spans="2:18" x14ac:dyDescent="0.3">
      <c r="B9" s="9">
        <v>40</v>
      </c>
      <c r="C9" s="9">
        <v>50</v>
      </c>
      <c r="D9" s="10" t="s">
        <v>54</v>
      </c>
      <c r="E9" s="8" t="s">
        <v>76</v>
      </c>
      <c r="G9" s="9">
        <v>50</v>
      </c>
      <c r="H9" s="9">
        <v>100</v>
      </c>
      <c r="I9" s="10" t="s">
        <v>39</v>
      </c>
      <c r="L9" s="11" t="s">
        <v>7</v>
      </c>
      <c r="M9" s="11" t="s">
        <v>8</v>
      </c>
      <c r="N9" s="11" t="s">
        <v>21</v>
      </c>
      <c r="P9">
        <v>50</v>
      </c>
      <c r="Q9">
        <v>0</v>
      </c>
      <c r="R9" t="s">
        <v>45</v>
      </c>
    </row>
    <row r="10" spans="2:18" x14ac:dyDescent="0.3">
      <c r="B10" s="9">
        <v>40</v>
      </c>
      <c r="C10" s="9">
        <v>80</v>
      </c>
      <c r="D10" s="10" t="s">
        <v>55</v>
      </c>
      <c r="E10" s="8" t="s">
        <v>77</v>
      </c>
      <c r="G10" s="9">
        <v>50</v>
      </c>
      <c r="H10" s="9"/>
      <c r="I10" s="10" t="s">
        <v>41</v>
      </c>
      <c r="L10" s="9">
        <v>50</v>
      </c>
      <c r="M10" s="9">
        <v>-30</v>
      </c>
      <c r="N10" s="10" t="s">
        <v>32</v>
      </c>
      <c r="P10">
        <v>50</v>
      </c>
      <c r="Q10">
        <v>0</v>
      </c>
      <c r="R10" t="s">
        <v>33</v>
      </c>
    </row>
    <row r="11" spans="2:18" x14ac:dyDescent="0.3">
      <c r="B11" s="9">
        <v>40</v>
      </c>
      <c r="C11" s="9">
        <v>60</v>
      </c>
      <c r="D11" s="10" t="s">
        <v>71</v>
      </c>
      <c r="E11" s="8" t="s">
        <v>78</v>
      </c>
      <c r="G11" s="9">
        <v>50</v>
      </c>
      <c r="H11" s="9">
        <v>100</v>
      </c>
      <c r="I11" s="10" t="s">
        <v>54</v>
      </c>
      <c r="L11" s="9">
        <v>50</v>
      </c>
      <c r="M11" s="9">
        <v>0</v>
      </c>
      <c r="N11" s="10" t="s">
        <v>59</v>
      </c>
      <c r="P11">
        <v>50</v>
      </c>
      <c r="Q11">
        <v>0</v>
      </c>
      <c r="R11" t="s">
        <v>36</v>
      </c>
    </row>
    <row r="12" spans="2:18" x14ac:dyDescent="0.3">
      <c r="B12" s="9">
        <v>40</v>
      </c>
      <c r="C12" s="9">
        <v>100</v>
      </c>
      <c r="D12" s="10" t="s">
        <v>72</v>
      </c>
      <c r="E12" s="8" t="s">
        <v>79</v>
      </c>
      <c r="G12" s="9">
        <v>50</v>
      </c>
      <c r="H12" s="9"/>
      <c r="I12" s="10" t="s">
        <v>55</v>
      </c>
      <c r="L12" s="9">
        <v>50</v>
      </c>
      <c r="M12" s="9">
        <v>-2</v>
      </c>
      <c r="N12" s="10" t="s">
        <v>60</v>
      </c>
      <c r="P12">
        <v>50</v>
      </c>
      <c r="Q12">
        <v>0</v>
      </c>
      <c r="R12" t="s">
        <v>37</v>
      </c>
    </row>
    <row r="13" spans="2:18" x14ac:dyDescent="0.3">
      <c r="B13" s="9">
        <v>40</v>
      </c>
      <c r="C13" s="9">
        <v>130</v>
      </c>
      <c r="D13" s="10" t="s">
        <v>127</v>
      </c>
      <c r="E13" s="8" t="s">
        <v>80</v>
      </c>
      <c r="G13" s="9">
        <v>50</v>
      </c>
      <c r="H13" s="9">
        <v>-30</v>
      </c>
      <c r="I13" s="10" t="s">
        <v>32</v>
      </c>
      <c r="P13">
        <v>50</v>
      </c>
      <c r="Q13">
        <v>0</v>
      </c>
      <c r="R13" t="s">
        <v>38</v>
      </c>
    </row>
    <row r="14" spans="2:18" x14ac:dyDescent="0.3">
      <c r="B14" s="9">
        <v>40</v>
      </c>
      <c r="C14" s="9">
        <v>150</v>
      </c>
      <c r="D14" s="10" t="s">
        <v>34</v>
      </c>
      <c r="E14" s="8"/>
      <c r="G14" s="9">
        <v>50</v>
      </c>
      <c r="H14" s="9">
        <v>-30</v>
      </c>
      <c r="I14" s="10" t="s">
        <v>34</v>
      </c>
    </row>
    <row r="15" spans="2:18" x14ac:dyDescent="0.3">
      <c r="B15" s="9">
        <v>40</v>
      </c>
      <c r="C15" s="9">
        <v>150</v>
      </c>
      <c r="D15" s="10" t="s">
        <v>116</v>
      </c>
      <c r="E15" s="8" t="s">
        <v>81</v>
      </c>
      <c r="G15" s="9">
        <v>50</v>
      </c>
      <c r="H15" s="9">
        <v>-30</v>
      </c>
      <c r="I15" s="10" t="s">
        <v>44</v>
      </c>
      <c r="P15">
        <v>50</v>
      </c>
      <c r="Q15">
        <v>0</v>
      </c>
      <c r="R15" t="s">
        <v>35</v>
      </c>
    </row>
    <row r="16" spans="2:18" x14ac:dyDescent="0.3">
      <c r="B16" s="9">
        <v>40</v>
      </c>
      <c r="C16" s="9">
        <v>130</v>
      </c>
      <c r="D16" s="10" t="s">
        <v>106</v>
      </c>
      <c r="E16" s="8" t="s">
        <v>82</v>
      </c>
      <c r="G16" s="9">
        <v>50</v>
      </c>
      <c r="H16" s="9">
        <v>-30</v>
      </c>
      <c r="I16" s="10" t="s">
        <v>74</v>
      </c>
      <c r="P16">
        <v>50</v>
      </c>
      <c r="Q16">
        <v>0</v>
      </c>
      <c r="R16" t="s">
        <v>46</v>
      </c>
    </row>
    <row r="17" spans="2:18" x14ac:dyDescent="0.3">
      <c r="B17" s="9">
        <v>40</v>
      </c>
      <c r="C17" s="9">
        <v>150</v>
      </c>
      <c r="D17" s="10" t="s">
        <v>36</v>
      </c>
      <c r="E17" s="8" t="s">
        <v>83</v>
      </c>
      <c r="G17" s="9">
        <v>50</v>
      </c>
      <c r="H17" s="9"/>
      <c r="I17" s="10" t="s">
        <v>36</v>
      </c>
      <c r="P17">
        <v>50</v>
      </c>
      <c r="Q17">
        <v>0</v>
      </c>
      <c r="R17" t="s">
        <v>47</v>
      </c>
    </row>
    <row r="18" spans="2:18" x14ac:dyDescent="0.3">
      <c r="B18" s="9">
        <v>140</v>
      </c>
      <c r="C18" s="9">
        <v>150</v>
      </c>
      <c r="D18" s="10" t="s">
        <v>37</v>
      </c>
      <c r="E18" s="8" t="s">
        <v>84</v>
      </c>
      <c r="G18" s="9">
        <v>50</v>
      </c>
      <c r="H18" s="9"/>
      <c r="I18" s="10" t="s">
        <v>37</v>
      </c>
      <c r="P18">
        <v>50</v>
      </c>
      <c r="Q18">
        <v>0</v>
      </c>
      <c r="R18" t="s">
        <v>48</v>
      </c>
    </row>
    <row r="19" spans="2:18" x14ac:dyDescent="0.3">
      <c r="B19" s="9">
        <v>150</v>
      </c>
      <c r="C19" s="9">
        <v>150</v>
      </c>
      <c r="D19" s="10" t="s">
        <v>38</v>
      </c>
      <c r="E19" s="8" t="s">
        <v>85</v>
      </c>
      <c r="G19" s="9">
        <v>50</v>
      </c>
      <c r="H19" s="9"/>
      <c r="I19" s="10" t="s">
        <v>38</v>
      </c>
      <c r="P19">
        <v>50</v>
      </c>
      <c r="Q19">
        <v>0</v>
      </c>
      <c r="R19" t="s">
        <v>51</v>
      </c>
    </row>
    <row r="20" spans="2:18" x14ac:dyDescent="0.3">
      <c r="B20" s="9">
        <v>40</v>
      </c>
      <c r="C20" s="9">
        <v>100</v>
      </c>
      <c r="D20" s="10" t="s">
        <v>118</v>
      </c>
      <c r="E20" s="8" t="s">
        <v>86</v>
      </c>
      <c r="G20" s="9">
        <v>50</v>
      </c>
      <c r="H20" s="9">
        <v>0</v>
      </c>
      <c r="I20" s="10" t="s">
        <v>118</v>
      </c>
      <c r="J20" s="31" t="s">
        <v>111</v>
      </c>
      <c r="K20" s="31"/>
      <c r="L20" s="31"/>
      <c r="M20" s="31"/>
      <c r="P20">
        <v>50</v>
      </c>
      <c r="Q20">
        <v>0</v>
      </c>
      <c r="R20" t="s">
        <v>52</v>
      </c>
    </row>
    <row r="21" spans="2:18" x14ac:dyDescent="0.3">
      <c r="B21" s="9">
        <v>100</v>
      </c>
      <c r="C21" s="9">
        <v>100</v>
      </c>
      <c r="D21" s="10" t="s">
        <v>112</v>
      </c>
      <c r="E21" s="8" t="s">
        <v>87</v>
      </c>
      <c r="G21" s="9">
        <v>50</v>
      </c>
      <c r="H21" s="9">
        <v>0</v>
      </c>
      <c r="I21" s="10" t="s">
        <v>112</v>
      </c>
      <c r="P21">
        <v>50</v>
      </c>
      <c r="Q21">
        <v>0</v>
      </c>
      <c r="R21" t="s">
        <v>53</v>
      </c>
    </row>
    <row r="22" spans="2:18" x14ac:dyDescent="0.3">
      <c r="B22" s="9">
        <v>100</v>
      </c>
      <c r="C22" s="9">
        <v>100</v>
      </c>
      <c r="D22" s="10" t="s">
        <v>35</v>
      </c>
      <c r="E22" s="8" t="s">
        <v>88</v>
      </c>
      <c r="G22" s="29"/>
      <c r="H22" s="29"/>
      <c r="I22" s="30" t="s">
        <v>35</v>
      </c>
      <c r="P22">
        <v>50</v>
      </c>
      <c r="Q22">
        <v>0</v>
      </c>
      <c r="R22" t="s">
        <v>49</v>
      </c>
    </row>
    <row r="23" spans="2:18" x14ac:dyDescent="0.3">
      <c r="B23" s="9">
        <v>40</v>
      </c>
      <c r="C23" s="9">
        <v>150</v>
      </c>
      <c r="D23" s="10" t="s">
        <v>46</v>
      </c>
      <c r="E23" s="8" t="s">
        <v>89</v>
      </c>
      <c r="G23" s="9">
        <v>50</v>
      </c>
      <c r="H23" s="9"/>
      <c r="I23" s="10" t="s">
        <v>46</v>
      </c>
      <c r="R23" t="s">
        <v>42</v>
      </c>
    </row>
    <row r="24" spans="2:18" x14ac:dyDescent="0.3">
      <c r="B24" s="9">
        <v>140</v>
      </c>
      <c r="C24" s="9">
        <v>150</v>
      </c>
      <c r="D24" s="10" t="s">
        <v>47</v>
      </c>
      <c r="E24" s="8" t="s">
        <v>90</v>
      </c>
      <c r="G24" s="9">
        <v>50</v>
      </c>
      <c r="H24" s="9"/>
      <c r="I24" s="10" t="s">
        <v>47</v>
      </c>
      <c r="R24" t="s">
        <v>43</v>
      </c>
    </row>
    <row r="25" spans="2:18" x14ac:dyDescent="0.3">
      <c r="B25" s="9">
        <v>150</v>
      </c>
      <c r="C25" s="9">
        <v>150</v>
      </c>
      <c r="D25" s="10" t="s">
        <v>48</v>
      </c>
      <c r="E25" s="8" t="s">
        <v>91</v>
      </c>
      <c r="G25" s="9">
        <v>50</v>
      </c>
      <c r="H25" s="9"/>
      <c r="I25" s="10" t="s">
        <v>48</v>
      </c>
      <c r="R25" t="s">
        <v>56</v>
      </c>
    </row>
    <row r="26" spans="2:18" x14ac:dyDescent="0.3">
      <c r="B26" s="9">
        <v>40</v>
      </c>
      <c r="C26" s="9">
        <v>77</v>
      </c>
      <c r="D26" s="10" t="s">
        <v>51</v>
      </c>
      <c r="E26" s="8" t="s">
        <v>92</v>
      </c>
      <c r="G26" s="9">
        <v>50</v>
      </c>
      <c r="H26" s="9"/>
      <c r="I26" s="10" t="s">
        <v>51</v>
      </c>
      <c r="R26" t="s">
        <v>57</v>
      </c>
    </row>
    <row r="27" spans="2:18" x14ac:dyDescent="0.3">
      <c r="B27" s="9">
        <v>110</v>
      </c>
      <c r="C27" s="9">
        <v>77</v>
      </c>
      <c r="D27" s="10" t="s">
        <v>52</v>
      </c>
      <c r="E27" s="8" t="s">
        <v>93</v>
      </c>
      <c r="G27" s="9">
        <v>50</v>
      </c>
      <c r="H27" s="9"/>
      <c r="I27" s="10" t="s">
        <v>52</v>
      </c>
      <c r="R27" t="s">
        <v>40</v>
      </c>
    </row>
    <row r="28" spans="2:18" x14ac:dyDescent="0.3">
      <c r="B28" s="9">
        <v>120</v>
      </c>
      <c r="C28" s="9">
        <v>77</v>
      </c>
      <c r="D28" s="10" t="s">
        <v>53</v>
      </c>
      <c r="E28" s="8" t="s">
        <v>94</v>
      </c>
      <c r="G28" s="9">
        <v>50</v>
      </c>
      <c r="H28" s="9"/>
      <c r="I28" s="10" t="s">
        <v>53</v>
      </c>
      <c r="R28" t="s">
        <v>39</v>
      </c>
    </row>
    <row r="29" spans="2:18" x14ac:dyDescent="0.3">
      <c r="B29" s="9">
        <v>40</v>
      </c>
      <c r="C29" s="9">
        <v>50</v>
      </c>
      <c r="D29" s="10" t="s">
        <v>49</v>
      </c>
      <c r="E29" s="8" t="s">
        <v>95</v>
      </c>
      <c r="G29" s="9">
        <v>50</v>
      </c>
      <c r="H29" s="9"/>
      <c r="I29" s="10" t="s">
        <v>49</v>
      </c>
      <c r="R29" t="s">
        <v>41</v>
      </c>
    </row>
    <row r="30" spans="2:18" x14ac:dyDescent="0.3">
      <c r="B30" s="9">
        <v>40</v>
      </c>
      <c r="C30" s="9">
        <v>60</v>
      </c>
      <c r="D30" s="10" t="s">
        <v>73</v>
      </c>
      <c r="E30" s="8" t="s">
        <v>96</v>
      </c>
      <c r="G30" s="9">
        <v>50</v>
      </c>
      <c r="H30" s="9"/>
      <c r="I30" s="10" t="s">
        <v>33</v>
      </c>
      <c r="R30" t="s">
        <v>54</v>
      </c>
    </row>
    <row r="31" spans="2:18" x14ac:dyDescent="0.3">
      <c r="B31" s="9">
        <v>40</v>
      </c>
      <c r="C31" s="9">
        <v>100</v>
      </c>
      <c r="D31" s="10" t="s">
        <v>45</v>
      </c>
      <c r="E31" s="8" t="s">
        <v>97</v>
      </c>
      <c r="G31" s="9">
        <v>50</v>
      </c>
      <c r="H31" s="9"/>
      <c r="I31" s="10" t="s">
        <v>45</v>
      </c>
      <c r="R31" t="s">
        <v>55</v>
      </c>
    </row>
    <row r="32" spans="2:18" x14ac:dyDescent="0.3">
      <c r="B32" s="9">
        <v>40</v>
      </c>
      <c r="C32" s="9">
        <v>60</v>
      </c>
      <c r="D32" s="10" t="s">
        <v>108</v>
      </c>
      <c r="E32" s="8" t="s">
        <v>98</v>
      </c>
      <c r="G32" s="9">
        <v>50</v>
      </c>
      <c r="H32" s="9"/>
      <c r="I32" s="10" t="s">
        <v>108</v>
      </c>
      <c r="R32" t="s">
        <v>62</v>
      </c>
    </row>
    <row r="33" spans="2:18" x14ac:dyDescent="0.3">
      <c r="B33" s="9">
        <v>40</v>
      </c>
      <c r="C33" s="9">
        <v>90</v>
      </c>
      <c r="D33" s="10" t="s">
        <v>65</v>
      </c>
      <c r="E33" s="8" t="s">
        <v>99</v>
      </c>
      <c r="G33" s="9">
        <v>50</v>
      </c>
      <c r="H33" s="9">
        <v>-2</v>
      </c>
      <c r="I33" s="10" t="s">
        <v>65</v>
      </c>
      <c r="R33" t="s">
        <v>63</v>
      </c>
    </row>
    <row r="34" spans="2:18" x14ac:dyDescent="0.3">
      <c r="B34" s="9">
        <v>40</v>
      </c>
      <c r="C34" s="9">
        <v>90</v>
      </c>
      <c r="D34" s="10" t="s">
        <v>66</v>
      </c>
      <c r="E34" s="8"/>
      <c r="G34" s="9">
        <v>50</v>
      </c>
      <c r="H34" s="9">
        <v>-2</v>
      </c>
      <c r="I34" s="10" t="s">
        <v>66</v>
      </c>
    </row>
    <row r="35" spans="2:18" x14ac:dyDescent="0.3">
      <c r="B35" s="9">
        <v>40</v>
      </c>
      <c r="C35" s="9">
        <v>90</v>
      </c>
      <c r="D35" s="10" t="s">
        <v>62</v>
      </c>
      <c r="E35" s="8" t="s">
        <v>100</v>
      </c>
      <c r="G35" s="9">
        <v>50</v>
      </c>
      <c r="H35" s="9">
        <v>-2</v>
      </c>
      <c r="I35" s="10" t="s">
        <v>62</v>
      </c>
      <c r="R35" t="s">
        <v>64</v>
      </c>
    </row>
    <row r="36" spans="2:18" x14ac:dyDescent="0.3">
      <c r="B36" s="27">
        <v>40</v>
      </c>
      <c r="C36" s="27">
        <v>90</v>
      </c>
      <c r="D36" s="28" t="s">
        <v>63</v>
      </c>
      <c r="G36" s="9">
        <v>50</v>
      </c>
      <c r="H36" s="9">
        <v>-2</v>
      </c>
      <c r="I36" s="10" t="s">
        <v>63</v>
      </c>
      <c r="R36" t="s">
        <v>65</v>
      </c>
    </row>
    <row r="37" spans="2:18" x14ac:dyDescent="0.3">
      <c r="B37" s="27">
        <v>40</v>
      </c>
      <c r="C37" s="27">
        <v>90</v>
      </c>
      <c r="D37" s="28" t="s">
        <v>64</v>
      </c>
      <c r="G37" s="9">
        <v>50</v>
      </c>
      <c r="H37" s="9">
        <v>-2</v>
      </c>
      <c r="I37" s="10" t="s">
        <v>64</v>
      </c>
      <c r="R37" t="s">
        <v>66</v>
      </c>
    </row>
    <row r="48" spans="2:18" x14ac:dyDescent="0.3">
      <c r="B48" s="9">
        <v>40</v>
      </c>
      <c r="C48" s="9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66"/>
  <sheetViews>
    <sheetView zoomScaleNormal="100" workbookViewId="0">
      <selection activeCell="D14" sqref="D14"/>
    </sheetView>
  </sheetViews>
  <sheetFormatPr baseColWidth="10" defaultRowHeight="14.4" x14ac:dyDescent="0.3"/>
  <cols>
    <col min="1" max="1" width="17.3320312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"/>
      <c r="B1" s="1"/>
      <c r="C1" s="1"/>
      <c r="D1" s="1"/>
      <c r="E1" s="1"/>
      <c r="F1" s="1"/>
      <c r="G1" s="1"/>
    </row>
    <row r="2" spans="1:14" ht="16.5" customHeight="1" x14ac:dyDescent="0.3">
      <c r="A2" s="1"/>
      <c r="B2" s="1"/>
      <c r="C2" s="1"/>
      <c r="D2" s="1"/>
      <c r="E2" s="1"/>
      <c r="F2" s="1"/>
      <c r="G2" s="1"/>
      <c r="K2" s="34" t="s">
        <v>126</v>
      </c>
      <c r="L2" s="34"/>
      <c r="M2" s="34"/>
    </row>
    <row r="3" spans="1:14" ht="15.6" x14ac:dyDescent="0.3">
      <c r="A3" s="1"/>
      <c r="B3" s="1"/>
      <c r="C3" s="1"/>
      <c r="D3" s="1"/>
      <c r="E3" s="1"/>
      <c r="F3" s="1"/>
      <c r="G3" s="1"/>
      <c r="K3" s="129" t="s">
        <v>61</v>
      </c>
      <c r="L3" s="129"/>
      <c r="M3" s="129" t="s">
        <v>14</v>
      </c>
      <c r="N3" s="129"/>
    </row>
    <row r="4" spans="1:14" ht="15.75" customHeight="1" x14ac:dyDescent="0.3">
      <c r="A4" s="1"/>
      <c r="B4" s="1"/>
      <c r="C4" s="40" t="s">
        <v>27</v>
      </c>
      <c r="D4" s="14">
        <f>'4637'!G8</f>
        <v>7472</v>
      </c>
      <c r="E4" s="1"/>
      <c r="F4" s="1"/>
      <c r="G4" s="1"/>
      <c r="K4" t="s">
        <v>7</v>
      </c>
      <c r="L4" t="s">
        <v>8</v>
      </c>
      <c r="M4" t="s">
        <v>7</v>
      </c>
      <c r="N4" t="s">
        <v>8</v>
      </c>
    </row>
    <row r="5" spans="1:14" ht="18" customHeight="1" x14ac:dyDescent="0.3">
      <c r="A5" s="1"/>
      <c r="B5" s="1"/>
      <c r="C5" s="41" t="s">
        <v>67</v>
      </c>
      <c r="D5" s="42" t="str">
        <f>'4637'!C10</f>
        <v>GERO MATTE</v>
      </c>
      <c r="E5" s="43"/>
      <c r="F5" s="43"/>
      <c r="G5" s="1"/>
      <c r="K5" t="e">
        <f>LOOKUP(#REF!,REGLAS!$I$4:$I$37,REGLAS!$G$4:$G$37)+#REF!</f>
        <v>#REF!</v>
      </c>
      <c r="L5" t="e">
        <f>LOOKUP(#REF!,REGLAS!$I$4:$I$37,REGLAS!$H$4:$H$37)+#REF!</f>
        <v>#REF!</v>
      </c>
      <c r="M5" t="e">
        <f>LOOKUP(#REF!,REGLAS!$D$4:$D$37,REGLAS!$B$4:$B$37)+#REF!</f>
        <v>#REF!</v>
      </c>
      <c r="N5" t="e">
        <f>LOOKUP(#REF!,REGLAS!$D$4:$D$37,REGLAS!$C$4:$C$37)+#REF!</f>
        <v>#REF!</v>
      </c>
    </row>
    <row r="6" spans="1:14" ht="4.5" customHeight="1" x14ac:dyDescent="0.3">
      <c r="A6" s="1"/>
      <c r="B6" s="1"/>
      <c r="C6" s="44"/>
      <c r="D6" s="45"/>
      <c r="E6" s="1"/>
      <c r="F6" s="1"/>
      <c r="G6" s="1"/>
    </row>
    <row r="7" spans="1:14" ht="15.6" x14ac:dyDescent="0.3">
      <c r="A7" s="1"/>
      <c r="B7" s="1"/>
      <c r="C7" s="87" t="str">
        <f>'4637'!F11</f>
        <v>FECHA LIMITE :</v>
      </c>
      <c r="D7" s="13">
        <f>'4637'!G11</f>
        <v>46171</v>
      </c>
      <c r="E7" s="1"/>
      <c r="F7" s="1"/>
      <c r="G7" s="1"/>
    </row>
    <row r="8" spans="1:14" ht="15.6" x14ac:dyDescent="0.3">
      <c r="A8" s="1"/>
      <c r="B8" s="1"/>
      <c r="C8" s="53" t="s">
        <v>125</v>
      </c>
      <c r="D8" s="1"/>
      <c r="E8" s="1"/>
      <c r="F8" s="1"/>
      <c r="G8" s="1"/>
    </row>
    <row r="9" spans="1:14" ht="15.6" x14ac:dyDescent="0.3">
      <c r="A9" s="1"/>
      <c r="B9" s="1"/>
      <c r="C9" s="1"/>
      <c r="D9" s="1"/>
      <c r="E9" s="1"/>
      <c r="F9" s="1"/>
      <c r="G9" s="1"/>
    </row>
    <row r="10" spans="1:14" ht="15" customHeight="1" x14ac:dyDescent="0.3">
      <c r="A10" s="130" t="s">
        <v>61</v>
      </c>
      <c r="B10" s="130"/>
      <c r="C10" s="130"/>
      <c r="D10" s="130"/>
      <c r="E10" s="130"/>
      <c r="F10" s="130"/>
      <c r="G10" s="1"/>
    </row>
    <row r="11" spans="1:14" ht="15.6" x14ac:dyDescent="0.3">
      <c r="A11" s="1"/>
      <c r="B11" s="1"/>
      <c r="C11" s="12"/>
      <c r="D11" s="1"/>
      <c r="E11" s="1"/>
      <c r="F11" s="1"/>
      <c r="G11" s="1"/>
    </row>
    <row r="12" spans="1:14" ht="15.6" x14ac:dyDescent="0.3">
      <c r="A12" s="1"/>
      <c r="B12" s="1"/>
      <c r="C12" s="1"/>
      <c r="D12" s="52" t="s">
        <v>7</v>
      </c>
      <c r="E12" s="52" t="s">
        <v>8</v>
      </c>
      <c r="F12" s="1"/>
      <c r="G12" s="1"/>
    </row>
    <row r="13" spans="1:14" ht="15.6" x14ac:dyDescent="0.3">
      <c r="A13" s="52" t="s">
        <v>9</v>
      </c>
      <c r="B13" s="37" t="s">
        <v>10</v>
      </c>
      <c r="C13" s="37" t="s">
        <v>11</v>
      </c>
      <c r="D13" s="32">
        <v>80</v>
      </c>
      <c r="E13" s="32"/>
      <c r="F13" s="37" t="s">
        <v>110</v>
      </c>
      <c r="G13" s="1"/>
      <c r="J13" s="5" t="s">
        <v>7</v>
      </c>
      <c r="K13" s="5" t="s">
        <v>8</v>
      </c>
    </row>
    <row r="14" spans="1:14" ht="15.6" x14ac:dyDescent="0.3">
      <c r="A14" s="95" t="s">
        <v>142</v>
      </c>
      <c r="B14" s="25">
        <f t="shared" ref="B14" si="0">I14</f>
        <v>1</v>
      </c>
      <c r="C14" s="25"/>
      <c r="D14" s="25">
        <f t="shared" ref="D14:E16" si="1">J14+D$13</f>
        <v>1330</v>
      </c>
      <c r="E14" s="35">
        <f t="shared" si="1"/>
        <v>600</v>
      </c>
      <c r="F14" s="99" t="str">
        <f>C30</f>
        <v>CUB S/R FTE ESPAÑOL</v>
      </c>
      <c r="G14" s="1"/>
      <c r="I14" s="89">
        <f t="shared" ref="I14:K15" si="2">I23</f>
        <v>1</v>
      </c>
      <c r="J14" s="4">
        <f t="shared" si="2"/>
        <v>1250</v>
      </c>
      <c r="K14" s="4">
        <f t="shared" si="2"/>
        <v>600</v>
      </c>
    </row>
    <row r="15" spans="1:14" ht="15.6" x14ac:dyDescent="0.3">
      <c r="A15" s="95"/>
      <c r="B15" s="25">
        <f t="shared" ref="B15" si="3">I15</f>
        <v>1</v>
      </c>
      <c r="C15" s="25"/>
      <c r="D15" s="25">
        <f t="shared" si="1"/>
        <v>2830</v>
      </c>
      <c r="E15" s="35">
        <f t="shared" si="1"/>
        <v>600</v>
      </c>
      <c r="F15" s="99" t="str">
        <f>C31</f>
        <v>CUB S/R FTE ESPAÑOL</v>
      </c>
      <c r="G15" s="1"/>
      <c r="I15" s="89">
        <f t="shared" si="2"/>
        <v>1</v>
      </c>
      <c r="J15" s="4">
        <f t="shared" si="2"/>
        <v>2750</v>
      </c>
      <c r="K15" s="4">
        <f t="shared" si="2"/>
        <v>600</v>
      </c>
    </row>
    <row r="16" spans="1:14" ht="15.6" x14ac:dyDescent="0.3">
      <c r="A16" s="95"/>
      <c r="B16" s="25">
        <f t="shared" ref="B16" si="4">I16</f>
        <v>1</v>
      </c>
      <c r="C16" s="25"/>
      <c r="D16" s="25">
        <f t="shared" si="1"/>
        <v>1580</v>
      </c>
      <c r="E16" s="35">
        <f t="shared" si="1"/>
        <v>780</v>
      </c>
      <c r="F16" s="99" t="str">
        <f>C32</f>
        <v>CUB S/R FTE ESPAÑOL 2 LADOS</v>
      </c>
      <c r="G16" s="1"/>
      <c r="I16" s="89">
        <f t="shared" ref="I16:K16" si="5">I25</f>
        <v>1</v>
      </c>
      <c r="J16" s="4">
        <f t="shared" si="5"/>
        <v>1500</v>
      </c>
      <c r="K16" s="4">
        <f t="shared" si="5"/>
        <v>780</v>
      </c>
    </row>
    <row r="17" spans="1:11" ht="15.6" x14ac:dyDescent="0.3">
      <c r="A17" s="52"/>
      <c r="B17" s="6"/>
      <c r="C17" s="6"/>
      <c r="D17" s="6"/>
      <c r="E17" s="102"/>
      <c r="F17" s="6"/>
      <c r="G17" s="1"/>
      <c r="I17" s="89"/>
      <c r="J17" s="2"/>
      <c r="K17" s="2"/>
    </row>
    <row r="18" spans="1:11" ht="6.75" customHeight="1" x14ac:dyDescent="0.3">
      <c r="A18" s="1"/>
      <c r="B18" s="1"/>
      <c r="C18" s="1"/>
      <c r="D18" s="1"/>
      <c r="E18" s="1"/>
      <c r="F18" s="1"/>
      <c r="G18" s="1"/>
    </row>
    <row r="19" spans="1:11" ht="15.6" x14ac:dyDescent="0.3">
      <c r="A19" s="130" t="s">
        <v>14</v>
      </c>
      <c r="B19" s="130"/>
      <c r="C19" s="130"/>
      <c r="D19" s="130"/>
      <c r="E19" s="130"/>
      <c r="F19" s="130"/>
      <c r="G19" s="1"/>
    </row>
    <row r="20" spans="1:11" ht="10.5" customHeight="1" x14ac:dyDescent="0.3">
      <c r="A20" s="1"/>
      <c r="B20" s="1"/>
      <c r="C20" s="12"/>
      <c r="D20" s="1"/>
      <c r="E20" s="1"/>
      <c r="F20" s="1"/>
      <c r="G20" s="1"/>
    </row>
    <row r="21" spans="1:11" ht="15.6" x14ac:dyDescent="0.3">
      <c r="A21" s="1"/>
      <c r="B21" s="1"/>
      <c r="C21" s="1"/>
      <c r="D21" s="52" t="s">
        <v>7</v>
      </c>
      <c r="E21" s="52" t="s">
        <v>8</v>
      </c>
      <c r="F21" s="1"/>
      <c r="G21" s="1"/>
    </row>
    <row r="22" spans="1:11" ht="15.6" x14ac:dyDescent="0.3">
      <c r="A22" s="52" t="s">
        <v>9</v>
      </c>
      <c r="B22" s="36" t="s">
        <v>10</v>
      </c>
      <c r="C22" s="36" t="s">
        <v>11</v>
      </c>
      <c r="D22" s="21">
        <v>40</v>
      </c>
      <c r="E22" s="21">
        <v>110</v>
      </c>
      <c r="F22" s="36" t="s">
        <v>110</v>
      </c>
      <c r="G22" s="1"/>
      <c r="J22" s="5" t="s">
        <v>7</v>
      </c>
      <c r="K22" s="5" t="s">
        <v>8</v>
      </c>
    </row>
    <row r="23" spans="1:11" ht="15.6" x14ac:dyDescent="0.3">
      <c r="A23" s="95"/>
      <c r="B23" s="16">
        <f t="shared" ref="B23" si="6">I23</f>
        <v>1</v>
      </c>
      <c r="C23" s="16"/>
      <c r="D23" s="16">
        <f t="shared" ref="D23" si="7">J23+D$22</f>
        <v>1290</v>
      </c>
      <c r="E23" s="16">
        <f>K23+$E$22</f>
        <v>710</v>
      </c>
      <c r="F23" s="100" t="str">
        <f>C30</f>
        <v>CUB S/R FTE ESPAÑOL</v>
      </c>
      <c r="G23" s="1"/>
      <c r="I23" s="3">
        <f>B30</f>
        <v>1</v>
      </c>
      <c r="J23" s="4">
        <f>D30</f>
        <v>1250</v>
      </c>
      <c r="K23" s="4">
        <f t="shared" ref="K23" si="8">E30</f>
        <v>600</v>
      </c>
    </row>
    <row r="24" spans="1:11" ht="15.6" x14ac:dyDescent="0.3">
      <c r="A24" s="95"/>
      <c r="B24" s="16">
        <f t="shared" ref="B24" si="9">I24</f>
        <v>1</v>
      </c>
      <c r="C24" s="16"/>
      <c r="D24" s="16">
        <f t="shared" ref="D24" si="10">J24+D$22</f>
        <v>2790</v>
      </c>
      <c r="E24" s="16">
        <f>K24+$E$22</f>
        <v>710</v>
      </c>
      <c r="F24" s="100" t="str">
        <f>C31</f>
        <v>CUB S/R FTE ESPAÑOL</v>
      </c>
      <c r="G24" s="1"/>
      <c r="I24" s="3">
        <f>B31</f>
        <v>1</v>
      </c>
      <c r="J24" s="4">
        <f>D31</f>
        <v>2750</v>
      </c>
      <c r="K24" s="4">
        <f t="shared" ref="K24" si="11">E31</f>
        <v>600</v>
      </c>
    </row>
    <row r="25" spans="1:11" ht="15.6" x14ac:dyDescent="0.3">
      <c r="A25" s="95"/>
      <c r="B25" s="16">
        <f t="shared" ref="B25" si="12">I25</f>
        <v>1</v>
      </c>
      <c r="C25" s="16"/>
      <c r="D25" s="16">
        <f t="shared" ref="D25" si="13">J25+D$22</f>
        <v>1540</v>
      </c>
      <c r="E25" s="16">
        <f>K25+$E$22</f>
        <v>890</v>
      </c>
      <c r="F25" s="100" t="str">
        <f>C32</f>
        <v>CUB S/R FTE ESPAÑOL 2 LADOS</v>
      </c>
      <c r="G25" s="1"/>
      <c r="I25" s="3">
        <f>B32</f>
        <v>1</v>
      </c>
      <c r="J25" s="4">
        <f>D32</f>
        <v>1500</v>
      </c>
      <c r="K25" s="4">
        <f t="shared" ref="K25" si="14">E32</f>
        <v>780</v>
      </c>
    </row>
    <row r="26" spans="1:11" ht="16.2" thickBot="1" x14ac:dyDescent="0.35">
      <c r="A26" s="52"/>
      <c r="B26" s="6"/>
      <c r="C26" s="6"/>
      <c r="D26" s="6"/>
      <c r="E26" s="6"/>
      <c r="F26" s="6"/>
      <c r="G26" s="1"/>
      <c r="I26" s="2"/>
      <c r="J26" s="2"/>
      <c r="K26" s="2"/>
    </row>
    <row r="27" spans="1:11" ht="16.2" thickBot="1" x14ac:dyDescent="0.35">
      <c r="A27" s="52"/>
      <c r="B27" s="22" t="s">
        <v>107</v>
      </c>
      <c r="C27" s="23"/>
      <c r="D27" s="23"/>
      <c r="E27" s="23"/>
      <c r="F27" s="24"/>
      <c r="G27" s="1"/>
      <c r="I27" s="2"/>
      <c r="J27" s="2"/>
      <c r="K27" s="2"/>
    </row>
    <row r="28" spans="1:11" ht="10.5" customHeight="1" x14ac:dyDescent="0.3">
      <c r="A28" s="1"/>
      <c r="B28" s="1"/>
      <c r="C28" s="1"/>
      <c r="D28" s="1"/>
      <c r="E28" s="1"/>
      <c r="F28" s="1"/>
      <c r="G28" s="1"/>
    </row>
    <row r="29" spans="1:11" ht="15.6" x14ac:dyDescent="0.3">
      <c r="A29" s="52" t="s">
        <v>9</v>
      </c>
      <c r="B29" s="88" t="s">
        <v>10</v>
      </c>
      <c r="C29" s="88" t="s">
        <v>110</v>
      </c>
      <c r="D29" s="88" t="s">
        <v>7</v>
      </c>
      <c r="E29" s="88" t="s">
        <v>8</v>
      </c>
      <c r="F29" s="88" t="s">
        <v>23</v>
      </c>
      <c r="G29" s="1"/>
    </row>
    <row r="30" spans="1:11" ht="15.6" x14ac:dyDescent="0.3">
      <c r="A30" s="95" t="s">
        <v>142</v>
      </c>
      <c r="B30" s="25">
        <f>'4637'!B21</f>
        <v>1</v>
      </c>
      <c r="C30" s="99" t="str">
        <f>'4637'!C21</f>
        <v>CUB S/R FTE ESPAÑOL</v>
      </c>
      <c r="D30" s="25">
        <f>'4637'!D21</f>
        <v>1250</v>
      </c>
      <c r="E30" s="25">
        <f>'4637'!E21</f>
        <v>600</v>
      </c>
      <c r="F30" s="25" t="str">
        <f>'4637'!F21</f>
        <v>DUSKBERG MARBLE 40476 SF</v>
      </c>
      <c r="G30" s="1"/>
    </row>
    <row r="31" spans="1:11" ht="15.6" x14ac:dyDescent="0.3">
      <c r="A31" s="95"/>
      <c r="B31" s="25">
        <f>'4637'!B22</f>
        <v>1</v>
      </c>
      <c r="C31" s="99" t="str">
        <f>'4637'!C22</f>
        <v>CUB S/R FTE ESPAÑOL</v>
      </c>
      <c r="D31" s="25">
        <f>'4637'!D22</f>
        <v>2750</v>
      </c>
      <c r="E31" s="25">
        <f>'4637'!E22</f>
        <v>600</v>
      </c>
      <c r="F31" s="25" t="str">
        <f>'4637'!F22</f>
        <v>DUSKBERG MARBLE 40476 SF</v>
      </c>
      <c r="G31" s="1"/>
    </row>
    <row r="32" spans="1:11" ht="15.6" x14ac:dyDescent="0.3">
      <c r="A32" s="95"/>
      <c r="B32" s="25">
        <f>'4637'!B23</f>
        <v>1</v>
      </c>
      <c r="C32" s="99" t="str">
        <f>'4637'!C23</f>
        <v>CUB S/R FTE ESPAÑOL 2 LADOS</v>
      </c>
      <c r="D32" s="25">
        <f>'4637'!D23</f>
        <v>1500</v>
      </c>
      <c r="E32" s="25">
        <f>'4637'!E23</f>
        <v>780</v>
      </c>
      <c r="F32" s="25" t="str">
        <f>'4637'!F23</f>
        <v>DUSKBERG MARBLE 40476 SF</v>
      </c>
      <c r="G32" s="1"/>
    </row>
    <row r="33" spans="1:7" ht="15.6" x14ac:dyDescent="0.3">
      <c r="A33" s="1"/>
      <c r="B33" s="6"/>
      <c r="C33" s="6"/>
      <c r="D33" s="6"/>
      <c r="E33" s="6"/>
      <c r="F33" s="6"/>
      <c r="G33" s="1"/>
    </row>
    <row r="34" spans="1:7" ht="15.6" x14ac:dyDescent="0.3">
      <c r="A34" s="1"/>
      <c r="B34" s="6"/>
      <c r="C34" s="6"/>
      <c r="D34" s="6"/>
      <c r="E34" s="6"/>
      <c r="F34" s="6"/>
      <c r="G34" s="1"/>
    </row>
    <row r="35" spans="1:7" ht="15.6" x14ac:dyDescent="0.3">
      <c r="A35" s="1"/>
      <c r="B35" s="6"/>
      <c r="C35" s="6"/>
      <c r="D35" s="6"/>
      <c r="E35" s="6"/>
      <c r="F35" s="6"/>
      <c r="G35" s="1"/>
    </row>
    <row r="36" spans="1:7" ht="15.6" x14ac:dyDescent="0.3">
      <c r="A36" s="1"/>
      <c r="B36" s="6"/>
      <c r="C36" s="6"/>
      <c r="D36" s="6"/>
      <c r="E36" s="6"/>
      <c r="F36" s="6"/>
      <c r="G36" s="1"/>
    </row>
    <row r="37" spans="1:7" ht="15.6" x14ac:dyDescent="0.3">
      <c r="A37" s="1"/>
      <c r="B37" s="6"/>
      <c r="C37" s="6"/>
      <c r="D37" s="6"/>
      <c r="E37" s="6"/>
      <c r="F37" s="6"/>
      <c r="G37" s="1"/>
    </row>
    <row r="38" spans="1:7" ht="15.6" x14ac:dyDescent="0.3">
      <c r="A38" s="1"/>
      <c r="B38" s="6"/>
      <c r="C38" s="6"/>
      <c r="D38" s="6"/>
      <c r="E38" s="6"/>
      <c r="F38" s="6"/>
      <c r="G38" s="1"/>
    </row>
    <row r="39" spans="1:7" ht="15.6" x14ac:dyDescent="0.3">
      <c r="A39" s="1"/>
      <c r="B39" s="6"/>
      <c r="C39" s="6"/>
      <c r="D39" s="6"/>
      <c r="E39" s="6"/>
      <c r="F39" s="6"/>
      <c r="G39" s="1"/>
    </row>
    <row r="40" spans="1:7" ht="15.6" x14ac:dyDescent="0.3">
      <c r="A40" s="1"/>
      <c r="B40" s="6"/>
      <c r="C40" s="6"/>
      <c r="D40" s="6"/>
      <c r="E40" s="6"/>
      <c r="F40" s="6"/>
      <c r="G40" s="1"/>
    </row>
    <row r="41" spans="1:7" ht="15.6" x14ac:dyDescent="0.3">
      <c r="A41" s="1"/>
      <c r="B41" s="1"/>
      <c r="C41" s="1"/>
      <c r="D41" s="1"/>
      <c r="E41" s="1"/>
      <c r="F41" s="1"/>
      <c r="G41" s="1"/>
    </row>
    <row r="42" spans="1:7" ht="15.6" x14ac:dyDescent="0.3">
      <c r="A42" s="1"/>
      <c r="B42" s="1"/>
      <c r="C42" s="40" t="s">
        <v>27</v>
      </c>
      <c r="D42" s="14">
        <f>'4637'!G8</f>
        <v>7472</v>
      </c>
      <c r="E42" s="1"/>
      <c r="F42" s="1"/>
      <c r="G42" s="1"/>
    </row>
    <row r="43" spans="1:7" ht="17.25" customHeight="1" x14ac:dyDescent="0.3">
      <c r="A43" s="1"/>
      <c r="B43" s="1"/>
      <c r="C43" s="41" t="s">
        <v>67</v>
      </c>
      <c r="D43" s="42" t="str">
        <f>'4637'!C10</f>
        <v>GERO MATTE</v>
      </c>
      <c r="E43" s="43"/>
      <c r="F43" s="43"/>
      <c r="G43" s="1"/>
    </row>
    <row r="44" spans="1:7" ht="4.5" customHeight="1" x14ac:dyDescent="0.3">
      <c r="A44" s="1"/>
      <c r="B44" s="1"/>
      <c r="C44" s="44"/>
      <c r="D44" s="45"/>
      <c r="E44" s="1"/>
      <c r="F44" s="1"/>
      <c r="G44" s="1"/>
    </row>
    <row r="45" spans="1:7" ht="15.6" x14ac:dyDescent="0.3">
      <c r="A45" s="1"/>
      <c r="B45" s="1"/>
      <c r="C45" s="46" t="str">
        <f>'4637'!F11</f>
        <v>FECHA LIMITE :</v>
      </c>
      <c r="D45" s="13">
        <f>'4637'!G11</f>
        <v>46171</v>
      </c>
      <c r="E45" s="1"/>
      <c r="F45" s="1"/>
      <c r="G45" s="1"/>
    </row>
    <row r="46" spans="1:7" ht="15.6" x14ac:dyDescent="0.3">
      <c r="A46" s="1"/>
      <c r="B46" s="1"/>
      <c r="C46" s="1"/>
      <c r="D46" s="1"/>
      <c r="E46" s="1"/>
      <c r="F46" s="1"/>
      <c r="G46" s="1"/>
    </row>
    <row r="47" spans="1:7" ht="15.6" x14ac:dyDescent="0.3">
      <c r="A47" s="1"/>
      <c r="B47" s="1"/>
      <c r="C47" s="1"/>
      <c r="D47" s="1"/>
      <c r="E47" s="1"/>
      <c r="F47" s="1"/>
      <c r="G47" s="1"/>
    </row>
    <row r="48" spans="1:7" ht="15.6" x14ac:dyDescent="0.3">
      <c r="A48" s="130" t="s">
        <v>68</v>
      </c>
      <c r="B48" s="130"/>
      <c r="C48" s="130"/>
      <c r="D48" s="130"/>
      <c r="E48" s="130"/>
      <c r="F48" s="130"/>
      <c r="G48" s="1"/>
    </row>
    <row r="49" spans="1:7" ht="15.6" x14ac:dyDescent="0.3">
      <c r="A49" s="1"/>
      <c r="B49" s="1"/>
      <c r="C49" s="1"/>
      <c r="D49" s="1"/>
      <c r="E49" s="1"/>
      <c r="F49" s="1"/>
      <c r="G49" s="1"/>
    </row>
    <row r="50" spans="1:7" ht="15.75" customHeight="1" x14ac:dyDescent="0.3">
      <c r="A50" s="1"/>
      <c r="B50" s="131" t="s">
        <v>69</v>
      </c>
      <c r="C50" s="132"/>
      <c r="D50" s="133"/>
      <c r="E50" s="133"/>
      <c r="F50" s="134"/>
      <c r="G50" s="1"/>
    </row>
    <row r="51" spans="1:7" s="15" customFormat="1" ht="12.75" customHeight="1" x14ac:dyDescent="0.3">
      <c r="A51" s="1"/>
      <c r="B51" s="36" t="s">
        <v>10</v>
      </c>
      <c r="C51" s="47" t="s">
        <v>11</v>
      </c>
      <c r="D51" s="48" t="s">
        <v>7</v>
      </c>
      <c r="E51" s="48" t="s">
        <v>8</v>
      </c>
      <c r="F51" s="49" t="s">
        <v>12</v>
      </c>
      <c r="G51" s="1"/>
    </row>
    <row r="52" spans="1:7" s="15" customFormat="1" ht="15" customHeight="1" x14ac:dyDescent="0.3">
      <c r="A52" s="95" t="s">
        <v>134</v>
      </c>
      <c r="B52" s="38">
        <f>'4637'!B21</f>
        <v>1</v>
      </c>
      <c r="C52" s="98" t="str">
        <f>'4637'!C21</f>
        <v>CUB S/R FTE ESPAÑOL</v>
      </c>
      <c r="D52" s="39">
        <f>'4637'!D21</f>
        <v>1250</v>
      </c>
      <c r="E52" s="39">
        <f>'4637'!E21</f>
        <v>600</v>
      </c>
      <c r="F52" s="38" t="str">
        <f>'4637'!F21</f>
        <v>DUSKBERG MARBLE 40476 SF</v>
      </c>
      <c r="G52" s="1"/>
    </row>
    <row r="53" spans="1:7" s="15" customFormat="1" ht="15" customHeight="1" x14ac:dyDescent="0.3">
      <c r="A53" s="95"/>
      <c r="B53" s="38">
        <f>'4637'!B22</f>
        <v>1</v>
      </c>
      <c r="C53" s="98" t="str">
        <f>'4637'!C22</f>
        <v>CUB S/R FTE ESPAÑOL</v>
      </c>
      <c r="D53" s="39">
        <f>'4637'!D22</f>
        <v>2750</v>
      </c>
      <c r="E53" s="39">
        <f>'4637'!E22</f>
        <v>600</v>
      </c>
      <c r="F53" s="38" t="str">
        <f>'4637'!F22</f>
        <v>DUSKBERG MARBLE 40476 SF</v>
      </c>
      <c r="G53" s="1"/>
    </row>
    <row r="54" spans="1:7" s="15" customFormat="1" ht="15" customHeight="1" x14ac:dyDescent="0.3">
      <c r="B54" s="38">
        <f>'4637'!B23</f>
        <v>1</v>
      </c>
      <c r="C54" s="98" t="str">
        <f>'4637'!C23</f>
        <v>CUB S/R FTE ESPAÑOL 2 LADOS</v>
      </c>
      <c r="D54" s="39">
        <f>'4637'!D23</f>
        <v>1500</v>
      </c>
      <c r="E54" s="39">
        <f>'4637'!E23</f>
        <v>780</v>
      </c>
      <c r="F54" s="38" t="str">
        <f>'4637'!F23</f>
        <v>DUSKBERG MARBLE 40476 SF</v>
      </c>
      <c r="G54" s="1"/>
    </row>
    <row r="55" spans="1:7" s="15" customFormat="1" ht="15" customHeight="1" x14ac:dyDescent="0.3">
      <c r="A55" s="50"/>
      <c r="B55" s="52"/>
      <c r="C55" s="52"/>
      <c r="D55" s="52"/>
      <c r="E55" s="52"/>
      <c r="F55" s="52"/>
      <c r="G55" s="1"/>
    </row>
    <row r="56" spans="1:7" ht="15.6" x14ac:dyDescent="0.3">
      <c r="A56" s="6"/>
      <c r="B56" s="6"/>
      <c r="C56" s="1"/>
      <c r="D56" s="6"/>
      <c r="E56" s="6"/>
      <c r="F56" s="44"/>
      <c r="G56" s="1"/>
    </row>
    <row r="57" spans="1:7" ht="15.6" x14ac:dyDescent="0.3">
      <c r="A57" s="6"/>
      <c r="B57" s="6"/>
      <c r="C57" s="1"/>
      <c r="D57" s="6"/>
      <c r="E57" s="6"/>
      <c r="F57" s="6"/>
      <c r="G57" s="1"/>
    </row>
    <row r="58" spans="1:7" ht="15.6" x14ac:dyDescent="0.3">
      <c r="A58" s="1"/>
      <c r="B58" s="1"/>
      <c r="C58" s="1"/>
      <c r="D58" s="1"/>
      <c r="E58" s="1"/>
      <c r="F58" s="1"/>
      <c r="G58" s="1"/>
    </row>
    <row r="59" spans="1:7" ht="15.6" x14ac:dyDescent="0.3">
      <c r="A59" s="1"/>
      <c r="B59" s="1"/>
      <c r="C59" s="1"/>
      <c r="D59" s="1"/>
      <c r="E59" s="1"/>
      <c r="F59" s="1"/>
      <c r="G59" s="1"/>
    </row>
    <row r="60" spans="1:7" ht="15.6" x14ac:dyDescent="0.3">
      <c r="A60" s="1"/>
      <c r="B60" s="1"/>
      <c r="C60" s="1"/>
      <c r="D60" s="1"/>
      <c r="E60" s="1"/>
      <c r="F60" s="1"/>
      <c r="G60" s="1"/>
    </row>
    <row r="61" spans="1:7" ht="15" customHeight="1" x14ac:dyDescent="0.3">
      <c r="A61" s="1"/>
      <c r="B61" s="1"/>
      <c r="C61" s="1"/>
      <c r="D61" s="1"/>
      <c r="E61" s="1"/>
      <c r="F61" s="1"/>
      <c r="G61" s="1"/>
    </row>
    <row r="62" spans="1:7" ht="15.6" x14ac:dyDescent="0.3">
      <c r="A62" s="1"/>
      <c r="B62" s="1"/>
      <c r="C62" s="1"/>
      <c r="D62" s="1"/>
      <c r="E62" s="1"/>
      <c r="F62" s="1"/>
      <c r="G62" s="1"/>
    </row>
    <row r="63" spans="1:7" ht="15.6" x14ac:dyDescent="0.3">
      <c r="A63" s="6"/>
      <c r="B63" s="51"/>
      <c r="C63" s="1"/>
      <c r="D63" s="1"/>
      <c r="E63" s="1"/>
      <c r="F63" s="1"/>
      <c r="G63" s="1"/>
    </row>
    <row r="64" spans="1:7" ht="15.6" x14ac:dyDescent="0.3">
      <c r="A64" s="1"/>
      <c r="B64" s="1"/>
      <c r="C64" s="1"/>
      <c r="D64" s="1"/>
      <c r="E64" s="1"/>
      <c r="F64" s="1"/>
      <c r="G64" s="1"/>
    </row>
    <row r="65" spans="2:6" x14ac:dyDescent="0.3">
      <c r="B65" s="20"/>
      <c r="C65" s="20"/>
      <c r="D65" s="20"/>
      <c r="E65" s="20"/>
      <c r="F65" s="20"/>
    </row>
    <row r="66" spans="2:6" x14ac:dyDescent="0.3">
      <c r="B66" s="20"/>
      <c r="C66" s="20"/>
      <c r="E66" s="20"/>
      <c r="F66" s="20"/>
    </row>
  </sheetData>
  <mergeCells count="6">
    <mergeCell ref="M3:N3"/>
    <mergeCell ref="A19:F19"/>
    <mergeCell ref="A10:F10"/>
    <mergeCell ref="A48:F48"/>
    <mergeCell ref="B50:F50"/>
    <mergeCell ref="K3:L3"/>
  </mergeCells>
  <phoneticPr fontId="10" type="noConversion"/>
  <pageMargins left="0.70866141732283472" right="0.70866141732283472" top="0.74803149606299213" bottom="0.74803149606299213" header="0.31496062992125984" footer="0.31496062992125984"/>
  <pageSetup scale="70" orientation="portrait" horizontalDpi="300" verticalDpi="3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A45044-D9F9-4102-B61C-7735E7D1641C}">
  <dimension ref="A1:E2"/>
  <sheetViews>
    <sheetView workbookViewId="0">
      <selection activeCell="H9" sqref="H9"/>
    </sheetView>
  </sheetViews>
  <sheetFormatPr baseColWidth="10" defaultRowHeight="14.4" x14ac:dyDescent="0.3"/>
  <cols>
    <col min="2" max="2" width="14.44140625" bestFit="1" customWidth="1"/>
    <col min="3" max="3" width="49.6640625" customWidth="1"/>
  </cols>
  <sheetData>
    <row r="1" spans="1:5" x14ac:dyDescent="0.3">
      <c r="A1" t="s">
        <v>143</v>
      </c>
      <c r="B1" t="s">
        <v>144</v>
      </c>
      <c r="C1" t="s">
        <v>145</v>
      </c>
      <c r="D1" t="s">
        <v>146</v>
      </c>
      <c r="E1" t="s">
        <v>4</v>
      </c>
    </row>
    <row r="2" spans="1:5" x14ac:dyDescent="0.3">
      <c r="A2" t="str">
        <f>'4637'!D8</f>
        <v>N° 12141</v>
      </c>
      <c r="B2">
        <f>'4637'!G8</f>
        <v>7472</v>
      </c>
      <c r="C2" t="str">
        <f>'4637'!C10</f>
        <v>GERO MATTE</v>
      </c>
      <c r="D2" s="120">
        <f>'4637'!G10</f>
        <v>46167</v>
      </c>
      <c r="E2" s="121">
        <f>'4637'!H28</f>
        <v>401830.87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2</vt:i4>
      </vt:variant>
    </vt:vector>
  </HeadingPairs>
  <TitlesOfParts>
    <vt:vector size="6" baseType="lpstr">
      <vt:lpstr>4637</vt:lpstr>
      <vt:lpstr>REGLAS</vt:lpstr>
      <vt:lpstr>CUBIERTA</vt:lpstr>
      <vt:lpstr>RESUMEN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2026-05-20T19:21:42Z</cp:lastPrinted>
  <dcterms:created xsi:type="dcterms:W3CDTF">2013-03-19T12:54:14Z</dcterms:created>
  <dcterms:modified xsi:type="dcterms:W3CDTF">2026-06-10T14:46:49Z</dcterms:modified>
</cp:coreProperties>
</file>