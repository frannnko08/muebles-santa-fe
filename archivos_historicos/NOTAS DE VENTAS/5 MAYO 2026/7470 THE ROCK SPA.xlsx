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C2D8B78B-C62D-4E50-BCDD-F26C658D6880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4" l="1"/>
  <c r="H21" i="4"/>
  <c r="B28" i="3" l="1"/>
  <c r="I22" i="3" s="1"/>
  <c r="I14" i="3" s="1"/>
  <c r="B14" i="3" s="1"/>
  <c r="C28" i="3"/>
  <c r="F14" i="3" s="1"/>
  <c r="D28" i="3"/>
  <c r="J22" i="3" s="1"/>
  <c r="J14" i="3" s="1"/>
  <c r="D14" i="3" s="1"/>
  <c r="E28" i="3"/>
  <c r="F28" i="3"/>
  <c r="B49" i="3"/>
  <c r="C49" i="3"/>
  <c r="D49" i="3"/>
  <c r="E49" i="3"/>
  <c r="F49" i="3"/>
  <c r="H24" i="4"/>
  <c r="K22" i="3" l="1"/>
  <c r="D22" i="3"/>
  <c r="B22" i="3"/>
  <c r="F22" i="3"/>
  <c r="K14" i="3" l="1"/>
  <c r="E14" i="3" s="1"/>
  <c r="E22" i="3"/>
  <c r="H25" i="4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<sst xmlns="http://schemas.openxmlformats.org/spreadsheetml/2006/main" count="243" uniqueCount="140">
  <si>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</si>
  <si>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</si>
  <si>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</si>
  <si>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</si>
  <si>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</si>
  <si>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</si>
  <si>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</si>
  <si>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</si>
  <si>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</si>
  <si>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</si>
  <si>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</si>
  <si>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</si>
  <si>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</si>
  <si>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</si>
  <si>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</si>
  <si>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</si>
  <si>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</si>
  <si>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</si>
  <si>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</si>
  <si>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</si>
  <si>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</si>
  <si>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</si>
  <si>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</si>
  <si>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</si>
  <si>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</si>
  <si>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</si>
  <si>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</si>
  <si>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</si>
  <si>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</si>
  <si>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</si>
  <si>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</si>
  <si>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</si>
  <si>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</si>
  <si>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</si>
  <si>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</si>
  <si>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</si>
  <si>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</si>
  <si>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</si>
  <si>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</si>
  <si>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</si>
  <si>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</si>
  <si>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</si>
  <si>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</si>
  <si>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</si>
  <si>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</si>
  <si>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</si>
  <si>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</si>
  <si>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</si>
  <si>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</si>
  <si>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</si>
  <si>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</si>
  <si>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</si>
  <si>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</si>
  <si>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</si>
  <si>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</si>
  <si>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</si>
  <si>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</si>
  <si>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</si>
  <si>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</si>
  <si>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</si>
  <si>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</si>
  <si>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</si>
  <si>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</si>
  <si>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</si>
  <si>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</si>
  <si>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</si>
  <si>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</si>
  <si>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</si>
  <si>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</si>
  <si>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</si>
  <si>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</si>
  <si>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</si>
  <si>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</si>
  <si>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</si>
  <si>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</si>
  <si>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</si>
  <si>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</si>
  <si>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</si>
  <si>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</si>
  <si>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</si>
  <si>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</si>
  <si>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</si>
  <si>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</si>
  <si>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</si>
  <si>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</si>
  <si>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</si>
  <si>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</si>
  <si>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</si>
  <si>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</si>
  <si>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</si>
  <si>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</si>
  <si>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</si>
  <si>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</si>
  <si>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</si>
  <si>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</si>
  <si>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</si>
  <si>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</si>
  <si>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</si>
  <si>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</si>
  <si>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</si>
  <si>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</si>
  <si>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</si>
  <si>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</si>
  <si>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</si>
  <si>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</si>
  <si>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</si>
  <si>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</si>
  <si>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</si>
  <si>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</si>
  <si>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</si>
  <si>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</si>
  <si>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</si>
  <si>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</si>
  <si>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</si>
  <si>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</si>
  <si>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</si>
  <si>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</si>
  <si>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</si>
  <si>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</si>
  <si>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</si>
  <si>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</si>
  <si>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</si>
  <si>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</si>
  <si>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</si>
  <si>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</si>
  <si>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</si>
  <si>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</si>
  <si>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</si>
  <si>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</si>
  <si>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</si>
  <si>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</si>
  <si>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</si>
  <si>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</si>
  <si>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</si>
  <si>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MDF30MM</t>
  </si>
  <si>
    <t>N° 12127</t>
  </si>
  <si>
    <t>CUB C/R R8</t>
  </si>
  <si>
    <t>BLANCO MT</t>
  </si>
  <si>
    <t>THE ROCK SPA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</si>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</sst>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556018</xdr:colOff>
      <xdr:row>43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7" workbookViewId="0">
      <selection activeCell="G15" sqref="G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135</v>
      </c>
      <c r="E8" s="1"/>
      <c r="F8" s="93" t="s">
        <v>27</v>
      </c>
      <c r="G8" s="94">
        <v>7470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46161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/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136</v>
      </c>
      <c r="D21" s="104">
        <v>1500</v>
      </c>
      <c r="E21" s="104">
        <v>600</v>
      </c>
      <c r="F21" s="102" t="s">
        <v>137</v>
      </c>
      <c r="G21" s="103">
        <f>67500/1.19</f>
        <v>56722.689075630253</v>
      </c>
      <c r="H21" s="103">
        <f t="shared" ref="H21" si="0">G21*B21</f>
        <v>56722.689075630253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56722.689075630253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10777.310924369749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67500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G35" sqref="A2:G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7470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THE ROCK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J14+D$13</f>
        <v>1550</v>
      </c>
      <c r="E14" s="35">
        <f>K14+E$13</f>
        <v>570</v>
      </c>
      <c r="F14" s="99" t="str">
        <f>C28</f>
        <v>CUB C/R R8</v>
      </c>
      <c r="G14" s="1"/>
      <c r="I14" s="89">
        <f t="shared" ref="I14:K14" si="1">I22</f>
        <v>1</v>
      </c>
      <c r="J14" s="4">
        <f t="shared" si="1"/>
        <v>1500</v>
      </c>
      <c r="K14" s="4">
        <f t="shared" si="1"/>
        <v>600</v>
      </c>
    </row>
    <row r="15" spans="1:14" ht="15.6" x14ac:dyDescent="0.3">
      <c r="A15" s="95"/>
      <c r="B15" s="6"/>
      <c r="C15" s="6"/>
      <c r="D15" s="6"/>
      <c r="E15" s="105"/>
      <c r="F15" s="107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 t="shared" ref="D22" si="3">J22+D$21</f>
        <v>1540</v>
      </c>
      <c r="E22" s="16">
        <f>K22+$E$21</f>
        <v>730</v>
      </c>
      <c r="F22" s="100" t="str">
        <f>C28</f>
        <v>CUB C/R R8</v>
      </c>
      <c r="G22" s="1"/>
      <c r="I22" s="3">
        <f>B28</f>
        <v>1</v>
      </c>
      <c r="J22" s="4">
        <f>D28</f>
        <v>1500</v>
      </c>
      <c r="K22" s="4">
        <f t="shared" ref="K22" si="4">E28</f>
        <v>600</v>
      </c>
    </row>
    <row r="23" spans="1:11" ht="15.6" x14ac:dyDescent="0.3">
      <c r="A23" s="95"/>
      <c r="B23" s="6"/>
      <c r="C23" s="6"/>
      <c r="D23" s="6"/>
      <c r="E23" s="6"/>
      <c r="F23" s="107"/>
      <c r="G23" s="1"/>
      <c r="I23" s="89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134</v>
      </c>
      <c r="B28" s="25">
        <f>'4637'!B21</f>
        <v>1</v>
      </c>
      <c r="C28" s="99" t="str">
        <f>'4637'!C21</f>
        <v>CUB C/R R8</v>
      </c>
      <c r="D28" s="25">
        <f>'4637'!D21</f>
        <v>1500</v>
      </c>
      <c r="E28" s="25">
        <f>'4637'!E21</f>
        <v>600</v>
      </c>
      <c r="F28" s="25" t="str">
        <f>'4637'!F21</f>
        <v>BLANCO MT</v>
      </c>
      <c r="G28" s="1"/>
    </row>
    <row r="29" spans="1:11" ht="15.6" x14ac:dyDescent="0.3">
      <c r="A29" s="95"/>
      <c r="B29" s="6"/>
      <c r="C29" s="107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7470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THE ROCK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8" t="s">
        <v>68</v>
      </c>
      <c r="B45" s="118"/>
      <c r="C45" s="118"/>
      <c r="D45" s="118"/>
      <c r="E45" s="118"/>
      <c r="F45" s="11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69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134</v>
      </c>
      <c r="B49" s="38">
        <f>'4637'!B21</f>
        <v>1</v>
      </c>
      <c r="C49" s="98" t="str">
        <f>'4637'!C21</f>
        <v>CUB C/R R8</v>
      </c>
      <c r="D49" s="39">
        <f>'4637'!D21</f>
        <v>1500</v>
      </c>
      <c r="E49" s="39">
        <f>'4637'!E21</f>
        <v>600</v>
      </c>
      <c r="F49" s="38" t="str">
        <f>'4637'!F21</f>
        <v>BLANCO MT</v>
      </c>
      <c r="G49" s="1"/>
    </row>
    <row r="50" spans="1:7" s="15" customFormat="1" ht="15" customHeight="1" x14ac:dyDescent="0.3">
      <c r="B50" s="52"/>
      <c r="C50" s="106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2026-05-19T20:24:56Z</cp:lastPrinted>
  <dcterms:created xsi:type="dcterms:W3CDTF">2013-03-19T12:54:14Z</dcterms:created>
  <dcterms:modified xsi:type="dcterms:W3CDTF">2026-05-19T21:27:13Z</dcterms:modified>
</cp:coreProperties>
</file>