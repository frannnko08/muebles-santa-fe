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6\"/>
    </mc:Choice>
  </mc:AlternateContent>
  <xr:revisionPtr revIDLastSave="0" documentId="13_ncr:1_{C7B54255-5A5E-4BC4-A535-6495968F0C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E16" i="3"/>
  <c r="B17" i="3"/>
  <c r="E17" i="3"/>
  <c r="B33" i="3"/>
  <c r="I26" i="3" s="1"/>
  <c r="B26" i="3" s="1"/>
  <c r="C33" i="3"/>
  <c r="F26" i="3" s="1"/>
  <c r="D33" i="3"/>
  <c r="J26" i="3" s="1"/>
  <c r="E33" i="3"/>
  <c r="K26" i="3" s="1"/>
  <c r="F33" i="3"/>
  <c r="B55" i="3"/>
  <c r="C55" i="3"/>
  <c r="D55" i="3"/>
  <c r="E55" i="3"/>
  <c r="F55" i="3"/>
  <c r="H22" i="4"/>
  <c r="H21" i="4"/>
  <c r="I15" i="3" l="1"/>
  <c r="B15" i="3" s="1"/>
  <c r="K15" i="3"/>
  <c r="E15" i="3" s="1"/>
  <c r="J15" i="3"/>
  <c r="F15" i="3"/>
  <c r="B32" i="3"/>
  <c r="I25" i="3" s="1"/>
  <c r="I14" i="3" s="1"/>
  <c r="B14" i="3" s="1"/>
  <c r="C32" i="3"/>
  <c r="F14" i="3" s="1"/>
  <c r="D32" i="3"/>
  <c r="J25" i="3" s="1"/>
  <c r="J14" i="3" s="1"/>
  <c r="D14" i="3" s="1"/>
  <c r="E32" i="3"/>
  <c r="F32" i="3"/>
  <c r="B54" i="3"/>
  <c r="C54" i="3"/>
  <c r="D54" i="3"/>
  <c r="E54" i="3"/>
  <c r="F54" i="3"/>
  <c r="H25" i="4"/>
  <c r="K25" i="3" l="1"/>
  <c r="K14" i="3" s="1"/>
  <c r="E14" i="3" s="1"/>
  <c r="D25" i="3"/>
  <c r="B25" i="3"/>
  <c r="F25" i="3"/>
  <c r="H26" i="4" l="1"/>
  <c r="H27" i="4" l="1"/>
  <c r="N5" i="3" l="1"/>
  <c r="M5" i="3" l="1"/>
  <c r="L5" i="3"/>
  <c r="K5" i="3"/>
  <c r="C47" i="3" l="1"/>
  <c r="C7" i="3"/>
  <c r="D45" i="3"/>
  <c r="D5" i="3"/>
  <c r="D47" i="3"/>
  <c r="D7" i="3"/>
  <c r="D44" i="3"/>
  <c r="D4" i="3"/>
</calcChain>
</file>

<file path=xl/sharedStrings.xml><?xml version="1.0" encoding="utf-8"?>
<sst xmlns="http://schemas.openxmlformats.org/spreadsheetml/2006/main" count="255" uniqueCount="146">
  <si>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</si>
  <si>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</si>
  <si>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</si>
  <si>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</si>
  <si>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</si>
  <si>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</si>
  <si>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</si>
  <si>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</si>
  <si>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</si>
  <si>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</si>
  <si>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</si>
  <si>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</si>
  <si>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</si>
  <si>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</si>
  <si>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</si>
  <si>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</si>
  <si>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</si>
  <si>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</si>
  <si>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</si>
  <si>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</si>
  <si>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</si>
  <si>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</si>
  <si>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</si>
  <si>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</si>
  <si>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</si>
  <si>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</si>
  <si>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</si>
  <si>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</si>
  <si>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</si>
  <si>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</si>
  <si>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</si>
  <si>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</si>
  <si>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</si>
  <si>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</si>
  <si>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</si>
  <si>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</si>
  <si>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</si>
  <si>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</si>
  <si>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</si>
  <si>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</si>
  <si>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</si>
  <si>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</si>
  <si>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</si>
  <si>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</si>
  <si>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</si>
  <si>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</si>
  <si>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</si>
  <si>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</si>
  <si>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</si>
  <si>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</si>
  <si>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</si>
  <si>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</si>
  <si>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</si>
  <si>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</si>
  <si>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</si>
  <si>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</si>
  <si>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</si>
  <si>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</si>
  <si>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</si>
  <si>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</si>
  <si>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</si>
  <si>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</si>
  <si>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</si>
  <si>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</si>
  <si>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</si>
  <si>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</si>
  <si>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</si>
  <si>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</si>
  <si>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</si>
  <si>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</si>
  <si>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</si>
  <si>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</si>
  <si>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</si>
  <si>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</si>
  <si>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</si>
  <si>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</si>
  <si>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</si>
  <si>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</si>
  <si>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</si>
  <si>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</si>
  <si>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</si>
  <si>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</si>
  <si>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</si>
  <si>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</si>
  <si>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</si>
  <si>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</si>
  <si>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</si>
  <si>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</si>
  <si>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</si>
  <si>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</si>
  <si>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</si>
  <si>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</si>
  <si>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</si>
  <si>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</si>
  <si>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</si>
  <si>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</si>
  <si>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</si>
  <si>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</si>
  <si>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</si>
  <si>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</si>
  <si>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</si>
  <si>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</si>
  <si>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</si>
  <si>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</si>
  <si>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</si>
  <si>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</si>
  <si>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</si>
  <si>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</si>
  <si>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</si>
  <si>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</si>
  <si>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</si>
  <si>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</si>
  <si>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</si>
  <si>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</si>
  <si>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</si>
  <si>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</si>
  <si>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</si>
  <si>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</si>
  <si>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</si>
  <si>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</si>
  <si>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</si>
  <si>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</si>
  <si>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</si>
  <si>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</si>
  <si>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</si>
  <si>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</si>
  <si>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</si>
  <si>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</si>
  <si>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</si>
  <si>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</si>
  <si>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</si>
  <si>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</si>
  <si>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</si>
  <si>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</si>
  <si>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</si>
  <si>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</si>
  <si>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</si>
  <si>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</si>
  <si>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</si>
  <si>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SI</t>
  </si>
  <si>
    <t>MDF30MM</t>
  </si>
  <si>
    <t>CORNISA 2L F/7CMS R8</t>
  </si>
  <si>
    <t>GLACIAL WHITE 22191 SF</t>
  </si>
  <si>
    <t>NV 28530</t>
  </si>
  <si>
    <t>FALDON</t>
  </si>
  <si>
    <t>N° 12127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</si>
</sst>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 CLIENTE</a:t>
          </a:r>
          <a:r>
            <a:rPr lang="es-CL" sz="900" b="1" i="1" baseline="0"/>
            <a:t> APORTA LAMINAS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48</xdr:row>
      <xdr:rowOff>171450</xdr:rowOff>
    </xdr:from>
    <xdr:to>
      <xdr:col>5</xdr:col>
      <xdr:colOff>1685924</xdr:colOff>
      <xdr:row>50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57</xdr:row>
      <xdr:rowOff>0</xdr:rowOff>
    </xdr:from>
    <xdr:to>
      <xdr:col>2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57</xdr:row>
      <xdr:rowOff>0</xdr:rowOff>
    </xdr:from>
    <xdr:to>
      <xdr:col>2</xdr:col>
      <xdr:colOff>1019175</xdr:colOff>
      <xdr:row>57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0</xdr:rowOff>
    </xdr:from>
    <xdr:to>
      <xdr:col>3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0</xdr:rowOff>
    </xdr:from>
    <xdr:to>
      <xdr:col>4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0</xdr:rowOff>
    </xdr:from>
    <xdr:to>
      <xdr:col>5</xdr:col>
      <xdr:colOff>447675</xdr:colOff>
      <xdr:row>57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0</xdr:rowOff>
    </xdr:from>
    <xdr:to>
      <xdr:col>6</xdr:col>
      <xdr:colOff>0</xdr:colOff>
      <xdr:row>57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57</xdr:row>
      <xdr:rowOff>190500</xdr:rowOff>
    </xdr:from>
    <xdr:to>
      <xdr:col>2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57</xdr:row>
      <xdr:rowOff>190500</xdr:rowOff>
    </xdr:from>
    <xdr:to>
      <xdr:col>2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190500</xdr:rowOff>
    </xdr:from>
    <xdr:to>
      <xdr:col>3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190500</xdr:rowOff>
    </xdr:from>
    <xdr:to>
      <xdr:col>4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190500</xdr:rowOff>
    </xdr:from>
    <xdr:to>
      <xdr:col>5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190500</xdr:rowOff>
    </xdr:from>
    <xdr:to>
      <xdr:col>6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15239</xdr:rowOff>
    </xdr:from>
    <xdr:to>
      <xdr:col>6</xdr:col>
      <xdr:colOff>68580</xdr:colOff>
      <xdr:row>39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CLIENTE APORTA LAMINAS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60</xdr:row>
      <xdr:rowOff>32385</xdr:rowOff>
    </xdr:from>
    <xdr:to>
      <xdr:col>6</xdr:col>
      <xdr:colOff>19050</xdr:colOff>
      <xdr:row>64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CLIENTE APORTA LAMINAS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42</xdr:row>
      <xdr:rowOff>41910</xdr:rowOff>
    </xdr:from>
    <xdr:to>
      <xdr:col>1</xdr:col>
      <xdr:colOff>565543</xdr:colOff>
      <xdr:row>48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145</v>
      </c>
      <c r="E8" s="1"/>
      <c r="F8" s="93" t="s">
        <v>27</v>
      </c>
      <c r="G8" s="94">
        <v>7469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46161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24288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97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9</v>
      </c>
      <c r="C21" s="102" t="s">
        <v>141</v>
      </c>
      <c r="D21" s="104">
        <v>3000</v>
      </c>
      <c r="E21" s="104">
        <v>342</v>
      </c>
      <c r="F21" s="102" t="s">
        <v>142</v>
      </c>
      <c r="G21" s="103">
        <v>42217</v>
      </c>
      <c r="H21" s="103">
        <f t="shared" ref="H21:H22" si="0">G21*B21</f>
        <v>379953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2">
        <v>18</v>
      </c>
      <c r="C22" s="102" t="s">
        <v>141</v>
      </c>
      <c r="D22" s="104">
        <v>2360</v>
      </c>
      <c r="E22" s="104">
        <v>342</v>
      </c>
      <c r="F22" s="102" t="s">
        <v>142</v>
      </c>
      <c r="G22" s="103">
        <v>35523</v>
      </c>
      <c r="H22" s="103">
        <f t="shared" si="0"/>
        <v>639414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8"/>
      <c r="C23" s="108"/>
      <c r="D23" s="109"/>
      <c r="E23" s="109"/>
      <c r="F23" s="108"/>
      <c r="G23" s="75"/>
      <c r="H23" s="75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1019367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193679.73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1213046.73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6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8"/>
  <sheetViews>
    <sheetView zoomScaleNormal="100" workbookViewId="0">
      <selection activeCell="E27" sqref="E27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0" t="s">
        <v>61</v>
      </c>
      <c r="L3" s="110"/>
      <c r="M3" s="110" t="s">
        <v>14</v>
      </c>
      <c r="N3" s="110"/>
    </row>
    <row r="4" spans="1:14" ht="15.75" customHeight="1" x14ac:dyDescent="0.3">
      <c r="A4" s="1"/>
      <c r="B4" s="1"/>
      <c r="C4" s="40" t="s">
        <v>27</v>
      </c>
      <c r="D4" s="14">
        <f>'4637'!G8</f>
        <v>7469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1" t="s">
        <v>61</v>
      </c>
      <c r="B10" s="111"/>
      <c r="C10" s="111"/>
      <c r="D10" s="111"/>
      <c r="E10" s="111"/>
      <c r="F10" s="11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100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140</v>
      </c>
      <c r="B14" s="25">
        <f t="shared" ref="B14" si="0">I14</f>
        <v>9</v>
      </c>
      <c r="C14" s="25" t="s">
        <v>143</v>
      </c>
      <c r="D14" s="25">
        <f>J14+D$13</f>
        <v>3100</v>
      </c>
      <c r="E14" s="35">
        <f>K14+E$13</f>
        <v>342</v>
      </c>
      <c r="F14" s="99" t="str">
        <f>C32</f>
        <v>CORNISA 2L F/7CMS R8</v>
      </c>
      <c r="G14" s="1"/>
      <c r="I14" s="89">
        <f t="shared" ref="I14:K14" si="1">I25</f>
        <v>9</v>
      </c>
      <c r="J14" s="4">
        <f t="shared" si="1"/>
        <v>3000</v>
      </c>
      <c r="K14" s="4">
        <f t="shared" si="1"/>
        <v>342</v>
      </c>
    </row>
    <row r="15" spans="1:14" ht="15.6" x14ac:dyDescent="0.3">
      <c r="A15" s="95"/>
      <c r="B15" s="25">
        <f t="shared" ref="B15" si="2">I15</f>
        <v>18</v>
      </c>
      <c r="C15" s="25" t="s">
        <v>143</v>
      </c>
      <c r="D15" s="25">
        <v>2440</v>
      </c>
      <c r="E15" s="35">
        <f t="shared" ref="E15" si="3">K15+E$13</f>
        <v>342</v>
      </c>
      <c r="F15" s="99" t="str">
        <f>C33</f>
        <v>CORNISA 2L F/7CMS R8</v>
      </c>
      <c r="G15" s="1"/>
      <c r="I15" s="89">
        <f t="shared" ref="I15:K15" si="4">I26</f>
        <v>18</v>
      </c>
      <c r="J15" s="4">
        <f t="shared" si="4"/>
        <v>2360</v>
      </c>
      <c r="K15" s="4">
        <f t="shared" si="4"/>
        <v>342</v>
      </c>
    </row>
    <row r="16" spans="1:14" ht="15.6" x14ac:dyDescent="0.3">
      <c r="A16" s="95"/>
      <c r="B16" s="25">
        <f t="shared" ref="B16:B17" si="5">I16</f>
        <v>18</v>
      </c>
      <c r="C16" s="25" t="s">
        <v>143</v>
      </c>
      <c r="D16" s="25">
        <v>3100</v>
      </c>
      <c r="E16" s="35">
        <f t="shared" ref="E16:E17" si="6">K16+E$13</f>
        <v>52</v>
      </c>
      <c r="F16" s="99" t="s">
        <v>144</v>
      </c>
      <c r="G16" s="1"/>
      <c r="I16" s="89">
        <v>18</v>
      </c>
      <c r="J16" s="4">
        <v>3000</v>
      </c>
      <c r="K16" s="4">
        <v>52</v>
      </c>
    </row>
    <row r="17" spans="1:11" ht="15.6" x14ac:dyDescent="0.3">
      <c r="A17" s="95"/>
      <c r="B17" s="25">
        <f t="shared" si="5"/>
        <v>36</v>
      </c>
      <c r="C17" s="25" t="s">
        <v>143</v>
      </c>
      <c r="D17" s="25">
        <v>2440</v>
      </c>
      <c r="E17" s="35">
        <f t="shared" si="6"/>
        <v>52</v>
      </c>
      <c r="F17" s="99" t="s">
        <v>144</v>
      </c>
      <c r="G17" s="1"/>
      <c r="I17" s="89">
        <v>36</v>
      </c>
      <c r="J17" s="4">
        <v>2360</v>
      </c>
      <c r="K17" s="4">
        <v>52</v>
      </c>
    </row>
    <row r="18" spans="1:11" ht="15.6" x14ac:dyDescent="0.3">
      <c r="A18" s="95"/>
      <c r="B18" s="6"/>
      <c r="C18" s="6"/>
      <c r="D18" s="6"/>
      <c r="E18" s="105"/>
      <c r="F18" s="107"/>
      <c r="G18" s="1"/>
      <c r="I18" s="89"/>
      <c r="J18" s="2"/>
      <c r="K18" s="2"/>
    </row>
    <row r="19" spans="1:11" ht="15.6" x14ac:dyDescent="0.3">
      <c r="A19" s="52"/>
      <c r="B19" s="6"/>
      <c r="C19" s="6"/>
      <c r="D19" s="6"/>
      <c r="E19" s="105"/>
      <c r="F19" s="6"/>
      <c r="G19" s="1"/>
      <c r="I19" s="89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11" t="s">
        <v>14</v>
      </c>
      <c r="B21" s="111"/>
      <c r="C21" s="111"/>
      <c r="D21" s="111"/>
      <c r="E21" s="111"/>
      <c r="F21" s="111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2" t="s">
        <v>7</v>
      </c>
      <c r="E23" s="52" t="s">
        <v>8</v>
      </c>
      <c r="F23" s="1"/>
      <c r="G23" s="1"/>
    </row>
    <row r="24" spans="1:11" ht="15.6" x14ac:dyDescent="0.3">
      <c r="A24" s="52" t="s">
        <v>9</v>
      </c>
      <c r="B24" s="36" t="s">
        <v>10</v>
      </c>
      <c r="C24" s="36" t="s">
        <v>11</v>
      </c>
      <c r="D24" s="21">
        <v>80</v>
      </c>
      <c r="E24" s="21">
        <v>130</v>
      </c>
      <c r="F24" s="36" t="s">
        <v>110</v>
      </c>
      <c r="G24" s="1"/>
      <c r="J24" s="5" t="s">
        <v>7</v>
      </c>
      <c r="K24" s="5" t="s">
        <v>8</v>
      </c>
    </row>
    <row r="25" spans="1:11" ht="15.6" x14ac:dyDescent="0.3">
      <c r="A25" s="95"/>
      <c r="B25" s="16">
        <f t="shared" ref="B25" si="7">I25</f>
        <v>9</v>
      </c>
      <c r="C25" s="16"/>
      <c r="D25" s="16">
        <f t="shared" ref="D25" si="8">J25+D$24</f>
        <v>3080</v>
      </c>
      <c r="E25" s="16">
        <v>520</v>
      </c>
      <c r="F25" s="100" t="str">
        <f>C32</f>
        <v>CORNISA 2L F/7CMS R8</v>
      </c>
      <c r="G25" s="1"/>
      <c r="I25" s="3">
        <f>B32</f>
        <v>9</v>
      </c>
      <c r="J25" s="4">
        <f>D32</f>
        <v>3000</v>
      </c>
      <c r="K25" s="4">
        <f t="shared" ref="K25" si="9">E32</f>
        <v>342</v>
      </c>
    </row>
    <row r="26" spans="1:11" ht="15.6" x14ac:dyDescent="0.3">
      <c r="A26" s="95"/>
      <c r="B26" s="16">
        <f t="shared" ref="B26" si="10">I26</f>
        <v>18</v>
      </c>
      <c r="C26" s="16"/>
      <c r="D26" s="16">
        <v>2430</v>
      </c>
      <c r="E26" s="16">
        <v>520</v>
      </c>
      <c r="F26" s="100" t="str">
        <f>C33</f>
        <v>CORNISA 2L F/7CMS R8</v>
      </c>
      <c r="G26" s="1"/>
      <c r="I26" s="3">
        <f>B33</f>
        <v>18</v>
      </c>
      <c r="J26" s="4">
        <f>D33</f>
        <v>2360</v>
      </c>
      <c r="K26" s="4">
        <f>E33</f>
        <v>342</v>
      </c>
    </row>
    <row r="27" spans="1:11" ht="15.6" x14ac:dyDescent="0.3">
      <c r="A27" s="95"/>
      <c r="B27" s="6"/>
      <c r="C27" s="6"/>
      <c r="D27" s="6"/>
      <c r="E27" s="6"/>
      <c r="F27" s="107"/>
      <c r="G27" s="1"/>
      <c r="I27" s="89"/>
      <c r="J27" s="2"/>
      <c r="K27" s="2"/>
    </row>
    <row r="28" spans="1:11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52" t="s">
        <v>9</v>
      </c>
      <c r="B31" s="88" t="s">
        <v>10</v>
      </c>
      <c r="C31" s="88" t="s">
        <v>110</v>
      </c>
      <c r="D31" s="88" t="s">
        <v>7</v>
      </c>
      <c r="E31" s="88" t="s">
        <v>8</v>
      </c>
      <c r="F31" s="88" t="s">
        <v>23</v>
      </c>
      <c r="G31" s="1"/>
    </row>
    <row r="32" spans="1:11" ht="15.6" x14ac:dyDescent="0.3">
      <c r="A32" s="95" t="s">
        <v>140</v>
      </c>
      <c r="B32" s="25">
        <f>'4637'!B21</f>
        <v>9</v>
      </c>
      <c r="C32" s="99" t="str">
        <f>'4637'!C21</f>
        <v>CORNISA 2L F/7CMS R8</v>
      </c>
      <c r="D32" s="25">
        <f>'4637'!D21</f>
        <v>3000</v>
      </c>
      <c r="E32" s="25">
        <f>'4637'!E21</f>
        <v>342</v>
      </c>
      <c r="F32" s="25" t="str">
        <f>'4637'!F21</f>
        <v>GLACIAL WHITE 22191 SF</v>
      </c>
      <c r="G32" s="1"/>
    </row>
    <row r="33" spans="1:7" ht="15.6" x14ac:dyDescent="0.3">
      <c r="A33" s="95"/>
      <c r="B33" s="25">
        <f>'4637'!B22</f>
        <v>18</v>
      </c>
      <c r="C33" s="99" t="str">
        <f>'4637'!C22</f>
        <v>CORNISA 2L F/7CMS R8</v>
      </c>
      <c r="D33" s="25">
        <f>'4637'!D22</f>
        <v>2360</v>
      </c>
      <c r="E33" s="25">
        <f>'4637'!E22</f>
        <v>342</v>
      </c>
      <c r="F33" s="25" t="str">
        <f>'4637'!F22</f>
        <v>GLACIAL WHITE 22191 SF</v>
      </c>
      <c r="G33" s="1"/>
    </row>
    <row r="34" spans="1:7" ht="15.6" x14ac:dyDescent="0.3">
      <c r="A34" s="95"/>
      <c r="B34" s="6"/>
      <c r="C34" s="107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40" t="s">
        <v>27</v>
      </c>
      <c r="D44" s="14">
        <f>'4637'!G8</f>
        <v>7469</v>
      </c>
      <c r="E44" s="1"/>
      <c r="F44" s="1"/>
      <c r="G44" s="1"/>
    </row>
    <row r="45" spans="1:7" ht="17.25" customHeight="1" x14ac:dyDescent="0.3">
      <c r="A45" s="1"/>
      <c r="B45" s="1"/>
      <c r="C45" s="41" t="s">
        <v>67</v>
      </c>
      <c r="D45" s="42" t="str">
        <f>'4637'!C10</f>
        <v>MUEBLES ASENJO LTDA.</v>
      </c>
      <c r="E45" s="43"/>
      <c r="F45" s="43"/>
      <c r="G45" s="1"/>
    </row>
    <row r="46" spans="1:7" ht="4.5" customHeight="1" x14ac:dyDescent="0.3">
      <c r="A46" s="1"/>
      <c r="B46" s="1"/>
      <c r="C46" s="44"/>
      <c r="D46" s="45"/>
      <c r="E46" s="1"/>
      <c r="F46" s="1"/>
      <c r="G46" s="1"/>
    </row>
    <row r="47" spans="1:7" ht="15.6" x14ac:dyDescent="0.3">
      <c r="A47" s="1"/>
      <c r="B47" s="1"/>
      <c r="C47" s="46" t="str">
        <f>'4637'!F11</f>
        <v>FECHA LIMITE :</v>
      </c>
      <c r="D47" s="13">
        <f>'4637'!G11</f>
        <v>0</v>
      </c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11" t="s">
        <v>68</v>
      </c>
      <c r="B50" s="111"/>
      <c r="C50" s="111"/>
      <c r="D50" s="111"/>
      <c r="E50" s="111"/>
      <c r="F50" s="11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12" t="s">
        <v>69</v>
      </c>
      <c r="C52" s="113"/>
      <c r="D52" s="114"/>
      <c r="E52" s="114"/>
      <c r="F52" s="115"/>
      <c r="G52" s="1"/>
    </row>
    <row r="53" spans="1:7" s="15" customFormat="1" ht="12.75" customHeight="1" x14ac:dyDescent="0.3">
      <c r="A53" s="1"/>
      <c r="B53" s="36" t="s">
        <v>10</v>
      </c>
      <c r="C53" s="47" t="s">
        <v>11</v>
      </c>
      <c r="D53" s="48" t="s">
        <v>7</v>
      </c>
      <c r="E53" s="48" t="s">
        <v>8</v>
      </c>
      <c r="F53" s="49" t="s">
        <v>12</v>
      </c>
      <c r="G53" s="1"/>
    </row>
    <row r="54" spans="1:7" s="15" customFormat="1" ht="15" customHeight="1" x14ac:dyDescent="0.3">
      <c r="A54" s="95" t="s">
        <v>140</v>
      </c>
      <c r="B54" s="38">
        <f>'4637'!B21</f>
        <v>9</v>
      </c>
      <c r="C54" s="98" t="str">
        <f>'4637'!C21</f>
        <v>CORNISA 2L F/7CMS R8</v>
      </c>
      <c r="D54" s="39">
        <f>'4637'!D21</f>
        <v>3000</v>
      </c>
      <c r="E54" s="39">
        <f>'4637'!E21</f>
        <v>342</v>
      </c>
      <c r="F54" s="38" t="str">
        <f>'4637'!F21</f>
        <v>GLACIAL WHITE 22191 SF</v>
      </c>
      <c r="G54" s="1"/>
    </row>
    <row r="55" spans="1:7" s="15" customFormat="1" ht="15" customHeight="1" x14ac:dyDescent="0.3">
      <c r="A55" s="95"/>
      <c r="B55" s="38">
        <f>'4637'!B22</f>
        <v>18</v>
      </c>
      <c r="C55" s="98" t="str">
        <f>'4637'!C22</f>
        <v>CORNISA 2L F/7CMS R8</v>
      </c>
      <c r="D55" s="39">
        <f>'4637'!D22</f>
        <v>2360</v>
      </c>
      <c r="E55" s="39">
        <f>'4637'!E22</f>
        <v>342</v>
      </c>
      <c r="F55" s="38" t="str">
        <f>'4637'!F22</f>
        <v>GLACIAL WHITE 22191 SF</v>
      </c>
      <c r="G55" s="1"/>
    </row>
    <row r="56" spans="1:7" s="15" customFormat="1" ht="15" customHeight="1" x14ac:dyDescent="0.3">
      <c r="B56" s="52"/>
      <c r="C56" s="106"/>
      <c r="D56" s="52"/>
      <c r="E56" s="52"/>
      <c r="F56" s="52"/>
      <c r="G56" s="1"/>
    </row>
    <row r="57" spans="1:7" s="15" customFormat="1" ht="15" customHeight="1" x14ac:dyDescent="0.3">
      <c r="A57" s="50"/>
      <c r="B57" s="52"/>
      <c r="C57" s="52"/>
      <c r="D57" s="52"/>
      <c r="E57" s="52"/>
      <c r="F57" s="52"/>
      <c r="G57" s="1"/>
    </row>
    <row r="58" spans="1:7" ht="15.6" x14ac:dyDescent="0.3">
      <c r="A58" s="6"/>
      <c r="B58" s="6"/>
      <c r="C58" s="1"/>
      <c r="D58" s="6"/>
      <c r="E58" s="6"/>
      <c r="F58" s="44"/>
      <c r="G58" s="1"/>
    </row>
    <row r="59" spans="1:7" ht="15.6" x14ac:dyDescent="0.3">
      <c r="A59" s="6"/>
      <c r="B59" s="6"/>
      <c r="C59" s="1"/>
      <c r="D59" s="6"/>
      <c r="E59" s="6"/>
      <c r="F59" s="6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" customHeight="1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6"/>
      <c r="B65" s="5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x14ac:dyDescent="0.3">
      <c r="B67" s="20"/>
      <c r="C67" s="20"/>
      <c r="D67" s="20"/>
      <c r="E67" s="20"/>
      <c r="F67" s="20"/>
    </row>
    <row r="68" spans="1:7" x14ac:dyDescent="0.3">
      <c r="B68" s="20"/>
      <c r="C68" s="20"/>
      <c r="E68" s="20"/>
      <c r="F68" s="20"/>
    </row>
  </sheetData>
  <mergeCells count="6">
    <mergeCell ref="M3:N3"/>
    <mergeCell ref="A21:F21"/>
    <mergeCell ref="A10:F10"/>
    <mergeCell ref="A50:F50"/>
    <mergeCell ref="B52:F52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2026-05-11T14:51:32Z</cp:lastPrinted>
  <dcterms:created xsi:type="dcterms:W3CDTF">2013-03-19T12:54:14Z</dcterms:created>
  <dcterms:modified xsi:type="dcterms:W3CDTF">2026-05-19T17:50:12Z</dcterms:modified>
</cp:coreProperties>
</file>