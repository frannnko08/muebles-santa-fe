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3EE8E412-68AC-40F1-9869-97E150E8B6C8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4637" sheetId="4" r:id="rId1"/>
    <sheet name="RESUMEN" sheetId="6" r:id="rId2"/>
    <sheet name="REGLAS" sheetId="5" r:id="rId3"/>
    <sheet name="CUBIERTA" sheetId="3" r:id="rId4"/>
  </sheets>
  <definedNames>
    <definedName name="_xlnm.Print_Area" localSheetId="0">'4637'!$A$1:$H$30</definedName>
    <definedName name="_xlnm.Print_Area" localSheetId="3">CUBIERTA!$A$1:$F$23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B2" i="6"/>
  <c r="A2" i="6"/>
  <c r="H21" i="4" l="1"/>
  <c r="B28" i="3" l="1"/>
  <c r="I22" i="3" s="1"/>
  <c r="I14" i="3" s="1"/>
  <c r="B14" i="3" s="1"/>
  <c r="C28" i="3"/>
  <c r="F14" i="3" s="1"/>
  <c r="D28" i="3"/>
  <c r="J22" i="3" s="1"/>
  <c r="J14" i="3" s="1"/>
  <c r="D14" i="3" s="1"/>
  <c r="E28" i="3"/>
  <c r="F28" i="3"/>
  <c r="B49" i="3"/>
  <c r="C49" i="3"/>
  <c r="D49" i="3"/>
  <c r="E49" i="3"/>
  <c r="F49" i="3"/>
  <c r="H24" i="4"/>
  <c r="K22" i="3" l="1"/>
  <c r="D22" i="3"/>
  <c r="B22" i="3"/>
  <c r="F22" i="3"/>
  <c r="K14" i="3" l="1"/>
  <c r="E14" i="3" s="1"/>
  <c r="E22" i="3"/>
  <c r="H25" i="4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<sst xmlns="http://schemas.openxmlformats.org/spreadsheetml/2006/main" count="253" uniqueCount="149">
  <si>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</si>
  <si>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</si>
  <si>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</si>
  <si>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</si>
  <si>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</si>
  <si>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</si>
  <si>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</si>
  <si>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</si>
  <si>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</si>
  <si>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</si>
  <si>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</si>
  <si>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</si>
  <si>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</si>
  <si>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</si>
  <si>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</si>
  <si>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</si>
  <si>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</si>
  <si>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</si>
  <si>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</si>
  <si>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</si>
  <si>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</si>
  <si>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</si>
  <si>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</si>
  <si>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</si>
  <si>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</si>
  <si>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</si>
  <si>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</si>
  <si>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</si>
  <si>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</si>
  <si>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</si>
  <si>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</si>
  <si>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</si>
  <si>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</si>
  <si>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</si>
  <si>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</si>
  <si>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</si>
  <si>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</si>
  <si>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</si>
  <si>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</si>
  <si>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</si>
  <si>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</si>
  <si>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</si>
  <si>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</si>
  <si>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</si>
  <si>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</si>
  <si>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</si>
  <si>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</si>
  <si>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</si>
  <si>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</si>
  <si>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</si>
  <si>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</si>
  <si>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</si>
  <si>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</si>
  <si>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</si>
  <si>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</si>
  <si>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</si>
  <si>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</si>
  <si>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</si>
  <si>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</si>
  <si>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</si>
  <si>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</si>
  <si>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</si>
  <si>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</si>
  <si>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</si>
  <si>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</si>
  <si>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</si>
  <si>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</si>
  <si>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</si>
  <si>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</si>
  <si>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</si>
  <si>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</si>
  <si>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</si>
  <si>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</si>
  <si>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</si>
  <si>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</si>
  <si>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</si>
  <si>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</si>
  <si>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</si>
  <si>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</si>
  <si>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</si>
  <si>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</si>
  <si>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</si>
  <si>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</si>
  <si>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</si>
  <si>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</si>
  <si>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</si>
  <si>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</si>
  <si>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</si>
  <si>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</si>
  <si>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</si>
  <si>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</si>
  <si>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</si>
  <si>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</si>
  <si>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</si>
  <si>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</si>
  <si>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</si>
  <si>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</si>
  <si>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</si>
  <si>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</si>
  <si>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</si>
  <si>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</si>
  <si>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</si>
  <si>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</si>
  <si>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</si>
  <si>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</si>
  <si>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</si>
  <si>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</si>
  <si>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</si>
  <si>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</si>
  <si>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</si>
  <si>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</si>
  <si>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</si>
  <si>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</si>
  <si>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</si>
  <si>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</si>
  <si>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</si>
  <si>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</si>
  <si>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</si>
  <si>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</si>
  <si>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</si>
  <si>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</si>
  <si>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</si>
  <si>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</si>
  <si>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</si>
  <si>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</si>
  <si>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</si>
  <si>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</si>
  <si>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</si>
  <si>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</si>
  <si>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</si>
  <si>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</si>
  <si>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</si>
  <si>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</si>
  <si>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</si>
  <si>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</si>
  <si>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</si>
  <si>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</si>
  <si>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</si>
  <si>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</si>
  <si>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SI</t>
  </si>
  <si>
    <t>GLACIAL WHITE 22191 SF</t>
  </si>
  <si>
    <t>MDF18MM</t>
  </si>
  <si>
    <t>CUB C/R R8</t>
  </si>
  <si>
    <t>N° 12176</t>
  </si>
  <si>
    <t>NV 28575</t>
  </si>
  <si>
    <t>COTIZACION</t>
  </si>
  <si>
    <t>NOTA DE VENTA</t>
  </si>
  <si>
    <t>NOMBRE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</si>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</sst>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4" fontId="0" fillId="0" borderId="0" xfId="0" applyNumberFormat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24765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565543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9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7477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46170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24325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142</v>
      </c>
      <c r="D21" s="104">
        <v>1650</v>
      </c>
      <c r="E21" s="104">
        <v>700</v>
      </c>
      <c r="F21" s="102" t="s">
        <v>140</v>
      </c>
      <c r="G21" s="103">
        <v>97709</v>
      </c>
      <c r="H21" s="103">
        <f t="shared" ref="H21" si="0">G21*B21</f>
        <v>97709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/>
      <c r="C22" s="108"/>
      <c r="D22" s="109"/>
      <c r="E22" s="109"/>
      <c r="F22" s="108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97709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18564.71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116273.70999999999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E57E-05BB-45DE-A45D-99E8FB0AA76A}">
  <dimension ref="A1:E2"/>
  <sheetViews>
    <sheetView tabSelected="1" workbookViewId="0">
      <selection activeCell="E3" sqref="E3"/>
    </sheetView>
  </sheetViews>
  <sheetFormatPr baseColWidth="10" defaultRowHeight="14.4" x14ac:dyDescent="0.3"/>
  <cols>
    <col min="2" max="2" width="14.88671875" bestFit="1" customWidth="1"/>
    <col min="3" max="3" width="24.77734375" customWidth="1"/>
  </cols>
  <sheetData>
    <row r="1" spans="1:5" x14ac:dyDescent="0.3">
      <c r="A1" t="s">
        <v>145</v>
      </c>
      <c r="B1" t="s">
        <v>146</v>
      </c>
      <c r="C1" t="s">
        <v>147</v>
      </c>
      <c r="D1" s="123" t="s">
        <v>148</v>
      </c>
      <c r="E1" t="s">
        <v>4</v>
      </c>
    </row>
    <row r="2" spans="1:5" x14ac:dyDescent="0.3">
      <c r="A2" t="str">
        <f>'4637'!D8</f>
        <v>N° 12176</v>
      </c>
      <c r="B2">
        <f>'4637'!G8</f>
        <v>7477</v>
      </c>
      <c r="C2" t="str">
        <f>'4637'!C10</f>
        <v>MUEBLES ASENJO LTDA.</v>
      </c>
      <c r="D2" s="123">
        <f>'4637'!G10</f>
        <v>46170</v>
      </c>
      <c r="E2">
        <f>'4637'!H26</f>
        <v>116273.70999999999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" zoomScaleNormal="100" workbookViewId="0">
      <selection activeCell="G19" sqref="G1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7477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141</v>
      </c>
      <c r="B14" s="25">
        <f t="shared" ref="B14" si="0">I14</f>
        <v>1</v>
      </c>
      <c r="C14" s="25" t="s">
        <v>144</v>
      </c>
      <c r="D14" s="25">
        <f>J14+D$13</f>
        <v>1730</v>
      </c>
      <c r="E14" s="35">
        <f>K14+E$13</f>
        <v>670</v>
      </c>
      <c r="F14" s="99" t="str">
        <f>C28</f>
        <v>CUB C/R R8</v>
      </c>
      <c r="G14" s="1"/>
      <c r="I14" s="89">
        <f t="shared" ref="I14:K14" si="1">I22</f>
        <v>1</v>
      </c>
      <c r="J14" s="4">
        <f t="shared" si="1"/>
        <v>1650</v>
      </c>
      <c r="K14" s="4">
        <f t="shared" si="1"/>
        <v>700</v>
      </c>
    </row>
    <row r="15" spans="1:14" ht="15.6" x14ac:dyDescent="0.3">
      <c r="A15" s="95"/>
      <c r="B15" s="6"/>
      <c r="C15" s="6"/>
      <c r="D15" s="6"/>
      <c r="E15" s="105"/>
      <c r="F15" s="107"/>
      <c r="G15" s="1"/>
      <c r="I15" s="89"/>
      <c r="J15" s="2"/>
      <c r="K15" s="2"/>
    </row>
    <row r="16" spans="1:14" ht="15.6" x14ac:dyDescent="0.3">
      <c r="A16" s="52"/>
      <c r="B16" s="6"/>
      <c r="C16" s="6"/>
      <c r="D16" s="6"/>
      <c r="E16" s="105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2">I22</f>
        <v>1</v>
      </c>
      <c r="C22" s="16"/>
      <c r="D22" s="16">
        <f t="shared" ref="D22" si="3">J22+D$21</f>
        <v>1690</v>
      </c>
      <c r="E22" s="16">
        <f>K22+E21</f>
        <v>830</v>
      </c>
      <c r="F22" s="100" t="str">
        <f>C28</f>
        <v>CUB C/R R8</v>
      </c>
      <c r="G22" s="1"/>
      <c r="I22" s="3">
        <f>B28</f>
        <v>1</v>
      </c>
      <c r="J22" s="4">
        <f>D28</f>
        <v>1650</v>
      </c>
      <c r="K22" s="4">
        <f t="shared" ref="K22" si="4">E28</f>
        <v>700</v>
      </c>
    </row>
    <row r="23" spans="1:11" ht="15.6" x14ac:dyDescent="0.3">
      <c r="A23" s="95"/>
      <c r="B23" s="6"/>
      <c r="C23" s="6"/>
      <c r="D23" s="6"/>
      <c r="E23" s="6"/>
      <c r="F23" s="107"/>
      <c r="G23" s="1"/>
      <c r="I23" s="89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141</v>
      </c>
      <c r="B28" s="25">
        <f>'4637'!B21</f>
        <v>1</v>
      </c>
      <c r="C28" s="99" t="str">
        <f>'4637'!C21</f>
        <v>CUB C/R R8</v>
      </c>
      <c r="D28" s="25">
        <f>'4637'!D21</f>
        <v>1650</v>
      </c>
      <c r="E28" s="25">
        <f>'4637'!E21</f>
        <v>700</v>
      </c>
      <c r="F28" s="25" t="str">
        <f>'4637'!F21</f>
        <v>GLACIAL WHITE 22191 SF</v>
      </c>
      <c r="G28" s="1"/>
    </row>
    <row r="29" spans="1:11" ht="15.6" x14ac:dyDescent="0.3">
      <c r="A29" s="95"/>
      <c r="B29" s="6"/>
      <c r="C29" s="107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7477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8" t="s">
        <v>68</v>
      </c>
      <c r="B45" s="118"/>
      <c r="C45" s="118"/>
      <c r="D45" s="118"/>
      <c r="E45" s="118"/>
      <c r="F45" s="118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69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141</v>
      </c>
      <c r="B49" s="38">
        <f>'4637'!B21</f>
        <v>1</v>
      </c>
      <c r="C49" s="98" t="str">
        <f>'4637'!C21</f>
        <v>CUB C/R R8</v>
      </c>
      <c r="D49" s="39">
        <f>'4637'!D21</f>
        <v>1650</v>
      </c>
      <c r="E49" s="39">
        <f>'4637'!E21</f>
        <v>700</v>
      </c>
      <c r="F49" s="38" t="str">
        <f>'4637'!F21</f>
        <v>GLACIAL WHITE 22191 SF</v>
      </c>
      <c r="G49" s="1"/>
    </row>
    <row r="50" spans="1:7" s="15" customFormat="1" ht="15" customHeight="1" x14ac:dyDescent="0.3">
      <c r="B50" s="52"/>
      <c r="C50" s="106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RESUMEN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2026-05-11T14:51:32Z</cp:lastPrinted>
  <dcterms:created xsi:type="dcterms:W3CDTF">2013-03-19T12:54:14Z</dcterms:created>
  <dcterms:modified xsi:type="dcterms:W3CDTF">2026-06-03T21:10:17Z</dcterms:modified>
</cp:coreProperties>
</file>