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97689FB3-CE7E-4D52-ACC6-3725F75744C3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4" l="1"/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<sst xmlns="http://schemas.openxmlformats.org/spreadsheetml/2006/main" count="243" uniqueCount="141">
  <si>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</si>
  <si>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</si>
  <si>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</si>
  <si>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</si>
  <si>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</si>
  <si>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</si>
  <si>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</si>
  <si>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</si>
  <si>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</si>
  <si>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</si>
  <si>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</si>
  <si>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</si>
  <si>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</si>
  <si>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</si>
  <si>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</si>
  <si>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</si>
  <si>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</si>
  <si>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</si>
  <si>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</si>
  <si>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</si>
  <si>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</si>
  <si>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</si>
  <si>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</si>
  <si>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</si>
  <si>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</si>
  <si>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</si>
  <si>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</si>
  <si>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</si>
  <si>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</si>
  <si>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</si>
  <si>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</si>
  <si>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</si>
  <si>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</si>
  <si>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</si>
  <si>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</si>
  <si>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</si>
  <si>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</si>
  <si>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</si>
  <si>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</si>
  <si>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</si>
  <si>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</si>
  <si>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</si>
  <si>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</si>
  <si>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</si>
  <si>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</si>
  <si>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</si>
  <si>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</si>
  <si>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</si>
  <si>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</si>
  <si>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</si>
  <si>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</si>
  <si>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</si>
  <si>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</si>
  <si>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</si>
  <si>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</si>
  <si>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</si>
  <si>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</si>
  <si>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</si>
  <si>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</si>
  <si>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</si>
  <si>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</si>
  <si>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</si>
  <si>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</si>
  <si>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</si>
  <si>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</si>
  <si>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</si>
  <si>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</si>
  <si>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</si>
  <si>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</si>
  <si>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</si>
  <si>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</si>
  <si>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</si>
  <si>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</si>
  <si>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</si>
  <si>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</si>
  <si>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</si>
  <si>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</si>
  <si>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</si>
  <si>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</si>
  <si>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</si>
  <si>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</si>
  <si>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</si>
  <si>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</si>
  <si>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</si>
  <si>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</si>
  <si>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</si>
  <si>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</si>
  <si>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</si>
  <si>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</si>
  <si>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</si>
  <si>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</si>
  <si>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</si>
  <si>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</si>
  <si>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</si>
  <si>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</si>
  <si>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</si>
  <si>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</si>
  <si>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</si>
  <si>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</si>
  <si>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</si>
  <si>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</si>
  <si>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</si>
  <si>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</si>
  <si>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</si>
  <si>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</si>
  <si>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</si>
  <si>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</si>
  <si>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</si>
  <si>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</si>
  <si>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</si>
  <si>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</si>
  <si>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</si>
  <si>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</si>
  <si>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</si>
  <si>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</si>
  <si>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</si>
  <si>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</si>
  <si>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</si>
  <si>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</si>
  <si>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</si>
  <si>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</si>
  <si>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</si>
  <si>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</si>
  <si>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</si>
  <si>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</si>
  <si>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</si>
  <si>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</si>
  <si>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</si>
  <si>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</si>
  <si>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</si>
  <si>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</si>
  <si>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</si>
  <si>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</si>
  <si>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</si>
  <si>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</si>
  <si>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</si>
  <si>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</si>
  <si>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</si>
  <si>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NEW BLACK GRANITE BR</t>
  </si>
  <si>
    <t>CUB MESA 3 LADOS</t>
  </si>
  <si>
    <t>SANDRA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</si>
</sst>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12102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$40.000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VA POSTFORMADA EN 2 LADOS AL ANCHO Y ENCHAPADO CON REGRUESO EN 1 LARGO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</a:t>
          </a:r>
          <a:r>
            <a:rPr lang="es-CL" sz="1050" b="1" i="1" baseline="0"/>
            <a:t>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VA POSTFORMADA EN 2 LADOS AL ANCHO Y ENCHAPADO CON REGRUESO EN 1 LARGO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050" b="1" i="1"/>
            <a:t>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7445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46148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139</v>
      </c>
      <c r="D20" s="124">
        <v>1650</v>
      </c>
      <c r="E20" s="124">
        <v>650</v>
      </c>
      <c r="F20" s="123" t="s">
        <v>138</v>
      </c>
      <c r="G20" s="116">
        <f>39000/1.19</f>
        <v>32773.10924369748</v>
      </c>
      <c r="H20" s="125">
        <f t="shared" ref="H20" si="0">G20*B20</f>
        <v>32773.10924369748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32773.10924369748</v>
      </c>
    </row>
    <row r="24" spans="2:15" ht="18" thickBot="1" x14ac:dyDescent="0.4">
      <c r="G24" s="40" t="s">
        <v>6</v>
      </c>
      <c r="H24" s="43">
        <f>H23*19%</f>
        <v>6226.8907563025214</v>
      </c>
    </row>
    <row r="25" spans="2:15" ht="18" thickBot="1" x14ac:dyDescent="0.4">
      <c r="G25" s="31" t="s">
        <v>4</v>
      </c>
      <c r="H25" s="43">
        <f>SUM(H23+H24)</f>
        <v>39000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activeCell="G34" sqref="A2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7445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SANDRA TORRES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46148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1700</v>
      </c>
      <c r="E14" s="46">
        <f>K14+$E$13</f>
        <v>650</v>
      </c>
      <c r="F14" s="58" t="str">
        <f>F21</f>
        <v>CUB MESA 3 LADOS</v>
      </c>
      <c r="I14" s="4">
        <f>I21</f>
        <v>1</v>
      </c>
      <c r="J14" s="5">
        <f>D27</f>
        <v>1650</v>
      </c>
      <c r="K14" s="5">
        <f>K21</f>
        <v>650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50</v>
      </c>
      <c r="E20" s="69">
        <v>100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1700</v>
      </c>
      <c r="E21" s="59">
        <f>K21+$E$20</f>
        <v>750</v>
      </c>
      <c r="F21" s="58" t="str">
        <f>C27</f>
        <v>CUB MESA 3 LADOS</v>
      </c>
      <c r="G21" s="1"/>
      <c r="I21" s="4">
        <f>B27</f>
        <v>1</v>
      </c>
      <c r="J21" s="5">
        <f t="shared" ref="J21:K21" si="2">D27</f>
        <v>1650</v>
      </c>
      <c r="K21" s="5">
        <f t="shared" si="2"/>
        <v>650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MESA 3 LADOS</v>
      </c>
      <c r="D27" s="74">
        <f>'4637'!D20</f>
        <v>1650</v>
      </c>
      <c r="E27" s="74">
        <f>'4637'!E20</f>
        <v>650</v>
      </c>
      <c r="F27" s="120" t="str">
        <f>'4637'!F20</f>
        <v>NEW BLACK GRANITE BR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7445</v>
      </c>
      <c r="G37" s="1"/>
    </row>
    <row r="38" spans="1:7" ht="17.25" customHeight="1" x14ac:dyDescent="0.3">
      <c r="C38" s="68" t="s">
        <v>70</v>
      </c>
      <c r="D38" s="67" t="str">
        <f>'4637'!C10</f>
        <v>SANDRA TORRES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46148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7" t="str">
        <f>'4637'!C20</f>
        <v>CUB MESA 3 LADOS</v>
      </c>
      <c r="D47" s="115">
        <f>'4637'!D20</f>
        <v>1650</v>
      </c>
      <c r="E47" s="115">
        <f>'4637'!E20</f>
        <v>650</v>
      </c>
      <c r="F47" s="119" t="str">
        <f>'4637'!F20</f>
        <v>NEW BLACK GRANITE BR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2026-05-04T19:55:47Z</cp:lastPrinted>
  <dcterms:created xsi:type="dcterms:W3CDTF">2013-03-19T12:54:14Z</dcterms:created>
  <dcterms:modified xsi:type="dcterms:W3CDTF">2026-05-04T19:55:49Z</dcterms:modified>
</cp:coreProperties>
</file>