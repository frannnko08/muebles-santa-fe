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146CDB45-E4BE-4E6B-B2F1-BC6F2F8C2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I23" i="3"/>
  <c r="J23" i="3"/>
  <c r="K23" i="3"/>
  <c r="E23" i="3" s="1"/>
  <c r="I15" i="3"/>
  <c r="B15" i="3" s="1"/>
  <c r="J15" i="3"/>
  <c r="D15" i="3" s="1"/>
  <c r="K15" i="3"/>
  <c r="E15" i="3" s="1"/>
  <c r="B29" i="3"/>
  <c r="C29" i="3"/>
  <c r="D29" i="3"/>
  <c r="E29" i="3"/>
  <c r="F29" i="3"/>
  <c r="B23" i="3"/>
  <c r="F23" i="3"/>
  <c r="F15" i="3"/>
  <c r="B51" i="3"/>
  <c r="C51" i="3"/>
  <c r="D51" i="3"/>
  <c r="E51" i="3"/>
  <c r="F51" i="3"/>
  <c r="H25" i="4"/>
  <c r="K25" i="4"/>
  <c r="H21" i="4" l="1"/>
  <c r="B28" i="3" l="1"/>
  <c r="I22" i="3" s="1"/>
  <c r="I14" i="3" s="1"/>
  <c r="B14" i="3" s="1"/>
  <c r="C28" i="3"/>
  <c r="F14" i="3" s="1"/>
  <c r="D28" i="3"/>
  <c r="J22" i="3" s="1"/>
  <c r="D22" i="3" s="1"/>
  <c r="E28" i="3"/>
  <c r="F28" i="3"/>
  <c r="B50" i="3"/>
  <c r="C50" i="3"/>
  <c r="D50" i="3"/>
  <c r="E50" i="3"/>
  <c r="F50" i="3"/>
  <c r="K22" i="3" l="1"/>
  <c r="J14" i="3"/>
  <c r="D14" i="3" s="1"/>
  <c r="B22" i="3"/>
  <c r="F22" i="3"/>
  <c r="K14" i="3" l="1"/>
  <c r="E14" i="3" s="1"/>
  <c r="E22" i="3"/>
  <c r="H26" i="4"/>
  <c r="H27" i="4" s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<sst xmlns="http://schemas.openxmlformats.org/spreadsheetml/2006/main" count="247" uniqueCount="142">
  <si>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</si>
  <si>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</si>
  <si>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</si>
  <si>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</si>
  <si>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</si>
  <si>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</si>
  <si>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</si>
  <si>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</si>
  <si>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</si>
  <si>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</si>
  <si>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</si>
  <si>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</si>
  <si>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</si>
  <si>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</si>
  <si>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</si>
  <si>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</si>
  <si>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</si>
  <si>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</si>
  <si>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</si>
  <si>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</si>
  <si>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</si>
  <si>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</si>
  <si>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</si>
  <si>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</si>
  <si>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</si>
  <si>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</si>
  <si>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</si>
  <si>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</si>
  <si>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</si>
  <si>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</si>
  <si>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</si>
  <si>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</si>
  <si>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</si>
  <si>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</si>
  <si>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</si>
  <si>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</si>
  <si>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</si>
  <si>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</si>
  <si>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</si>
  <si>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</si>
  <si>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</si>
  <si>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</si>
  <si>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</si>
  <si>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</si>
  <si>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</si>
  <si>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</si>
  <si>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</si>
  <si>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</si>
  <si>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</si>
  <si>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</si>
  <si>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</si>
  <si>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</si>
  <si>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</si>
  <si>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</si>
  <si>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</si>
  <si>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</si>
  <si>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</si>
  <si>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</si>
  <si>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</si>
  <si>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</si>
  <si>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</si>
  <si>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</si>
  <si>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</si>
  <si>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</si>
  <si>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</si>
  <si>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</si>
  <si>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</si>
  <si>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</si>
  <si>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</si>
  <si>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</si>
  <si>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</si>
  <si>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</si>
  <si>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</si>
  <si>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</si>
  <si>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</si>
  <si>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</si>
  <si>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</si>
  <si>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</si>
  <si>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</si>
  <si>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</si>
  <si>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</si>
  <si>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</si>
  <si>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</si>
  <si>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</si>
  <si>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</si>
  <si>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</si>
  <si>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</si>
  <si>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</si>
  <si>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</si>
  <si>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</si>
  <si>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</si>
  <si>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</si>
  <si>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</si>
  <si>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</si>
  <si>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</si>
  <si>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</si>
  <si>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</si>
  <si>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</si>
  <si>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</si>
  <si>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</si>
  <si>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</si>
  <si>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</si>
  <si>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</si>
  <si>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</si>
  <si>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</si>
  <si>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</si>
  <si>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</si>
  <si>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</si>
  <si>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</si>
  <si>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</si>
  <si>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</si>
  <si>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</si>
  <si>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</si>
  <si>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</si>
  <si>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</si>
  <si>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</si>
  <si>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</si>
  <si>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</si>
  <si>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</si>
  <si>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</si>
  <si>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</si>
  <si>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</si>
  <si>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</si>
  <si>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</si>
  <si>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</si>
  <si>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</si>
  <si>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</si>
  <si>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</si>
  <si>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</si>
  <si>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</si>
  <si>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</si>
  <si>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</si>
  <si>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</si>
  <si>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</si>
  <si>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</si>
  <si>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</si>
  <si>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>CUB C/R R8</t>
  </si>
  <si>
    <t xml:space="preserve"> </t>
  </si>
  <si>
    <t>NEO LUNA GRANITE</t>
  </si>
  <si>
    <t>N° 12077</t>
  </si>
  <si>
    <t>EMMANUEL GOITIA</t>
  </si>
  <si>
    <t>+56 9 6454 7056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</si>
</sst>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TRANSFERENCIA 07-04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552208</xdr:colOff>
      <xdr:row>44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1.33203125" bestFit="1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139</v>
      </c>
      <c r="E8" s="1"/>
      <c r="F8" s="93" t="s">
        <v>27</v>
      </c>
      <c r="G8" s="94">
        <v>7425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46119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7"/>
      <c r="D11" s="60"/>
      <c r="E11" s="60"/>
      <c r="F11" s="60" t="s">
        <v>124</v>
      </c>
      <c r="G11" s="61">
        <v>46122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5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 t="s">
        <v>141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21">
        <v>1</v>
      </c>
      <c r="C21" s="122" t="s">
        <v>136</v>
      </c>
      <c r="D21" s="123">
        <v>2380</v>
      </c>
      <c r="E21" s="123">
        <v>600</v>
      </c>
      <c r="F21" s="122" t="s">
        <v>138</v>
      </c>
      <c r="G21" s="124">
        <v>107434</v>
      </c>
      <c r="H21" s="125">
        <f t="shared" ref="H21" si="0">G21*B21</f>
        <v>107434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6">
        <v>1</v>
      </c>
      <c r="C22" s="127" t="s">
        <v>136</v>
      </c>
      <c r="D22" s="128">
        <v>1150</v>
      </c>
      <c r="E22" s="128">
        <v>600</v>
      </c>
      <c r="F22" s="127" t="s">
        <v>138</v>
      </c>
      <c r="G22" s="129">
        <v>53717</v>
      </c>
      <c r="H22" s="130">
        <v>53717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/>
      <c r="C23" s="103"/>
      <c r="D23" s="104"/>
      <c r="E23" s="104"/>
      <c r="F23" s="103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SUM(H21:H23)</f>
        <v>161151</v>
      </c>
      <c r="I25" s="1"/>
      <c r="K25">
        <f>109900/1.19</f>
        <v>92352.941176470587</v>
      </c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30618.69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191769.69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opLeftCell="A38" zoomScaleNormal="100" workbookViewId="0">
      <selection activeCell="G39" sqref="A39:G61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40" t="s">
        <v>27</v>
      </c>
      <c r="D4" s="14">
        <f>'4637'!G8</f>
        <v>7425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EMMANUEL GOITIA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46122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2430</v>
      </c>
      <c r="E14" s="35">
        <f>K14+$E$13</f>
        <v>570</v>
      </c>
      <c r="F14" s="99" t="str">
        <f>C28</f>
        <v>CUB C/R R8</v>
      </c>
      <c r="G14" s="1"/>
      <c r="I14" s="89">
        <f t="shared" ref="I14:K15" si="1">I22</f>
        <v>1</v>
      </c>
      <c r="J14" s="4">
        <f t="shared" si="1"/>
        <v>2380</v>
      </c>
      <c r="K14" s="4">
        <f t="shared" si="1"/>
        <v>600</v>
      </c>
    </row>
    <row r="15" spans="1:14" ht="15.6" x14ac:dyDescent="0.3">
      <c r="A15" s="95"/>
      <c r="B15" s="25">
        <f t="shared" ref="B15" si="2">I15</f>
        <v>1</v>
      </c>
      <c r="C15" s="25"/>
      <c r="D15" s="25">
        <f>J15+$D$13</f>
        <v>1200</v>
      </c>
      <c r="E15" s="35">
        <f>K15+$E$13</f>
        <v>570</v>
      </c>
      <c r="F15" s="99" t="str">
        <f>C29</f>
        <v>CUB C/R R8</v>
      </c>
      <c r="G15" s="1"/>
      <c r="I15" s="89">
        <f t="shared" si="1"/>
        <v>1</v>
      </c>
      <c r="J15" s="4">
        <f t="shared" si="1"/>
        <v>1150</v>
      </c>
      <c r="K15" s="4">
        <f t="shared" si="1"/>
        <v>600</v>
      </c>
    </row>
    <row r="16" spans="1:14" ht="15.6" x14ac:dyDescent="0.3">
      <c r="A16" s="52"/>
      <c r="B16" s="6"/>
      <c r="C16" s="6"/>
      <c r="D16" s="6"/>
      <c r="E16" s="101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6" t="s">
        <v>14</v>
      </c>
      <c r="B18" s="116"/>
      <c r="C18" s="116"/>
      <c r="D18" s="116"/>
      <c r="E18" s="116"/>
      <c r="F18" s="11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1</v>
      </c>
      <c r="C22" s="16"/>
      <c r="D22" s="16">
        <f>J22+D21</f>
        <v>2420</v>
      </c>
      <c r="E22" s="16">
        <f>K22+$E$21</f>
        <v>730</v>
      </c>
      <c r="F22" s="100" t="str">
        <f>C28</f>
        <v>CUB C/R R8</v>
      </c>
      <c r="G22" s="1"/>
      <c r="I22" s="3">
        <f>B28</f>
        <v>1</v>
      </c>
      <c r="J22" s="4">
        <f>D28</f>
        <v>2380</v>
      </c>
      <c r="K22" s="4">
        <f t="shared" ref="K22" si="4">E28</f>
        <v>600</v>
      </c>
    </row>
    <row r="23" spans="1:11" ht="15.6" x14ac:dyDescent="0.3">
      <c r="A23" s="95"/>
      <c r="B23" s="16">
        <f t="shared" ref="B23" si="5">I23</f>
        <v>1</v>
      </c>
      <c r="C23" s="16"/>
      <c r="D23" s="16">
        <f>J23+$D$21</f>
        <v>1190</v>
      </c>
      <c r="E23" s="16">
        <f>K23+$E$21</f>
        <v>730</v>
      </c>
      <c r="F23" s="100" t="str">
        <f>C29</f>
        <v>CUB C/R R8</v>
      </c>
      <c r="G23" s="1"/>
      <c r="I23" s="3">
        <f>B29</f>
        <v>1</v>
      </c>
      <c r="J23" s="4">
        <f>D29</f>
        <v>1150</v>
      </c>
      <c r="K23" s="4">
        <f t="shared" ref="K23" si="6">E29</f>
        <v>600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134</v>
      </c>
      <c r="B28" s="25">
        <f>'4637'!B21</f>
        <v>1</v>
      </c>
      <c r="C28" s="99" t="str">
        <f>'4637'!C21</f>
        <v>CUB C/R R8</v>
      </c>
      <c r="D28" s="25">
        <f>'4637'!D21</f>
        <v>2380</v>
      </c>
      <c r="E28" s="25">
        <f>'4637'!E21</f>
        <v>600</v>
      </c>
      <c r="F28" s="25" t="str">
        <f>'4637'!F21</f>
        <v>NEO LUNA GRANITE</v>
      </c>
      <c r="G28" s="1"/>
    </row>
    <row r="29" spans="1:11" ht="15.6" x14ac:dyDescent="0.3">
      <c r="A29" s="95"/>
      <c r="B29" s="25">
        <f>'4637'!B22</f>
        <v>1</v>
      </c>
      <c r="C29" s="99" t="str">
        <f>'4637'!C22</f>
        <v>CUB C/R R8</v>
      </c>
      <c r="D29" s="25">
        <f>'4637'!D22</f>
        <v>1150</v>
      </c>
      <c r="E29" s="25">
        <f>'4637'!E22</f>
        <v>600</v>
      </c>
      <c r="F29" s="25" t="str">
        <f>'4637'!F22</f>
        <v>NEO LUNA GRANITE</v>
      </c>
      <c r="G29" s="1"/>
    </row>
    <row r="30" spans="1:11" ht="15.6" x14ac:dyDescent="0.3">
      <c r="A30" s="95"/>
      <c r="B30" s="6"/>
      <c r="C30" s="102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 t="s">
        <v>137</v>
      </c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7425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EMMANUEL GOITIA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46122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6" t="s">
        <v>68</v>
      </c>
      <c r="B46" s="116"/>
      <c r="C46" s="116"/>
      <c r="D46" s="116"/>
      <c r="E46" s="116"/>
      <c r="F46" s="11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17" t="s">
        <v>69</v>
      </c>
      <c r="C48" s="118"/>
      <c r="D48" s="119"/>
      <c r="E48" s="119"/>
      <c r="F48" s="120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5" t="s">
        <v>134</v>
      </c>
      <c r="B50" s="38">
        <f>'4637'!B21</f>
        <v>1</v>
      </c>
      <c r="C50" s="98" t="str">
        <f>'4637'!C21</f>
        <v>CUB C/R R8</v>
      </c>
      <c r="D50" s="39">
        <f>'4637'!D21</f>
        <v>2380</v>
      </c>
      <c r="E50" s="39">
        <f>'4637'!E21</f>
        <v>600</v>
      </c>
      <c r="F50" s="38" t="str">
        <f>'4637'!F21</f>
        <v>NEO LUNA GRANITE</v>
      </c>
      <c r="G50" s="1"/>
    </row>
    <row r="51" spans="1:7" s="15" customFormat="1" ht="15" customHeight="1" x14ac:dyDescent="0.3">
      <c r="A51" s="95"/>
      <c r="B51" s="38">
        <f>'4637'!B22</f>
        <v>1</v>
      </c>
      <c r="C51" s="98" t="str">
        <f>'4637'!C22</f>
        <v>CUB C/R R8</v>
      </c>
      <c r="D51" s="39">
        <f>'4637'!D22</f>
        <v>1150</v>
      </c>
      <c r="E51" s="39">
        <f>'4637'!E22</f>
        <v>600</v>
      </c>
      <c r="F51" s="38" t="str">
        <f>'4637'!F22</f>
        <v>NEO LUNA GRANITE</v>
      </c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2026-04-07T14:02:24Z</cp:lastPrinted>
  <dcterms:created xsi:type="dcterms:W3CDTF">2013-03-19T12:54:14Z</dcterms:created>
  <dcterms:modified xsi:type="dcterms:W3CDTF">2026-04-07T14:03:33Z</dcterms:modified>
</cp:coreProperties>
</file>