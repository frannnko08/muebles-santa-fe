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6\"/>
    </mc:Choice>
  </mc:AlternateContent>
  <xr:revisionPtr revIDLastSave="0" documentId="13_ncr:1_{2F9FC997-5BAA-42E2-91AF-ED9E985E878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D48" i="3"/>
  <c r="E48" i="3"/>
  <c r="F48" i="3"/>
  <c r="H24" i="4"/>
  <c r="K21" i="3" l="1"/>
  <c r="K14" i="3" s="1"/>
  <c r="E14" i="3" s="1"/>
  <c r="D21" i="3"/>
  <c r="J14" i="3"/>
  <c r="D14" i="3" s="1"/>
  <c r="B21" i="3"/>
  <c r="F21" i="3"/>
  <c r="E21" i="3" l="1"/>
  <c r="H25" i="4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<sst xmlns="http://schemas.openxmlformats.org/spreadsheetml/2006/main" count="247" uniqueCount="144">
  <si>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</si>
  <si>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</si>
  <si>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</si>
  <si>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</si>
  <si>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</si>
  <si>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</si>
  <si>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</si>
  <si>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</si>
  <si>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</si>
  <si>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</si>
  <si>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</si>
  <si>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</si>
  <si>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</si>
  <si>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</si>
  <si>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</si>
  <si>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</si>
  <si>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</si>
  <si>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</si>
  <si>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</si>
  <si>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</si>
  <si>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</si>
  <si>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</si>
  <si>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</si>
  <si>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</si>
  <si>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</si>
  <si>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</si>
  <si>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</si>
  <si>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</si>
  <si>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</si>
  <si>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</si>
  <si>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</si>
  <si>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</si>
  <si>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</si>
  <si>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</si>
  <si>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</si>
  <si>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</si>
  <si>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</si>
  <si>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</si>
  <si>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</si>
  <si>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</si>
  <si>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</si>
  <si>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</si>
  <si>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</si>
  <si>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</si>
  <si>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</si>
  <si>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</si>
  <si>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</si>
  <si>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</si>
  <si>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</si>
  <si>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</si>
  <si>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</si>
  <si>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</si>
  <si>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</si>
  <si>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</si>
  <si>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</si>
  <si>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</si>
  <si>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</si>
  <si>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</si>
  <si>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</si>
  <si>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</si>
  <si>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</si>
  <si>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</si>
  <si>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</si>
  <si>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</si>
  <si>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</si>
  <si>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</si>
  <si>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</si>
  <si>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</si>
  <si>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</si>
  <si>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</si>
  <si>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</si>
  <si>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</si>
  <si>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</si>
  <si>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</si>
  <si>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</si>
  <si>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</si>
  <si>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</si>
  <si>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</si>
  <si>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</si>
  <si>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</si>
  <si>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</si>
  <si>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</si>
  <si>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</si>
  <si>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</si>
  <si>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</si>
  <si>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</si>
  <si>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</si>
  <si>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</si>
  <si>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</si>
  <si>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</si>
  <si>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</si>
  <si>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</si>
  <si>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</si>
  <si>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</si>
  <si>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</si>
  <si>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</si>
  <si>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</si>
  <si>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</si>
  <si>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</si>
  <si>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</si>
  <si>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</si>
  <si>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</si>
  <si>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</si>
  <si>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</si>
  <si>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</si>
  <si>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</si>
  <si>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</si>
  <si>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</si>
  <si>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</si>
  <si>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</si>
  <si>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</si>
  <si>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</si>
  <si>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</si>
  <si>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</si>
  <si>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</si>
  <si>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</si>
  <si>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</si>
  <si>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</si>
  <si>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</si>
  <si>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</si>
  <si>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</si>
  <si>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</si>
  <si>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</si>
  <si>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</si>
  <si>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</si>
  <si>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</si>
  <si>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</si>
  <si>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</si>
  <si>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</si>
  <si>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</si>
  <si>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</si>
  <si>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</si>
  <si>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</si>
  <si>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</si>
  <si>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</si>
  <si>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</si>
  <si>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</si>
  <si>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</si>
  <si>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</si>
  <si>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MDF18MM</t>
  </si>
  <si>
    <t>N° 11855</t>
  </si>
  <si>
    <t>CUB MESA  90° R8 2 LADOS</t>
  </si>
  <si>
    <t>BLANCO 2114 MT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</si>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</sst>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565543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3" workbookViewId="0">
      <selection activeCell="A22" sqref="A22:XFD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140</v>
      </c>
      <c r="E8" s="1"/>
      <c r="F8" s="93" t="s">
        <v>27</v>
      </c>
      <c r="G8" s="94">
        <v>7428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46121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23858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>
        <v>56998844786</v>
      </c>
      <c r="D14" s="66"/>
      <c r="E14" s="60"/>
      <c r="F14" s="60" t="s">
        <v>29</v>
      </c>
      <c r="G14" s="60" t="s">
        <v>143</v>
      </c>
      <c r="H14" s="62"/>
      <c r="I14" s="1"/>
    </row>
    <row r="15" spans="1:17" ht="15.6" x14ac:dyDescent="0.3">
      <c r="A15" s="1"/>
      <c r="B15" s="63" t="s">
        <v>1</v>
      </c>
      <c r="C15" s="97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1</v>
      </c>
      <c r="C21" s="102" t="s">
        <v>141</v>
      </c>
      <c r="D21" s="104">
        <v>2000</v>
      </c>
      <c r="E21" s="104">
        <v>1000</v>
      </c>
      <c r="F21" s="102" t="s">
        <v>142</v>
      </c>
      <c r="G21" s="103">
        <v>95786</v>
      </c>
      <c r="H21" s="103">
        <f t="shared" ref="H21" si="0">G21*B21</f>
        <v>95786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8"/>
      <c r="C22" s="108"/>
      <c r="D22" s="109"/>
      <c r="E22" s="109"/>
      <c r="F22" s="108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95786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18199.34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113985.34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zoomScaleNormal="100" workbookViewId="0">
      <selection sqref="A1:G34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0" t="s">
        <v>61</v>
      </c>
      <c r="L3" s="110"/>
      <c r="M3" s="110" t="s">
        <v>14</v>
      </c>
      <c r="N3" s="110"/>
    </row>
    <row r="4" spans="1:14" ht="15.75" customHeight="1" x14ac:dyDescent="0.3">
      <c r="A4" s="1"/>
      <c r="B4" s="1"/>
      <c r="C4" s="40" t="s">
        <v>27</v>
      </c>
      <c r="D4" s="14">
        <f>'4637'!G8</f>
        <v>7428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1" t="s">
        <v>61</v>
      </c>
      <c r="B10" s="111"/>
      <c r="C10" s="111"/>
      <c r="D10" s="111"/>
      <c r="E10" s="111"/>
      <c r="F10" s="11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139</v>
      </c>
      <c r="B14" s="25">
        <f t="shared" ref="B14" si="0">I14</f>
        <v>1</v>
      </c>
      <c r="C14" s="25"/>
      <c r="D14" s="25">
        <f>J14+80</f>
        <v>2080</v>
      </c>
      <c r="E14" s="35">
        <f>K14</f>
        <v>1000</v>
      </c>
      <c r="F14" s="99" t="str">
        <f>C27</f>
        <v>CUB MESA  90° R8 2 LADOS</v>
      </c>
      <c r="G14" s="1"/>
      <c r="I14" s="89">
        <f t="shared" ref="I14:K14" si="1">I21</f>
        <v>1</v>
      </c>
      <c r="J14" s="4">
        <f t="shared" si="1"/>
        <v>2000</v>
      </c>
      <c r="K14" s="4">
        <f t="shared" si="1"/>
        <v>1000</v>
      </c>
    </row>
    <row r="15" spans="1:14" ht="15.6" x14ac:dyDescent="0.3">
      <c r="A15" s="52"/>
      <c r="B15" s="6"/>
      <c r="C15" s="6"/>
      <c r="D15" s="6"/>
      <c r="E15" s="105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1" t="s">
        <v>14</v>
      </c>
      <c r="B17" s="111"/>
      <c r="C17" s="111"/>
      <c r="D17" s="111"/>
      <c r="E17" s="111"/>
      <c r="F17" s="111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2">I21</f>
        <v>1</v>
      </c>
      <c r="C21" s="16"/>
      <c r="D21" s="16">
        <f>J21+D$20</f>
        <v>2040</v>
      </c>
      <c r="E21" s="16">
        <f>K21+E$20</f>
        <v>1130</v>
      </c>
      <c r="F21" s="100" t="str">
        <f>C27</f>
        <v>CUB MESA  90° R8 2 LADOS</v>
      </c>
      <c r="G21" s="1"/>
      <c r="I21" s="3">
        <f>B27</f>
        <v>1</v>
      </c>
      <c r="J21" s="4">
        <f>D27</f>
        <v>2000</v>
      </c>
      <c r="K21" s="4">
        <f t="shared" ref="K21" si="3">E27</f>
        <v>1000</v>
      </c>
    </row>
    <row r="22" spans="1:11" ht="15.6" x14ac:dyDescent="0.3">
      <c r="A22" s="95"/>
      <c r="B22" s="6"/>
      <c r="C22" s="6"/>
      <c r="D22" s="6"/>
      <c r="E22" s="6"/>
      <c r="F22" s="107"/>
      <c r="G22" s="1"/>
      <c r="I22" s="89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5" t="s">
        <v>139</v>
      </c>
      <c r="B27" s="25">
        <f>'4637'!B21</f>
        <v>1</v>
      </c>
      <c r="C27" s="99" t="str">
        <f>'4637'!C21</f>
        <v>CUB MESA  90° R8 2 LADOS</v>
      </c>
      <c r="D27" s="25">
        <f>'4637'!D21</f>
        <v>2000</v>
      </c>
      <c r="E27" s="25">
        <f>'4637'!E21</f>
        <v>1000</v>
      </c>
      <c r="F27" s="25" t="str">
        <f>'4637'!F21</f>
        <v>BLANCO 2114 MT</v>
      </c>
      <c r="G27" s="1"/>
    </row>
    <row r="28" spans="1:11" ht="15.6" x14ac:dyDescent="0.3">
      <c r="A28" s="95"/>
      <c r="B28" s="6"/>
      <c r="C28" s="107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7428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MUEBLES ASENJO LTDA.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1" t="s">
        <v>68</v>
      </c>
      <c r="B44" s="111"/>
      <c r="C44" s="111"/>
      <c r="D44" s="111"/>
      <c r="E44" s="111"/>
      <c r="F44" s="11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2" t="s">
        <v>69</v>
      </c>
      <c r="C46" s="113"/>
      <c r="D46" s="114"/>
      <c r="E46" s="114"/>
      <c r="F46" s="115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5" t="s">
        <v>139</v>
      </c>
      <c r="B48" s="38">
        <f>'4637'!B21</f>
        <v>1</v>
      </c>
      <c r="C48" s="98" t="str">
        <f>'4637'!C21</f>
        <v>CUB MESA  90° R8 2 LADOS</v>
      </c>
      <c r="D48" s="39">
        <f>'4637'!D21</f>
        <v>2000</v>
      </c>
      <c r="E48" s="39">
        <f>'4637'!E21</f>
        <v>1000</v>
      </c>
      <c r="F48" s="38" t="str">
        <f>'4637'!F21</f>
        <v>BLANCO 2114 MT</v>
      </c>
      <c r="G48" s="1"/>
    </row>
    <row r="49" spans="1:7" s="15" customFormat="1" ht="15" customHeight="1" x14ac:dyDescent="0.3">
      <c r="B49" s="52"/>
      <c r="C49" s="106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2026-04-09T13:23:15Z</cp:lastPrinted>
  <dcterms:created xsi:type="dcterms:W3CDTF">2013-03-19T12:54:14Z</dcterms:created>
  <dcterms:modified xsi:type="dcterms:W3CDTF">2026-04-09T13:41:22Z</dcterms:modified>
</cp:coreProperties>
</file>