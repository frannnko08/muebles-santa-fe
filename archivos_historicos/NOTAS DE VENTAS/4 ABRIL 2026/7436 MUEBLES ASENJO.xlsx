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6\"/>
    </mc:Choice>
  </mc:AlternateContent>
  <xr:revisionPtr revIDLastSave="0" documentId="13_ncr:1_{9D0A2246-7DB6-41AF-825E-98E6D0BB86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CUBIERTA!$A$42:$H$68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I16" i="3"/>
  <c r="B16" i="3" s="1"/>
  <c r="J16" i="3"/>
  <c r="D16" i="3" s="1"/>
  <c r="K16" i="3"/>
  <c r="E16" i="3" s="1"/>
  <c r="B34" i="3"/>
  <c r="I26" i="3" s="1"/>
  <c r="B26" i="3" s="1"/>
  <c r="C34" i="3"/>
  <c r="F26" i="3" s="1"/>
  <c r="D34" i="3"/>
  <c r="J26" i="3" s="1"/>
  <c r="D26" i="3" s="1"/>
  <c r="E34" i="3"/>
  <c r="K26" i="3" s="1"/>
  <c r="E26" i="3" s="1"/>
  <c r="F34" i="3"/>
  <c r="B57" i="3"/>
  <c r="C57" i="3"/>
  <c r="D57" i="3"/>
  <c r="E57" i="3"/>
  <c r="F57" i="3"/>
  <c r="H23" i="4"/>
  <c r="B33" i="3"/>
  <c r="I25" i="3" s="1"/>
  <c r="C33" i="3"/>
  <c r="F25" i="3" s="1"/>
  <c r="D33" i="3"/>
  <c r="J25" i="3" s="1"/>
  <c r="E33" i="3"/>
  <c r="K25" i="3" s="1"/>
  <c r="E25" i="3" s="1"/>
  <c r="F33" i="3"/>
  <c r="B56" i="3"/>
  <c r="C56" i="3"/>
  <c r="D56" i="3"/>
  <c r="E56" i="3"/>
  <c r="F56" i="3"/>
  <c r="H22" i="4"/>
  <c r="H21" i="4"/>
  <c r="K15" i="3" l="1"/>
  <c r="E15" i="3" s="1"/>
  <c r="J15" i="3"/>
  <c r="B25" i="3"/>
  <c r="I15" i="3"/>
  <c r="B15" i="3" s="1"/>
  <c r="F15" i="3"/>
  <c r="B32" i="3"/>
  <c r="I24" i="3" s="1"/>
  <c r="I14" i="3" s="1"/>
  <c r="B14" i="3" s="1"/>
  <c r="C32" i="3"/>
  <c r="F14" i="3" s="1"/>
  <c r="D32" i="3"/>
  <c r="J24" i="3" s="1"/>
  <c r="E32" i="3"/>
  <c r="F32" i="3"/>
  <c r="B55" i="3"/>
  <c r="C55" i="3"/>
  <c r="D55" i="3"/>
  <c r="E55" i="3"/>
  <c r="F55" i="3"/>
  <c r="H27" i="4"/>
  <c r="K24" i="3" l="1"/>
  <c r="K14" i="3" s="1"/>
  <c r="E14" i="3" s="1"/>
  <c r="D24" i="3"/>
  <c r="J14" i="3"/>
  <c r="D14" i="3" s="1"/>
  <c r="B24" i="3"/>
  <c r="F24" i="3"/>
  <c r="E24" i="3" l="1"/>
  <c r="H28" i="4"/>
  <c r="H29" i="4" l="1"/>
  <c r="N5" i="3" l="1"/>
  <c r="M5" i="3" l="1"/>
  <c r="L5" i="3"/>
  <c r="K5" i="3"/>
  <c r="C48" i="3" l="1"/>
  <c r="C7" i="3"/>
  <c r="D46" i="3"/>
  <c r="D5" i="3"/>
  <c r="D48" i="3"/>
  <c r="D7" i="3"/>
  <c r="D45" i="3"/>
  <c r="D4" i="3"/>
</calcChain>
</file>

<file path=xl/sharedStrings.xml><?xml version="1.0" encoding="utf-8"?>
<sst xmlns="http://schemas.openxmlformats.org/spreadsheetml/2006/main" count="251" uniqueCount="144">
  <si>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</si>
  <si>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</si>
  <si>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</si>
  <si>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</si>
  <si>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</si>
  <si>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</si>
  <si>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</si>
  <si>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</si>
  <si>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</si>
  <si>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</si>
  <si>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</si>
  <si>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</si>
  <si>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</si>
  <si>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</si>
  <si>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</si>
  <si>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</si>
  <si>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</si>
  <si>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</si>
  <si>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</si>
  <si>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</si>
  <si>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</si>
  <si>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</si>
  <si>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</si>
  <si>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</si>
  <si>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</si>
  <si>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</si>
  <si>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</si>
  <si>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</si>
  <si>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</si>
  <si>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</si>
  <si>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</si>
  <si>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</si>
  <si>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</si>
  <si>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</si>
  <si>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</si>
  <si>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</si>
  <si>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</si>
  <si>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</si>
  <si>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</si>
  <si>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</si>
  <si>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</si>
  <si>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</si>
  <si>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</si>
  <si>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</si>
  <si>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</si>
  <si>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</si>
  <si>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</si>
  <si>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</si>
  <si>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</si>
  <si>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</si>
  <si>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</si>
  <si>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</si>
  <si>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</si>
  <si>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</si>
  <si>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</si>
  <si>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</si>
  <si>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</si>
  <si>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</si>
  <si>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</si>
  <si>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</si>
  <si>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</si>
  <si>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</si>
  <si>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</si>
  <si>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</si>
  <si>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</si>
  <si>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</si>
  <si>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</si>
  <si>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</si>
  <si>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</si>
  <si>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</si>
  <si>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</si>
  <si>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</si>
  <si>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</si>
  <si>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</si>
  <si>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</si>
  <si>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</si>
  <si>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</si>
  <si>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</si>
  <si>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</si>
  <si>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</si>
  <si>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</si>
  <si>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</si>
  <si>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</si>
  <si>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</si>
  <si>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</si>
  <si>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</si>
  <si>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</si>
  <si>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</si>
  <si>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</si>
  <si>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</si>
  <si>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</si>
  <si>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</si>
  <si>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</si>
  <si>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</si>
  <si>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</si>
  <si>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</si>
  <si>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</si>
  <si>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</si>
  <si>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</si>
  <si>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</si>
  <si>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</si>
  <si>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</si>
  <si>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</si>
  <si>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</si>
  <si>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</si>
  <si>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</si>
  <si>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</si>
  <si>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</si>
  <si>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</si>
  <si>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</si>
  <si>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</si>
  <si>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</si>
  <si>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</si>
  <si>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</si>
  <si>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</si>
  <si>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</si>
  <si>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</si>
  <si>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</si>
  <si>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</si>
  <si>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</si>
  <si>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</si>
  <si>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</si>
  <si>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</si>
  <si>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</si>
  <si>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</si>
  <si>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</si>
  <si>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</si>
  <si>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</si>
  <si>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</si>
  <si>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</si>
  <si>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</si>
  <si>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</si>
  <si>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</si>
  <si>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</si>
  <si>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</si>
  <si>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</si>
  <si>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</si>
  <si>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</si>
  <si>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</si>
  <si>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MDF18MM</t>
  </si>
  <si>
    <t>SI</t>
  </si>
  <si>
    <t>CUB C/R R8</t>
  </si>
  <si>
    <t>GLACIAL WHITE 22191 SF</t>
  </si>
  <si>
    <t>N° 12096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</si>
</sst>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26</xdr:row>
      <xdr:rowOff>9525</xdr:rowOff>
    </xdr:from>
    <xdr:to>
      <xdr:col>5</xdr:col>
      <xdr:colOff>1390650</xdr:colOff>
      <xdr:row>30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49</xdr:row>
      <xdr:rowOff>171450</xdr:rowOff>
    </xdr:from>
    <xdr:to>
      <xdr:col>5</xdr:col>
      <xdr:colOff>1685924</xdr:colOff>
      <xdr:row>51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38100</xdr:rowOff>
    </xdr:from>
    <xdr:to>
      <xdr:col>6</xdr:col>
      <xdr:colOff>0</xdr:colOff>
      <xdr:row>46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59</xdr:row>
      <xdr:rowOff>0</xdr:rowOff>
    </xdr:from>
    <xdr:to>
      <xdr:col>2</xdr:col>
      <xdr:colOff>38100</xdr:colOff>
      <xdr:row>60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59</xdr:row>
      <xdr:rowOff>0</xdr:rowOff>
    </xdr:from>
    <xdr:to>
      <xdr:col>2</xdr:col>
      <xdr:colOff>1019175</xdr:colOff>
      <xdr:row>59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0</xdr:rowOff>
    </xdr:from>
    <xdr:to>
      <xdr:col>3</xdr:col>
      <xdr:colOff>352425</xdr:colOff>
      <xdr:row>60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0</xdr:rowOff>
    </xdr:from>
    <xdr:to>
      <xdr:col>4</xdr:col>
      <xdr:colOff>257175</xdr:colOff>
      <xdr:row>60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0</xdr:rowOff>
    </xdr:from>
    <xdr:to>
      <xdr:col>5</xdr:col>
      <xdr:colOff>447675</xdr:colOff>
      <xdr:row>59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0</xdr:rowOff>
    </xdr:from>
    <xdr:to>
      <xdr:col>6</xdr:col>
      <xdr:colOff>0</xdr:colOff>
      <xdr:row>59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59</xdr:row>
      <xdr:rowOff>190500</xdr:rowOff>
    </xdr:from>
    <xdr:to>
      <xdr:col>2</xdr:col>
      <xdr:colOff>304800</xdr:colOff>
      <xdr:row>61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59</xdr:row>
      <xdr:rowOff>190500</xdr:rowOff>
    </xdr:from>
    <xdr:to>
      <xdr:col>2</xdr:col>
      <xdr:colOff>1276350</xdr:colOff>
      <xdr:row>61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190500</xdr:rowOff>
    </xdr:from>
    <xdr:to>
      <xdr:col>3</xdr:col>
      <xdr:colOff>619125</xdr:colOff>
      <xdr:row>61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190500</xdr:rowOff>
    </xdr:from>
    <xdr:to>
      <xdr:col>4</xdr:col>
      <xdr:colOff>523875</xdr:colOff>
      <xdr:row>61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190500</xdr:rowOff>
    </xdr:from>
    <xdr:to>
      <xdr:col>5</xdr:col>
      <xdr:colOff>723900</xdr:colOff>
      <xdr:row>61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190500</xdr:rowOff>
    </xdr:from>
    <xdr:to>
      <xdr:col>6</xdr:col>
      <xdr:colOff>0</xdr:colOff>
      <xdr:row>61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36</xdr:row>
      <xdr:rowOff>15239</xdr:rowOff>
    </xdr:from>
    <xdr:to>
      <xdr:col>6</xdr:col>
      <xdr:colOff>68580</xdr:colOff>
      <xdr:row>40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27</xdr:row>
      <xdr:rowOff>200025</xdr:rowOff>
    </xdr:from>
    <xdr:to>
      <xdr:col>6</xdr:col>
      <xdr:colOff>19049</xdr:colOff>
      <xdr:row>29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62</xdr:row>
      <xdr:rowOff>32385</xdr:rowOff>
    </xdr:from>
    <xdr:to>
      <xdr:col>6</xdr:col>
      <xdr:colOff>19050</xdr:colOff>
      <xdr:row>66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43</xdr:row>
      <xdr:rowOff>41910</xdr:rowOff>
    </xdr:from>
    <xdr:to>
      <xdr:col>1</xdr:col>
      <xdr:colOff>565543</xdr:colOff>
      <xdr:row>49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82105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abSelected="1" topLeftCell="A5" workbookViewId="0">
      <selection activeCell="J16" sqref="J1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143</v>
      </c>
      <c r="E8" s="1"/>
      <c r="F8" s="93" t="s">
        <v>27</v>
      </c>
      <c r="G8" s="94">
        <v>7436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46038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24176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1">
        <v>56998844786</v>
      </c>
      <c r="D14" s="66"/>
      <c r="E14" s="60"/>
      <c r="F14" s="60" t="s">
        <v>29</v>
      </c>
      <c r="G14" s="60" t="s">
        <v>140</v>
      </c>
      <c r="H14" s="62"/>
      <c r="I14" s="1"/>
    </row>
    <row r="15" spans="1:17" ht="15.6" x14ac:dyDescent="0.3">
      <c r="A15" s="1"/>
      <c r="B15" s="63" t="s">
        <v>1</v>
      </c>
      <c r="C15" s="97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6" t="s">
        <v>18</v>
      </c>
      <c r="G16" s="116"/>
      <c r="H16" s="117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8" t="s">
        <v>19</v>
      </c>
      <c r="C19" s="119"/>
      <c r="D19" s="119"/>
      <c r="E19" s="119"/>
      <c r="F19" s="119"/>
      <c r="G19" s="119"/>
      <c r="H19" s="120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2">
        <v>1</v>
      </c>
      <c r="C21" s="102" t="s">
        <v>141</v>
      </c>
      <c r="D21" s="104">
        <v>3400</v>
      </c>
      <c r="E21" s="104">
        <v>600</v>
      </c>
      <c r="F21" s="102" t="s">
        <v>142</v>
      </c>
      <c r="G21" s="103">
        <v>105624</v>
      </c>
      <c r="H21" s="103">
        <f t="shared" ref="H21" si="0">G21*B21</f>
        <v>105624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2">
        <v>1</v>
      </c>
      <c r="C22" s="102" t="s">
        <v>141</v>
      </c>
      <c r="D22" s="104">
        <v>3000</v>
      </c>
      <c r="E22" s="104">
        <v>600</v>
      </c>
      <c r="F22" s="102" t="s">
        <v>142</v>
      </c>
      <c r="G22" s="103">
        <v>93483</v>
      </c>
      <c r="H22" s="103">
        <f t="shared" ref="H22" si="1">G22*B22</f>
        <v>93483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2">
        <v>1</v>
      </c>
      <c r="C23" s="102" t="s">
        <v>141</v>
      </c>
      <c r="D23" s="104">
        <v>2100</v>
      </c>
      <c r="E23" s="104">
        <v>600</v>
      </c>
      <c r="F23" s="102" t="s">
        <v>142</v>
      </c>
      <c r="G23" s="103">
        <v>66167</v>
      </c>
      <c r="H23" s="103">
        <f t="shared" ref="H23" si="2">G23*B23</f>
        <v>66167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8"/>
      <c r="C24" s="108"/>
      <c r="D24" s="109"/>
      <c r="E24" s="109"/>
      <c r="F24" s="108"/>
      <c r="G24" s="75"/>
      <c r="H24" s="75"/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8"/>
      <c r="C25" s="108"/>
      <c r="D25" s="109"/>
      <c r="E25" s="109"/>
      <c r="F25" s="108"/>
      <c r="G25" s="75"/>
      <c r="H25" s="75"/>
      <c r="I25" s="1"/>
      <c r="K25" s="17"/>
      <c r="L25" s="26"/>
      <c r="M25" s="17"/>
      <c r="N25" s="17"/>
      <c r="O25" s="26"/>
      <c r="P25" s="33"/>
    </row>
    <row r="26" spans="1:16" ht="8.25" customHeight="1" thickBot="1" x14ac:dyDescent="0.35">
      <c r="A26" s="1"/>
      <c r="B26" s="74"/>
      <c r="C26" s="74"/>
      <c r="D26" s="74"/>
      <c r="E26" s="74"/>
      <c r="F26" s="74"/>
      <c r="G26" s="75"/>
      <c r="H26" s="75"/>
      <c r="I26" s="1"/>
    </row>
    <row r="27" spans="1:16" ht="15.6" x14ac:dyDescent="0.3">
      <c r="A27" s="1"/>
      <c r="B27" s="1"/>
      <c r="C27" s="1"/>
      <c r="D27" s="1"/>
      <c r="E27" s="1"/>
      <c r="F27" s="1"/>
      <c r="G27" s="76" t="s">
        <v>5</v>
      </c>
      <c r="H27" s="77">
        <f>SUM(H21:H26)</f>
        <v>265274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8" t="s">
        <v>6</v>
      </c>
      <c r="H28" s="79">
        <f>H27*19%</f>
        <v>50402.06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80" t="s">
        <v>4</v>
      </c>
      <c r="H29" s="81">
        <f>H27+H28</f>
        <v>315676.06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52"/>
      <c r="H30" s="96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82" t="s">
        <v>123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82" t="s">
        <v>122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5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0"/>
  </sortState>
  <mergeCells count="2">
    <mergeCell ref="F16:H16"/>
    <mergeCell ref="B19:H19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31</v>
      </c>
      <c r="C2" s="121"/>
      <c r="D2" s="121"/>
      <c r="E2" s="18"/>
      <c r="G2" s="121" t="s">
        <v>70</v>
      </c>
      <c r="H2" s="121"/>
      <c r="I2" s="121"/>
      <c r="P2" s="122" t="s">
        <v>58</v>
      </c>
      <c r="Q2" s="122"/>
      <c r="R2" s="12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2" t="s">
        <v>58</v>
      </c>
      <c r="M8" s="122"/>
      <c r="N8" s="12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0"/>
  <sheetViews>
    <sheetView topLeftCell="A30" zoomScaleNormal="100" workbookViewId="0">
      <selection activeCell="A42" sqref="A42:H68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0" t="s">
        <v>61</v>
      </c>
      <c r="L3" s="110"/>
      <c r="M3" s="110" t="s">
        <v>14</v>
      </c>
      <c r="N3" s="110"/>
    </row>
    <row r="4" spans="1:14" ht="15.75" customHeight="1" x14ac:dyDescent="0.3">
      <c r="A4" s="1"/>
      <c r="B4" s="1"/>
      <c r="C4" s="40" t="s">
        <v>27</v>
      </c>
      <c r="D4" s="14">
        <f>'4637'!G8</f>
        <v>7436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1" t="s">
        <v>61</v>
      </c>
      <c r="B10" s="111"/>
      <c r="C10" s="111"/>
      <c r="D10" s="111"/>
      <c r="E10" s="111"/>
      <c r="F10" s="11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139</v>
      </c>
      <c r="B14" s="25">
        <f t="shared" ref="B14" si="0">I14</f>
        <v>1</v>
      </c>
      <c r="C14" s="25"/>
      <c r="D14" s="25">
        <f>J14+80</f>
        <v>3480</v>
      </c>
      <c r="E14" s="35">
        <f>K14+E$13</f>
        <v>570</v>
      </c>
      <c r="F14" s="99" t="str">
        <f>C32</f>
        <v>CUB C/R R8</v>
      </c>
      <c r="G14" s="1"/>
      <c r="I14" s="89">
        <f t="shared" ref="I14:K16" si="1">I24</f>
        <v>1</v>
      </c>
      <c r="J14" s="4">
        <f t="shared" si="1"/>
        <v>3400</v>
      </c>
      <c r="K14" s="4">
        <f t="shared" si="1"/>
        <v>600</v>
      </c>
    </row>
    <row r="15" spans="1:14" ht="15.6" x14ac:dyDescent="0.3">
      <c r="A15" s="95"/>
      <c r="B15" s="25">
        <f t="shared" ref="B15" si="2">I15</f>
        <v>1</v>
      </c>
      <c r="C15" s="25"/>
      <c r="D15" s="25">
        <v>3100</v>
      </c>
      <c r="E15" s="35">
        <f>K15+E$13</f>
        <v>570</v>
      </c>
      <c r="F15" s="99" t="str">
        <f>C33</f>
        <v>CUB C/R R8</v>
      </c>
      <c r="G15" s="1"/>
      <c r="I15" s="89">
        <f t="shared" si="1"/>
        <v>1</v>
      </c>
      <c r="J15" s="4">
        <f t="shared" si="1"/>
        <v>3000</v>
      </c>
      <c r="K15" s="4">
        <f t="shared" si="1"/>
        <v>600</v>
      </c>
    </row>
    <row r="16" spans="1:14" ht="15.6" x14ac:dyDescent="0.3">
      <c r="A16" s="95"/>
      <c r="B16" s="25">
        <f t="shared" ref="B16" si="3">I16</f>
        <v>1</v>
      </c>
      <c r="C16" s="25"/>
      <c r="D16" s="25">
        <f>J16+80</f>
        <v>2180</v>
      </c>
      <c r="E16" s="35">
        <f>K16+E$13</f>
        <v>570</v>
      </c>
      <c r="F16" s="99" t="str">
        <f>C34</f>
        <v>CUB C/R R8</v>
      </c>
      <c r="G16" s="1"/>
      <c r="I16" s="89">
        <f t="shared" si="1"/>
        <v>1</v>
      </c>
      <c r="J16" s="4">
        <f t="shared" si="1"/>
        <v>2100</v>
      </c>
      <c r="K16" s="4">
        <f t="shared" si="1"/>
        <v>600</v>
      </c>
    </row>
    <row r="17" spans="1:11" ht="15.6" x14ac:dyDescent="0.3">
      <c r="A17" s="95"/>
      <c r="B17" s="6"/>
      <c r="C17" s="6"/>
      <c r="D17" s="6"/>
      <c r="E17" s="105"/>
      <c r="F17" s="107"/>
      <c r="G17" s="1"/>
      <c r="I17" s="89"/>
      <c r="J17" s="2"/>
      <c r="K17" s="2"/>
    </row>
    <row r="18" spans="1:11" ht="15.6" x14ac:dyDescent="0.3">
      <c r="A18" s="52"/>
      <c r="B18" s="6"/>
      <c r="C18" s="6"/>
      <c r="D18" s="6"/>
      <c r="E18" s="105"/>
      <c r="F18" s="6"/>
      <c r="G18" s="1"/>
      <c r="I18" s="89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11" t="s">
        <v>14</v>
      </c>
      <c r="B20" s="111"/>
      <c r="C20" s="111"/>
      <c r="D20" s="111"/>
      <c r="E20" s="111"/>
      <c r="F20" s="111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2" t="s">
        <v>7</v>
      </c>
      <c r="E22" s="52" t="s">
        <v>8</v>
      </c>
      <c r="F22" s="1"/>
      <c r="G22" s="1"/>
    </row>
    <row r="23" spans="1:11" ht="15.6" x14ac:dyDescent="0.3">
      <c r="A23" s="52" t="s">
        <v>9</v>
      </c>
      <c r="B23" s="36" t="s">
        <v>10</v>
      </c>
      <c r="C23" s="36" t="s">
        <v>11</v>
      </c>
      <c r="D23" s="21">
        <v>40</v>
      </c>
      <c r="E23" s="21">
        <v>130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5"/>
      <c r="B24" s="16">
        <f t="shared" ref="B24" si="4">I24</f>
        <v>1</v>
      </c>
      <c r="C24" s="16"/>
      <c r="D24" s="16">
        <f>J24+D$23</f>
        <v>3440</v>
      </c>
      <c r="E24" s="16">
        <f>K24+E$23</f>
        <v>730</v>
      </c>
      <c r="F24" s="100" t="str">
        <f>C32</f>
        <v>CUB C/R R8</v>
      </c>
      <c r="G24" s="1"/>
      <c r="I24" s="3">
        <f>B32</f>
        <v>1</v>
      </c>
      <c r="J24" s="4">
        <f>D32</f>
        <v>3400</v>
      </c>
      <c r="K24" s="4">
        <f t="shared" ref="K24" si="5">E32</f>
        <v>600</v>
      </c>
    </row>
    <row r="25" spans="1:11" ht="15.6" x14ac:dyDescent="0.3">
      <c r="A25" s="95"/>
      <c r="B25" s="16">
        <f t="shared" ref="B25" si="6">I25</f>
        <v>1</v>
      </c>
      <c r="C25" s="16"/>
      <c r="D25" s="16">
        <v>3080</v>
      </c>
      <c r="E25" s="16">
        <f>K25+E$23</f>
        <v>730</v>
      </c>
      <c r="F25" s="100" t="str">
        <f>C33</f>
        <v>CUB C/R R8</v>
      </c>
      <c r="G25" s="1"/>
      <c r="I25" s="3">
        <f>B33</f>
        <v>1</v>
      </c>
      <c r="J25" s="4">
        <f>D33</f>
        <v>3000</v>
      </c>
      <c r="K25" s="4">
        <f t="shared" ref="K25" si="7">E33</f>
        <v>600</v>
      </c>
    </row>
    <row r="26" spans="1:11" ht="15.6" x14ac:dyDescent="0.3">
      <c r="A26" s="95"/>
      <c r="B26" s="16">
        <f t="shared" ref="B26" si="8">I26</f>
        <v>1</v>
      </c>
      <c r="C26" s="16"/>
      <c r="D26" s="16">
        <f>J26+D$23</f>
        <v>2140</v>
      </c>
      <c r="E26" s="16">
        <f>K26+E$23</f>
        <v>730</v>
      </c>
      <c r="F26" s="100" t="str">
        <f>C34</f>
        <v>CUB C/R R8</v>
      </c>
      <c r="G26" s="1"/>
      <c r="I26" s="3">
        <f>B34</f>
        <v>1</v>
      </c>
      <c r="J26" s="4">
        <f>D34</f>
        <v>2100</v>
      </c>
      <c r="K26" s="4">
        <f t="shared" ref="K26" si="9">E34</f>
        <v>600</v>
      </c>
    </row>
    <row r="27" spans="1:11" ht="15.6" x14ac:dyDescent="0.3">
      <c r="A27" s="95"/>
      <c r="B27" s="6"/>
      <c r="C27" s="6"/>
      <c r="D27" s="6"/>
      <c r="E27" s="6"/>
      <c r="F27" s="107"/>
      <c r="G27" s="1"/>
      <c r="I27" s="89"/>
      <c r="J27" s="2"/>
      <c r="K27" s="2"/>
    </row>
    <row r="28" spans="1:11" ht="16.2" thickBot="1" x14ac:dyDescent="0.35">
      <c r="A28" s="52"/>
      <c r="B28" s="6"/>
      <c r="C28" s="6"/>
      <c r="D28" s="6"/>
      <c r="E28" s="6"/>
      <c r="F28" s="6"/>
      <c r="G28" s="1"/>
      <c r="I28" s="2"/>
      <c r="J28" s="2"/>
      <c r="K28" s="2"/>
    </row>
    <row r="29" spans="1:11" ht="16.2" thickBot="1" x14ac:dyDescent="0.35">
      <c r="A29" s="52"/>
      <c r="B29" s="22" t="s">
        <v>107</v>
      </c>
      <c r="C29" s="23"/>
      <c r="D29" s="23"/>
      <c r="E29" s="23"/>
      <c r="F29" s="24"/>
      <c r="G29" s="1"/>
      <c r="I29" s="2"/>
      <c r="J29" s="2"/>
      <c r="K29" s="2"/>
    </row>
    <row r="30" spans="1:11" ht="10.5" customHeight="1" x14ac:dyDescent="0.3">
      <c r="A30" s="1"/>
      <c r="B30" s="1"/>
      <c r="C30" s="1"/>
      <c r="D30" s="1"/>
      <c r="E30" s="1"/>
      <c r="F30" s="1"/>
      <c r="G30" s="1"/>
    </row>
    <row r="31" spans="1:11" ht="15.6" x14ac:dyDescent="0.3">
      <c r="A31" s="52" t="s">
        <v>9</v>
      </c>
      <c r="B31" s="88" t="s">
        <v>10</v>
      </c>
      <c r="C31" s="88" t="s">
        <v>110</v>
      </c>
      <c r="D31" s="88" t="s">
        <v>7</v>
      </c>
      <c r="E31" s="88" t="s">
        <v>8</v>
      </c>
      <c r="F31" s="88" t="s">
        <v>23</v>
      </c>
      <c r="G31" s="1"/>
    </row>
    <row r="32" spans="1:11" ht="15.6" x14ac:dyDescent="0.3">
      <c r="A32" s="95" t="s">
        <v>139</v>
      </c>
      <c r="B32" s="25">
        <f>'4637'!B21</f>
        <v>1</v>
      </c>
      <c r="C32" s="99" t="str">
        <f>'4637'!C21</f>
        <v>CUB C/R R8</v>
      </c>
      <c r="D32" s="25">
        <f>'4637'!D21</f>
        <v>3400</v>
      </c>
      <c r="E32" s="25">
        <f>'4637'!E21</f>
        <v>600</v>
      </c>
      <c r="F32" s="25" t="str">
        <f>'4637'!F21</f>
        <v>GLACIAL WHITE 22191 SF</v>
      </c>
      <c r="G32" s="1"/>
    </row>
    <row r="33" spans="1:7" ht="15.6" x14ac:dyDescent="0.3">
      <c r="A33" s="95"/>
      <c r="B33" s="25">
        <f>'4637'!B22</f>
        <v>1</v>
      </c>
      <c r="C33" s="99" t="str">
        <f>'4637'!C22</f>
        <v>CUB C/R R8</v>
      </c>
      <c r="D33" s="25">
        <f>'4637'!D22</f>
        <v>3000</v>
      </c>
      <c r="E33" s="25">
        <f>'4637'!E22</f>
        <v>600</v>
      </c>
      <c r="F33" s="25" t="str">
        <f>'4637'!F22</f>
        <v>GLACIAL WHITE 22191 SF</v>
      </c>
      <c r="G33" s="1"/>
    </row>
    <row r="34" spans="1:7" ht="15.6" x14ac:dyDescent="0.3">
      <c r="A34" s="95"/>
      <c r="B34" s="25">
        <f>'4637'!B23</f>
        <v>1</v>
      </c>
      <c r="C34" s="99" t="str">
        <f>'4637'!C23</f>
        <v>CUB C/R R8</v>
      </c>
      <c r="D34" s="25">
        <f>'4637'!D23</f>
        <v>2100</v>
      </c>
      <c r="E34" s="25">
        <f>'4637'!E23</f>
        <v>600</v>
      </c>
      <c r="F34" s="25" t="str">
        <f>'4637'!F23</f>
        <v>GLACIAL WHITE 22191 SF</v>
      </c>
      <c r="G34" s="1"/>
    </row>
    <row r="35" spans="1:7" ht="15.6" x14ac:dyDescent="0.3">
      <c r="A35" s="95"/>
      <c r="B35" s="6"/>
      <c r="C35" s="107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40" t="s">
        <v>27</v>
      </c>
      <c r="D45" s="14">
        <f>'4637'!G8</f>
        <v>7436</v>
      </c>
      <c r="E45" s="1"/>
      <c r="F45" s="1"/>
      <c r="G45" s="1"/>
    </row>
    <row r="46" spans="1:7" ht="17.25" customHeight="1" x14ac:dyDescent="0.3">
      <c r="A46" s="1"/>
      <c r="B46" s="1"/>
      <c r="C46" s="41" t="s">
        <v>67</v>
      </c>
      <c r="D46" s="42" t="str">
        <f>'4637'!C10</f>
        <v>MUEBLES ASENJO LTDA.</v>
      </c>
      <c r="E46" s="43"/>
      <c r="F46" s="43"/>
      <c r="G46" s="1"/>
    </row>
    <row r="47" spans="1:7" ht="4.5" customHeight="1" x14ac:dyDescent="0.3">
      <c r="A47" s="1"/>
      <c r="B47" s="1"/>
      <c r="C47" s="44"/>
      <c r="D47" s="45"/>
      <c r="E47" s="1"/>
      <c r="F47" s="1"/>
      <c r="G47" s="1"/>
    </row>
    <row r="48" spans="1:7" ht="15.6" x14ac:dyDescent="0.3">
      <c r="A48" s="1"/>
      <c r="B48" s="1"/>
      <c r="C48" s="46" t="str">
        <f>'4637'!F11</f>
        <v>FECHA LIMITE :</v>
      </c>
      <c r="D48" s="13">
        <f>'4637'!G11</f>
        <v>0</v>
      </c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11" t="s">
        <v>68</v>
      </c>
      <c r="B51" s="111"/>
      <c r="C51" s="111"/>
      <c r="D51" s="111"/>
      <c r="E51" s="111"/>
      <c r="F51" s="11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75" customHeight="1" x14ac:dyDescent="0.3">
      <c r="A53" s="1"/>
      <c r="B53" s="112" t="s">
        <v>69</v>
      </c>
      <c r="C53" s="113"/>
      <c r="D53" s="114"/>
      <c r="E53" s="114"/>
      <c r="F53" s="115"/>
      <c r="G53" s="1"/>
    </row>
    <row r="54" spans="1:7" s="15" customFormat="1" ht="12.75" customHeight="1" x14ac:dyDescent="0.3">
      <c r="A54" s="1"/>
      <c r="B54" s="36" t="s">
        <v>10</v>
      </c>
      <c r="C54" s="47" t="s">
        <v>11</v>
      </c>
      <c r="D54" s="48" t="s">
        <v>7</v>
      </c>
      <c r="E54" s="48" t="s">
        <v>8</v>
      </c>
      <c r="F54" s="49" t="s">
        <v>12</v>
      </c>
      <c r="G54" s="1"/>
    </row>
    <row r="55" spans="1:7" s="15" customFormat="1" ht="15" customHeight="1" x14ac:dyDescent="0.3">
      <c r="A55" s="95" t="s">
        <v>139</v>
      </c>
      <c r="B55" s="38">
        <f>'4637'!B21</f>
        <v>1</v>
      </c>
      <c r="C55" s="98" t="str">
        <f>'4637'!C21</f>
        <v>CUB C/R R8</v>
      </c>
      <c r="D55" s="39">
        <f>'4637'!D21</f>
        <v>3400</v>
      </c>
      <c r="E55" s="39">
        <f>'4637'!E21</f>
        <v>600</v>
      </c>
      <c r="F55" s="38" t="str">
        <f>'4637'!F21</f>
        <v>GLACIAL WHITE 22191 SF</v>
      </c>
      <c r="G55" s="1"/>
    </row>
    <row r="56" spans="1:7" s="15" customFormat="1" ht="15" customHeight="1" x14ac:dyDescent="0.3">
      <c r="A56" s="95"/>
      <c r="B56" s="38">
        <f>'4637'!B22</f>
        <v>1</v>
      </c>
      <c r="C56" s="98" t="str">
        <f>'4637'!C22</f>
        <v>CUB C/R R8</v>
      </c>
      <c r="D56" s="39">
        <f>'4637'!D22</f>
        <v>3000</v>
      </c>
      <c r="E56" s="39">
        <f>'4637'!E22</f>
        <v>600</v>
      </c>
      <c r="F56" s="38" t="str">
        <f>'4637'!F22</f>
        <v>GLACIAL WHITE 22191 SF</v>
      </c>
      <c r="G56" s="1"/>
    </row>
    <row r="57" spans="1:7" s="15" customFormat="1" ht="15" customHeight="1" x14ac:dyDescent="0.3">
      <c r="A57" s="95"/>
      <c r="B57" s="38">
        <f>'4637'!B23</f>
        <v>1</v>
      </c>
      <c r="C57" s="98" t="str">
        <f>'4637'!C23</f>
        <v>CUB C/R R8</v>
      </c>
      <c r="D57" s="39">
        <f>'4637'!D23</f>
        <v>2100</v>
      </c>
      <c r="E57" s="39">
        <f>'4637'!E23</f>
        <v>600</v>
      </c>
      <c r="F57" s="38" t="str">
        <f>'4637'!F23</f>
        <v>GLACIAL WHITE 22191 SF</v>
      </c>
      <c r="G57" s="1"/>
    </row>
    <row r="58" spans="1:7" s="15" customFormat="1" ht="15" customHeight="1" x14ac:dyDescent="0.3">
      <c r="B58" s="52"/>
      <c r="C58" s="106"/>
      <c r="D58" s="52"/>
      <c r="E58" s="52"/>
      <c r="F58" s="52"/>
      <c r="G58" s="1"/>
    </row>
    <row r="59" spans="1:7" s="15" customFormat="1" ht="15" customHeight="1" x14ac:dyDescent="0.3">
      <c r="A59" s="50"/>
      <c r="B59" s="52"/>
      <c r="C59" s="52"/>
      <c r="D59" s="52"/>
      <c r="E59" s="52"/>
      <c r="F59" s="52"/>
      <c r="G59" s="1"/>
    </row>
    <row r="60" spans="1:7" ht="15.6" x14ac:dyDescent="0.3">
      <c r="A60" s="6"/>
      <c r="B60" s="6"/>
      <c r="C60" s="1"/>
      <c r="D60" s="6"/>
      <c r="E60" s="6"/>
      <c r="F60" s="44"/>
      <c r="G60" s="1"/>
    </row>
    <row r="61" spans="1:7" ht="15.6" x14ac:dyDescent="0.3">
      <c r="A61" s="6"/>
      <c r="B61" s="6"/>
      <c r="C61" s="1"/>
      <c r="D61" s="6"/>
      <c r="E61" s="6"/>
      <c r="F61" s="6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" customHeight="1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6"/>
      <c r="B67" s="5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x14ac:dyDescent="0.3">
      <c r="B69" s="20"/>
      <c r="C69" s="20"/>
      <c r="D69" s="20"/>
      <c r="E69" s="20"/>
      <c r="F69" s="20"/>
    </row>
    <row r="70" spans="1:7" x14ac:dyDescent="0.3">
      <c r="B70" s="20"/>
      <c r="C70" s="20"/>
      <c r="E70" s="20"/>
      <c r="F70" s="20"/>
    </row>
  </sheetData>
  <mergeCells count="6">
    <mergeCell ref="M3:N3"/>
    <mergeCell ref="A20:F20"/>
    <mergeCell ref="A10:F10"/>
    <mergeCell ref="A51:F51"/>
    <mergeCell ref="B53:F53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2026-04-16T18:34:14Z</cp:lastPrinted>
  <dcterms:created xsi:type="dcterms:W3CDTF">2013-03-19T12:54:14Z</dcterms:created>
  <dcterms:modified xsi:type="dcterms:W3CDTF">2026-04-17T12:06:09Z</dcterms:modified>
</cp:coreProperties>
</file>