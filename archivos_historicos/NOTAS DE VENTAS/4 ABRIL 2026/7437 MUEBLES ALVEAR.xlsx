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6\"/>
    </mc:Choice>
  </mc:AlternateContent>
  <xr:revisionPtr revIDLastSave="0" documentId="13_ncr:1_{D550E903-4AC7-439B-BD98-E4D0BB31E0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B27" i="3"/>
  <c r="I21" i="3" s="1"/>
  <c r="B21" i="3" s="1"/>
  <c r="C27" i="3"/>
  <c r="F21" i="3" s="1"/>
  <c r="D27" i="3"/>
  <c r="J21" i="3" s="1"/>
  <c r="D21" i="3" s="1"/>
  <c r="E27" i="3"/>
  <c r="K21" i="3" s="1"/>
  <c r="E21" i="3" s="1"/>
  <c r="F27" i="3"/>
  <c r="B48" i="3"/>
  <c r="C48" i="3"/>
  <c r="D48" i="3"/>
  <c r="E48" i="3"/>
  <c r="F48" i="3"/>
  <c r="K14" i="3" l="1"/>
  <c r="E14" i="3" s="1"/>
  <c r="J14" i="3"/>
  <c r="D14" i="3" s="1"/>
  <c r="I14" i="3"/>
  <c r="B14" i="3" s="1"/>
  <c r="F14" i="3"/>
  <c r="H25" i="4" l="1"/>
  <c r="H26" i="4" l="1"/>
  <c r="H27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<sst xmlns="http://schemas.openxmlformats.org/spreadsheetml/2006/main" count="250" uniqueCount="147">
  <si>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</si>
  <si>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</si>
  <si>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</si>
  <si>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</si>
  <si>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</si>
  <si>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</si>
  <si>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</si>
  <si>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</si>
  <si>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</si>
  <si>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</si>
  <si>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</si>
  <si>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</si>
  <si>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</si>
  <si>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</si>
  <si>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</si>
  <si>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</si>
  <si>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</si>
  <si>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</si>
  <si>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</si>
  <si>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</si>
  <si>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</si>
  <si>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</si>
  <si>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</si>
  <si>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</si>
  <si>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</si>
  <si>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</si>
  <si>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</si>
  <si>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</si>
  <si>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</si>
  <si>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</si>
  <si>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</si>
  <si>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</si>
  <si>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</si>
  <si>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</si>
  <si>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</si>
  <si>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</si>
  <si>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</si>
  <si>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</si>
  <si>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</si>
  <si>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</si>
  <si>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</si>
  <si>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</si>
  <si>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</si>
  <si>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</si>
  <si>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</si>
  <si>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</si>
  <si>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</si>
  <si>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</si>
  <si>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</si>
  <si>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</si>
  <si>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</si>
  <si>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</si>
  <si>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</si>
  <si>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</si>
  <si>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</si>
  <si>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</si>
  <si>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</si>
  <si>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</si>
  <si>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</si>
  <si>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</si>
  <si>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</si>
  <si>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</si>
  <si>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</si>
  <si>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</si>
  <si>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</si>
  <si>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</si>
  <si>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</si>
  <si>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</si>
  <si>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</si>
  <si>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</si>
  <si>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</si>
  <si>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</si>
  <si>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</si>
  <si>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</si>
  <si>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</si>
  <si>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</si>
  <si>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</si>
  <si>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</si>
  <si>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</si>
  <si>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</si>
  <si>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</si>
  <si>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</si>
  <si>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</si>
  <si>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</si>
  <si>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</si>
  <si>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</si>
  <si>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</si>
  <si>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</si>
  <si>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</si>
  <si>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</si>
  <si>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</si>
  <si>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</si>
  <si>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</si>
  <si>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</si>
  <si>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</si>
  <si>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</si>
  <si>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</si>
  <si>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</si>
  <si>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</si>
  <si>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</si>
  <si>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</si>
  <si>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</si>
  <si>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</si>
  <si>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</si>
  <si>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</si>
  <si>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</si>
  <si>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</si>
  <si>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</si>
  <si>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</si>
  <si>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</si>
  <si>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</si>
  <si>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</si>
  <si>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</si>
  <si>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</si>
  <si>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</si>
  <si>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</si>
  <si>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</si>
  <si>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</si>
  <si>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</si>
  <si>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</si>
  <si>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</si>
  <si>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</si>
  <si>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</si>
  <si>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</si>
  <si>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</si>
  <si>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</si>
  <si>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</si>
  <si>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</si>
  <si>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</si>
  <si>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</si>
  <si>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</si>
  <si>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</si>
  <si>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CORREO:</t>
  </si>
  <si>
    <t>F.DONOSO</t>
  </si>
  <si>
    <t>MDF18MM</t>
  </si>
  <si>
    <t>CONTADO</t>
  </si>
  <si>
    <t>SANTIAGO</t>
  </si>
  <si>
    <t>FCA. DE MUEBLES ALVEAR Y ALVEAR LTDA</t>
  </si>
  <si>
    <t>76.143.978-2</t>
  </si>
  <si>
    <t>FCA DE MUEBLES</t>
  </si>
  <si>
    <t>CLAUDIO ALVEAR</t>
  </si>
  <si>
    <t>LINEALTA1</t>
  </si>
  <si>
    <t>ROSA ESTER 03281 LA PINTANA</t>
  </si>
  <si>
    <t>N° 11821</t>
  </si>
  <si>
    <t>NO</t>
  </si>
  <si>
    <t>CUB S/R 180°</t>
  </si>
  <si>
    <t>WHITE OAK 1336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</si>
</sst>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0000"/>
      <name val="Segoe UI"/>
      <family val="2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7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6" fillId="3" borderId="4" xfId="0" applyFont="1" applyFill="1" applyBorder="1"/>
    <xf numFmtId="0" fontId="17" fillId="0" borderId="0" xfId="0" applyFont="1"/>
    <xf numFmtId="0" fontId="21" fillId="3" borderId="0" xfId="0" applyFont="1" applyFill="1"/>
    <xf numFmtId="0" fontId="18" fillId="0" borderId="0" xfId="0" quotePrefix="1" applyFont="1" applyAlignment="1">
      <alignment horizontal="left"/>
    </xf>
    <xf numFmtId="0" fontId="22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 ABONO</a:t>
          </a:r>
          <a:r>
            <a:rPr lang="es-CL" sz="900" b="1" i="1" baseline="0"/>
            <a:t> $ 65.000.-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CORTAR A LA MEDIDA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A LA MEDIDA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801763</xdr:colOff>
      <xdr:row>42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9" workbookViewId="0">
      <selection activeCell="L21" sqref="L2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143</v>
      </c>
      <c r="E8" s="1"/>
      <c r="F8" s="91" t="s">
        <v>27</v>
      </c>
      <c r="G8" s="92">
        <v>7437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108" t="s">
        <v>137</v>
      </c>
      <c r="D10" s="54"/>
      <c r="E10" s="54"/>
      <c r="F10" s="55" t="s">
        <v>28</v>
      </c>
      <c r="G10" s="56">
        <v>46132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9" t="s">
        <v>138</v>
      </c>
      <c r="D11" s="59"/>
      <c r="E11" s="59"/>
      <c r="F11" s="59" t="s">
        <v>124</v>
      </c>
      <c r="G11" s="60"/>
      <c r="H11" s="61"/>
      <c r="I11" s="1"/>
    </row>
    <row r="12" spans="1:17" ht="15.6" x14ac:dyDescent="0.3">
      <c r="A12" s="1"/>
      <c r="B12" s="62" t="s">
        <v>130</v>
      </c>
      <c r="C12" s="110" t="s">
        <v>139</v>
      </c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131</v>
      </c>
      <c r="C13" t="s">
        <v>140</v>
      </c>
      <c r="D13" s="42"/>
      <c r="E13" s="42"/>
      <c r="F13" s="42" t="s">
        <v>128</v>
      </c>
      <c r="G13" s="63" t="s">
        <v>133</v>
      </c>
      <c r="H13" s="64"/>
      <c r="I13" s="1"/>
    </row>
    <row r="14" spans="1:17" ht="15.6" x14ac:dyDescent="0.3">
      <c r="A14" s="1"/>
      <c r="B14" s="62" t="s">
        <v>132</v>
      </c>
      <c r="C14" s="103" t="s">
        <v>141</v>
      </c>
      <c r="D14" s="42"/>
      <c r="E14" s="42"/>
      <c r="F14" s="42"/>
      <c r="G14" s="63"/>
      <c r="H14" s="64"/>
      <c r="I14" s="1"/>
    </row>
    <row r="15" spans="1:17" ht="15.6" x14ac:dyDescent="0.3">
      <c r="A15" s="1"/>
      <c r="B15" s="58" t="s">
        <v>17</v>
      </c>
      <c r="C15" s="111">
        <v>56973069852</v>
      </c>
      <c r="D15" s="65"/>
      <c r="E15" s="59"/>
      <c r="F15" s="59" t="s">
        <v>29</v>
      </c>
      <c r="G15" s="59" t="s">
        <v>144</v>
      </c>
      <c r="H15" s="61"/>
      <c r="I15" s="1"/>
    </row>
    <row r="16" spans="1:17" ht="16.8" x14ac:dyDescent="0.4">
      <c r="A16" s="1"/>
      <c r="B16" s="62" t="s">
        <v>1</v>
      </c>
      <c r="C16" s="102" t="s">
        <v>142</v>
      </c>
      <c r="D16" s="42"/>
      <c r="E16" s="42"/>
      <c r="F16" s="66" t="s">
        <v>75</v>
      </c>
      <c r="G16" s="105" t="s">
        <v>135</v>
      </c>
      <c r="H16" s="64"/>
      <c r="I16" s="1"/>
    </row>
    <row r="17" spans="1:16" ht="16.2" thickBot="1" x14ac:dyDescent="0.35">
      <c r="A17" s="1"/>
      <c r="B17" s="67" t="s">
        <v>3</v>
      </c>
      <c r="C17" s="104" t="s">
        <v>136</v>
      </c>
      <c r="D17" s="68"/>
      <c r="E17" s="69"/>
      <c r="F17" s="120" t="s">
        <v>18</v>
      </c>
      <c r="G17" s="120"/>
      <c r="H17" s="121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22" t="s">
        <v>19</v>
      </c>
      <c r="C20" s="123"/>
      <c r="D20" s="123"/>
      <c r="E20" s="123"/>
      <c r="F20" s="123"/>
      <c r="G20" s="123"/>
      <c r="H20" s="124"/>
      <c r="I20" s="1"/>
    </row>
    <row r="21" spans="1:16" ht="15.6" x14ac:dyDescent="0.3">
      <c r="A21" s="1"/>
      <c r="B21" s="70" t="s">
        <v>20</v>
      </c>
      <c r="C21" s="71" t="s">
        <v>21</v>
      </c>
      <c r="D21" s="71" t="s">
        <v>22</v>
      </c>
      <c r="E21" s="71" t="s">
        <v>8</v>
      </c>
      <c r="F21" s="72" t="s">
        <v>23</v>
      </c>
      <c r="G21" s="70" t="s">
        <v>24</v>
      </c>
      <c r="H21" s="72" t="s">
        <v>4</v>
      </c>
      <c r="I21" s="1"/>
    </row>
    <row r="22" spans="1:16" ht="18" customHeight="1" x14ac:dyDescent="0.3">
      <c r="A22" s="1"/>
      <c r="B22" s="98">
        <v>1</v>
      </c>
      <c r="C22" s="112" t="s">
        <v>145</v>
      </c>
      <c r="D22" s="101">
        <v>950</v>
      </c>
      <c r="E22" s="101">
        <v>600</v>
      </c>
      <c r="F22" s="98" t="s">
        <v>146</v>
      </c>
      <c r="G22" s="99">
        <v>111528</v>
      </c>
      <c r="H22" s="99">
        <f>G22*B22</f>
        <v>111528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6"/>
      <c r="C23" s="106"/>
      <c r="D23" s="107"/>
      <c r="E23" s="107"/>
      <c r="F23" s="106"/>
      <c r="G23" s="74"/>
      <c r="H23" s="74"/>
      <c r="I23" s="1"/>
      <c r="K23" s="17"/>
      <c r="L23" s="26"/>
      <c r="M23" s="17"/>
      <c r="N23" s="17"/>
      <c r="O23" s="26"/>
      <c r="P23" s="33"/>
    </row>
    <row r="24" spans="1:16" ht="15" customHeight="1" thickBot="1" x14ac:dyDescent="0.35">
      <c r="A24" s="1"/>
      <c r="B24" s="73"/>
      <c r="C24" s="73"/>
      <c r="D24" s="73"/>
      <c r="E24" s="73"/>
      <c r="F24" s="73"/>
      <c r="G24" s="74"/>
      <c r="H24" s="74"/>
      <c r="I24" s="1"/>
    </row>
    <row r="25" spans="1:16" ht="15.6" x14ac:dyDescent="0.3">
      <c r="A25" s="1"/>
      <c r="B25" s="1"/>
      <c r="C25" s="1"/>
      <c r="D25" s="1"/>
      <c r="E25" s="1"/>
      <c r="F25" s="1"/>
      <c r="G25" s="75" t="s">
        <v>5</v>
      </c>
      <c r="H25" s="76">
        <f>SUM(H22:H24)</f>
        <v>111528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7" t="s">
        <v>6</v>
      </c>
      <c r="H26" s="78">
        <f>H25*19%</f>
        <v>21190.32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9" t="s">
        <v>4</v>
      </c>
      <c r="H27" s="80">
        <f>H25+H26</f>
        <v>132718.32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1"/>
      <c r="H28" s="94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1" t="s">
        <v>123</v>
      </c>
      <c r="C30" s="82"/>
      <c r="D30" s="83"/>
      <c r="E30" s="83"/>
      <c r="F30" s="73"/>
      <c r="G30" s="1"/>
      <c r="H30" s="1"/>
      <c r="I30" s="1"/>
    </row>
    <row r="31" spans="1:16" ht="15.6" x14ac:dyDescent="0.3">
      <c r="A31" s="1"/>
      <c r="B31" s="81" t="s">
        <v>122</v>
      </c>
      <c r="C31" s="82"/>
      <c r="D31" s="83"/>
      <c r="E31" s="83"/>
      <c r="F31" s="73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4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7:H17"/>
    <mergeCell ref="B20:H20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5" t="s">
        <v>31</v>
      </c>
      <c r="C2" s="125"/>
      <c r="D2" s="125"/>
      <c r="E2" s="18"/>
      <c r="G2" s="125" t="s">
        <v>70</v>
      </c>
      <c r="H2" s="125"/>
      <c r="I2" s="125"/>
      <c r="P2" s="126" t="s">
        <v>58</v>
      </c>
      <c r="Q2" s="126"/>
      <c r="R2" s="12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6" t="s">
        <v>58</v>
      </c>
      <c r="M8" s="126"/>
      <c r="N8" s="12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opLeftCell="A36" zoomScaleNormal="100" workbookViewId="0">
      <selection sqref="A1:F34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4" t="s">
        <v>61</v>
      </c>
      <c r="L3" s="114"/>
      <c r="M3" s="114" t="s">
        <v>14</v>
      </c>
      <c r="N3" s="114"/>
    </row>
    <row r="4" spans="1:14" ht="15.75" customHeight="1" x14ac:dyDescent="0.3">
      <c r="A4" s="1"/>
      <c r="B4" s="1"/>
      <c r="C4" s="39" t="s">
        <v>27</v>
      </c>
      <c r="D4" s="14">
        <f>'4637'!G8</f>
        <v>7437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FCA. DE MUEBLES ALVEAR Y ALVEAR LTDA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5" t="s">
        <v>61</v>
      </c>
      <c r="B10" s="115"/>
      <c r="C10" s="115"/>
      <c r="D10" s="115"/>
      <c r="E10" s="115"/>
      <c r="F10" s="115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6" t="s">
        <v>10</v>
      </c>
      <c r="C13" s="36" t="s">
        <v>11</v>
      </c>
      <c r="D13" s="32">
        <v>80</v>
      </c>
      <c r="E13" s="32"/>
      <c r="F13" s="36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134</v>
      </c>
      <c r="B14" s="25">
        <f t="shared" ref="B14" si="0">I14</f>
        <v>1</v>
      </c>
      <c r="C14" s="25"/>
      <c r="D14" s="25">
        <f>J14+D13</f>
        <v>1030</v>
      </c>
      <c r="E14" s="25">
        <f>K14+E13</f>
        <v>600</v>
      </c>
      <c r="F14" s="96" t="str">
        <f t="shared" ref="F14" si="1">C27</f>
        <v>CUB S/R 180°</v>
      </c>
      <c r="G14" s="1"/>
      <c r="I14" s="3">
        <f t="shared" ref="I14:J14" si="2">I21</f>
        <v>1</v>
      </c>
      <c r="J14" s="4">
        <f t="shared" si="2"/>
        <v>950</v>
      </c>
      <c r="K14" s="4">
        <f t="shared" ref="K14" si="3">E27</f>
        <v>600</v>
      </c>
    </row>
    <row r="15" spans="1:14" ht="15.6" x14ac:dyDescent="0.3">
      <c r="A15" s="51"/>
      <c r="B15" s="6"/>
      <c r="C15" s="6"/>
      <c r="D15" s="6"/>
      <c r="E15" s="6"/>
      <c r="F15" s="6"/>
      <c r="G15" s="1"/>
      <c r="I15" s="87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5" t="s">
        <v>14</v>
      </c>
      <c r="B17" s="115"/>
      <c r="C17" s="115"/>
      <c r="D17" s="115"/>
      <c r="E17" s="115"/>
      <c r="F17" s="115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1" t="s">
        <v>7</v>
      </c>
      <c r="E19" s="51" t="s">
        <v>8</v>
      </c>
      <c r="F19" s="1"/>
      <c r="G19" s="1"/>
    </row>
    <row r="20" spans="1:11" ht="15.6" x14ac:dyDescent="0.3">
      <c r="A20" s="51" t="s">
        <v>9</v>
      </c>
      <c r="B20" s="35" t="s">
        <v>10</v>
      </c>
      <c r="C20" s="35" t="s">
        <v>11</v>
      </c>
      <c r="D20" s="21">
        <v>40</v>
      </c>
      <c r="E20" s="21">
        <v>70</v>
      </c>
      <c r="F20" s="35" t="s">
        <v>110</v>
      </c>
      <c r="G20" s="1"/>
      <c r="J20" s="5" t="s">
        <v>7</v>
      </c>
      <c r="K20" s="5" t="s">
        <v>8</v>
      </c>
    </row>
    <row r="21" spans="1:11" ht="15.6" x14ac:dyDescent="0.3">
      <c r="A21" s="93"/>
      <c r="B21" s="16">
        <f t="shared" ref="B21" si="4">I21</f>
        <v>1</v>
      </c>
      <c r="C21" s="16"/>
      <c r="D21" s="16">
        <f>J21+D$20</f>
        <v>990</v>
      </c>
      <c r="E21" s="16">
        <f>K21+E$20</f>
        <v>670</v>
      </c>
      <c r="F21" s="97" t="str">
        <f t="shared" ref="F21" si="5">C27</f>
        <v>CUB S/R 180°</v>
      </c>
      <c r="G21" s="1"/>
      <c r="I21" s="3">
        <f t="shared" ref="I21" si="6">B27</f>
        <v>1</v>
      </c>
      <c r="J21" s="4">
        <f>D27</f>
        <v>950</v>
      </c>
      <c r="K21" s="4">
        <f>E27</f>
        <v>600</v>
      </c>
    </row>
    <row r="22" spans="1:11" ht="15.6" x14ac:dyDescent="0.3">
      <c r="A22" s="93"/>
      <c r="B22" s="6"/>
      <c r="C22" s="6"/>
      <c r="D22" s="6"/>
      <c r="E22" s="6"/>
      <c r="F22" s="100"/>
      <c r="G22" s="1"/>
      <c r="I22" s="87"/>
      <c r="J22" s="2"/>
      <c r="K22" s="2"/>
    </row>
    <row r="23" spans="1:11" ht="16.2" thickBot="1" x14ac:dyDescent="0.35">
      <c r="A23" s="51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1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1" t="s">
        <v>9</v>
      </c>
      <c r="B26" s="86" t="s">
        <v>10</v>
      </c>
      <c r="C26" s="86" t="s">
        <v>110</v>
      </c>
      <c r="D26" s="86" t="s">
        <v>7</v>
      </c>
      <c r="E26" s="86" t="s">
        <v>8</v>
      </c>
      <c r="F26" s="86" t="s">
        <v>23</v>
      </c>
      <c r="G26" s="1"/>
    </row>
    <row r="27" spans="1:11" ht="15.6" x14ac:dyDescent="0.3">
      <c r="A27" s="93" t="s">
        <v>134</v>
      </c>
      <c r="B27" s="25">
        <f>'4637'!B22</f>
        <v>1</v>
      </c>
      <c r="C27" s="96" t="str">
        <f>'4637'!C22</f>
        <v>CUB S/R 180°</v>
      </c>
      <c r="D27" s="25">
        <f>'4637'!D22</f>
        <v>950</v>
      </c>
      <c r="E27" s="25">
        <f>'4637'!E22</f>
        <v>600</v>
      </c>
      <c r="F27" s="25" t="str">
        <f>'4637'!F22</f>
        <v>WHITE OAK 1336 MT</v>
      </c>
      <c r="G27" s="1"/>
    </row>
    <row r="28" spans="1:11" ht="15.6" x14ac:dyDescent="0.3">
      <c r="A28" s="93"/>
      <c r="B28" s="6"/>
      <c r="C28" s="100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39" t="s">
        <v>27</v>
      </c>
      <c r="D38" s="14">
        <f>'4637'!G8</f>
        <v>7437</v>
      </c>
      <c r="E38" s="1"/>
      <c r="F38" s="1"/>
      <c r="G38" s="1"/>
    </row>
    <row r="39" spans="1:7" ht="17.25" customHeight="1" x14ac:dyDescent="0.3">
      <c r="A39" s="1"/>
      <c r="B39" s="1"/>
      <c r="C39" s="40" t="s">
        <v>67</v>
      </c>
      <c r="D39" s="41" t="str">
        <f>'4637'!C10</f>
        <v>FCA. DE MUEBLES ALVEAR Y ALVEAR LTDA</v>
      </c>
      <c r="E39" s="42"/>
      <c r="F39" s="42"/>
      <c r="G39" s="1"/>
    </row>
    <row r="40" spans="1:7" ht="4.5" customHeight="1" x14ac:dyDescent="0.3">
      <c r="A40" s="1"/>
      <c r="B40" s="1"/>
      <c r="C40" s="43"/>
      <c r="D40" s="44"/>
      <c r="E40" s="1"/>
      <c r="F40" s="1"/>
      <c r="G40" s="1"/>
    </row>
    <row r="41" spans="1:7" ht="15.6" x14ac:dyDescent="0.3">
      <c r="A41" s="1"/>
      <c r="B41" s="1"/>
      <c r="C41" s="45" t="str">
        <f>'4637'!F11</f>
        <v>FECHA LIMITE :</v>
      </c>
      <c r="D41" s="13">
        <f>'4637'!G11</f>
        <v>0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5" t="s">
        <v>68</v>
      </c>
      <c r="B44" s="115"/>
      <c r="C44" s="115"/>
      <c r="D44" s="115"/>
      <c r="E44" s="115"/>
      <c r="F44" s="115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16" t="s">
        <v>69</v>
      </c>
      <c r="C46" s="117"/>
      <c r="D46" s="118"/>
      <c r="E46" s="118"/>
      <c r="F46" s="119"/>
      <c r="G46" s="1"/>
    </row>
    <row r="47" spans="1:7" s="15" customFormat="1" ht="12.75" customHeight="1" x14ac:dyDescent="0.3">
      <c r="A47" s="1"/>
      <c r="B47" s="35" t="s">
        <v>10</v>
      </c>
      <c r="C47" s="46" t="s">
        <v>11</v>
      </c>
      <c r="D47" s="47" t="s">
        <v>7</v>
      </c>
      <c r="E47" s="47" t="s">
        <v>8</v>
      </c>
      <c r="F47" s="48" t="s">
        <v>12</v>
      </c>
      <c r="G47" s="1"/>
    </row>
    <row r="48" spans="1:7" s="15" customFormat="1" ht="15" customHeight="1" x14ac:dyDescent="0.3">
      <c r="A48" s="93" t="s">
        <v>134</v>
      </c>
      <c r="B48" s="37">
        <f>'4637'!B22</f>
        <v>1</v>
      </c>
      <c r="C48" s="95" t="str">
        <f>'4637'!C22</f>
        <v>CUB S/R 180°</v>
      </c>
      <c r="D48" s="38">
        <f>'4637'!D22</f>
        <v>950</v>
      </c>
      <c r="E48" s="38">
        <f>'4637'!E22</f>
        <v>600</v>
      </c>
      <c r="F48" s="37" t="str">
        <f>'4637'!F22</f>
        <v>WHITE OAK 1336 MT</v>
      </c>
      <c r="G48" s="1"/>
    </row>
    <row r="49" spans="1:7" s="15" customFormat="1" ht="15" customHeight="1" x14ac:dyDescent="0.3">
      <c r="A49" s="93"/>
      <c r="B49" s="51"/>
      <c r="C49" s="113"/>
      <c r="D49" s="51"/>
      <c r="E49" s="51"/>
      <c r="F49" s="51"/>
      <c r="G49" s="1"/>
    </row>
    <row r="50" spans="1:7" s="15" customFormat="1" ht="15" customHeight="1" x14ac:dyDescent="0.3">
      <c r="A50" s="49"/>
      <c r="B50" s="51"/>
      <c r="C50" s="51"/>
      <c r="D50" s="51"/>
      <c r="E50" s="51"/>
      <c r="F50" s="51"/>
      <c r="G50" s="1"/>
    </row>
    <row r="51" spans="1:7" ht="15.6" x14ac:dyDescent="0.3">
      <c r="A51" s="6"/>
      <c r="B51" s="6"/>
      <c r="C51" s="1"/>
      <c r="D51" s="6"/>
      <c r="E51" s="6"/>
      <c r="F51" s="43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0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2026-03-11T19:28:02Z</cp:lastPrinted>
  <dcterms:created xsi:type="dcterms:W3CDTF">2013-03-19T12:54:14Z</dcterms:created>
  <dcterms:modified xsi:type="dcterms:W3CDTF">2026-04-20T16:03:06Z</dcterms:modified>
</cp:coreProperties>
</file>