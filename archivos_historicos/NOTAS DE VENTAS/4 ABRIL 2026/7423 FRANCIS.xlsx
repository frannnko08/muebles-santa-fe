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4 ABRIL 2026\"/>
    </mc:Choice>
  </mc:AlternateContent>
  <xr:revisionPtr revIDLastSave="0" documentId="13_ncr:1_{8C98559E-4C1F-4EE7-A1AF-9FD2715A24B5}" xr6:coauthVersionLast="47" xr6:coauthVersionMax="47" xr10:uidLastSave="{00000000-0000-0000-0000-000000000000}"/>
  <bookViews>
    <workbookView xWindow="-20610" yWindow="1635" windowWidth="20730" windowHeight="11040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3" l="1"/>
  <c r="C52" i="3"/>
  <c r="D52" i="3"/>
  <c r="E52" i="3"/>
  <c r="F52" i="3"/>
  <c r="E23" i="3"/>
  <c r="E22" i="3"/>
  <c r="E15" i="3"/>
  <c r="E14" i="3"/>
  <c r="D15" i="3"/>
  <c r="D14" i="3"/>
  <c r="D23" i="3"/>
  <c r="I23" i="3"/>
  <c r="J23" i="3"/>
  <c r="K23" i="3"/>
  <c r="I15" i="3"/>
  <c r="J15" i="3"/>
  <c r="K15" i="3"/>
  <c r="B15" i="3"/>
  <c r="F15" i="3"/>
  <c r="B23" i="3"/>
  <c r="F23" i="3"/>
  <c r="B30" i="3"/>
  <c r="C30" i="3"/>
  <c r="D30" i="3"/>
  <c r="E30" i="3"/>
  <c r="F30" i="3"/>
  <c r="H22" i="4"/>
  <c r="H21" i="4" l="1"/>
  <c r="B29" i="3" l="1"/>
  <c r="I22" i="3" s="1"/>
  <c r="I14" i="3" s="1"/>
  <c r="B14" i="3" s="1"/>
  <c r="C29" i="3"/>
  <c r="F14" i="3" s="1"/>
  <c r="D29" i="3"/>
  <c r="J22" i="3" s="1"/>
  <c r="D22" i="3" s="1"/>
  <c r="E29" i="3"/>
  <c r="F29" i="3"/>
  <c r="B51" i="3"/>
  <c r="C51" i="3"/>
  <c r="D51" i="3"/>
  <c r="E51" i="3"/>
  <c r="F51" i="3"/>
  <c r="H25" i="4"/>
  <c r="K22" i="3" l="1"/>
  <c r="K14" i="3" s="1"/>
  <c r="J14" i="3"/>
  <c r="B22" i="3"/>
  <c r="F22" i="3"/>
  <c r="H26" i="4" l="1"/>
  <c r="H27" i="4" l="1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<sst xmlns="http://schemas.openxmlformats.org/spreadsheetml/2006/main" count="247" uniqueCount="142">
  <si>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</si>
  <si>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</si>
  <si>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</si>
  <si>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</si>
  <si>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</si>
  <si>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</si>
  <si>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</si>
  <si>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</si>
  <si>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</si>
  <si>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</si>
  <si>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</si>
  <si>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</si>
  <si>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</si>
  <si>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</si>
  <si>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</si>
  <si>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</si>
  <si>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</si>
  <si>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</si>
  <si>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</si>
  <si>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</si>
  <si>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</si>
  <si>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</si>
  <si>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</si>
  <si>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</si>
  <si>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</si>
  <si>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</si>
  <si>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</si>
  <si>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</si>
  <si>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</si>
  <si>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</si>
  <si>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</si>
  <si>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</si>
  <si>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</si>
  <si>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</si>
  <si>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</si>
  <si>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</si>
  <si>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</si>
  <si>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</si>
  <si>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</si>
  <si>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</si>
  <si>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</si>
  <si>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</si>
  <si>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</si>
  <si>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</si>
  <si>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</si>
  <si>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</si>
  <si>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</si>
  <si>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</si>
  <si>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</si>
  <si>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</si>
  <si>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</si>
  <si>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</si>
  <si>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</si>
  <si>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</si>
  <si>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</si>
  <si>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</si>
  <si>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</si>
  <si>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</si>
  <si>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</si>
  <si>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</si>
  <si>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</si>
  <si>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</si>
  <si>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</si>
  <si>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</si>
  <si>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</si>
  <si>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</si>
  <si>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</si>
  <si>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</si>
  <si>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</si>
  <si>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</si>
  <si>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</si>
  <si>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</si>
  <si>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</si>
  <si>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</si>
  <si>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</si>
  <si>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</si>
  <si>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</si>
  <si>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</si>
  <si>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</si>
  <si>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</si>
  <si>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</si>
  <si>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</si>
  <si>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</si>
  <si>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</si>
  <si>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</si>
  <si>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</si>
  <si>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</si>
  <si>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</si>
  <si>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</si>
  <si>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</si>
  <si>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</si>
  <si>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</si>
  <si>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</si>
  <si>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</si>
  <si>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</si>
  <si>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</si>
  <si>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</si>
  <si>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</si>
  <si>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</si>
  <si>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</si>
  <si>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</si>
  <si>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</si>
  <si>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</si>
  <si>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</si>
  <si>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</si>
  <si>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</si>
  <si>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</si>
  <si>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</si>
  <si>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</si>
  <si>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</si>
  <si>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</si>
  <si>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</si>
  <si>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</si>
  <si>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</si>
  <si>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</si>
  <si>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</si>
  <si>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</si>
  <si>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</si>
  <si>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</si>
  <si>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</si>
  <si>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</si>
  <si>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</si>
  <si>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</si>
  <si>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</si>
  <si>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</si>
  <si>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</si>
  <si>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</si>
  <si>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</si>
  <si>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</si>
  <si>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</si>
  <si>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</si>
  <si>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</si>
  <si>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</si>
  <si>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</si>
  <si>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MDF18MM</t>
  </si>
  <si>
    <t>CONTADO</t>
  </si>
  <si>
    <t>FRANCIS</t>
  </si>
  <si>
    <t>+569 7212 6739</t>
  </si>
  <si>
    <t>CUB C/R R8</t>
  </si>
  <si>
    <t>GRANITO KOMBI BR</t>
  </si>
  <si>
    <t>N° 12075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</si>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</sst>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2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" fillId="3" borderId="4" xfId="0" applyFont="1" applyFill="1" applyBorder="1"/>
    <xf numFmtId="0" fontId="17" fillId="0" borderId="0" xfId="0" quotePrefix="1" applyFont="1" applyAlignment="1">
      <alignment horizontal="left"/>
    </xf>
    <xf numFmtId="3" fontId="3" fillId="0" borderId="0" xfId="0" applyNumberFormat="1" applyFont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PAGADA $ 194.247.-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2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53</xdr:row>
      <xdr:rowOff>0</xdr:rowOff>
    </xdr:from>
    <xdr:to>
      <xdr:col>2</xdr:col>
      <xdr:colOff>1019175</xdr:colOff>
      <xdr:row>53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0</xdr:rowOff>
    </xdr:from>
    <xdr:to>
      <xdr:col>3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0</xdr:rowOff>
    </xdr:from>
    <xdr:to>
      <xdr:col>4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0</xdr:rowOff>
    </xdr:from>
    <xdr:to>
      <xdr:col>5</xdr:col>
      <xdr:colOff>447675</xdr:colOff>
      <xdr:row>53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0</xdr:rowOff>
    </xdr:from>
    <xdr:to>
      <xdr:col>6</xdr:col>
      <xdr:colOff>0</xdr:colOff>
      <xdr:row>53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53</xdr:row>
      <xdr:rowOff>190500</xdr:rowOff>
    </xdr:from>
    <xdr:to>
      <xdr:col>2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53</xdr:row>
      <xdr:rowOff>190500</xdr:rowOff>
    </xdr:from>
    <xdr:to>
      <xdr:col>2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190500</xdr:rowOff>
    </xdr:from>
    <xdr:to>
      <xdr:col>3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190500</xdr:rowOff>
    </xdr:from>
    <xdr:to>
      <xdr:col>4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190500</xdr:rowOff>
    </xdr:from>
    <xdr:to>
      <xdr:col>5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190500</xdr:rowOff>
    </xdr:from>
    <xdr:to>
      <xdr:col>6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RESPALDO DE 4CM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56</xdr:row>
      <xdr:rowOff>32385</xdr:rowOff>
    </xdr:from>
    <xdr:to>
      <xdr:col>6</xdr:col>
      <xdr:colOff>19050</xdr:colOff>
      <xdr:row>60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RESPALDO DE 4CM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552208</xdr:colOff>
      <xdr:row>45</xdr:row>
      <xdr:rowOff>133350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554113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6" workbookViewId="0">
      <selection activeCell="D9" sqref="D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140</v>
      </c>
      <c r="E8" s="1"/>
      <c r="F8" s="93" t="s">
        <v>27</v>
      </c>
      <c r="G8" s="94">
        <v>7423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136</v>
      </c>
      <c r="D10" s="55"/>
      <c r="E10" s="55"/>
      <c r="F10" s="56" t="s">
        <v>28</v>
      </c>
      <c r="G10" s="57">
        <v>46114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10"/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130</v>
      </c>
      <c r="D12" s="43"/>
      <c r="E12" s="43"/>
      <c r="F12" s="43" t="s">
        <v>30</v>
      </c>
      <c r="G12" s="64">
        <v>2605</v>
      </c>
      <c r="H12" s="65"/>
      <c r="I12" s="1"/>
    </row>
    <row r="13" spans="1:17" ht="15.6" x14ac:dyDescent="0.3">
      <c r="A13" s="1"/>
      <c r="B13" s="63" t="s">
        <v>132</v>
      </c>
      <c r="C13" s="108"/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9" t="s">
        <v>137</v>
      </c>
      <c r="D14" s="66"/>
      <c r="E14" s="60"/>
      <c r="F14" s="60" t="s">
        <v>29</v>
      </c>
      <c r="G14" s="60" t="s">
        <v>133</v>
      </c>
      <c r="H14" s="62"/>
      <c r="I14" s="1"/>
    </row>
    <row r="15" spans="1:17" ht="15.6" x14ac:dyDescent="0.3">
      <c r="A15" s="1"/>
      <c r="B15" s="63" t="s">
        <v>1</v>
      </c>
      <c r="C15" s="97"/>
      <c r="D15" s="43"/>
      <c r="E15" s="43"/>
      <c r="F15" s="67" t="s">
        <v>75</v>
      </c>
      <c r="G15" s="67" t="s">
        <v>135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1">
        <v>1</v>
      </c>
      <c r="C21" s="101" t="s">
        <v>138</v>
      </c>
      <c r="D21" s="103">
        <v>2500</v>
      </c>
      <c r="E21" s="103">
        <v>500</v>
      </c>
      <c r="F21" s="101" t="s">
        <v>139</v>
      </c>
      <c r="G21" s="102">
        <v>77602</v>
      </c>
      <c r="H21" s="102">
        <f t="shared" ref="H21" si="0">G21*B21</f>
        <v>77602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1">
        <v>1</v>
      </c>
      <c r="C22" s="101" t="s">
        <v>138</v>
      </c>
      <c r="D22" s="103">
        <v>2700</v>
      </c>
      <c r="E22" s="103">
        <v>500</v>
      </c>
      <c r="F22" s="101" t="s">
        <v>139</v>
      </c>
      <c r="G22" s="102">
        <v>83618</v>
      </c>
      <c r="H22" s="102">
        <f>G22*B22</f>
        <v>83618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6"/>
      <c r="C23" s="106"/>
      <c r="D23" s="107"/>
      <c r="E23" s="107"/>
      <c r="F23" s="106"/>
      <c r="G23" s="75"/>
      <c r="H23" s="75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161220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30631.8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191851.8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96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4"/>
  <sheetViews>
    <sheetView tabSelected="1" topLeftCell="A39" zoomScaleNormal="100" workbookViewId="0">
      <selection activeCell="G39" sqref="A39:G62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7423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FRANCIS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134</v>
      </c>
      <c r="B14" s="25">
        <f t="shared" ref="B14" si="0">I14</f>
        <v>1</v>
      </c>
      <c r="C14" s="25"/>
      <c r="D14" s="25">
        <f>J14+$D$13</f>
        <v>2550</v>
      </c>
      <c r="E14" s="35">
        <f>K14+$E$13</f>
        <v>470</v>
      </c>
      <c r="F14" s="99" t="str">
        <f>C29</f>
        <v>CUB C/R R8</v>
      </c>
      <c r="G14" s="1"/>
      <c r="I14" s="89">
        <f t="shared" ref="I14:K15" si="1">I22</f>
        <v>1</v>
      </c>
      <c r="J14" s="4">
        <f t="shared" si="1"/>
        <v>2500</v>
      </c>
      <c r="K14" s="4">
        <f t="shared" si="1"/>
        <v>500</v>
      </c>
    </row>
    <row r="15" spans="1:14" ht="15.6" x14ac:dyDescent="0.3">
      <c r="A15" s="95"/>
      <c r="B15" s="25">
        <f t="shared" ref="B15" si="2">I15</f>
        <v>1</v>
      </c>
      <c r="C15" s="25"/>
      <c r="D15" s="25">
        <f>J15+$D$13</f>
        <v>2750</v>
      </c>
      <c r="E15" s="35">
        <f>K15+$E$13</f>
        <v>470</v>
      </c>
      <c r="F15" s="99" t="str">
        <f>C30</f>
        <v>CUB C/R R8</v>
      </c>
      <c r="G15" s="1"/>
      <c r="I15" s="89">
        <f t="shared" si="1"/>
        <v>1</v>
      </c>
      <c r="J15" s="4">
        <f t="shared" si="1"/>
        <v>2700</v>
      </c>
      <c r="K15" s="4">
        <f t="shared" si="1"/>
        <v>500</v>
      </c>
    </row>
    <row r="16" spans="1:14" ht="15.6" x14ac:dyDescent="0.3">
      <c r="A16" s="52"/>
      <c r="B16" s="6"/>
      <c r="C16" s="6"/>
      <c r="D16" s="6"/>
      <c r="E16" s="104"/>
      <c r="F16" s="6"/>
      <c r="G16" s="1"/>
      <c r="I16" s="89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9" t="s">
        <v>14</v>
      </c>
      <c r="B18" s="119"/>
      <c r="C18" s="119"/>
      <c r="D18" s="119"/>
      <c r="E18" s="119"/>
      <c r="F18" s="119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110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5"/>
      <c r="B22" s="16">
        <f t="shared" ref="B22" si="3">I22</f>
        <v>1</v>
      </c>
      <c r="C22" s="16"/>
      <c r="D22" s="16">
        <f>J22+D21</f>
        <v>2540</v>
      </c>
      <c r="E22" s="16">
        <f>K22+$E$21</f>
        <v>610</v>
      </c>
      <c r="F22" s="100" t="str">
        <f>C29</f>
        <v>CUB C/R R8</v>
      </c>
      <c r="G22" s="1"/>
      <c r="I22" s="3">
        <f>B29</f>
        <v>1</v>
      </c>
      <c r="J22" s="4">
        <f>D29</f>
        <v>2500</v>
      </c>
      <c r="K22" s="4">
        <f t="shared" ref="K22" si="4">E29</f>
        <v>500</v>
      </c>
    </row>
    <row r="23" spans="1:11" ht="15.6" x14ac:dyDescent="0.3">
      <c r="A23" s="95"/>
      <c r="B23" s="16">
        <f t="shared" ref="B23" si="5">I23</f>
        <v>1</v>
      </c>
      <c r="C23" s="16"/>
      <c r="D23" s="16">
        <f>J23+D21</f>
        <v>2740</v>
      </c>
      <c r="E23" s="16">
        <f>K23+$E$21</f>
        <v>610</v>
      </c>
      <c r="F23" s="100" t="str">
        <f>C30</f>
        <v>CUB C/R R8</v>
      </c>
      <c r="G23" s="1"/>
      <c r="I23" s="3">
        <f>B30</f>
        <v>1</v>
      </c>
      <c r="J23" s="4">
        <f>D30</f>
        <v>2700</v>
      </c>
      <c r="K23" s="4">
        <f t="shared" ref="K23" si="6">E30</f>
        <v>500</v>
      </c>
    </row>
    <row r="24" spans="1:11" ht="15.6" x14ac:dyDescent="0.3">
      <c r="A24" s="95"/>
      <c r="B24" s="6"/>
      <c r="C24" s="6"/>
      <c r="D24" s="6"/>
      <c r="E24" s="6"/>
      <c r="F24" s="105"/>
      <c r="G24" s="1"/>
      <c r="I24" s="89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5" t="s">
        <v>134</v>
      </c>
      <c r="B29" s="25">
        <f>'4637'!B21</f>
        <v>1</v>
      </c>
      <c r="C29" s="99" t="str">
        <f>'4637'!C21</f>
        <v>CUB C/R R8</v>
      </c>
      <c r="D29" s="25">
        <f>'4637'!D21</f>
        <v>2500</v>
      </c>
      <c r="E29" s="25">
        <f>'4637'!E21</f>
        <v>500</v>
      </c>
      <c r="F29" s="25" t="str">
        <f>'4637'!F21</f>
        <v>GRANITO KOMBI BR</v>
      </c>
      <c r="G29" s="1"/>
    </row>
    <row r="30" spans="1:11" ht="15.6" x14ac:dyDescent="0.3">
      <c r="A30" s="95"/>
      <c r="B30" s="25">
        <f>'4637'!B22</f>
        <v>1</v>
      </c>
      <c r="C30" s="99" t="str">
        <f>'4637'!C22</f>
        <v>CUB C/R R8</v>
      </c>
      <c r="D30" s="25">
        <f>'4637'!D22</f>
        <v>2700</v>
      </c>
      <c r="E30" s="25">
        <f>'4637'!E22</f>
        <v>500</v>
      </c>
      <c r="F30" s="25" t="str">
        <f>'4637'!F22</f>
        <v>GRANITO KOMBI BR</v>
      </c>
      <c r="G30" s="1"/>
    </row>
    <row r="31" spans="1:11" ht="15.6" x14ac:dyDescent="0.3">
      <c r="A31" s="95"/>
      <c r="B31" s="6"/>
      <c r="C31" s="105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 t="s">
        <v>141</v>
      </c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40" t="s">
        <v>27</v>
      </c>
      <c r="D41" s="14">
        <f>'4637'!G8</f>
        <v>7423</v>
      </c>
      <c r="E41" s="1"/>
      <c r="F41" s="1"/>
      <c r="G41" s="1"/>
    </row>
    <row r="42" spans="1:7" ht="17.25" customHeight="1" x14ac:dyDescent="0.3">
      <c r="A42" s="1"/>
      <c r="B42" s="1"/>
      <c r="C42" s="41" t="s">
        <v>67</v>
      </c>
      <c r="D42" s="42" t="str">
        <f>'4637'!C10</f>
        <v>FRANCIS</v>
      </c>
      <c r="E42" s="43"/>
      <c r="F42" s="43"/>
      <c r="G42" s="1"/>
    </row>
    <row r="43" spans="1:7" ht="4.5" customHeight="1" x14ac:dyDescent="0.3">
      <c r="A43" s="1"/>
      <c r="B43" s="1"/>
      <c r="C43" s="44"/>
      <c r="D43" s="45"/>
      <c r="E43" s="1"/>
      <c r="F43" s="1"/>
      <c r="G43" s="1"/>
    </row>
    <row r="44" spans="1:7" ht="15.6" x14ac:dyDescent="0.3">
      <c r="A44" s="1"/>
      <c r="B44" s="1"/>
      <c r="C44" s="46" t="str">
        <f>'4637'!F11</f>
        <v>FECHA LIMITE :</v>
      </c>
      <c r="D44" s="13">
        <f>'4637'!G11</f>
        <v>0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19" t="s">
        <v>68</v>
      </c>
      <c r="B47" s="119"/>
      <c r="C47" s="119"/>
      <c r="D47" s="119"/>
      <c r="E47" s="119"/>
      <c r="F47" s="119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20" t="s">
        <v>69</v>
      </c>
      <c r="C49" s="121"/>
      <c r="D49" s="122"/>
      <c r="E49" s="122"/>
      <c r="F49" s="123"/>
      <c r="G49" s="1"/>
    </row>
    <row r="50" spans="1:7" s="15" customFormat="1" ht="12.75" customHeight="1" x14ac:dyDescent="0.3">
      <c r="A50" s="1"/>
      <c r="B50" s="36" t="s">
        <v>10</v>
      </c>
      <c r="C50" s="47" t="s">
        <v>11</v>
      </c>
      <c r="D50" s="48" t="s">
        <v>7</v>
      </c>
      <c r="E50" s="48" t="s">
        <v>8</v>
      </c>
      <c r="F50" s="49" t="s">
        <v>12</v>
      </c>
      <c r="G50" s="1"/>
    </row>
    <row r="51" spans="1:7" s="15" customFormat="1" ht="15" customHeight="1" x14ac:dyDescent="0.3">
      <c r="A51" s="95" t="s">
        <v>134</v>
      </c>
      <c r="B51" s="38">
        <f>'4637'!B21</f>
        <v>1</v>
      </c>
      <c r="C51" s="98" t="str">
        <f>'4637'!C21</f>
        <v>CUB C/R R8</v>
      </c>
      <c r="D51" s="39">
        <f>'4637'!D21</f>
        <v>2500</v>
      </c>
      <c r="E51" s="39">
        <f>'4637'!E21</f>
        <v>500</v>
      </c>
      <c r="F51" s="38" t="str">
        <f>'4637'!F21</f>
        <v>GRANITO KOMBI BR</v>
      </c>
      <c r="G51" s="1"/>
    </row>
    <row r="52" spans="1:7" s="15" customFormat="1" ht="15" customHeight="1" x14ac:dyDescent="0.3">
      <c r="B52" s="38">
        <f>'4637'!B22</f>
        <v>1</v>
      </c>
      <c r="C52" s="98" t="str">
        <f>'4637'!C22</f>
        <v>CUB C/R R8</v>
      </c>
      <c r="D52" s="39">
        <f>'4637'!D22</f>
        <v>2700</v>
      </c>
      <c r="E52" s="39">
        <f>'4637'!E22</f>
        <v>500</v>
      </c>
      <c r="F52" s="38" t="str">
        <f>'4637'!F22</f>
        <v>GRANITO KOMBI BR</v>
      </c>
      <c r="G52" s="1"/>
    </row>
    <row r="53" spans="1:7" s="15" customFormat="1" ht="15" customHeight="1" x14ac:dyDescent="0.3">
      <c r="A53" s="50"/>
      <c r="B53" s="52"/>
      <c r="C53" s="52"/>
      <c r="D53" s="52"/>
      <c r="E53" s="52"/>
      <c r="F53" s="52"/>
      <c r="G53" s="1"/>
    </row>
    <row r="54" spans="1:7" ht="15.6" x14ac:dyDescent="0.3">
      <c r="A54" s="6"/>
      <c r="B54" s="6"/>
      <c r="C54" s="1"/>
      <c r="D54" s="6"/>
      <c r="E54" s="6"/>
      <c r="F54" s="44"/>
      <c r="G54" s="1"/>
    </row>
    <row r="55" spans="1:7" ht="15.6" x14ac:dyDescent="0.3">
      <c r="A55" s="6"/>
      <c r="B55" s="6"/>
      <c r="C55" s="1"/>
      <c r="D55" s="6"/>
      <c r="E55" s="6"/>
      <c r="F55" s="6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" customHeight="1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6"/>
      <c r="B61" s="5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x14ac:dyDescent="0.3">
      <c r="B63" s="20"/>
      <c r="C63" s="20"/>
      <c r="D63" s="20"/>
      <c r="E63" s="20"/>
      <c r="F63" s="20"/>
    </row>
    <row r="64" spans="1:7" x14ac:dyDescent="0.3">
      <c r="B64" s="20"/>
      <c r="C64" s="20"/>
      <c r="E64" s="20"/>
      <c r="F64" s="20"/>
    </row>
  </sheetData>
  <mergeCells count="6">
    <mergeCell ref="M3:N3"/>
    <mergeCell ref="A18:F18"/>
    <mergeCell ref="A10:F10"/>
    <mergeCell ref="A47:F47"/>
    <mergeCell ref="B49:F4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2026-04-02T13:57:11Z</cp:lastPrinted>
  <dcterms:created xsi:type="dcterms:W3CDTF">2013-03-19T12:54:14Z</dcterms:created>
  <dcterms:modified xsi:type="dcterms:W3CDTF">2026-04-02T14:36:23Z</dcterms:modified>
</cp:coreProperties>
</file>