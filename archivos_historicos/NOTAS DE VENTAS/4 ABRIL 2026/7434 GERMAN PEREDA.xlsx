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DAAA7338-EF2B-4DE3-8793-4FAB12F320C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4" i="4"/>
  <c r="K24" i="4"/>
  <c r="H21" i="4" l="1"/>
  <c r="B26" i="3" l="1"/>
  <c r="I21" i="3" s="1"/>
  <c r="I14" i="3" s="1"/>
  <c r="B14" i="3" s="1"/>
  <c r="C26" i="3"/>
  <c r="F14" i="3" s="1"/>
  <c r="D26" i="3"/>
  <c r="J21" i="3" s="1"/>
  <c r="D21" i="3" s="1"/>
  <c r="E26" i="3"/>
  <c r="F26" i="3"/>
  <c r="B47" i="3"/>
  <c r="C47" i="3"/>
  <c r="D47" i="3"/>
  <c r="E47" i="3"/>
  <c r="F47" i="3"/>
  <c r="K21" i="3" l="1"/>
  <c r="J14" i="3"/>
  <c r="D14" i="3" s="1"/>
  <c r="B21" i="3"/>
  <c r="F21" i="3"/>
  <c r="K14" i="3" l="1"/>
  <c r="E14" i="3" s="1"/>
  <c r="E21" i="3"/>
  <c r="H25" i="4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<sst xmlns="http://schemas.openxmlformats.org/spreadsheetml/2006/main" count="244" uniqueCount="141">
  <si>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</si>
  <si>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</si>
  <si>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</si>
  <si>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</si>
  <si>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</si>
  <si>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</si>
  <si>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</si>
  <si>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</si>
  <si>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</si>
  <si>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</si>
  <si>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</si>
  <si>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</si>
  <si>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</si>
  <si>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</si>
  <si>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</si>
  <si>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</si>
  <si>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</si>
  <si>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</si>
  <si>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</si>
  <si>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</si>
  <si>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</si>
  <si>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</si>
  <si>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</si>
  <si>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</si>
  <si>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</si>
  <si>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</si>
  <si>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</si>
  <si>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</si>
  <si>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</si>
  <si>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</si>
  <si>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</si>
  <si>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</si>
  <si>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</si>
  <si>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</si>
  <si>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</si>
  <si>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</si>
  <si>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</si>
  <si>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</si>
  <si>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</si>
  <si>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</si>
  <si>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</si>
  <si>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</si>
  <si>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</si>
  <si>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</si>
  <si>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</si>
  <si>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</si>
  <si>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</si>
  <si>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</si>
  <si>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</si>
  <si>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</si>
  <si>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</si>
  <si>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</si>
  <si>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</si>
  <si>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</si>
  <si>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</si>
  <si>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</si>
  <si>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</si>
  <si>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</si>
  <si>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</si>
  <si>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</si>
  <si>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</si>
  <si>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</si>
  <si>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</si>
  <si>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</si>
  <si>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</si>
  <si>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</si>
  <si>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</si>
  <si>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</si>
  <si>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</si>
  <si>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</si>
  <si>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</si>
  <si>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</si>
  <si>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</si>
  <si>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</si>
  <si>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</si>
  <si>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</si>
  <si>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</si>
  <si>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</si>
  <si>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</si>
  <si>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</si>
  <si>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</si>
  <si>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</si>
  <si>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</si>
  <si>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</si>
  <si>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</si>
  <si>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</si>
  <si>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</si>
  <si>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</si>
  <si>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</si>
  <si>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</si>
  <si>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</si>
  <si>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</si>
  <si>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</si>
  <si>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</si>
  <si>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</si>
  <si>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</si>
  <si>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</si>
  <si>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</si>
  <si>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</si>
  <si>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</si>
  <si>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</si>
  <si>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</si>
  <si>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</si>
  <si>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</si>
  <si>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</si>
  <si>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</si>
  <si>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</si>
  <si>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</si>
  <si>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</si>
  <si>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</si>
  <si>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</si>
  <si>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</si>
  <si>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</si>
  <si>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</si>
  <si>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</si>
  <si>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</si>
  <si>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</si>
  <si>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</si>
  <si>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</si>
  <si>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</si>
  <si>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</si>
  <si>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</si>
  <si>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</si>
  <si>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</si>
  <si>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</si>
  <si>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</si>
  <si>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</si>
  <si>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</si>
  <si>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</si>
  <si>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</si>
  <si>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</si>
  <si>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</si>
  <si>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</si>
  <si>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</si>
  <si>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</si>
  <si>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</si>
  <si>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 xml:space="preserve"> </t>
  </si>
  <si>
    <t>N° 12093</t>
  </si>
  <si>
    <t xml:space="preserve">VAINILLA 2109 </t>
  </si>
  <si>
    <t>CUB MESA 4L 180°</t>
  </si>
  <si>
    <t>GERMAN PEREDA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</si>
</sst>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1609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28575</xdr:colOff>
      <xdr:row>51</xdr:row>
      <xdr:rowOff>32385</xdr:rowOff>
    </xdr:from>
    <xdr:to>
      <xdr:col>6</xdr:col>
      <xdr:colOff>26670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217295" y="96031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556018</xdr:colOff>
      <xdr:row>41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1.33203125" bestFit="1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7434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46121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7"/>
      <c r="D11" s="60"/>
      <c r="E11" s="60"/>
      <c r="F11" s="60" t="s">
        <v>124</v>
      </c>
      <c r="G11" s="61">
        <v>46127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5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/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8">
        <v>1</v>
      </c>
      <c r="C21" s="109" t="s">
        <v>139</v>
      </c>
      <c r="D21" s="110">
        <v>2400</v>
      </c>
      <c r="E21" s="110">
        <v>1200</v>
      </c>
      <c r="F21" s="109" t="s">
        <v>138</v>
      </c>
      <c r="G21" s="111">
        <v>42019</v>
      </c>
      <c r="H21" s="112">
        <f t="shared" ref="H21" si="0">G21*B21</f>
        <v>42019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H21</f>
        <v>42019</v>
      </c>
      <c r="I24" s="1"/>
      <c r="K24">
        <f>109900/1.19</f>
        <v>92352.941176470587</v>
      </c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7983.61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50002.61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abSelected="1" topLeftCell="A35" zoomScaleNormal="100" workbookViewId="0">
      <selection activeCell="I49" sqref="I4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7434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GERMAN PEREDA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46127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0</v>
      </c>
      <c r="E13" s="32">
        <v>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2400</v>
      </c>
      <c r="E14" s="35">
        <f>K14+$E$13</f>
        <v>1200</v>
      </c>
      <c r="F14" s="99" t="str">
        <f>C26</f>
        <v>CUB MESA 4L 180°</v>
      </c>
      <c r="G14" s="1"/>
      <c r="I14" s="89">
        <f>I21</f>
        <v>1</v>
      </c>
      <c r="J14" s="4">
        <f>J21</f>
        <v>2400</v>
      </c>
      <c r="K14" s="4">
        <f>K21</f>
        <v>1200</v>
      </c>
    </row>
    <row r="15" spans="1:14" ht="15.6" x14ac:dyDescent="0.3">
      <c r="A15" s="52"/>
      <c r="B15" s="6"/>
      <c r="C15" s="6"/>
      <c r="D15" s="6"/>
      <c r="E15" s="101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4" t="s">
        <v>14</v>
      </c>
      <c r="B17" s="114"/>
      <c r="C17" s="114"/>
      <c r="D17" s="114"/>
      <c r="E17" s="114"/>
      <c r="F17" s="11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150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J21+D20</f>
        <v>2550</v>
      </c>
      <c r="E21" s="16">
        <f>K21+$E$20</f>
        <v>1350</v>
      </c>
      <c r="F21" s="100" t="str">
        <f>C26</f>
        <v>CUB MESA 4L 180°</v>
      </c>
      <c r="G21" s="1"/>
      <c r="I21" s="3">
        <f>B26</f>
        <v>1</v>
      </c>
      <c r="J21" s="4">
        <f>D26</f>
        <v>2400</v>
      </c>
      <c r="K21" s="4">
        <f t="shared" ref="K21" si="2">E26</f>
        <v>1200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134</v>
      </c>
      <c r="B26" s="25">
        <f>'4637'!B21</f>
        <v>1</v>
      </c>
      <c r="C26" s="99" t="str">
        <f>'4637'!C21</f>
        <v>CUB MESA 4L 180°</v>
      </c>
      <c r="D26" s="25">
        <f>'4637'!D21</f>
        <v>2400</v>
      </c>
      <c r="E26" s="25">
        <f>'4637'!E21</f>
        <v>1200</v>
      </c>
      <c r="F26" s="25" t="str">
        <f>'4637'!F21</f>
        <v xml:space="preserve">VAINILLA 2109 </v>
      </c>
      <c r="G26" s="1"/>
    </row>
    <row r="27" spans="1:11" ht="15.6" x14ac:dyDescent="0.3">
      <c r="A27" s="95"/>
      <c r="B27" s="6"/>
      <c r="C27" s="102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 t="s">
        <v>136</v>
      </c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40" t="s">
        <v>27</v>
      </c>
      <c r="D37" s="14">
        <f>'4637'!G8</f>
        <v>7434</v>
      </c>
      <c r="E37" s="1"/>
      <c r="F37" s="1"/>
      <c r="G37" s="1"/>
    </row>
    <row r="38" spans="1:7" ht="17.25" customHeight="1" x14ac:dyDescent="0.3">
      <c r="A38" s="1"/>
      <c r="B38" s="1"/>
      <c r="C38" s="41" t="s">
        <v>67</v>
      </c>
      <c r="D38" s="42" t="str">
        <f>'4637'!C10</f>
        <v>GERMAN PEREDA</v>
      </c>
      <c r="E38" s="43"/>
      <c r="F38" s="43"/>
      <c r="G38" s="1"/>
    </row>
    <row r="39" spans="1:7" ht="4.5" customHeight="1" x14ac:dyDescent="0.3">
      <c r="A39" s="1"/>
      <c r="B39" s="1"/>
      <c r="C39" s="44"/>
      <c r="D39" s="45"/>
      <c r="E39" s="1"/>
      <c r="F39" s="1"/>
      <c r="G39" s="1"/>
    </row>
    <row r="40" spans="1:7" ht="15.6" x14ac:dyDescent="0.3">
      <c r="A40" s="1"/>
      <c r="B40" s="1"/>
      <c r="C40" s="46" t="str">
        <f>'4637'!F11</f>
        <v>FECHA LIMITE :</v>
      </c>
      <c r="D40" s="13">
        <f>'4637'!G11</f>
        <v>46127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4" t="s">
        <v>68</v>
      </c>
      <c r="B43" s="114"/>
      <c r="C43" s="114"/>
      <c r="D43" s="114"/>
      <c r="E43" s="114"/>
      <c r="F43" s="114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15" t="s">
        <v>69</v>
      </c>
      <c r="C45" s="116"/>
      <c r="D45" s="117"/>
      <c r="E45" s="117"/>
      <c r="F45" s="118"/>
      <c r="G45" s="1"/>
    </row>
    <row r="46" spans="1:7" s="15" customFormat="1" ht="12.75" customHeight="1" x14ac:dyDescent="0.3">
      <c r="A46" s="1"/>
      <c r="B46" s="36" t="s">
        <v>10</v>
      </c>
      <c r="C46" s="47" t="s">
        <v>11</v>
      </c>
      <c r="D46" s="48" t="s">
        <v>7</v>
      </c>
      <c r="E46" s="48" t="s">
        <v>8</v>
      </c>
      <c r="F46" s="49" t="s">
        <v>12</v>
      </c>
      <c r="G46" s="1"/>
    </row>
    <row r="47" spans="1:7" s="15" customFormat="1" ht="15" customHeight="1" x14ac:dyDescent="0.3">
      <c r="A47" s="95" t="s">
        <v>134</v>
      </c>
      <c r="B47" s="38">
        <f>'4637'!B21</f>
        <v>1</v>
      </c>
      <c r="C47" s="98" t="str">
        <f>'4637'!C21</f>
        <v>CUB MESA 4L 180°</v>
      </c>
      <c r="D47" s="39">
        <f>'4637'!D21</f>
        <v>2400</v>
      </c>
      <c r="E47" s="39">
        <f>'4637'!E21</f>
        <v>1200</v>
      </c>
      <c r="F47" s="38" t="str">
        <f>'4637'!F21</f>
        <v xml:space="preserve">VAINILLA 2109 </v>
      </c>
      <c r="G47" s="1"/>
    </row>
    <row r="48" spans="1:7" s="15" customFormat="1" ht="15" customHeight="1" x14ac:dyDescent="0.3">
      <c r="A48" s="50"/>
      <c r="B48" s="52"/>
      <c r="C48" s="52"/>
      <c r="D48" s="52"/>
      <c r="E48" s="52"/>
      <c r="F48" s="52"/>
      <c r="G48" s="1"/>
    </row>
    <row r="49" spans="1:7" ht="15.6" x14ac:dyDescent="0.3">
      <c r="A49" s="6"/>
      <c r="B49" s="6"/>
      <c r="C49" s="1"/>
      <c r="D49" s="6"/>
      <c r="E49" s="6"/>
      <c r="F49" s="44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2026-04-14T15:01:58Z</cp:lastPrinted>
  <dcterms:created xsi:type="dcterms:W3CDTF">2013-03-19T12:54:14Z</dcterms:created>
  <dcterms:modified xsi:type="dcterms:W3CDTF">2026-04-15T12:46:31Z</dcterms:modified>
</cp:coreProperties>
</file>