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913D527A-8B63-478F-B840-6C2AD4669705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K24" i="4"/>
  <c r="H21" i="4" l="1"/>
  <c r="B27" i="3" l="1"/>
  <c r="I21" i="3" s="1"/>
  <c r="I14" i="3" s="1"/>
  <c r="B14" i="3" s="1"/>
  <c r="C27" i="3"/>
  <c r="F14" i="3" s="1"/>
  <c r="D27" i="3"/>
  <c r="J21" i="3" s="1"/>
  <c r="D21" i="3" s="1"/>
  <c r="E27" i="3"/>
  <c r="F27" i="3"/>
  <c r="B48" i="3"/>
  <c r="C48" i="3"/>
  <c r="D48" i="3"/>
  <c r="E48" i="3"/>
  <c r="F48" i="3"/>
  <c r="K21" i="3" l="1"/>
  <c r="J14" i="3"/>
  <c r="D14" i="3" s="1"/>
  <c r="B21" i="3"/>
  <c r="F21" i="3"/>
  <c r="K14" i="3" l="1"/>
  <c r="E14" i="3" s="1"/>
  <c r="E21" i="3"/>
  <c r="H25" i="4"/>
  <c r="H26" i="4" s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<sst xmlns="http://schemas.openxmlformats.org/spreadsheetml/2006/main" count="245" uniqueCount="142">
  <si>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</si>
  <si>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</si>
  <si>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</si>
  <si>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</si>
  <si>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</si>
  <si>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</si>
  <si>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</si>
  <si>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</si>
  <si>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</si>
  <si>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</si>
  <si>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</si>
  <si>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</si>
  <si>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</si>
  <si>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</si>
  <si>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</si>
  <si>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</si>
  <si>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</si>
  <si>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</si>
  <si>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</si>
  <si>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</si>
  <si>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</si>
  <si>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</si>
  <si>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</si>
  <si>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</si>
  <si>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</si>
  <si>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</si>
  <si>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</si>
  <si>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</si>
  <si>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</si>
  <si>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</si>
  <si>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</si>
  <si>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</si>
  <si>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</si>
  <si>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</si>
  <si>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</si>
  <si>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</si>
  <si>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</si>
  <si>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</si>
  <si>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</si>
  <si>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</si>
  <si>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</si>
  <si>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</si>
  <si>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</si>
  <si>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</si>
  <si>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</si>
  <si>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</si>
  <si>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</si>
  <si>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</si>
  <si>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</si>
  <si>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</si>
  <si>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</si>
  <si>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</si>
  <si>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</si>
  <si>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</si>
  <si>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</si>
  <si>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</si>
  <si>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</si>
  <si>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</si>
  <si>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</si>
  <si>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</si>
  <si>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</si>
  <si>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</si>
  <si>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</si>
  <si>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</si>
  <si>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</si>
  <si>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</si>
  <si>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</si>
  <si>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</si>
  <si>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</si>
  <si>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</si>
  <si>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</si>
  <si>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</si>
  <si>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</si>
  <si>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</si>
  <si>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</si>
  <si>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</si>
  <si>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</si>
  <si>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</si>
  <si>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</si>
  <si>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</si>
  <si>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</si>
  <si>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</si>
  <si>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</si>
  <si>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</si>
  <si>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</si>
  <si>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</si>
  <si>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</si>
  <si>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</si>
  <si>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</si>
  <si>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</si>
  <si>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</si>
  <si>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</si>
  <si>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</si>
  <si>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</si>
  <si>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</si>
  <si>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</si>
  <si>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</si>
  <si>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</si>
  <si>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</si>
  <si>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</si>
  <si>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</si>
  <si>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</si>
  <si>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</si>
  <si>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</si>
  <si>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</si>
  <si>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</si>
  <si>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</si>
  <si>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</si>
  <si>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</si>
  <si>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</si>
  <si>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</si>
  <si>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</si>
  <si>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</si>
  <si>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</si>
  <si>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</si>
  <si>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</si>
  <si>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</si>
  <si>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</si>
  <si>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</si>
  <si>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</si>
  <si>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</si>
  <si>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</si>
  <si>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</si>
  <si>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</si>
  <si>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</si>
  <si>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</si>
  <si>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</si>
  <si>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</si>
  <si>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</si>
  <si>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</si>
  <si>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</si>
  <si>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</si>
  <si>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</si>
  <si>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</si>
  <si>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</si>
  <si>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</si>
  <si>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CUB C/R R8</t>
  </si>
  <si>
    <t xml:space="preserve"> </t>
  </si>
  <si>
    <t>BLANCO 2112 MT</t>
  </si>
  <si>
    <t>MARCELO VERA</t>
  </si>
  <si>
    <t>+569 7389 9579</t>
  </si>
  <si>
    <t>N° 10004W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</si>
</sst>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$ 109.900</a:t>
          </a:r>
          <a:r>
            <a:rPr lang="es-CL" sz="900" b="1" i="1" baseline="0"/>
            <a:t> + $10.000 DESPACHO A VARGAS BUSTON 1046, SAN MIGUEL.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4CM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4CM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552208</xdr:colOff>
      <xdr:row>42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15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7423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46118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10"/>
      <c r="D11" s="60"/>
      <c r="E11" s="60"/>
      <c r="F11" s="60" t="s">
        <v>124</v>
      </c>
      <c r="G11" s="61">
        <v>46121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8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140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136</v>
      </c>
      <c r="D21" s="103">
        <v>3000</v>
      </c>
      <c r="E21" s="103">
        <v>600</v>
      </c>
      <c r="F21" s="101" t="s">
        <v>138</v>
      </c>
      <c r="G21" s="102">
        <v>77602</v>
      </c>
      <c r="H21" s="102">
        <f t="shared" ref="H21" si="0">G21*B21</f>
        <v>77602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K24</f>
        <v>92352.941176470587</v>
      </c>
      <c r="I24" s="1"/>
      <c r="K24">
        <f>109900/1.19</f>
        <v>92352.941176470587</v>
      </c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17547.058823529413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109900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opLeftCell="A39" zoomScaleNormal="100" workbookViewId="0">
      <selection activeCell="G37" sqref="A37:G58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40" t="s">
        <v>27</v>
      </c>
      <c r="D4" s="14">
        <f>'4637'!G8</f>
        <v>7423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MARCELO VERA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3050</v>
      </c>
      <c r="E14" s="35">
        <f>K14+$E$13</f>
        <v>570</v>
      </c>
      <c r="F14" s="99" t="str">
        <f>C27</f>
        <v>CUB C/R R8</v>
      </c>
      <c r="G14" s="1"/>
      <c r="I14" s="89">
        <f t="shared" ref="I14:K14" si="1">I21</f>
        <v>1</v>
      </c>
      <c r="J14" s="4">
        <f t="shared" si="1"/>
        <v>3000</v>
      </c>
      <c r="K14" s="4">
        <f t="shared" si="1"/>
        <v>600</v>
      </c>
    </row>
    <row r="15" spans="1:14" ht="15.6" x14ac:dyDescent="0.3">
      <c r="A15" s="52"/>
      <c r="B15" s="6"/>
      <c r="C15" s="6"/>
      <c r="D15" s="6"/>
      <c r="E15" s="104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2" t="s">
        <v>14</v>
      </c>
      <c r="B17" s="112"/>
      <c r="C17" s="112"/>
      <c r="D17" s="112"/>
      <c r="E17" s="112"/>
      <c r="F17" s="11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110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J21+D20</f>
        <v>3040</v>
      </c>
      <c r="E21" s="16">
        <f>K21+$E$20</f>
        <v>710</v>
      </c>
      <c r="F21" s="100" t="str">
        <f>C27</f>
        <v>CUB C/R R8</v>
      </c>
      <c r="G21" s="1"/>
      <c r="I21" s="3">
        <f>B27</f>
        <v>1</v>
      </c>
      <c r="J21" s="4">
        <f>D27</f>
        <v>3000</v>
      </c>
      <c r="K21" s="4">
        <f t="shared" ref="K21" si="3">E27</f>
        <v>600</v>
      </c>
    </row>
    <row r="22" spans="1:11" ht="15.6" x14ac:dyDescent="0.3">
      <c r="A22" s="95"/>
      <c r="B22" s="6"/>
      <c r="C22" s="6"/>
      <c r="D22" s="6"/>
      <c r="E22" s="6"/>
      <c r="F22" s="105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134</v>
      </c>
      <c r="B27" s="25">
        <f>'4637'!B21</f>
        <v>1</v>
      </c>
      <c r="C27" s="99" t="str">
        <f>'4637'!C21</f>
        <v>CUB C/R R8</v>
      </c>
      <c r="D27" s="25">
        <f>'4637'!D21</f>
        <v>3000</v>
      </c>
      <c r="E27" s="25">
        <f>'4637'!E21</f>
        <v>600</v>
      </c>
      <c r="F27" s="25" t="str">
        <f>'4637'!F21</f>
        <v>BLANCO 2112 MT</v>
      </c>
      <c r="G27" s="1"/>
    </row>
    <row r="28" spans="1:11" ht="15.6" x14ac:dyDescent="0.3">
      <c r="A28" s="95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 t="s">
        <v>137</v>
      </c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7423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MARCELO VERA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46121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2" t="s">
        <v>68</v>
      </c>
      <c r="B44" s="112"/>
      <c r="C44" s="112"/>
      <c r="D44" s="112"/>
      <c r="E44" s="112"/>
      <c r="F44" s="11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69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134</v>
      </c>
      <c r="B48" s="38">
        <f>'4637'!B21</f>
        <v>1</v>
      </c>
      <c r="C48" s="98" t="str">
        <f>'4637'!C21</f>
        <v>CUB C/R R8</v>
      </c>
      <c r="D48" s="39">
        <f>'4637'!D21</f>
        <v>3000</v>
      </c>
      <c r="E48" s="39">
        <f>'4637'!E21</f>
        <v>600</v>
      </c>
      <c r="F48" s="38" t="str">
        <f>'4637'!F21</f>
        <v>BLANCO 2112 MT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2026-04-06T15:45:02Z</cp:lastPrinted>
  <dcterms:created xsi:type="dcterms:W3CDTF">2013-03-19T12:54:14Z</dcterms:created>
  <dcterms:modified xsi:type="dcterms:W3CDTF">2026-04-06T15:45:09Z</dcterms:modified>
</cp:coreProperties>
</file>