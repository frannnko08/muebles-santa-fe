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4 ABRIL 2026\"/>
    </mc:Choice>
  </mc:AlternateContent>
  <xr:revisionPtr revIDLastSave="0" documentId="13_ncr:1_{BDF043EE-8B0E-47AC-B9E7-6018836AAE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3" l="1"/>
  <c r="D14" i="3"/>
  <c r="H21" i="4" l="1"/>
  <c r="B27" i="3" l="1"/>
  <c r="I21" i="3" s="1"/>
  <c r="I14" i="3" s="1"/>
  <c r="B14" i="3" s="1"/>
  <c r="C27" i="3"/>
  <c r="F14" i="3" s="1"/>
  <c r="D27" i="3"/>
  <c r="J21" i="3" s="1"/>
  <c r="E27" i="3"/>
  <c r="F27" i="3"/>
  <c r="B48" i="3"/>
  <c r="C48" i="3"/>
  <c r="D48" i="3"/>
  <c r="E48" i="3"/>
  <c r="F48" i="3"/>
  <c r="H24" i="4"/>
  <c r="K21" i="3" l="1"/>
  <c r="K14" i="3" s="1"/>
  <c r="E14" i="3" s="1"/>
  <c r="J14" i="3"/>
  <c r="B21" i="3"/>
  <c r="F21" i="3"/>
  <c r="H25" i="4" l="1"/>
  <c r="H26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<sst xmlns="http://schemas.openxmlformats.org/spreadsheetml/2006/main" count="246" uniqueCount="143">
  <si>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</si>
  <si>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</si>
  <si>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</si>
  <si>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</si>
  <si>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</si>
  <si>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</si>
  <si>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</si>
  <si>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</si>
  <si>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</si>
  <si>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</si>
  <si>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</si>
  <si>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</si>
  <si>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</si>
  <si>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</si>
  <si>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</si>
  <si>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</si>
  <si>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</si>
  <si>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</si>
  <si>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</si>
  <si>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</si>
  <si>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</si>
  <si>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</si>
  <si>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</si>
  <si>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</si>
  <si>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</si>
  <si>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</si>
  <si>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</si>
  <si>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</si>
  <si>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</si>
  <si>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</si>
  <si>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</si>
  <si>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</si>
  <si>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</si>
  <si>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</si>
  <si>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</si>
  <si>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</si>
  <si>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</si>
  <si>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</si>
  <si>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</si>
  <si>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</si>
  <si>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</si>
  <si>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</si>
  <si>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</si>
  <si>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</si>
  <si>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</si>
  <si>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</si>
  <si>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</si>
  <si>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</si>
  <si>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</si>
  <si>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</si>
  <si>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</si>
  <si>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</si>
  <si>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</si>
  <si>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</si>
  <si>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</si>
  <si>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</si>
  <si>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</si>
  <si>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</si>
  <si>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</si>
  <si>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</si>
  <si>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</si>
  <si>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</si>
  <si>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</si>
  <si>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</si>
  <si>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</si>
  <si>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</si>
  <si>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</si>
  <si>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</si>
  <si>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</si>
  <si>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</si>
  <si>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</si>
  <si>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</si>
  <si>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</si>
  <si>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</si>
  <si>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</si>
  <si>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</si>
  <si>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</si>
  <si>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</si>
  <si>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</si>
  <si>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</si>
  <si>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</si>
  <si>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</si>
  <si>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</si>
  <si>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</si>
  <si>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</si>
  <si>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</si>
  <si>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</si>
  <si>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</si>
  <si>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</si>
  <si>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</si>
  <si>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</si>
  <si>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</si>
  <si>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</si>
  <si>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</si>
  <si>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</si>
  <si>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</si>
  <si>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</si>
  <si>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</si>
  <si>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</si>
  <si>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</si>
  <si>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</si>
  <si>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</si>
  <si>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</si>
  <si>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</si>
  <si>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</si>
  <si>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</si>
  <si>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</si>
  <si>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</si>
  <si>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</si>
  <si>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</si>
  <si>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</si>
  <si>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</si>
  <si>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</si>
  <si>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</si>
  <si>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</si>
  <si>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</si>
  <si>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</si>
  <si>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</si>
  <si>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</si>
  <si>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</si>
  <si>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</si>
  <si>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</si>
  <si>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</si>
  <si>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</si>
  <si>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</si>
  <si>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</si>
  <si>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</si>
  <si>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</si>
  <si>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</si>
  <si>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</si>
  <si>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</si>
  <si>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</si>
  <si>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</si>
  <si>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</si>
  <si>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MDF18MM</t>
  </si>
  <si>
    <t>CONTADO</t>
  </si>
  <si>
    <t>DHOME DESIGN SPA</t>
  </si>
  <si>
    <t>NAIROBI</t>
  </si>
  <si>
    <t>569 8466 2944</t>
  </si>
  <si>
    <t>CUB C/R R12</t>
  </si>
  <si>
    <t>PP-5862 BR</t>
  </si>
  <si>
    <t>N° 12069</t>
  </si>
  <si>
    <t>77.855.367-8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</si>
</sst>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2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" fillId="3" borderId="4" xfId="0" applyFont="1" applyFill="1" applyBorder="1"/>
    <xf numFmtId="0" fontId="17" fillId="0" borderId="0" xfId="0" quotePrefix="1" applyFont="1" applyAlignment="1">
      <alignment horizontal="left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3" fontId="3" fillId="0" borderId="0" xfId="0" applyNumberFormat="1" applyFont="1"/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PAGADA $ 194.247.-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OBSERVACIONES:RESPALDO DE 30 CMS SOBRE LA BASE COMPLEMENTADO SEGUN DIBUJO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RESPALDO COMPLEMENTO DE 30 SOBRE LA BASE, SEGUN DIBUJO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565543</xdr:colOff>
      <xdr:row>42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544588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topLeftCell="A6" workbookViewId="0">
      <selection activeCell="D14" sqref="D1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141</v>
      </c>
      <c r="E8" s="1"/>
      <c r="F8" s="93" t="s">
        <v>27</v>
      </c>
      <c r="G8" s="94">
        <v>7422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136</v>
      </c>
      <c r="D10" s="55"/>
      <c r="E10" s="55"/>
      <c r="F10" s="56" t="s">
        <v>28</v>
      </c>
      <c r="G10" s="57">
        <v>46114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24" t="s">
        <v>142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130</v>
      </c>
      <c r="D12" s="43"/>
      <c r="E12" s="43"/>
      <c r="F12" s="43" t="s">
        <v>30</v>
      </c>
      <c r="G12" s="64">
        <v>2605</v>
      </c>
      <c r="H12" s="65"/>
      <c r="I12" s="1"/>
    </row>
    <row r="13" spans="1:17" ht="15.6" x14ac:dyDescent="0.3">
      <c r="A13" s="1"/>
      <c r="B13" s="63" t="s">
        <v>132</v>
      </c>
      <c r="C13" s="109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10" t="s">
        <v>138</v>
      </c>
      <c r="D14" s="66"/>
      <c r="E14" s="60"/>
      <c r="F14" s="60" t="s">
        <v>29</v>
      </c>
      <c r="G14" s="60" t="s">
        <v>133</v>
      </c>
      <c r="H14" s="62"/>
      <c r="I14" s="1"/>
    </row>
    <row r="15" spans="1:17" ht="15.6" x14ac:dyDescent="0.3">
      <c r="A15" s="1"/>
      <c r="B15" s="63" t="s">
        <v>1</v>
      </c>
      <c r="C15" s="97"/>
      <c r="D15" s="43"/>
      <c r="E15" s="43"/>
      <c r="F15" s="67" t="s">
        <v>75</v>
      </c>
      <c r="G15" s="67" t="s">
        <v>135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7" t="s">
        <v>18</v>
      </c>
      <c r="G16" s="117"/>
      <c r="H16" s="118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9" t="s">
        <v>19</v>
      </c>
      <c r="C19" s="120"/>
      <c r="D19" s="120"/>
      <c r="E19" s="120"/>
      <c r="F19" s="120"/>
      <c r="G19" s="120"/>
      <c r="H19" s="121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1">
        <v>1</v>
      </c>
      <c r="C21" s="101" t="s">
        <v>139</v>
      </c>
      <c r="D21" s="103">
        <v>1520</v>
      </c>
      <c r="E21" s="103">
        <v>800</v>
      </c>
      <c r="F21" s="101" t="s">
        <v>140</v>
      </c>
      <c r="G21" s="102">
        <v>163233</v>
      </c>
      <c r="H21" s="102">
        <f t="shared" ref="H21" si="0">G21*B21</f>
        <v>163233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7"/>
      <c r="C22" s="107"/>
      <c r="D22" s="108"/>
      <c r="E22" s="108"/>
      <c r="F22" s="107"/>
      <c r="G22" s="75"/>
      <c r="H22" s="75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163233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31014.27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194247.27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6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2" t="s">
        <v>31</v>
      </c>
      <c r="C2" s="122"/>
      <c r="D2" s="122"/>
      <c r="E2" s="18"/>
      <c r="G2" s="122" t="s">
        <v>70</v>
      </c>
      <c r="H2" s="122"/>
      <c r="I2" s="122"/>
      <c r="P2" s="123" t="s">
        <v>58</v>
      </c>
      <c r="Q2" s="123"/>
      <c r="R2" s="123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3" t="s">
        <v>58</v>
      </c>
      <c r="M8" s="123"/>
      <c r="N8" s="123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zoomScaleNormal="100" workbookViewId="0">
      <selection activeCell="D22" sqref="D22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1" t="s">
        <v>61</v>
      </c>
      <c r="L3" s="111"/>
      <c r="M3" s="111" t="s">
        <v>14</v>
      </c>
      <c r="N3" s="111"/>
    </row>
    <row r="4" spans="1:14" ht="15.75" customHeight="1" x14ac:dyDescent="0.3">
      <c r="A4" s="1"/>
      <c r="B4" s="1"/>
      <c r="C4" s="40" t="s">
        <v>27</v>
      </c>
      <c r="D4" s="14">
        <f>'4637'!G8</f>
        <v>7422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DHOME DESIGN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2" t="s">
        <v>61</v>
      </c>
      <c r="B10" s="112"/>
      <c r="C10" s="112"/>
      <c r="D10" s="112"/>
      <c r="E10" s="112"/>
      <c r="F10" s="11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134</v>
      </c>
      <c r="B14" s="25">
        <f t="shared" ref="B14" si="0">I14</f>
        <v>1</v>
      </c>
      <c r="C14" s="25"/>
      <c r="D14" s="25">
        <f>J14+D13</f>
        <v>1600</v>
      </c>
      <c r="E14" s="35">
        <f>K14+E13</f>
        <v>770</v>
      </c>
      <c r="F14" s="99" t="str">
        <f>C27</f>
        <v>CUB C/R R12</v>
      </c>
      <c r="G14" s="1"/>
      <c r="I14" s="89">
        <f t="shared" ref="I14:K14" si="1">I21</f>
        <v>1</v>
      </c>
      <c r="J14" s="4">
        <f t="shared" si="1"/>
        <v>1520</v>
      </c>
      <c r="K14" s="4">
        <f t="shared" si="1"/>
        <v>800</v>
      </c>
    </row>
    <row r="15" spans="1:14" ht="15.6" x14ac:dyDescent="0.3">
      <c r="A15" s="52"/>
      <c r="B15" s="6"/>
      <c r="C15" s="6"/>
      <c r="D15" s="6"/>
      <c r="E15" s="104"/>
      <c r="F15" s="6"/>
      <c r="G15" s="1"/>
      <c r="I15" s="89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2" t="s">
        <v>14</v>
      </c>
      <c r="B17" s="112"/>
      <c r="C17" s="112"/>
      <c r="D17" s="112"/>
      <c r="E17" s="112"/>
      <c r="F17" s="112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110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5"/>
      <c r="B21" s="16">
        <f t="shared" ref="B21" si="2">I21</f>
        <v>1</v>
      </c>
      <c r="C21" s="16"/>
      <c r="D21" s="16">
        <f>J21+D20</f>
        <v>1560</v>
      </c>
      <c r="E21" s="16">
        <v>1250</v>
      </c>
      <c r="F21" s="100" t="str">
        <f>C27</f>
        <v>CUB C/R R12</v>
      </c>
      <c r="G21" s="1"/>
      <c r="I21" s="3">
        <f>B27</f>
        <v>1</v>
      </c>
      <c r="J21" s="4">
        <f>D27</f>
        <v>1520</v>
      </c>
      <c r="K21" s="4">
        <f t="shared" ref="K21" si="3">E27</f>
        <v>800</v>
      </c>
    </row>
    <row r="22" spans="1:11" ht="15.6" x14ac:dyDescent="0.3">
      <c r="A22" s="95"/>
      <c r="B22" s="6"/>
      <c r="C22" s="6"/>
      <c r="D22" s="6"/>
      <c r="E22" s="6"/>
      <c r="F22" s="106"/>
      <c r="G22" s="1"/>
      <c r="I22" s="89"/>
      <c r="J22" s="2"/>
      <c r="K22" s="2"/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8" t="s">
        <v>10</v>
      </c>
      <c r="C26" s="88" t="s">
        <v>110</v>
      </c>
      <c r="D26" s="88" t="s">
        <v>7</v>
      </c>
      <c r="E26" s="88" t="s">
        <v>8</v>
      </c>
      <c r="F26" s="88" t="s">
        <v>23</v>
      </c>
      <c r="G26" s="1"/>
    </row>
    <row r="27" spans="1:11" ht="15.6" x14ac:dyDescent="0.3">
      <c r="A27" s="95" t="s">
        <v>134</v>
      </c>
      <c r="B27" s="25">
        <f>'4637'!B21</f>
        <v>1</v>
      </c>
      <c r="C27" s="99" t="str">
        <f>'4637'!C21</f>
        <v>CUB C/R R12</v>
      </c>
      <c r="D27" s="25">
        <f>'4637'!D21</f>
        <v>1520</v>
      </c>
      <c r="E27" s="25">
        <f>'4637'!E21</f>
        <v>800</v>
      </c>
      <c r="F27" s="25" t="str">
        <f>'4637'!F21</f>
        <v>PP-5862 BR</v>
      </c>
      <c r="G27" s="1"/>
    </row>
    <row r="28" spans="1:11" ht="15.6" x14ac:dyDescent="0.3">
      <c r="A28" s="95"/>
      <c r="B28" s="6"/>
      <c r="C28" s="10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40" t="s">
        <v>27</v>
      </c>
      <c r="D38" s="14">
        <f>'4637'!G8</f>
        <v>7422</v>
      </c>
      <c r="E38" s="1"/>
      <c r="F38" s="1"/>
      <c r="G38" s="1"/>
    </row>
    <row r="39" spans="1:7" ht="17.25" customHeight="1" x14ac:dyDescent="0.3">
      <c r="A39" s="1"/>
      <c r="B39" s="1"/>
      <c r="C39" s="41" t="s">
        <v>67</v>
      </c>
      <c r="D39" s="42" t="str">
        <f>'4637'!C10</f>
        <v>DHOME DESIGN SPA</v>
      </c>
      <c r="E39" s="43"/>
      <c r="F39" s="43"/>
      <c r="G39" s="1"/>
    </row>
    <row r="40" spans="1:7" ht="4.5" customHeight="1" x14ac:dyDescent="0.3">
      <c r="A40" s="1"/>
      <c r="B40" s="1"/>
      <c r="C40" s="44"/>
      <c r="D40" s="45"/>
      <c r="E40" s="1"/>
      <c r="F40" s="1"/>
      <c r="G40" s="1"/>
    </row>
    <row r="41" spans="1:7" ht="15.6" x14ac:dyDescent="0.3">
      <c r="A41" s="1"/>
      <c r="B41" s="1"/>
      <c r="C41" s="46" t="str">
        <f>'4637'!F11</f>
        <v>FECHA LIMITE :</v>
      </c>
      <c r="D41" s="13">
        <f>'4637'!G11</f>
        <v>0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2" t="s">
        <v>68</v>
      </c>
      <c r="B44" s="112"/>
      <c r="C44" s="112"/>
      <c r="D44" s="112"/>
      <c r="E44" s="112"/>
      <c r="F44" s="112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13" t="s">
        <v>69</v>
      </c>
      <c r="C46" s="114"/>
      <c r="D46" s="115"/>
      <c r="E46" s="115"/>
      <c r="F46" s="116"/>
      <c r="G46" s="1"/>
    </row>
    <row r="47" spans="1:7" s="15" customFormat="1" ht="12.75" customHeight="1" x14ac:dyDescent="0.3">
      <c r="A47" s="1"/>
      <c r="B47" s="36" t="s">
        <v>10</v>
      </c>
      <c r="C47" s="47" t="s">
        <v>11</v>
      </c>
      <c r="D47" s="48" t="s">
        <v>7</v>
      </c>
      <c r="E47" s="48" t="s">
        <v>8</v>
      </c>
      <c r="F47" s="49" t="s">
        <v>12</v>
      </c>
      <c r="G47" s="1"/>
    </row>
    <row r="48" spans="1:7" s="15" customFormat="1" ht="15" customHeight="1" x14ac:dyDescent="0.3">
      <c r="A48" s="95" t="s">
        <v>134</v>
      </c>
      <c r="B48" s="38">
        <f>'4637'!B21</f>
        <v>1</v>
      </c>
      <c r="C48" s="98" t="str">
        <f>'4637'!C21</f>
        <v>CUB C/R R12</v>
      </c>
      <c r="D48" s="39">
        <f>'4637'!D21</f>
        <v>1520</v>
      </c>
      <c r="E48" s="39">
        <f>'4637'!E21</f>
        <v>800</v>
      </c>
      <c r="F48" s="38" t="str">
        <f>'4637'!F21</f>
        <v>PP-5862 BR</v>
      </c>
      <c r="G48" s="1"/>
    </row>
    <row r="49" spans="1:7" s="15" customFormat="1" ht="15" customHeight="1" x14ac:dyDescent="0.3">
      <c r="B49" s="52"/>
      <c r="C49" s="105"/>
      <c r="D49" s="52"/>
      <c r="E49" s="52"/>
      <c r="F49" s="52"/>
      <c r="G49" s="1"/>
    </row>
    <row r="50" spans="1:7" s="15" customFormat="1" ht="15" customHeight="1" x14ac:dyDescent="0.3">
      <c r="A50" s="50"/>
      <c r="B50" s="52"/>
      <c r="C50" s="52"/>
      <c r="D50" s="52"/>
      <c r="E50" s="52"/>
      <c r="F50" s="52"/>
      <c r="G50" s="1"/>
    </row>
    <row r="51" spans="1:7" ht="15.6" x14ac:dyDescent="0.3">
      <c r="A51" s="6"/>
      <c r="B51" s="6"/>
      <c r="C51" s="1"/>
      <c r="D51" s="6"/>
      <c r="E51" s="6"/>
      <c r="F51" s="44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2026-02-02T15:28:52Z</cp:lastPrinted>
  <dcterms:created xsi:type="dcterms:W3CDTF">2013-03-19T12:54:14Z</dcterms:created>
  <dcterms:modified xsi:type="dcterms:W3CDTF">2026-04-02T12:22:42Z</dcterms:modified>
</cp:coreProperties>
</file>