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4 ABRIL 2026\"/>
    </mc:Choice>
  </mc:AlternateContent>
  <xr:revisionPtr revIDLastSave="0" documentId="13_ncr:1_{29144DCD-5503-43C6-8710-28A992BF1CC8}" xr6:coauthVersionLast="47" xr6:coauthVersionMax="47" xr10:uidLastSave="{00000000-0000-0000-0000-000000000000}"/>
  <bookViews>
    <workbookView minimized="1" xWindow="-17175" yWindow="3780" windowWidth="17280" windowHeight="8880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4" l="1"/>
  <c r="H24" i="4"/>
  <c r="K24" i="4"/>
  <c r="H21" i="4" l="1"/>
  <c r="B26" i="3" l="1"/>
  <c r="I21" i="3" s="1"/>
  <c r="I14" i="3" s="1"/>
  <c r="B14" i="3" s="1"/>
  <c r="C26" i="3"/>
  <c r="F14" i="3" s="1"/>
  <c r="D26" i="3"/>
  <c r="J21" i="3" s="1"/>
  <c r="D21" i="3" s="1"/>
  <c r="E26" i="3"/>
  <c r="F26" i="3"/>
  <c r="B47" i="3"/>
  <c r="C47" i="3"/>
  <c r="D47" i="3"/>
  <c r="E47" i="3"/>
  <c r="F47" i="3"/>
  <c r="K21" i="3" l="1"/>
  <c r="J14" i="3"/>
  <c r="D14" i="3" s="1"/>
  <c r="B21" i="3"/>
  <c r="F21" i="3"/>
  <c r="K14" i="3" l="1"/>
  <c r="E14" i="3" s="1"/>
  <c r="E21" i="3"/>
  <c r="H25" i="4"/>
  <c r="N5" i="3" l="1"/>
  <c r="M5" i="3" l="1"/>
  <c r="L5" i="3"/>
  <c r="K5" i="3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<sst xmlns="http://schemas.openxmlformats.org/spreadsheetml/2006/main" count="244" uniqueCount="141">
  <si>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</si>
  <si>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</si>
  <si>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</si>
  <si>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</si>
  <si>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</si>
  <si>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</si>
  <si>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</si>
  <si>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</si>
  <si>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</si>
  <si>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</si>
  <si>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</si>
  <si>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</si>
  <si>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</si>
  <si>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</si>
  <si>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</si>
  <si>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</si>
  <si>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</si>
  <si>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</si>
  <si>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</si>
  <si>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</si>
  <si>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</si>
  <si>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</si>
  <si>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</si>
  <si>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</si>
  <si>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</si>
  <si>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</si>
  <si>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</si>
  <si>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</si>
  <si>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</si>
  <si>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</si>
  <si>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</si>
  <si>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</si>
  <si>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</si>
  <si>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</si>
  <si>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</si>
  <si>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</si>
  <si>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</si>
  <si>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</si>
  <si>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</si>
  <si>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</si>
  <si>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</si>
  <si>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</si>
  <si>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</si>
  <si>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</si>
  <si>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</si>
  <si>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</si>
  <si>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</si>
  <si>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</si>
  <si>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</si>
  <si>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</si>
  <si>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</si>
  <si>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</si>
  <si>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</si>
  <si>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</si>
  <si>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</si>
  <si>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</si>
  <si>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</si>
  <si>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</si>
  <si>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</si>
  <si>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</si>
  <si>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</si>
  <si>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</si>
  <si>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</si>
  <si>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</si>
  <si>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</si>
  <si>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</si>
  <si>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</si>
  <si>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</si>
  <si>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</si>
  <si>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</si>
  <si>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</si>
  <si>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</si>
  <si>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</si>
  <si>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</si>
  <si>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</si>
  <si>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</si>
  <si>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</si>
  <si>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</si>
  <si>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</si>
  <si>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</si>
  <si>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</si>
  <si>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</si>
  <si>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</si>
  <si>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</si>
  <si>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</si>
  <si>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</si>
  <si>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</si>
  <si>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</si>
  <si>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</si>
  <si>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</si>
  <si>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</si>
  <si>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</si>
  <si>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</si>
  <si>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</si>
  <si>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</si>
  <si>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</si>
  <si>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</si>
  <si>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</si>
  <si>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</si>
  <si>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</si>
  <si>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</si>
  <si>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</si>
  <si>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</si>
  <si>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</si>
  <si>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</si>
  <si>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</si>
  <si>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</si>
  <si>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</si>
  <si>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</si>
  <si>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</si>
  <si>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</si>
  <si>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</si>
  <si>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</si>
  <si>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</si>
  <si>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</si>
  <si>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</si>
  <si>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</si>
  <si>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</si>
  <si>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</si>
  <si>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</si>
  <si>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</si>
  <si>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</si>
  <si>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</si>
  <si>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</si>
  <si>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</si>
  <si>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</si>
  <si>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</si>
  <si>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</si>
  <si>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</si>
  <si>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</si>
  <si>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</si>
  <si>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</si>
  <si>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</si>
  <si>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</si>
  <si>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</si>
  <si>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CONTADO</t>
  </si>
  <si>
    <t xml:space="preserve"> </t>
  </si>
  <si>
    <t>N° 12093</t>
  </si>
  <si>
    <t>CRISTIAN QUIROZ</t>
  </si>
  <si>
    <t xml:space="preserve">BLANCO STOCK </t>
  </si>
  <si>
    <t>CUB C/R 180°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</si>
</sst>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" fillId="3" borderId="4" xfId="0" applyFont="1" applyFill="1" applyBorder="1"/>
    <xf numFmtId="0" fontId="17" fillId="0" borderId="0" xfId="0" quotePrefix="1" applyFont="1" applyAlignment="1">
      <alignment horizontal="left"/>
    </xf>
    <xf numFmtId="3" fontId="3" fillId="0" borderId="0" xfId="0" applyNumberFormat="1" applyFont="1"/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PAGADA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2392680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084070" y="1076325"/>
          <a:ext cx="681609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2</xdr:col>
      <xdr:colOff>38100</xdr:colOff>
      <xdr:row>49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0</xdr:rowOff>
    </xdr:from>
    <xdr:to>
      <xdr:col>2</xdr:col>
      <xdr:colOff>1019175</xdr:colOff>
      <xdr:row>48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0</xdr:rowOff>
    </xdr:from>
    <xdr:to>
      <xdr:col>3</xdr:col>
      <xdr:colOff>352425</xdr:colOff>
      <xdr:row>49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0</xdr:rowOff>
    </xdr:from>
    <xdr:to>
      <xdr:col>4</xdr:col>
      <xdr:colOff>257175</xdr:colOff>
      <xdr:row>49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0</xdr:rowOff>
    </xdr:from>
    <xdr:to>
      <xdr:col>5</xdr:col>
      <xdr:colOff>447675</xdr:colOff>
      <xdr:row>48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0</xdr:rowOff>
    </xdr:from>
    <xdr:to>
      <xdr:col>6</xdr:col>
      <xdr:colOff>0</xdr:colOff>
      <xdr:row>48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48</xdr:row>
      <xdr:rowOff>190500</xdr:rowOff>
    </xdr:from>
    <xdr:to>
      <xdr:col>2</xdr:col>
      <xdr:colOff>304800</xdr:colOff>
      <xdr:row>50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48</xdr:row>
      <xdr:rowOff>190500</xdr:rowOff>
    </xdr:from>
    <xdr:to>
      <xdr:col>2</xdr:col>
      <xdr:colOff>1276350</xdr:colOff>
      <xdr:row>50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190500</xdr:rowOff>
    </xdr:from>
    <xdr:to>
      <xdr:col>3</xdr:col>
      <xdr:colOff>619125</xdr:colOff>
      <xdr:row>50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190500</xdr:rowOff>
    </xdr:from>
    <xdr:to>
      <xdr:col>4</xdr:col>
      <xdr:colOff>523875</xdr:colOff>
      <xdr:row>50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190500</xdr:rowOff>
    </xdr:from>
    <xdr:to>
      <xdr:col>5</xdr:col>
      <xdr:colOff>723900</xdr:colOff>
      <xdr:row>50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190500</xdr:rowOff>
    </xdr:from>
    <xdr:to>
      <xdr:col>6</xdr:col>
      <xdr:colOff>0</xdr:colOff>
      <xdr:row>50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28</xdr:row>
      <xdr:rowOff>15239</xdr:rowOff>
    </xdr:from>
    <xdr:to>
      <xdr:col>6</xdr:col>
      <xdr:colOff>68580</xdr:colOff>
      <xdr:row>32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COLOR BLANCO STOCK (OJALA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 TONALIDAD CREMA)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21</xdr:row>
      <xdr:rowOff>200025</xdr:rowOff>
    </xdr:from>
    <xdr:to>
      <xdr:col>6</xdr:col>
      <xdr:colOff>19049</xdr:colOff>
      <xdr:row>23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28575</xdr:colOff>
      <xdr:row>51</xdr:row>
      <xdr:rowOff>32385</xdr:rowOff>
    </xdr:from>
    <xdr:to>
      <xdr:col>6</xdr:col>
      <xdr:colOff>26670</xdr:colOff>
      <xdr:row>55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217295" y="960310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COLOR BLANCO STOCK (OJALA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 TONALIDAD CREMA)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41910</xdr:rowOff>
    </xdr:from>
    <xdr:to>
      <xdr:col>1</xdr:col>
      <xdr:colOff>556018</xdr:colOff>
      <xdr:row>41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11" workbookViewId="0">
      <selection activeCell="C22" sqref="C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4" width="11.33203125" bestFit="1" customWidth="1"/>
    <col min="5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137</v>
      </c>
      <c r="E8" s="1"/>
      <c r="F8" s="93" t="s">
        <v>27</v>
      </c>
      <c r="G8" s="94">
        <v>7433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138</v>
      </c>
      <c r="D10" s="55"/>
      <c r="E10" s="55"/>
      <c r="F10" s="56" t="s">
        <v>28</v>
      </c>
      <c r="G10" s="57">
        <v>46125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07"/>
      <c r="D11" s="60"/>
      <c r="E11" s="60"/>
      <c r="F11" s="60" t="s">
        <v>124</v>
      </c>
      <c r="G11" s="61">
        <v>46129</v>
      </c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105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6"/>
      <c r="D14" s="66"/>
      <c r="E14" s="60"/>
      <c r="F14" s="60" t="s">
        <v>29</v>
      </c>
      <c r="G14" s="60" t="s">
        <v>133</v>
      </c>
      <c r="H14" s="62"/>
      <c r="I14" s="1"/>
    </row>
    <row r="15" spans="1:17" ht="15.6" x14ac:dyDescent="0.3">
      <c r="A15" s="1"/>
      <c r="B15" s="63" t="s">
        <v>1</v>
      </c>
      <c r="C15" s="97"/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9" t="s">
        <v>18</v>
      </c>
      <c r="G16" s="119"/>
      <c r="H16" s="120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1" t="s">
        <v>19</v>
      </c>
      <c r="C19" s="122"/>
      <c r="D19" s="122"/>
      <c r="E19" s="122"/>
      <c r="F19" s="122"/>
      <c r="G19" s="122"/>
      <c r="H19" s="123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8">
        <v>1</v>
      </c>
      <c r="C21" s="109" t="s">
        <v>140</v>
      </c>
      <c r="D21" s="110">
        <v>980</v>
      </c>
      <c r="E21" s="110">
        <v>600</v>
      </c>
      <c r="F21" s="109" t="s">
        <v>139</v>
      </c>
      <c r="G21" s="111">
        <v>42019</v>
      </c>
      <c r="H21" s="112">
        <f t="shared" ref="H21" si="0">G21*B21</f>
        <v>42019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3"/>
      <c r="C22" s="103"/>
      <c r="D22" s="104"/>
      <c r="E22" s="104"/>
      <c r="F22" s="103"/>
      <c r="G22" s="75"/>
      <c r="H22" s="75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H21</f>
        <v>42019</v>
      </c>
      <c r="I24" s="1"/>
      <c r="K24">
        <f>109900/1.19</f>
        <v>92352.941176470587</v>
      </c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7983.61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50002.61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6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4" t="s">
        <v>31</v>
      </c>
      <c r="C2" s="124"/>
      <c r="D2" s="124"/>
      <c r="E2" s="18"/>
      <c r="G2" s="124" t="s">
        <v>70</v>
      </c>
      <c r="H2" s="124"/>
      <c r="I2" s="124"/>
      <c r="P2" s="125" t="s">
        <v>58</v>
      </c>
      <c r="Q2" s="125"/>
      <c r="R2" s="12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5" t="s">
        <v>58</v>
      </c>
      <c r="M8" s="125"/>
      <c r="N8" s="12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9"/>
  <sheetViews>
    <sheetView tabSelected="1" topLeftCell="A22" zoomScaleNormal="100" workbookViewId="0">
      <selection activeCell="G57" sqref="A36:G57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3" t="s">
        <v>61</v>
      </c>
      <c r="L3" s="113"/>
      <c r="M3" s="113" t="s">
        <v>14</v>
      </c>
      <c r="N3" s="113"/>
    </row>
    <row r="4" spans="1:14" ht="15.75" customHeight="1" x14ac:dyDescent="0.3">
      <c r="A4" s="1"/>
      <c r="B4" s="1"/>
      <c r="C4" s="40" t="s">
        <v>27</v>
      </c>
      <c r="D4" s="14">
        <f>'4637'!G8</f>
        <v>7433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CRISTIAN QUIROZ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46129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4" t="s">
        <v>61</v>
      </c>
      <c r="B10" s="114"/>
      <c r="C10" s="114"/>
      <c r="D10" s="114"/>
      <c r="E10" s="114"/>
      <c r="F10" s="11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134</v>
      </c>
      <c r="B14" s="25">
        <f t="shared" ref="B14" si="0">I14</f>
        <v>1</v>
      </c>
      <c r="C14" s="25"/>
      <c r="D14" s="25">
        <f>J14+$D$13</f>
        <v>1030</v>
      </c>
      <c r="E14" s="35">
        <f>K14+$E$13</f>
        <v>570</v>
      </c>
      <c r="F14" s="99" t="str">
        <f>C26</f>
        <v>CUB C/R 180°</v>
      </c>
      <c r="G14" s="1"/>
      <c r="I14" s="89">
        <f>I21</f>
        <v>1</v>
      </c>
      <c r="J14" s="4">
        <f>J21</f>
        <v>980</v>
      </c>
      <c r="K14" s="4">
        <f>K21</f>
        <v>600</v>
      </c>
    </row>
    <row r="15" spans="1:14" ht="15.6" x14ac:dyDescent="0.3">
      <c r="A15" s="52"/>
      <c r="B15" s="6"/>
      <c r="C15" s="6"/>
      <c r="D15" s="6"/>
      <c r="E15" s="101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4" t="s">
        <v>14</v>
      </c>
      <c r="B17" s="114"/>
      <c r="C17" s="114"/>
      <c r="D17" s="114"/>
      <c r="E17" s="114"/>
      <c r="F17" s="114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150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1">I21</f>
        <v>1</v>
      </c>
      <c r="C21" s="16"/>
      <c r="D21" s="16">
        <f>J21+D20</f>
        <v>1020</v>
      </c>
      <c r="E21" s="16">
        <f>K21+$E$20</f>
        <v>750</v>
      </c>
      <c r="F21" s="100" t="str">
        <f>C26</f>
        <v>CUB C/R 180°</v>
      </c>
      <c r="G21" s="1"/>
      <c r="I21" s="3">
        <f>B26</f>
        <v>1</v>
      </c>
      <c r="J21" s="4">
        <f>D26</f>
        <v>980</v>
      </c>
      <c r="K21" s="4">
        <f t="shared" ref="K21" si="2">E26</f>
        <v>600</v>
      </c>
    </row>
    <row r="22" spans="1:11" ht="16.2" thickBot="1" x14ac:dyDescent="0.35">
      <c r="A22" s="52"/>
      <c r="B22" s="6"/>
      <c r="C22" s="6"/>
      <c r="D22" s="6"/>
      <c r="E22" s="6"/>
      <c r="F22" s="6"/>
      <c r="G22" s="1"/>
      <c r="I22" s="2"/>
      <c r="J22" s="2"/>
      <c r="K22" s="2"/>
    </row>
    <row r="23" spans="1:11" ht="16.2" thickBot="1" x14ac:dyDescent="0.35">
      <c r="A23" s="52"/>
      <c r="B23" s="22" t="s">
        <v>107</v>
      </c>
      <c r="C23" s="23"/>
      <c r="D23" s="23"/>
      <c r="E23" s="23"/>
      <c r="F23" s="24"/>
      <c r="G23" s="1"/>
      <c r="I23" s="2"/>
      <c r="J23" s="2"/>
      <c r="K23" s="2"/>
    </row>
    <row r="24" spans="1:11" ht="10.5" customHeight="1" x14ac:dyDescent="0.3">
      <c r="A24" s="1"/>
      <c r="B24" s="1"/>
      <c r="C24" s="1"/>
      <c r="D24" s="1"/>
      <c r="E24" s="1"/>
      <c r="F24" s="1"/>
      <c r="G24" s="1"/>
    </row>
    <row r="25" spans="1:11" ht="15.6" x14ac:dyDescent="0.3">
      <c r="A25" s="52" t="s">
        <v>9</v>
      </c>
      <c r="B25" s="88" t="s">
        <v>10</v>
      </c>
      <c r="C25" s="88" t="s">
        <v>110</v>
      </c>
      <c r="D25" s="88" t="s">
        <v>7</v>
      </c>
      <c r="E25" s="88" t="s">
        <v>8</v>
      </c>
      <c r="F25" s="88" t="s">
        <v>23</v>
      </c>
      <c r="G25" s="1"/>
    </row>
    <row r="26" spans="1:11" ht="15.6" x14ac:dyDescent="0.3">
      <c r="A26" s="95" t="s">
        <v>134</v>
      </c>
      <c r="B26" s="25">
        <f>'4637'!B21</f>
        <v>1</v>
      </c>
      <c r="C26" s="99" t="str">
        <f>'4637'!C21</f>
        <v>CUB C/R 180°</v>
      </c>
      <c r="D26" s="25">
        <f>'4637'!D21</f>
        <v>980</v>
      </c>
      <c r="E26" s="25">
        <f>'4637'!E21</f>
        <v>600</v>
      </c>
      <c r="F26" s="25" t="str">
        <f>'4637'!F21</f>
        <v xml:space="preserve">BLANCO STOCK </v>
      </c>
      <c r="G26" s="1"/>
    </row>
    <row r="27" spans="1:11" ht="15.6" x14ac:dyDescent="0.3">
      <c r="A27" s="95"/>
      <c r="B27" s="6"/>
      <c r="C27" s="102"/>
      <c r="D27" s="6"/>
      <c r="E27" s="6"/>
      <c r="F27" s="6"/>
      <c r="G27" s="1"/>
    </row>
    <row r="28" spans="1:11" ht="15.6" x14ac:dyDescent="0.3">
      <c r="A28" s="1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 t="s">
        <v>136</v>
      </c>
    </row>
    <row r="36" spans="1:7" ht="15.6" x14ac:dyDescent="0.3">
      <c r="A36" s="1"/>
      <c r="B36" s="1"/>
      <c r="C36" s="1"/>
      <c r="D36" s="1"/>
      <c r="E36" s="1"/>
      <c r="F36" s="1"/>
      <c r="G36" s="1"/>
    </row>
    <row r="37" spans="1:7" ht="15.6" x14ac:dyDescent="0.3">
      <c r="A37" s="1"/>
      <c r="B37" s="1"/>
      <c r="C37" s="40" t="s">
        <v>27</v>
      </c>
      <c r="D37" s="14">
        <f>'4637'!G8</f>
        <v>7433</v>
      </c>
      <c r="E37" s="1"/>
      <c r="F37" s="1"/>
      <c r="G37" s="1"/>
    </row>
    <row r="38" spans="1:7" ht="17.25" customHeight="1" x14ac:dyDescent="0.3">
      <c r="A38" s="1"/>
      <c r="B38" s="1"/>
      <c r="C38" s="41" t="s">
        <v>67</v>
      </c>
      <c r="D38" s="42" t="str">
        <f>'4637'!C10</f>
        <v>CRISTIAN QUIROZ</v>
      </c>
      <c r="E38" s="43"/>
      <c r="F38" s="43"/>
      <c r="G38" s="1"/>
    </row>
    <row r="39" spans="1:7" ht="4.5" customHeight="1" x14ac:dyDescent="0.3">
      <c r="A39" s="1"/>
      <c r="B39" s="1"/>
      <c r="C39" s="44"/>
      <c r="D39" s="45"/>
      <c r="E39" s="1"/>
      <c r="F39" s="1"/>
      <c r="G39" s="1"/>
    </row>
    <row r="40" spans="1:7" ht="15.6" x14ac:dyDescent="0.3">
      <c r="A40" s="1"/>
      <c r="B40" s="1"/>
      <c r="C40" s="46" t="str">
        <f>'4637'!F11</f>
        <v>FECHA LIMITE :</v>
      </c>
      <c r="D40" s="13">
        <f>'4637'!G11</f>
        <v>46129</v>
      </c>
      <c r="E40" s="1"/>
      <c r="F40" s="1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14" t="s">
        <v>68</v>
      </c>
      <c r="B43" s="114"/>
      <c r="C43" s="114"/>
      <c r="D43" s="114"/>
      <c r="E43" s="114"/>
      <c r="F43" s="114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75" customHeight="1" x14ac:dyDescent="0.3">
      <c r="A45" s="1"/>
      <c r="B45" s="115" t="s">
        <v>69</v>
      </c>
      <c r="C45" s="116"/>
      <c r="D45" s="117"/>
      <c r="E45" s="117"/>
      <c r="F45" s="118"/>
      <c r="G45" s="1"/>
    </row>
    <row r="46" spans="1:7" s="15" customFormat="1" ht="12.75" customHeight="1" x14ac:dyDescent="0.3">
      <c r="A46" s="1"/>
      <c r="B46" s="36" t="s">
        <v>10</v>
      </c>
      <c r="C46" s="47" t="s">
        <v>11</v>
      </c>
      <c r="D46" s="48" t="s">
        <v>7</v>
      </c>
      <c r="E46" s="48" t="s">
        <v>8</v>
      </c>
      <c r="F46" s="49" t="s">
        <v>12</v>
      </c>
      <c r="G46" s="1"/>
    </row>
    <row r="47" spans="1:7" s="15" customFormat="1" ht="15" customHeight="1" x14ac:dyDescent="0.3">
      <c r="A47" s="95" t="s">
        <v>134</v>
      </c>
      <c r="B47" s="38">
        <f>'4637'!B21</f>
        <v>1</v>
      </c>
      <c r="C47" s="98" t="str">
        <f>'4637'!C21</f>
        <v>CUB C/R 180°</v>
      </c>
      <c r="D47" s="39">
        <f>'4637'!D21</f>
        <v>980</v>
      </c>
      <c r="E47" s="39">
        <f>'4637'!E21</f>
        <v>600</v>
      </c>
      <c r="F47" s="38" t="str">
        <f>'4637'!F21</f>
        <v xml:space="preserve">BLANCO STOCK </v>
      </c>
      <c r="G47" s="1"/>
    </row>
    <row r="48" spans="1:7" s="15" customFormat="1" ht="15" customHeight="1" x14ac:dyDescent="0.3">
      <c r="A48" s="50"/>
      <c r="B48" s="52"/>
      <c r="C48" s="52"/>
      <c r="D48" s="52"/>
      <c r="E48" s="52"/>
      <c r="F48" s="52"/>
      <c r="G48" s="1"/>
    </row>
    <row r="49" spans="1:7" ht="15.6" x14ac:dyDescent="0.3">
      <c r="A49" s="6"/>
      <c r="B49" s="6"/>
      <c r="C49" s="1"/>
      <c r="D49" s="6"/>
      <c r="E49" s="6"/>
      <c r="F49" s="44"/>
      <c r="G49" s="1"/>
    </row>
    <row r="50" spans="1:7" ht="15.6" x14ac:dyDescent="0.3">
      <c r="A50" s="6"/>
      <c r="B50" s="6"/>
      <c r="C50" s="1"/>
      <c r="D50" s="6"/>
      <c r="E50" s="6"/>
      <c r="F50" s="6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" customHeight="1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6"/>
      <c r="B56" s="5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x14ac:dyDescent="0.3">
      <c r="B58" s="20"/>
      <c r="C58" s="20"/>
      <c r="D58" s="20"/>
      <c r="E58" s="20"/>
      <c r="F58" s="20"/>
    </row>
    <row r="59" spans="1:7" x14ac:dyDescent="0.3">
      <c r="B59" s="20"/>
      <c r="C59" s="20"/>
      <c r="E59" s="20"/>
      <c r="F59" s="20"/>
    </row>
  </sheetData>
  <mergeCells count="6">
    <mergeCell ref="M3:N3"/>
    <mergeCell ref="A17:F17"/>
    <mergeCell ref="A10:F10"/>
    <mergeCell ref="A43:F43"/>
    <mergeCell ref="B45:F4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2026-04-13T20:04:40Z</cp:lastPrinted>
  <dcterms:created xsi:type="dcterms:W3CDTF">2013-03-19T12:54:14Z</dcterms:created>
  <dcterms:modified xsi:type="dcterms:W3CDTF">2026-04-14T14:04:04Z</dcterms:modified>
</cp:coreProperties>
</file>