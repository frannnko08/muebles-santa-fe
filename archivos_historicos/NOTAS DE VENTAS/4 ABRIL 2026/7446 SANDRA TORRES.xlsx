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NOTAS DE VENTAS TOPMOBILI\4 ABRIL 2026\"/>
    </mc:Choice>
  </mc:AlternateContent>
  <xr:revisionPtr revIDLastSave="0" documentId="13_ncr:1_{ABC0CEAE-9B20-4A2C-A213-2C62D346C0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'4637'!$A$1:$H$28</definedName>
    <definedName name="_xlnm.Print_Area" localSheetId="2">CUBIERTA!$A$35:$F$58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7" i="3" l="1"/>
  <c r="F47" i="3"/>
  <c r="E47" i="3"/>
  <c r="D47" i="3"/>
  <c r="B47" i="3"/>
  <c r="B27" i="3"/>
  <c r="I21" i="3" s="1"/>
  <c r="B21" i="3" s="1"/>
  <c r="C27" i="3"/>
  <c r="F21" i="3" s="1"/>
  <c r="F14" i="3" s="1"/>
  <c r="D27" i="3"/>
  <c r="J21" i="3" s="1"/>
  <c r="D21" i="3" s="1"/>
  <c r="E27" i="3"/>
  <c r="K21" i="3" s="1"/>
  <c r="K14" i="3" s="1"/>
  <c r="E14" i="3" s="1"/>
  <c r="F27" i="3"/>
  <c r="H20" i="4"/>
  <c r="E21" i="3" l="1"/>
  <c r="I14" i="3"/>
  <c r="B14" i="3" s="1"/>
  <c r="J14" i="3"/>
  <c r="D14" i="3" s="1"/>
  <c r="H23" i="4" l="1"/>
  <c r="N5" i="3" l="1"/>
  <c r="M5" i="3"/>
  <c r="L5" i="3"/>
  <c r="K5" i="3"/>
  <c r="H24" i="4"/>
  <c r="H25" i="4" s="1"/>
  <c r="C40" i="3" l="1"/>
  <c r="C7" i="3"/>
  <c r="D38" i="3"/>
  <c r="D5" i="3"/>
  <c r="D40" i="3"/>
  <c r="D7" i="3"/>
  <c r="D37" i="3"/>
  <c r="D4" i="3"/>
</calcChain>
</file>

<file path=xl/sharedStrings.xml><?xml version="1.0" encoding="utf-8"?>
<sst xmlns="http://schemas.openxmlformats.org/spreadsheetml/2006/main" count="243" uniqueCount="141">
  <si>
    <t>SEPTIMA AVENIDA 1631, SAN MIGUEL</t>
  </si>
  <si>
    <t>DIRECCION:</t>
  </si>
  <si>
    <t>RUT:</t>
  </si>
  <si>
    <t>CIUDAD:</t>
  </si>
  <si>
    <t>TOTAL</t>
  </si>
  <si>
    <t>NETO</t>
  </si>
  <si>
    <t>I.V.A.</t>
  </si>
  <si>
    <t>CLIENTE: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</si>
  <si>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</si>
  <si>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</si>
  <si>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</si>
  <si>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</si>
  <si>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</si>
  <si>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</si>
  <si>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</si>
  <si>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Observaciones:</t>
  </si>
  <si>
    <t>LAMINADO</t>
  </si>
  <si>
    <t>FONO 22521 6502</t>
  </si>
  <si>
    <t>P R E S U P U E S T O</t>
  </si>
  <si>
    <t>N°4601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</si>
  <si>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</si>
  <si>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</si>
  <si>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</si>
  <si>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</si>
  <si>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</si>
  <si>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</si>
  <si>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</si>
  <si>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</si>
  <si>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</si>
  <si>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</si>
  <si>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</si>
  <si>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</si>
  <si>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</si>
  <si>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</si>
  <si>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</si>
  <si>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</si>
  <si>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</si>
  <si>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</si>
  <si>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</si>
  <si>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</si>
  <si>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</si>
  <si>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</si>
  <si>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</si>
  <si>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</si>
  <si>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</si>
  <si>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</si>
  <si>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</si>
  <si>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</si>
  <si>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</si>
  <si>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</si>
  <si>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</si>
  <si>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</si>
  <si>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</si>
  <si>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</si>
  <si>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</si>
  <si>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</si>
  <si>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</si>
  <si>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</si>
  <si>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</si>
  <si>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</si>
  <si>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</si>
  <si>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</si>
  <si>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</si>
  <si>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</si>
  <si>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</si>
  <si>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</si>
  <si>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</si>
  <si>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</si>
  <si>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</si>
  <si>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</si>
  <si>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</si>
  <si>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</si>
  <si>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</si>
  <si>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</si>
  <si>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</si>
  <si>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</si>
  <si>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</si>
  <si>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</si>
  <si>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</si>
  <si>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</si>
  <si>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</si>
  <si>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</si>
  <si>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</si>
  <si>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</si>
  <si>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</si>
  <si>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</si>
  <si>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</si>
  <si>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</si>
  <si>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</si>
  <si>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</si>
  <si>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</si>
  <si>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</si>
  <si>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</si>
  <si>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</si>
  <si>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</si>
  <si>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</si>
  <si>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</si>
  <si>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</si>
  <si>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</si>
  <si>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</si>
  <si>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</si>
  <si>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</si>
  <si>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</si>
  <si>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</si>
  <si>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</si>
  <si>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</si>
  <si>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</si>
  <si>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</si>
  <si>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</si>
  <si>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</si>
  <si>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</si>
  <si>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</si>
  <si>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</si>
  <si>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</si>
  <si>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</si>
  <si>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CONTACTO: </t>
  </si>
  <si>
    <t xml:space="preserve">CUB MESA 3L </t>
  </si>
  <si>
    <t xml:space="preserve">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</si>
  <si>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</si>
  <si>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</si>
  <si>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</si>
  <si>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</si>
  <si>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</si>
  <si>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  </t>
  </si>
  <si>
    <t xml:space="preserve">OBSERVACIONES: 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</si>
  <si>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</si>
  <si>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</si>
  <si>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</si>
  <si>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</si>
  <si>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</si>
  <si>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</si>
  <si>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</si>
  <si>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</si>
  <si>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</si>
  <si>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CONTADO</t>
  </si>
  <si>
    <t>SANTIAGO</t>
  </si>
  <si>
    <t>MDF18MM</t>
  </si>
  <si>
    <t>MDF 18MM</t>
  </si>
  <si>
    <t>NEW BLACK GRANITE BR</t>
  </si>
  <si>
    <t>CUB MESA 3 LADOS</t>
  </si>
  <si>
    <t>SANDRA TORRES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</si>
</sst>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3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b/>
      <i/>
      <sz val="10.5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sz val="9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Times New Roman"/>
      <family val="1"/>
    </font>
    <font>
      <b/>
      <u/>
      <sz val="11"/>
      <name val="Calibri"/>
      <family val="2"/>
      <scheme val="minor"/>
    </font>
    <font>
      <sz val="9"/>
      <color theme="1"/>
      <name val="Times New Roman"/>
      <family val="1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Times New Roman"/>
      <family val="1"/>
    </font>
    <font>
      <b/>
      <i/>
      <sz val="9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5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143">
    <xf numFmtId="0" fontId="0" fillId="0" borderId="0" xfId="0"/>
    <xf numFmtId="0" fontId="3" fillId="0" borderId="0" xfId="0" applyFont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vertical="center"/>
    </xf>
    <xf numFmtId="0" fontId="6" fillId="0" borderId="0" xfId="0" applyFont="1" applyAlignment="1">
      <alignment vertical="center" wrapText="1"/>
    </xf>
    <xf numFmtId="0" fontId="4" fillId="0" borderId="0" xfId="0" applyFont="1"/>
    <xf numFmtId="0" fontId="8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6" fillId="3" borderId="3" xfId="0" applyFont="1" applyFill="1" applyBorder="1"/>
    <xf numFmtId="0" fontId="0" fillId="3" borderId="4" xfId="0" applyFill="1" applyBorder="1"/>
    <xf numFmtId="0" fontId="0" fillId="3" borderId="4" xfId="0" applyFill="1" applyBorder="1" applyAlignment="1">
      <alignment horizontal="left"/>
    </xf>
    <xf numFmtId="14" fontId="0" fillId="3" borderId="4" xfId="0" applyNumberFormat="1" applyFill="1" applyBorder="1" applyAlignment="1">
      <alignment horizontal="left"/>
    </xf>
    <xf numFmtId="0" fontId="0" fillId="3" borderId="5" xfId="0" applyFill="1" applyBorder="1"/>
    <xf numFmtId="0" fontId="0" fillId="4" borderId="6" xfId="0" applyFill="1" applyBorder="1"/>
    <xf numFmtId="0" fontId="0" fillId="4" borderId="0" xfId="0" applyFill="1"/>
    <xf numFmtId="0" fontId="0" fillId="4" borderId="7" xfId="0" applyFill="1" applyBorder="1"/>
    <xf numFmtId="0" fontId="0" fillId="3" borderId="0" xfId="0" applyFill="1"/>
    <xf numFmtId="0" fontId="0" fillId="3" borderId="0" xfId="0" applyFill="1" applyAlignment="1">
      <alignment horizontal="left"/>
    </xf>
    <xf numFmtId="0" fontId="0" fillId="3" borderId="7" xfId="0" applyFill="1" applyBorder="1"/>
    <xf numFmtId="0" fontId="0" fillId="4" borderId="0" xfId="0" applyFill="1" applyAlignment="1">
      <alignment horizontal="left"/>
    </xf>
    <xf numFmtId="0" fontId="6" fillId="3" borderId="0" xfId="0" applyFont="1" applyFill="1"/>
    <xf numFmtId="0" fontId="0" fillId="4" borderId="8" xfId="0" applyFill="1" applyBorder="1"/>
    <xf numFmtId="0" fontId="0" fillId="4" borderId="9" xfId="2" applyFont="1" applyFill="1" applyBorder="1" applyAlignment="1">
      <alignment horizontal="left"/>
    </xf>
    <xf numFmtId="0" fontId="0" fillId="4" borderId="9" xfId="0" applyFill="1" applyBorder="1"/>
    <xf numFmtId="0" fontId="12" fillId="0" borderId="11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13" fillId="0" borderId="0" xfId="0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/>
    <xf numFmtId="0" fontId="14" fillId="0" borderId="0" xfId="0" applyFont="1" applyAlignment="1">
      <alignment horizontal="left" indent="1"/>
    </xf>
    <xf numFmtId="0" fontId="14" fillId="0" borderId="0" xfId="0" applyFont="1" applyAlignment="1">
      <alignment horizontal="center"/>
    </xf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3" fontId="12" fillId="3" borderId="13" xfId="0" applyNumberFormat="1" applyFont="1" applyFill="1" applyBorder="1" applyAlignment="1">
      <alignment horizontal="center"/>
    </xf>
    <xf numFmtId="0" fontId="8" fillId="0" borderId="0" xfId="0" applyFont="1"/>
    <xf numFmtId="0" fontId="15" fillId="0" borderId="0" xfId="2" applyFont="1" applyFill="1" applyBorder="1" applyAlignment="1">
      <alignment horizontal="left" vertical="center" indent="1"/>
    </xf>
    <xf numFmtId="166" fontId="12" fillId="0" borderId="12" xfId="1" applyNumberFormat="1" applyFont="1" applyFill="1" applyBorder="1"/>
    <xf numFmtId="0" fontId="4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19" fillId="6" borderId="2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2" fillId="0" borderId="0" xfId="0" applyFont="1"/>
    <xf numFmtId="14" fontId="0" fillId="0" borderId="0" xfId="0" applyNumberFormat="1" applyAlignment="1">
      <alignment horizontal="right" vertical="top"/>
    </xf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0" fillId="0" borderId="0" xfId="0" applyFont="1" applyAlignment="1">
      <alignment horizontal="left" indent="1"/>
    </xf>
    <xf numFmtId="0" fontId="11" fillId="0" borderId="0" xfId="0" applyFont="1" applyAlignment="1">
      <alignment horizontal="left" indent="1"/>
    </xf>
    <xf numFmtId="14" fontId="20" fillId="0" borderId="0" xfId="0" applyNumberFormat="1" applyFont="1" applyAlignment="1">
      <alignment horizontal="left" indent="1"/>
    </xf>
    <xf numFmtId="0" fontId="11" fillId="0" borderId="18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166" fontId="0" fillId="0" borderId="0" xfId="1" applyNumberFormat="1" applyFont="1" applyFill="1" applyBorder="1" applyAlignment="1">
      <alignment horizontal="center" vertical="center"/>
    </xf>
    <xf numFmtId="166" fontId="5" fillId="0" borderId="0" xfId="1" applyNumberFormat="1" applyFont="1" applyFill="1" applyBorder="1" applyAlignment="1">
      <alignment horizontal="center" vertical="center"/>
    </xf>
    <xf numFmtId="0" fontId="0" fillId="5" borderId="0" xfId="0" applyFill="1" applyAlignment="1">
      <alignment horizontal="center"/>
    </xf>
    <xf numFmtId="0" fontId="19" fillId="6" borderId="0" xfId="0" applyFont="1" applyFill="1" applyAlignment="1">
      <alignment horizontal="center"/>
    </xf>
    <xf numFmtId="0" fontId="11" fillId="0" borderId="0" xfId="0" applyFont="1"/>
    <xf numFmtId="0" fontId="18" fillId="3" borderId="0" xfId="0" applyFont="1" applyFill="1" applyAlignment="1">
      <alignment horizontal="left"/>
    </xf>
    <xf numFmtId="0" fontId="20" fillId="3" borderId="0" xfId="0" applyFont="1" applyFill="1" applyAlignment="1">
      <alignment horizontal="left" indent="1"/>
    </xf>
    <xf numFmtId="0" fontId="3" fillId="7" borderId="18" xfId="0" applyFont="1" applyFill="1" applyBorder="1" applyAlignment="1">
      <alignment horizontal="center"/>
    </xf>
    <xf numFmtId="0" fontId="6" fillId="0" borderId="0" xfId="0" applyFont="1"/>
    <xf numFmtId="0" fontId="22" fillId="0" borderId="15" xfId="0" applyFont="1" applyBorder="1"/>
    <xf numFmtId="0" fontId="22" fillId="0" borderId="16" xfId="0" applyFont="1" applyBorder="1"/>
    <xf numFmtId="0" fontId="22" fillId="0" borderId="17" xfId="0" applyFont="1" applyBorder="1"/>
    <xf numFmtId="0" fontId="3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18" fillId="0" borderId="2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/>
    </xf>
    <xf numFmtId="0" fontId="21" fillId="0" borderId="3" xfId="0" applyFont="1" applyBorder="1" applyAlignment="1">
      <alignment wrapText="1"/>
    </xf>
    <xf numFmtId="0" fontId="24" fillId="0" borderId="4" xfId="0" applyFont="1" applyBorder="1" applyAlignment="1">
      <alignment horizontal="left" vertical="center"/>
    </xf>
    <xf numFmtId="0" fontId="6" fillId="0" borderId="4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24" fillId="0" borderId="0" xfId="0" applyFont="1" applyAlignment="1">
      <alignment horizontal="left" vertical="center"/>
    </xf>
    <xf numFmtId="0" fontId="6" fillId="0" borderId="7" xfId="0" applyFont="1" applyBorder="1" applyAlignment="1">
      <alignment vertical="center" wrapText="1"/>
    </xf>
    <xf numFmtId="0" fontId="4" fillId="0" borderId="7" xfId="0" applyFont="1" applyBorder="1"/>
    <xf numFmtId="0" fontId="4" fillId="0" borderId="9" xfId="0" applyFont="1" applyBorder="1"/>
    <xf numFmtId="0" fontId="4" fillId="0" borderId="10" xfId="0" applyFont="1" applyBorder="1"/>
    <xf numFmtId="0" fontId="11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2" fillId="3" borderId="6" xfId="0" applyFont="1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25" fillId="0" borderId="0" xfId="0" applyFont="1" applyAlignment="1">
      <alignment horizontal="left" vertical="center"/>
    </xf>
    <xf numFmtId="0" fontId="0" fillId="2" borderId="0" xfId="0" applyFill="1" applyAlignment="1">
      <alignment horizontal="center"/>
    </xf>
    <xf numFmtId="0" fontId="3" fillId="7" borderId="23" xfId="0" applyFont="1" applyFill="1" applyBorder="1" applyAlignment="1">
      <alignment horizontal="center"/>
    </xf>
    <xf numFmtId="0" fontId="2" fillId="0" borderId="0" xfId="0" applyFont="1" applyAlignment="1">
      <alignment horizontal="right"/>
    </xf>
    <xf numFmtId="166" fontId="0" fillId="0" borderId="0" xfId="0" applyNumberFormat="1"/>
    <xf numFmtId="0" fontId="26" fillId="0" borderId="0" xfId="0" applyFont="1" applyAlignment="1">
      <alignment horizontal="center" vertical="center"/>
    </xf>
    <xf numFmtId="166" fontId="18" fillId="0" borderId="0" xfId="1" applyNumberFormat="1" applyFont="1" applyFill="1" applyBorder="1" applyAlignment="1">
      <alignment horizontal="center" vertical="center"/>
    </xf>
    <xf numFmtId="166" fontId="18" fillId="0" borderId="0" xfId="0" applyNumberFormat="1" applyFont="1" applyAlignment="1">
      <alignment horizontal="center" vertical="center"/>
    </xf>
    <xf numFmtId="14" fontId="0" fillId="4" borderId="25" xfId="0" applyNumberFormat="1" applyFill="1" applyBorder="1" applyAlignment="1">
      <alignment horizontal="left"/>
    </xf>
    <xf numFmtId="165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14" fontId="20" fillId="0" borderId="0" xfId="0" applyNumberFormat="1" applyFont="1" applyAlignment="1">
      <alignment horizontal="left" vertical="top" indent="1"/>
    </xf>
    <xf numFmtId="0" fontId="29" fillId="0" borderId="0" xfId="0" applyFont="1" applyAlignment="1">
      <alignment vertical="center"/>
    </xf>
    <xf numFmtId="0" fontId="6" fillId="3" borderId="4" xfId="0" applyFont="1" applyFill="1" applyBorder="1"/>
    <xf numFmtId="0" fontId="31" fillId="0" borderId="0" xfId="0" applyFont="1" applyAlignment="1">
      <alignment vertical="center"/>
    </xf>
    <xf numFmtId="0" fontId="23" fillId="0" borderId="23" xfId="0" applyFont="1" applyBorder="1" applyAlignment="1">
      <alignment horizontal="center"/>
    </xf>
    <xf numFmtId="0" fontId="23" fillId="0" borderId="24" xfId="0" applyFont="1" applyBorder="1" applyAlignment="1">
      <alignment horizontal="center"/>
    </xf>
    <xf numFmtId="0" fontId="23" fillId="0" borderId="26" xfId="0" applyFont="1" applyBorder="1" applyAlignment="1">
      <alignment horizontal="center"/>
    </xf>
    <xf numFmtId="0" fontId="23" fillId="0" borderId="27" xfId="0" applyFont="1" applyBorder="1" applyAlignment="1">
      <alignment horizontal="center"/>
    </xf>
    <xf numFmtId="1" fontId="22" fillId="0" borderId="2" xfId="0" applyNumberFormat="1" applyFont="1" applyBorder="1" applyAlignment="1">
      <alignment horizontal="center"/>
    </xf>
    <xf numFmtId="166" fontId="3" fillId="0" borderId="28" xfId="1" applyNumberFormat="1" applyFont="1" applyFill="1" applyBorder="1" applyAlignment="1">
      <alignment horizontal="center" vertical="center"/>
    </xf>
    <xf numFmtId="0" fontId="19" fillId="0" borderId="2" xfId="0" applyFont="1" applyBorder="1" applyAlignment="1">
      <alignment horizontal="center"/>
    </xf>
    <xf numFmtId="0" fontId="34" fillId="0" borderId="0" xfId="0" applyFont="1" applyAlignment="1">
      <alignment vertical="center"/>
    </xf>
    <xf numFmtId="0" fontId="35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0" fillId="0" borderId="0" xfId="2" quotePrefix="1" applyFont="1" applyFill="1" applyBorder="1" applyAlignment="1">
      <alignment horizontal="left"/>
    </xf>
    <xf numFmtId="0" fontId="32" fillId="0" borderId="29" xfId="0" applyFont="1" applyBorder="1" applyAlignment="1">
      <alignment horizontal="center" vertical="center"/>
    </xf>
    <xf numFmtId="0" fontId="33" fillId="0" borderId="28" xfId="0" applyFont="1" applyBorder="1" applyAlignment="1">
      <alignment horizontal="center" vertical="center"/>
    </xf>
    <xf numFmtId="1" fontId="32" fillId="0" borderId="28" xfId="0" applyNumberFormat="1" applyFont="1" applyBorder="1" applyAlignment="1">
      <alignment horizontal="center" vertical="center"/>
    </xf>
    <xf numFmtId="166" fontId="18" fillId="0" borderId="30" xfId="0" applyNumberFormat="1" applyFont="1" applyBorder="1" applyAlignment="1">
      <alignment horizontal="center" vertical="center"/>
    </xf>
    <xf numFmtId="0" fontId="6" fillId="8" borderId="31" xfId="0" applyFont="1" applyFill="1" applyBorder="1" applyAlignment="1">
      <alignment horizontal="center" vertical="center"/>
    </xf>
    <xf numFmtId="0" fontId="6" fillId="8" borderId="32" xfId="0" applyFont="1" applyFill="1" applyBorder="1" applyAlignment="1">
      <alignment horizontal="center" vertical="center"/>
    </xf>
    <xf numFmtId="0" fontId="6" fillId="8" borderId="33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2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23" fillId="3" borderId="20" xfId="0" applyFont="1" applyFill="1" applyBorder="1" applyAlignment="1">
      <alignment horizontal="left" vertical="top" indent="28"/>
    </xf>
    <xf numFmtId="0" fontId="23" fillId="3" borderId="21" xfId="0" applyFont="1" applyFill="1" applyBorder="1" applyAlignment="1">
      <alignment horizontal="left" vertical="top" indent="28"/>
    </xf>
    <xf numFmtId="0" fontId="23" fillId="3" borderId="24" xfId="0" applyFont="1" applyFill="1" applyBorder="1" applyAlignment="1">
      <alignment horizontal="left" vertical="top" indent="28"/>
    </xf>
    <xf numFmtId="0" fontId="23" fillId="3" borderId="19" xfId="0" applyFont="1" applyFill="1" applyBorder="1" applyAlignment="1">
      <alignment horizontal="left" vertical="top" indent="28"/>
    </xf>
    <xf numFmtId="0" fontId="10" fillId="4" borderId="9" xfId="0" applyFont="1" applyFill="1" applyBorder="1" applyAlignment="1">
      <alignment horizontal="left"/>
    </xf>
    <xf numFmtId="0" fontId="10" fillId="4" borderId="10" xfId="0" applyFont="1" applyFill="1" applyBorder="1" applyAlignment="1">
      <alignment horizontal="left"/>
    </xf>
    <xf numFmtId="0" fontId="19" fillId="3" borderId="3" xfId="0" applyFont="1" applyFill="1" applyBorder="1" applyAlignment="1">
      <alignment horizontal="center" vertical="center"/>
    </xf>
    <xf numFmtId="0" fontId="19" fillId="3" borderId="4" xfId="0" applyFont="1" applyFill="1" applyBorder="1" applyAlignment="1">
      <alignment horizontal="center" vertical="center"/>
    </xf>
    <xf numFmtId="0" fontId="19" fillId="3" borderId="5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</cellXfs>
  <cellStyles count="3">
    <cellStyle name="Hipervínculo" xfId="2" builtinId="8"/>
    <cellStyle name="Millares" xfId="1" builtinId="3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</xdr:colOff>
      <xdr:row>7</xdr:row>
      <xdr:rowOff>32385</xdr:rowOff>
    </xdr:from>
    <xdr:to>
      <xdr:col>4</xdr:col>
      <xdr:colOff>1905</xdr:colOff>
      <xdr:row>7</xdr:row>
      <xdr:rowOff>253365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194310" y="1375410"/>
          <a:ext cx="2284095" cy="22098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ES" sz="1050" b="1"/>
            <a:t>P</a:t>
          </a:r>
          <a:r>
            <a:rPr lang="es-ES" sz="1050" b="1" baseline="0"/>
            <a:t>RESUPUESTO N° 12102</a:t>
          </a:r>
        </a:p>
        <a:p>
          <a:pPr algn="l"/>
          <a:endParaRPr lang="es-ES" sz="1050" b="1" baseline="0"/>
        </a:p>
        <a:p>
          <a:pPr algn="l"/>
          <a:endParaRPr lang="es-ES" sz="1050" b="1" baseline="0"/>
        </a:p>
      </xdr:txBody>
    </xdr:sp>
    <xdr:clientData/>
  </xdr:twoCellAnchor>
  <xdr:twoCellAnchor>
    <xdr:from>
      <xdr:col>5</xdr:col>
      <xdr:colOff>0</xdr:colOff>
      <xdr:row>7</xdr:row>
      <xdr:rowOff>19050</xdr:rowOff>
    </xdr:from>
    <xdr:to>
      <xdr:col>6</xdr:col>
      <xdr:colOff>800100</xdr:colOff>
      <xdr:row>7</xdr:row>
      <xdr:rowOff>257175</xdr:rowOff>
    </xdr:to>
    <xdr:sp macro="" textlink="">
      <xdr:nvSpPr>
        <xdr:cNvPr id="2" name="Proces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3057525" y="1362075"/>
          <a:ext cx="2219325" cy="238125"/>
        </a:xfrm>
        <a:prstGeom prst="flowChartProcess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182880</xdr:colOff>
      <xdr:row>21</xdr:row>
      <xdr:rowOff>91440</xdr:rowOff>
    </xdr:from>
    <xdr:to>
      <xdr:col>5</xdr:col>
      <xdr:colOff>1337310</xdr:colOff>
      <xdr:row>24</xdr:row>
      <xdr:rowOff>211455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82880" y="5044440"/>
          <a:ext cx="4271010" cy="6762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ABONO $40.000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1354213</xdr:colOff>
      <xdr:row>6</xdr:row>
      <xdr:rowOff>74295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15</xdr:row>
      <xdr:rowOff>76200</xdr:rowOff>
    </xdr:from>
    <xdr:to>
      <xdr:col>5</xdr:col>
      <xdr:colOff>1676399</xdr:colOff>
      <xdr:row>17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41</xdr:row>
      <xdr:rowOff>171450</xdr:rowOff>
    </xdr:from>
    <xdr:to>
      <xdr:col>5</xdr:col>
      <xdr:colOff>1685924</xdr:colOff>
      <xdr:row>43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0</xdr:rowOff>
    </xdr:from>
    <xdr:to>
      <xdr:col>6</xdr:col>
      <xdr:colOff>0</xdr:colOff>
      <xdr:row>40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37</xdr:row>
      <xdr:rowOff>38100</xdr:rowOff>
    </xdr:from>
    <xdr:to>
      <xdr:col>6</xdr:col>
      <xdr:colOff>0</xdr:colOff>
      <xdr:row>38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36</xdr:row>
      <xdr:rowOff>0</xdr:rowOff>
    </xdr:from>
    <xdr:to>
      <xdr:col>6</xdr:col>
      <xdr:colOff>0</xdr:colOff>
      <xdr:row>37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48</xdr:row>
      <xdr:rowOff>180975</xdr:rowOff>
    </xdr:from>
    <xdr:to>
      <xdr:col>2</xdr:col>
      <xdr:colOff>38100</xdr:colOff>
      <xdr:row>50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48</xdr:row>
      <xdr:rowOff>180975</xdr:rowOff>
    </xdr:from>
    <xdr:to>
      <xdr:col>2</xdr:col>
      <xdr:colOff>1019175</xdr:colOff>
      <xdr:row>49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48</xdr:row>
      <xdr:rowOff>180975</xdr:rowOff>
    </xdr:from>
    <xdr:to>
      <xdr:col>3</xdr:col>
      <xdr:colOff>352425</xdr:colOff>
      <xdr:row>50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48</xdr:row>
      <xdr:rowOff>180975</xdr:rowOff>
    </xdr:from>
    <xdr:to>
      <xdr:col>4</xdr:col>
      <xdr:colOff>257175</xdr:colOff>
      <xdr:row>50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48</xdr:row>
      <xdr:rowOff>180975</xdr:rowOff>
    </xdr:from>
    <xdr:to>
      <xdr:col>5</xdr:col>
      <xdr:colOff>447675</xdr:colOff>
      <xdr:row>49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48</xdr:row>
      <xdr:rowOff>180975</xdr:rowOff>
    </xdr:from>
    <xdr:to>
      <xdr:col>6</xdr:col>
      <xdr:colOff>0</xdr:colOff>
      <xdr:row>49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49</xdr:row>
      <xdr:rowOff>190500</xdr:rowOff>
    </xdr:from>
    <xdr:to>
      <xdr:col>2</xdr:col>
      <xdr:colOff>304800</xdr:colOff>
      <xdr:row>51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49</xdr:row>
      <xdr:rowOff>190500</xdr:rowOff>
    </xdr:from>
    <xdr:to>
      <xdr:col>2</xdr:col>
      <xdr:colOff>1276350</xdr:colOff>
      <xdr:row>51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49</xdr:row>
      <xdr:rowOff>190500</xdr:rowOff>
    </xdr:from>
    <xdr:to>
      <xdr:col>3</xdr:col>
      <xdr:colOff>619125</xdr:colOff>
      <xdr:row>51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49</xdr:row>
      <xdr:rowOff>190500</xdr:rowOff>
    </xdr:from>
    <xdr:to>
      <xdr:col>4</xdr:col>
      <xdr:colOff>523875</xdr:colOff>
      <xdr:row>51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49</xdr:row>
      <xdr:rowOff>190500</xdr:rowOff>
    </xdr:from>
    <xdr:to>
      <xdr:col>5</xdr:col>
      <xdr:colOff>723900</xdr:colOff>
      <xdr:row>51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49</xdr:row>
      <xdr:rowOff>190500</xdr:rowOff>
    </xdr:from>
    <xdr:to>
      <xdr:col>6</xdr:col>
      <xdr:colOff>0</xdr:colOff>
      <xdr:row>51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222885</xdr:colOff>
      <xdr:row>28</xdr:row>
      <xdr:rowOff>192404</xdr:rowOff>
    </xdr:from>
    <xdr:to>
      <xdr:col>6</xdr:col>
      <xdr:colOff>32385</xdr:colOff>
      <xdr:row>32</xdr:row>
      <xdr:rowOff>182880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22885" y="6585584"/>
          <a:ext cx="7078980" cy="78295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CUBIERTA VA POSTFORMADA EN 2 LADOS AL ANCHO Y ENCHAPADO CON REGRUESO EN 1 LARGO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22</xdr:row>
      <xdr:rowOff>200025</xdr:rowOff>
    </xdr:from>
    <xdr:to>
      <xdr:col>6</xdr:col>
      <xdr:colOff>19049</xdr:colOff>
      <xdr:row>24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906780</xdr:colOff>
      <xdr:row>51</xdr:row>
      <xdr:rowOff>175260</xdr:rowOff>
    </xdr:from>
    <xdr:to>
      <xdr:col>5</xdr:col>
      <xdr:colOff>1737360</xdr:colOff>
      <xdr:row>55</xdr:row>
      <xdr:rowOff>211456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906780" y="9204960"/>
          <a:ext cx="6355080" cy="78295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050" b="1" i="1"/>
            <a:t>OBSERVACIONES:</a:t>
          </a:r>
          <a:r>
            <a:rPr lang="es-CL" sz="1050" b="1" i="1" baseline="0"/>
            <a:t> 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CUBIERTA VA POSTFORMADA EN 2 LADOS AL ANCHO Y ENCHAPADO CON REGRUESO EN 1 LARGO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CL" sz="1050" b="1" i="1"/>
            <a:t> </a:t>
          </a:r>
          <a:endParaRPr lang="es-CL" sz="1050" b="1" i="1" u="sng" baseline="0"/>
        </a:p>
      </xdr:txBody>
    </xdr:sp>
    <xdr:clientData/>
  </xdr:twoCellAnchor>
  <xdr:twoCellAnchor editAs="oneCell">
    <xdr:from>
      <xdr:col>0</xdr:col>
      <xdr:colOff>274320</xdr:colOff>
      <xdr:row>34</xdr:row>
      <xdr:rowOff>99060</xdr:rowOff>
    </xdr:from>
    <xdr:to>
      <xdr:col>1</xdr:col>
      <xdr:colOff>937018</xdr:colOff>
      <xdr:row>41</xdr:row>
      <xdr:rowOff>15240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20" y="6492240"/>
          <a:ext cx="1577098" cy="1148715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784618</xdr:colOff>
      <xdr:row>8</xdr:row>
      <xdr:rowOff>20955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530255F8-3B48-4120-84F9-E67832D1D31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P29"/>
  <sheetViews>
    <sheetView tabSelected="1" topLeftCell="A3" workbookViewId="0">
      <selection activeCell="G21" sqref="G21"/>
    </sheetView>
  </sheetViews>
  <sheetFormatPr baseColWidth="10" defaultRowHeight="14.4" x14ac:dyDescent="0.3"/>
  <cols>
    <col min="1" max="1" width="2.88671875" customWidth="1"/>
    <col min="2" max="2" width="8.33203125" customWidth="1"/>
    <col min="3" max="3" width="26.109375" customWidth="1"/>
    <col min="4" max="5" width="8.6640625" customWidth="1"/>
    <col min="6" max="6" width="31.77734375" customWidth="1"/>
    <col min="7" max="7" width="12.33203125" customWidth="1"/>
    <col min="8" max="8" width="14.109375" bestFit="1" customWidth="1"/>
  </cols>
  <sheetData>
    <row r="2" spans="2:16" ht="15.6" x14ac:dyDescent="0.3">
      <c r="F2" s="12" t="s">
        <v>126</v>
      </c>
    </row>
    <row r="3" spans="2:16" x14ac:dyDescent="0.3">
      <c r="F3" s="13" t="s">
        <v>127</v>
      </c>
    </row>
    <row r="4" spans="2:16" x14ac:dyDescent="0.3">
      <c r="F4" s="13" t="s">
        <v>128</v>
      </c>
    </row>
    <row r="5" spans="2:16" x14ac:dyDescent="0.3">
      <c r="F5" s="13" t="s">
        <v>0</v>
      </c>
    </row>
    <row r="6" spans="2:16" x14ac:dyDescent="0.3">
      <c r="F6" s="13" t="s">
        <v>17</v>
      </c>
    </row>
    <row r="7" spans="2:16" x14ac:dyDescent="0.3">
      <c r="F7" s="13" t="s">
        <v>14</v>
      </c>
    </row>
    <row r="8" spans="2:16" ht="21" x14ac:dyDescent="0.4">
      <c r="B8" s="36" t="s">
        <v>18</v>
      </c>
      <c r="C8" s="35"/>
      <c r="D8" s="37" t="s">
        <v>19</v>
      </c>
      <c r="F8" s="45" t="s">
        <v>30</v>
      </c>
      <c r="G8" s="44">
        <v>7445</v>
      </c>
    </row>
    <row r="9" spans="2:16" ht="15" thickBot="1" x14ac:dyDescent="0.35"/>
    <row r="10" spans="2:16" ht="16.2" thickBot="1" x14ac:dyDescent="0.35">
      <c r="B10" s="14" t="s">
        <v>7</v>
      </c>
      <c r="C10" s="109" t="s">
        <v>140</v>
      </c>
      <c r="D10" s="15"/>
      <c r="E10" s="15"/>
      <c r="F10" s="16" t="s">
        <v>31</v>
      </c>
      <c r="G10" s="17"/>
      <c r="H10" s="18"/>
      <c r="I10" s="1"/>
      <c r="J10" s="1"/>
      <c r="K10" s="1"/>
      <c r="L10" s="1"/>
      <c r="M10" s="1"/>
      <c r="N10" s="1"/>
      <c r="O10" s="1"/>
      <c r="P10" s="1"/>
    </row>
    <row r="11" spans="2:16" ht="16.2" thickBot="1" x14ac:dyDescent="0.35">
      <c r="B11" s="19" t="s">
        <v>2</v>
      </c>
      <c r="C11" s="108"/>
      <c r="D11" s="20"/>
      <c r="E11" s="20"/>
      <c r="F11" s="20" t="s">
        <v>131</v>
      </c>
      <c r="G11" s="103">
        <v>46148</v>
      </c>
      <c r="H11" s="21"/>
    </row>
    <row r="12" spans="2:16" x14ac:dyDescent="0.3">
      <c r="B12" s="91" t="s">
        <v>115</v>
      </c>
      <c r="C12" s="118"/>
      <c r="D12" s="22"/>
      <c r="E12" s="22"/>
      <c r="F12" s="22" t="s">
        <v>33</v>
      </c>
      <c r="G12" s="23"/>
      <c r="H12" s="24"/>
    </row>
    <row r="13" spans="2:16" x14ac:dyDescent="0.3">
      <c r="B13" s="19" t="s">
        <v>20</v>
      </c>
      <c r="C13" s="121"/>
      <c r="D13" s="25"/>
      <c r="E13" s="20"/>
      <c r="F13" s="20" t="s">
        <v>32</v>
      </c>
      <c r="G13" s="20"/>
      <c r="H13" s="21"/>
    </row>
    <row r="14" spans="2:16" x14ac:dyDescent="0.3">
      <c r="B14" s="91" t="s">
        <v>1</v>
      </c>
      <c r="C14" s="110"/>
      <c r="D14" s="22"/>
      <c r="E14" s="22"/>
      <c r="F14" s="26" t="s">
        <v>78</v>
      </c>
      <c r="G14" s="26" t="s">
        <v>134</v>
      </c>
      <c r="H14" s="24"/>
    </row>
    <row r="15" spans="2:16" ht="15" thickBot="1" x14ac:dyDescent="0.35">
      <c r="B15" s="27" t="s">
        <v>3</v>
      </c>
      <c r="C15" s="28" t="s">
        <v>135</v>
      </c>
      <c r="D15" s="28"/>
      <c r="E15" s="29"/>
      <c r="F15" s="136" t="s">
        <v>21</v>
      </c>
      <c r="G15" s="136"/>
      <c r="H15" s="137"/>
    </row>
    <row r="17" spans="2:15" ht="15" thickBot="1" x14ac:dyDescent="0.35"/>
    <row r="18" spans="2:15" ht="15" thickBot="1" x14ac:dyDescent="0.35">
      <c r="B18" s="138" t="s">
        <v>22</v>
      </c>
      <c r="C18" s="139"/>
      <c r="D18" s="139"/>
      <c r="E18" s="139"/>
      <c r="F18" s="139"/>
      <c r="G18" s="139"/>
      <c r="H18" s="140"/>
    </row>
    <row r="19" spans="2:15" ht="15" thickBot="1" x14ac:dyDescent="0.35">
      <c r="B19" s="126" t="s">
        <v>23</v>
      </c>
      <c r="C19" s="127" t="s">
        <v>24</v>
      </c>
      <c r="D19" s="127" t="s">
        <v>25</v>
      </c>
      <c r="E19" s="127" t="s">
        <v>9</v>
      </c>
      <c r="F19" s="127" t="s">
        <v>26</v>
      </c>
      <c r="G19" s="127" t="s">
        <v>27</v>
      </c>
      <c r="H19" s="128" t="s">
        <v>4</v>
      </c>
    </row>
    <row r="20" spans="2:15" ht="15.6" x14ac:dyDescent="0.3">
      <c r="B20" s="122">
        <v>1</v>
      </c>
      <c r="C20" s="123" t="s">
        <v>139</v>
      </c>
      <c r="D20" s="124">
        <v>1650</v>
      </c>
      <c r="E20" s="124">
        <v>650</v>
      </c>
      <c r="F20" s="123" t="s">
        <v>138</v>
      </c>
      <c r="G20" s="116">
        <v>77796</v>
      </c>
      <c r="H20" s="125">
        <f t="shared" ref="H20" si="0">G20*B20</f>
        <v>77796</v>
      </c>
      <c r="J20" s="61"/>
      <c r="K20" s="88"/>
      <c r="L20" s="61"/>
      <c r="M20" s="61"/>
      <c r="N20" s="88"/>
      <c r="O20" s="99"/>
    </row>
    <row r="21" spans="2:15" x14ac:dyDescent="0.3">
      <c r="B21" s="100"/>
      <c r="C21" s="100"/>
      <c r="D21" s="104"/>
      <c r="E21" s="104"/>
      <c r="F21" s="105"/>
      <c r="G21" s="101"/>
      <c r="H21" s="102"/>
      <c r="J21" s="61"/>
      <c r="K21" s="88"/>
      <c r="L21" s="61"/>
      <c r="M21" s="61"/>
      <c r="N21" s="88"/>
      <c r="O21" s="99"/>
    </row>
    <row r="22" spans="2:15" ht="8.25" customHeight="1" thickBot="1" x14ac:dyDescent="0.35">
      <c r="B22" s="61"/>
      <c r="C22" s="61"/>
      <c r="D22" s="61"/>
      <c r="E22" s="61"/>
      <c r="F22" s="61"/>
      <c r="G22" s="62"/>
      <c r="H22" s="63"/>
    </row>
    <row r="23" spans="2:15" ht="18" thickBot="1" x14ac:dyDescent="0.4">
      <c r="G23" s="30" t="s">
        <v>5</v>
      </c>
      <c r="H23" s="43">
        <f>SUM(H20:H22)</f>
        <v>77796</v>
      </c>
    </row>
    <row r="24" spans="2:15" ht="18" thickBot="1" x14ac:dyDescent="0.4">
      <c r="G24" s="40" t="s">
        <v>6</v>
      </c>
      <c r="H24" s="43">
        <f>H23*19%</f>
        <v>14781.24</v>
      </c>
    </row>
    <row r="25" spans="2:15" ht="18" thickBot="1" x14ac:dyDescent="0.4">
      <c r="G25" s="31" t="s">
        <v>4</v>
      </c>
      <c r="H25" s="43">
        <f>SUM(H23+H24)</f>
        <v>92577.24</v>
      </c>
    </row>
    <row r="27" spans="2:15" x14ac:dyDescent="0.3">
      <c r="B27" s="38" t="s">
        <v>130</v>
      </c>
      <c r="C27" s="32"/>
      <c r="D27" s="33"/>
      <c r="E27" s="33"/>
      <c r="F27" s="34"/>
    </row>
    <row r="28" spans="2:15" x14ac:dyDescent="0.3">
      <c r="B28" s="38" t="s">
        <v>129</v>
      </c>
      <c r="C28" s="39"/>
      <c r="D28" s="33"/>
      <c r="E28" s="33"/>
      <c r="F28" s="34"/>
    </row>
    <row r="29" spans="2:15" x14ac:dyDescent="0.3">
      <c r="B29" s="41" t="s">
        <v>28</v>
      </c>
      <c r="E29" s="42" t="s">
        <v>29</v>
      </c>
    </row>
  </sheetData>
  <sortState xmlns:xlrd2="http://schemas.microsoft.com/office/spreadsheetml/2017/richdata2" ref="B48">
    <sortCondition sortBy="fontColor" ref="B48" dxfId="0"/>
  </sortState>
  <mergeCells count="2">
    <mergeCell ref="F15:H15"/>
    <mergeCell ref="B18:H18"/>
  </mergeCells>
  <phoneticPr fontId="28" type="noConversion"/>
  <hyperlinks>
    <hyperlink ref="E29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topLeftCell="A6" workbookViewId="0">
      <selection activeCell="I4" sqref="I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41" t="s">
        <v>34</v>
      </c>
      <c r="C2" s="141"/>
      <c r="D2" s="141"/>
      <c r="E2" s="64"/>
      <c r="G2" s="141" t="s">
        <v>73</v>
      </c>
      <c r="H2" s="141"/>
      <c r="I2" s="141"/>
      <c r="P2" s="142" t="s">
        <v>61</v>
      </c>
      <c r="Q2" s="142"/>
      <c r="R2" s="142"/>
    </row>
    <row r="3" spans="2:18" x14ac:dyDescent="0.3">
      <c r="B3" s="48" t="s">
        <v>8</v>
      </c>
      <c r="C3" s="48" t="s">
        <v>9</v>
      </c>
      <c r="D3" s="48" t="s">
        <v>24</v>
      </c>
      <c r="E3" s="65"/>
      <c r="G3" s="48" t="s">
        <v>8</v>
      </c>
      <c r="H3" s="48" t="s">
        <v>9</v>
      </c>
      <c r="I3" s="48" t="s">
        <v>24</v>
      </c>
      <c r="P3" s="48" t="s">
        <v>8</v>
      </c>
      <c r="Q3" s="48" t="s">
        <v>9</v>
      </c>
      <c r="R3" s="48" t="s">
        <v>24</v>
      </c>
    </row>
    <row r="4" spans="2:18" x14ac:dyDescent="0.3">
      <c r="B4" s="46">
        <v>40</v>
      </c>
      <c r="C4" s="46">
        <v>60</v>
      </c>
      <c r="D4" s="47" t="s">
        <v>118</v>
      </c>
      <c r="E4" s="22" t="s">
        <v>104</v>
      </c>
      <c r="G4" s="92">
        <v>50</v>
      </c>
      <c r="H4" s="92">
        <v>100</v>
      </c>
      <c r="I4" s="93" t="s">
        <v>118</v>
      </c>
      <c r="J4" s="94" t="s">
        <v>112</v>
      </c>
      <c r="K4" s="94"/>
      <c r="L4" s="94"/>
      <c r="M4" s="94"/>
      <c r="P4">
        <v>50</v>
      </c>
      <c r="Q4">
        <v>-30</v>
      </c>
      <c r="R4" t="s">
        <v>35</v>
      </c>
    </row>
    <row r="5" spans="2:18" x14ac:dyDescent="0.3">
      <c r="B5" s="46">
        <v>40</v>
      </c>
      <c r="C5" s="46">
        <v>90</v>
      </c>
      <c r="D5" s="47" t="s">
        <v>119</v>
      </c>
      <c r="E5" s="22" t="s">
        <v>105</v>
      </c>
      <c r="G5" s="92">
        <v>50</v>
      </c>
      <c r="H5" s="92"/>
      <c r="I5" s="93" t="s">
        <v>120</v>
      </c>
      <c r="J5" s="94" t="s">
        <v>122</v>
      </c>
      <c r="K5" s="94"/>
      <c r="L5" s="94"/>
      <c r="M5" s="94"/>
      <c r="P5">
        <v>50</v>
      </c>
      <c r="Q5">
        <v>-30</v>
      </c>
      <c r="R5" t="s">
        <v>35</v>
      </c>
    </row>
    <row r="6" spans="2:18" x14ac:dyDescent="0.3">
      <c r="B6" s="46">
        <v>40</v>
      </c>
      <c r="C6" s="46">
        <v>100</v>
      </c>
      <c r="D6" s="47" t="s">
        <v>59</v>
      </c>
      <c r="E6" s="22" t="s">
        <v>106</v>
      </c>
      <c r="G6" s="46">
        <v>50</v>
      </c>
      <c r="H6" s="46">
        <v>100</v>
      </c>
      <c r="I6" s="47" t="s">
        <v>59</v>
      </c>
      <c r="P6">
        <v>50</v>
      </c>
      <c r="Q6">
        <v>-30</v>
      </c>
      <c r="R6" t="s">
        <v>37</v>
      </c>
    </row>
    <row r="7" spans="2:18" x14ac:dyDescent="0.3">
      <c r="B7" s="46">
        <v>40</v>
      </c>
      <c r="C7" s="46">
        <v>150</v>
      </c>
      <c r="D7" s="47" t="s">
        <v>60</v>
      </c>
      <c r="E7" s="22" t="s">
        <v>107</v>
      </c>
      <c r="G7" s="46">
        <v>50</v>
      </c>
      <c r="H7" s="46"/>
      <c r="I7" s="47" t="s">
        <v>60</v>
      </c>
      <c r="P7">
        <v>50</v>
      </c>
      <c r="Q7">
        <v>-30</v>
      </c>
      <c r="R7" t="s">
        <v>47</v>
      </c>
    </row>
    <row r="8" spans="2:18" x14ac:dyDescent="0.3">
      <c r="B8" s="46">
        <v>40</v>
      </c>
      <c r="C8" s="46">
        <v>100</v>
      </c>
      <c r="D8" s="47" t="s">
        <v>43</v>
      </c>
      <c r="E8" s="22" t="s">
        <v>108</v>
      </c>
      <c r="G8" s="46">
        <v>50</v>
      </c>
      <c r="H8" s="46">
        <v>100</v>
      </c>
      <c r="I8" s="47" t="s">
        <v>43</v>
      </c>
      <c r="L8" s="142" t="s">
        <v>61</v>
      </c>
      <c r="M8" s="142"/>
      <c r="N8" s="142"/>
      <c r="P8">
        <v>50</v>
      </c>
      <c r="Q8">
        <v>-30</v>
      </c>
      <c r="R8" t="s">
        <v>53</v>
      </c>
    </row>
    <row r="9" spans="2:18" x14ac:dyDescent="0.3">
      <c r="B9" s="46">
        <v>40</v>
      </c>
      <c r="C9" s="46">
        <v>50</v>
      </c>
      <c r="D9" s="47" t="s">
        <v>57</v>
      </c>
      <c r="E9" s="22" t="s">
        <v>79</v>
      </c>
      <c r="G9" s="46">
        <v>50</v>
      </c>
      <c r="H9" s="46">
        <v>100</v>
      </c>
      <c r="I9" s="47" t="s">
        <v>42</v>
      </c>
      <c r="L9" s="48" t="s">
        <v>8</v>
      </c>
      <c r="M9" s="48" t="s">
        <v>9</v>
      </c>
      <c r="N9" s="48" t="s">
        <v>24</v>
      </c>
      <c r="P9">
        <v>50</v>
      </c>
      <c r="Q9">
        <v>0</v>
      </c>
      <c r="R9" t="s">
        <v>48</v>
      </c>
    </row>
    <row r="10" spans="2:18" x14ac:dyDescent="0.3">
      <c r="B10" s="46">
        <v>40</v>
      </c>
      <c r="C10" s="46">
        <v>80</v>
      </c>
      <c r="D10" s="47" t="s">
        <v>58</v>
      </c>
      <c r="E10" s="22" t="s">
        <v>80</v>
      </c>
      <c r="G10" s="46">
        <v>50</v>
      </c>
      <c r="H10" s="46"/>
      <c r="I10" s="47" t="s">
        <v>44</v>
      </c>
      <c r="L10" s="46">
        <v>50</v>
      </c>
      <c r="M10" s="46">
        <v>-30</v>
      </c>
      <c r="N10" s="47" t="s">
        <v>35</v>
      </c>
      <c r="P10">
        <v>50</v>
      </c>
      <c r="Q10">
        <v>0</v>
      </c>
      <c r="R10" t="s">
        <v>36</v>
      </c>
    </row>
    <row r="11" spans="2:18" x14ac:dyDescent="0.3">
      <c r="B11" s="46">
        <v>40</v>
      </c>
      <c r="C11" s="46">
        <v>60</v>
      </c>
      <c r="D11" s="47" t="s">
        <v>74</v>
      </c>
      <c r="E11" s="22" t="s">
        <v>81</v>
      </c>
      <c r="G11" s="46">
        <v>50</v>
      </c>
      <c r="H11" s="46">
        <v>100</v>
      </c>
      <c r="I11" s="47" t="s">
        <v>57</v>
      </c>
      <c r="L11" s="46">
        <v>50</v>
      </c>
      <c r="M11" s="46">
        <v>0</v>
      </c>
      <c r="N11" s="47" t="s">
        <v>62</v>
      </c>
      <c r="P11">
        <v>50</v>
      </c>
      <c r="Q11">
        <v>0</v>
      </c>
      <c r="R11" t="s">
        <v>39</v>
      </c>
    </row>
    <row r="12" spans="2:18" x14ac:dyDescent="0.3">
      <c r="B12" s="46">
        <v>40</v>
      </c>
      <c r="C12" s="46">
        <v>100</v>
      </c>
      <c r="D12" s="47" t="s">
        <v>75</v>
      </c>
      <c r="E12" s="22" t="s">
        <v>82</v>
      </c>
      <c r="G12" s="46">
        <v>50</v>
      </c>
      <c r="H12" s="46"/>
      <c r="I12" s="47" t="s">
        <v>58</v>
      </c>
      <c r="L12" s="46">
        <v>50</v>
      </c>
      <c r="M12" s="46">
        <v>-2</v>
      </c>
      <c r="N12" s="47" t="s">
        <v>63</v>
      </c>
      <c r="P12">
        <v>50</v>
      </c>
      <c r="Q12">
        <v>0</v>
      </c>
      <c r="R12" t="s">
        <v>40</v>
      </c>
    </row>
    <row r="13" spans="2:18" x14ac:dyDescent="0.3">
      <c r="B13" s="46">
        <v>40</v>
      </c>
      <c r="C13" s="46">
        <v>130</v>
      </c>
      <c r="D13" s="47" t="s">
        <v>35</v>
      </c>
      <c r="E13" s="22" t="s">
        <v>83</v>
      </c>
      <c r="G13" s="46">
        <v>50</v>
      </c>
      <c r="H13" s="46">
        <v>-30</v>
      </c>
      <c r="I13" s="47" t="s">
        <v>35</v>
      </c>
      <c r="P13">
        <v>50</v>
      </c>
      <c r="Q13">
        <v>0</v>
      </c>
      <c r="R13" t="s">
        <v>41</v>
      </c>
    </row>
    <row r="14" spans="2:18" x14ac:dyDescent="0.3">
      <c r="B14" s="46">
        <v>40</v>
      </c>
      <c r="C14" s="46">
        <v>150</v>
      </c>
      <c r="D14" s="47" t="s">
        <v>37</v>
      </c>
      <c r="E14" s="22"/>
      <c r="G14" s="46">
        <v>50</v>
      </c>
      <c r="H14" s="46">
        <v>-30</v>
      </c>
      <c r="I14" s="47" t="s">
        <v>37</v>
      </c>
    </row>
    <row r="15" spans="2:18" x14ac:dyDescent="0.3">
      <c r="B15" s="46">
        <v>40</v>
      </c>
      <c r="C15" s="46">
        <v>150</v>
      </c>
      <c r="D15" s="47" t="s">
        <v>121</v>
      </c>
      <c r="E15" s="22" t="s">
        <v>84</v>
      </c>
      <c r="G15" s="46">
        <v>50</v>
      </c>
      <c r="H15" s="46">
        <v>-30</v>
      </c>
      <c r="I15" s="47" t="s">
        <v>47</v>
      </c>
      <c r="P15">
        <v>50</v>
      </c>
      <c r="Q15">
        <v>0</v>
      </c>
      <c r="R15" t="s">
        <v>38</v>
      </c>
    </row>
    <row r="16" spans="2:18" x14ac:dyDescent="0.3">
      <c r="B16" s="46">
        <v>40</v>
      </c>
      <c r="C16" s="46">
        <v>130</v>
      </c>
      <c r="D16" s="47" t="s">
        <v>109</v>
      </c>
      <c r="E16" s="22" t="s">
        <v>85</v>
      </c>
      <c r="G16" s="46">
        <v>50</v>
      </c>
      <c r="H16" s="46">
        <v>-30</v>
      </c>
      <c r="I16" s="47" t="s">
        <v>77</v>
      </c>
      <c r="P16">
        <v>50</v>
      </c>
      <c r="Q16">
        <v>0</v>
      </c>
      <c r="R16" t="s">
        <v>49</v>
      </c>
    </row>
    <row r="17" spans="2:18" x14ac:dyDescent="0.3">
      <c r="B17" s="46">
        <v>40</v>
      </c>
      <c r="C17" s="46">
        <v>150</v>
      </c>
      <c r="D17" s="47" t="s">
        <v>39</v>
      </c>
      <c r="E17" s="22" t="s">
        <v>86</v>
      </c>
      <c r="G17" s="46">
        <v>50</v>
      </c>
      <c r="H17" s="46"/>
      <c r="I17" s="47" t="s">
        <v>39</v>
      </c>
      <c r="P17">
        <v>50</v>
      </c>
      <c r="Q17">
        <v>0</v>
      </c>
      <c r="R17" t="s">
        <v>50</v>
      </c>
    </row>
    <row r="18" spans="2:18" x14ac:dyDescent="0.3">
      <c r="B18" s="46">
        <v>140</v>
      </c>
      <c r="C18" s="46">
        <v>150</v>
      </c>
      <c r="D18" s="47" t="s">
        <v>40</v>
      </c>
      <c r="E18" s="22" t="s">
        <v>87</v>
      </c>
      <c r="G18" s="46">
        <v>50</v>
      </c>
      <c r="H18" s="46"/>
      <c r="I18" s="47" t="s">
        <v>40</v>
      </c>
      <c r="P18">
        <v>50</v>
      </c>
      <c r="Q18">
        <v>0</v>
      </c>
      <c r="R18" t="s">
        <v>51</v>
      </c>
    </row>
    <row r="19" spans="2:18" x14ac:dyDescent="0.3">
      <c r="B19" s="46">
        <v>150</v>
      </c>
      <c r="C19" s="46">
        <v>150</v>
      </c>
      <c r="D19" s="47" t="s">
        <v>41</v>
      </c>
      <c r="E19" s="22" t="s">
        <v>88</v>
      </c>
      <c r="G19" s="46">
        <v>50</v>
      </c>
      <c r="H19" s="46"/>
      <c r="I19" s="47" t="s">
        <v>41</v>
      </c>
      <c r="P19">
        <v>50</v>
      </c>
      <c r="Q19">
        <v>0</v>
      </c>
      <c r="R19" t="s">
        <v>54</v>
      </c>
    </row>
    <row r="20" spans="2:18" x14ac:dyDescent="0.3">
      <c r="B20" s="46">
        <v>40</v>
      </c>
      <c r="C20" s="46">
        <v>100</v>
      </c>
      <c r="D20" s="47" t="s">
        <v>125</v>
      </c>
      <c r="E20" s="22" t="s">
        <v>89</v>
      </c>
      <c r="G20" s="46">
        <v>50</v>
      </c>
      <c r="H20" s="46">
        <v>0</v>
      </c>
      <c r="I20" s="47" t="s">
        <v>125</v>
      </c>
      <c r="J20" s="94" t="s">
        <v>114</v>
      </c>
      <c r="K20" s="94"/>
      <c r="L20" s="94"/>
      <c r="M20" s="94"/>
      <c r="P20">
        <v>50</v>
      </c>
      <c r="Q20">
        <v>0</v>
      </c>
      <c r="R20" t="s">
        <v>55</v>
      </c>
    </row>
    <row r="21" spans="2:18" x14ac:dyDescent="0.3">
      <c r="B21" s="46">
        <v>100</v>
      </c>
      <c r="C21" s="46">
        <v>100</v>
      </c>
      <c r="D21" s="47" t="s">
        <v>116</v>
      </c>
      <c r="E21" s="22" t="s">
        <v>90</v>
      </c>
      <c r="G21" s="46">
        <v>50</v>
      </c>
      <c r="H21" s="46">
        <v>0</v>
      </c>
      <c r="I21" s="47" t="s">
        <v>116</v>
      </c>
      <c r="P21">
        <v>50</v>
      </c>
      <c r="Q21">
        <v>0</v>
      </c>
      <c r="R21" t="s">
        <v>56</v>
      </c>
    </row>
    <row r="22" spans="2:18" x14ac:dyDescent="0.3">
      <c r="B22" s="46">
        <v>100</v>
      </c>
      <c r="C22" s="46">
        <v>100</v>
      </c>
      <c r="D22" s="47" t="s">
        <v>38</v>
      </c>
      <c r="E22" s="22" t="s">
        <v>91</v>
      </c>
      <c r="G22" s="92"/>
      <c r="H22" s="92"/>
      <c r="I22" s="93" t="s">
        <v>38</v>
      </c>
      <c r="P22">
        <v>50</v>
      </c>
      <c r="Q22">
        <v>0</v>
      </c>
      <c r="R22" t="s">
        <v>52</v>
      </c>
    </row>
    <row r="23" spans="2:18" x14ac:dyDescent="0.3">
      <c r="B23" s="46">
        <v>40</v>
      </c>
      <c r="C23" s="46">
        <v>150</v>
      </c>
      <c r="D23" s="47" t="s">
        <v>49</v>
      </c>
      <c r="E23" s="22" t="s">
        <v>92</v>
      </c>
      <c r="G23" s="46">
        <v>50</v>
      </c>
      <c r="H23" s="46"/>
      <c r="I23" s="47" t="s">
        <v>49</v>
      </c>
      <c r="R23" t="s">
        <v>45</v>
      </c>
    </row>
    <row r="24" spans="2:18" x14ac:dyDescent="0.3">
      <c r="B24" s="46">
        <v>140</v>
      </c>
      <c r="C24" s="46">
        <v>150</v>
      </c>
      <c r="D24" s="47" t="s">
        <v>50</v>
      </c>
      <c r="E24" s="22" t="s">
        <v>93</v>
      </c>
      <c r="G24" s="46">
        <v>50</v>
      </c>
      <c r="H24" s="46"/>
      <c r="I24" s="47" t="s">
        <v>50</v>
      </c>
      <c r="R24" t="s">
        <v>46</v>
      </c>
    </row>
    <row r="25" spans="2:18" x14ac:dyDescent="0.3">
      <c r="B25" s="46">
        <v>150</v>
      </c>
      <c r="C25" s="46">
        <v>150</v>
      </c>
      <c r="D25" s="47" t="s">
        <v>51</v>
      </c>
      <c r="E25" s="22" t="s">
        <v>94</v>
      </c>
      <c r="G25" s="46">
        <v>50</v>
      </c>
      <c r="H25" s="46"/>
      <c r="I25" s="47" t="s">
        <v>51</v>
      </c>
      <c r="R25" t="s">
        <v>59</v>
      </c>
    </row>
    <row r="26" spans="2:18" x14ac:dyDescent="0.3">
      <c r="B26" s="46">
        <v>40</v>
      </c>
      <c r="C26" s="46">
        <v>77</v>
      </c>
      <c r="D26" s="47" t="s">
        <v>54</v>
      </c>
      <c r="E26" s="22" t="s">
        <v>95</v>
      </c>
      <c r="G26" s="46">
        <v>50</v>
      </c>
      <c r="H26" s="46"/>
      <c r="I26" s="47" t="s">
        <v>54</v>
      </c>
      <c r="R26" t="s">
        <v>60</v>
      </c>
    </row>
    <row r="27" spans="2:18" x14ac:dyDescent="0.3">
      <c r="B27" s="46">
        <v>110</v>
      </c>
      <c r="C27" s="46">
        <v>77</v>
      </c>
      <c r="D27" s="47" t="s">
        <v>55</v>
      </c>
      <c r="E27" s="22" t="s">
        <v>96</v>
      </c>
      <c r="G27" s="46">
        <v>50</v>
      </c>
      <c r="H27" s="46"/>
      <c r="I27" s="47" t="s">
        <v>55</v>
      </c>
      <c r="R27" t="s">
        <v>43</v>
      </c>
    </row>
    <row r="28" spans="2:18" x14ac:dyDescent="0.3">
      <c r="B28" s="46">
        <v>120</v>
      </c>
      <c r="C28" s="46">
        <v>77</v>
      </c>
      <c r="D28" s="47" t="s">
        <v>56</v>
      </c>
      <c r="E28" s="22" t="s">
        <v>97</v>
      </c>
      <c r="G28" s="46">
        <v>50</v>
      </c>
      <c r="H28" s="46"/>
      <c r="I28" s="47" t="s">
        <v>56</v>
      </c>
      <c r="R28" t="s">
        <v>42</v>
      </c>
    </row>
    <row r="29" spans="2:18" x14ac:dyDescent="0.3">
      <c r="B29" s="46">
        <v>40</v>
      </c>
      <c r="C29" s="46">
        <v>50</v>
      </c>
      <c r="D29" s="47" t="s">
        <v>52</v>
      </c>
      <c r="E29" s="22" t="s">
        <v>98</v>
      </c>
      <c r="G29" s="46">
        <v>50</v>
      </c>
      <c r="H29" s="46"/>
      <c r="I29" s="47" t="s">
        <v>52</v>
      </c>
      <c r="R29" t="s">
        <v>44</v>
      </c>
    </row>
    <row r="30" spans="2:18" x14ac:dyDescent="0.3">
      <c r="B30" s="46">
        <v>40</v>
      </c>
      <c r="C30" s="46">
        <v>60</v>
      </c>
      <c r="D30" s="47" t="s">
        <v>76</v>
      </c>
      <c r="E30" s="22" t="s">
        <v>99</v>
      </c>
      <c r="G30" s="46">
        <v>50</v>
      </c>
      <c r="H30" s="46"/>
      <c r="I30" s="47" t="s">
        <v>36</v>
      </c>
      <c r="R30" t="s">
        <v>57</v>
      </c>
    </row>
    <row r="31" spans="2:18" x14ac:dyDescent="0.3">
      <c r="B31" s="46">
        <v>40</v>
      </c>
      <c r="C31" s="46">
        <v>100</v>
      </c>
      <c r="D31" s="47" t="s">
        <v>48</v>
      </c>
      <c r="E31" s="22" t="s">
        <v>100</v>
      </c>
      <c r="G31" s="46">
        <v>50</v>
      </c>
      <c r="H31" s="46"/>
      <c r="I31" s="47" t="s">
        <v>48</v>
      </c>
      <c r="R31" t="s">
        <v>58</v>
      </c>
    </row>
    <row r="32" spans="2:18" x14ac:dyDescent="0.3">
      <c r="B32" s="46">
        <v>40</v>
      </c>
      <c r="C32" s="46">
        <v>60</v>
      </c>
      <c r="D32" s="47" t="s">
        <v>111</v>
      </c>
      <c r="E32" s="22" t="s">
        <v>101</v>
      </c>
      <c r="G32" s="46">
        <v>50</v>
      </c>
      <c r="H32" s="46"/>
      <c r="I32" s="47" t="s">
        <v>111</v>
      </c>
      <c r="R32" t="s">
        <v>65</v>
      </c>
    </row>
    <row r="33" spans="2:18" x14ac:dyDescent="0.3">
      <c r="B33" s="46">
        <v>40</v>
      </c>
      <c r="C33" s="46">
        <v>90</v>
      </c>
      <c r="D33" s="47" t="s">
        <v>68</v>
      </c>
      <c r="E33" s="22" t="s">
        <v>102</v>
      </c>
      <c r="G33" s="46">
        <v>50</v>
      </c>
      <c r="H33" s="46">
        <v>-2</v>
      </c>
      <c r="I33" s="47" t="s">
        <v>68</v>
      </c>
      <c r="R33" t="s">
        <v>66</v>
      </c>
    </row>
    <row r="34" spans="2:18" x14ac:dyDescent="0.3">
      <c r="B34" s="46">
        <v>40</v>
      </c>
      <c r="C34" s="46">
        <v>90</v>
      </c>
      <c r="D34" s="47" t="s">
        <v>69</v>
      </c>
      <c r="E34" s="22"/>
      <c r="G34" s="46">
        <v>50</v>
      </c>
      <c r="H34" s="46">
        <v>-2</v>
      </c>
      <c r="I34" s="47" t="s">
        <v>69</v>
      </c>
    </row>
    <row r="35" spans="2:18" x14ac:dyDescent="0.3">
      <c r="B35" s="46">
        <v>40</v>
      </c>
      <c r="C35" s="46">
        <v>90</v>
      </c>
      <c r="D35" s="47" t="s">
        <v>65</v>
      </c>
      <c r="E35" s="22" t="s">
        <v>103</v>
      </c>
      <c r="G35" s="46">
        <v>50</v>
      </c>
      <c r="H35" s="46">
        <v>-2</v>
      </c>
      <c r="I35" s="47" t="s">
        <v>65</v>
      </c>
      <c r="R35" t="s">
        <v>67</v>
      </c>
    </row>
    <row r="36" spans="2:18" x14ac:dyDescent="0.3">
      <c r="B36" s="89">
        <v>40</v>
      </c>
      <c r="C36" s="89">
        <v>90</v>
      </c>
      <c r="D36" s="90" t="s">
        <v>66</v>
      </c>
      <c r="G36" s="46">
        <v>50</v>
      </c>
      <c r="H36" s="46">
        <v>-2</v>
      </c>
      <c r="I36" s="47" t="s">
        <v>66</v>
      </c>
      <c r="R36" t="s">
        <v>68</v>
      </c>
    </row>
    <row r="37" spans="2:18" x14ac:dyDescent="0.3">
      <c r="B37" s="89">
        <v>40</v>
      </c>
      <c r="C37" s="89">
        <v>90</v>
      </c>
      <c r="D37" s="90" t="s">
        <v>67</v>
      </c>
      <c r="G37" s="46">
        <v>50</v>
      </c>
      <c r="H37" s="46">
        <v>-2</v>
      </c>
      <c r="I37" s="47" t="s">
        <v>67</v>
      </c>
      <c r="R37" t="s">
        <v>69</v>
      </c>
    </row>
    <row r="48" spans="2:18" x14ac:dyDescent="0.3">
      <c r="B48" s="46">
        <v>40</v>
      </c>
      <c r="C48" s="46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N60"/>
  <sheetViews>
    <sheetView zoomScaleNormal="100" workbookViewId="0">
      <selection activeCell="G34" sqref="A2:G34"/>
    </sheetView>
  </sheetViews>
  <sheetFormatPr baseColWidth="10" defaultRowHeight="14.4" x14ac:dyDescent="0.3"/>
  <cols>
    <col min="1" max="1" width="13.44140625" customWidth="1"/>
    <col min="2" max="2" width="14" customWidth="1"/>
    <col min="3" max="3" width="28.33203125" customWidth="1"/>
    <col min="4" max="4" width="16" customWidth="1"/>
    <col min="5" max="5" width="12.6640625" bestFit="1" customWidth="1"/>
    <col min="6" max="6" width="25.44140625" bestFit="1" customWidth="1"/>
    <col min="9" max="9" width="5.44140625" customWidth="1"/>
    <col min="10" max="10" width="9.33203125" customWidth="1"/>
    <col min="11" max="11" width="8.6640625" customWidth="1"/>
  </cols>
  <sheetData>
    <row r="2" spans="1:14" ht="16.5" customHeight="1" x14ac:dyDescent="0.3">
      <c r="K2" s="70" t="s">
        <v>133</v>
      </c>
      <c r="L2" s="70"/>
      <c r="M2" s="70"/>
    </row>
    <row r="3" spans="1:14" x14ac:dyDescent="0.3">
      <c r="K3" s="129" t="s">
        <v>64</v>
      </c>
      <c r="L3" s="129"/>
      <c r="M3" s="129" t="s">
        <v>16</v>
      </c>
      <c r="N3" s="129"/>
    </row>
    <row r="4" spans="1:14" ht="15.75" customHeight="1" x14ac:dyDescent="0.3">
      <c r="C4" s="55" t="s">
        <v>30</v>
      </c>
      <c r="D4" s="54">
        <f>'4637'!G8</f>
        <v>7445</v>
      </c>
      <c r="K4" t="s">
        <v>8</v>
      </c>
      <c r="L4" t="s">
        <v>9</v>
      </c>
      <c r="M4" t="s">
        <v>8</v>
      </c>
      <c r="N4" t="s">
        <v>9</v>
      </c>
    </row>
    <row r="5" spans="1:14" ht="18" customHeight="1" x14ac:dyDescent="0.3">
      <c r="C5" s="68" t="s">
        <v>70</v>
      </c>
      <c r="D5" s="67" t="str">
        <f>'4637'!C10</f>
        <v>SANDRA TORRES</v>
      </c>
      <c r="E5" s="22"/>
      <c r="F5" s="22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C6" s="56"/>
      <c r="D6" s="52"/>
    </row>
    <row r="7" spans="1:14" ht="15.6" x14ac:dyDescent="0.3">
      <c r="C7" s="107" t="str">
        <f>'4637'!F11</f>
        <v>FECHA LIMITE :</v>
      </c>
      <c r="D7" s="53">
        <f>'4637'!G11</f>
        <v>46148</v>
      </c>
      <c r="E7" s="1"/>
      <c r="F7" s="1"/>
    </row>
    <row r="8" spans="1:14" x14ac:dyDescent="0.3">
      <c r="C8" s="106" t="s">
        <v>132</v>
      </c>
    </row>
    <row r="10" spans="1:14" ht="15" customHeight="1" x14ac:dyDescent="0.3">
      <c r="A10" s="130" t="s">
        <v>64</v>
      </c>
      <c r="B10" s="130"/>
      <c r="C10" s="130"/>
      <c r="D10" s="130"/>
      <c r="E10" s="130"/>
      <c r="F10" s="130"/>
    </row>
    <row r="11" spans="1:14" ht="15.6" x14ac:dyDescent="0.3">
      <c r="C11" s="51"/>
    </row>
    <row r="12" spans="1:14" ht="15.6" x14ac:dyDescent="0.3">
      <c r="A12" s="1"/>
      <c r="B12" s="1"/>
      <c r="C12" s="1"/>
      <c r="D12" s="50" t="s">
        <v>8</v>
      </c>
      <c r="E12" s="50" t="s">
        <v>9</v>
      </c>
      <c r="F12" s="1"/>
    </row>
    <row r="13" spans="1:14" ht="15.6" x14ac:dyDescent="0.3">
      <c r="A13" s="50" t="s">
        <v>10</v>
      </c>
      <c r="B13" s="77" t="s">
        <v>11</v>
      </c>
      <c r="C13" s="77" t="s">
        <v>12</v>
      </c>
      <c r="D13" s="97">
        <v>50</v>
      </c>
      <c r="E13" s="97">
        <v>0</v>
      </c>
      <c r="F13" s="77" t="s">
        <v>113</v>
      </c>
      <c r="J13" s="6" t="s">
        <v>8</v>
      </c>
      <c r="K13" s="6" t="s">
        <v>9</v>
      </c>
    </row>
    <row r="14" spans="1:14" ht="15.6" x14ac:dyDescent="0.3">
      <c r="A14" s="50" t="s">
        <v>136</v>
      </c>
      <c r="B14" s="59">
        <f>I14</f>
        <v>1</v>
      </c>
      <c r="C14" s="59"/>
      <c r="D14" s="59">
        <f t="shared" ref="D14" si="0">J14+D$13</f>
        <v>1700</v>
      </c>
      <c r="E14" s="46">
        <f>K14+$E$13</f>
        <v>650</v>
      </c>
      <c r="F14" s="58" t="str">
        <f>F21</f>
        <v>CUB MESA 3 LADOS</v>
      </c>
      <c r="I14" s="4">
        <f>I21</f>
        <v>1</v>
      </c>
      <c r="J14" s="5">
        <f>D27</f>
        <v>1650</v>
      </c>
      <c r="K14" s="5">
        <f>K21</f>
        <v>650</v>
      </c>
    </row>
    <row r="15" spans="1:14" ht="15.6" x14ac:dyDescent="0.3">
      <c r="A15" s="50"/>
      <c r="B15" s="7"/>
      <c r="C15" s="7"/>
      <c r="D15" s="7"/>
      <c r="E15" s="7"/>
      <c r="F15" s="49"/>
      <c r="I15" s="96"/>
      <c r="J15" s="3"/>
      <c r="K15" s="3"/>
    </row>
    <row r="16" spans="1:14" ht="6.75" customHeight="1" x14ac:dyDescent="0.3"/>
    <row r="17" spans="1:11" ht="15.6" x14ac:dyDescent="0.3">
      <c r="A17" s="130" t="s">
        <v>16</v>
      </c>
      <c r="B17" s="130"/>
      <c r="C17" s="130"/>
      <c r="D17" s="130"/>
      <c r="E17" s="130"/>
      <c r="F17" s="130"/>
      <c r="G17" s="1"/>
    </row>
    <row r="18" spans="1:11" ht="10.5" customHeight="1" x14ac:dyDescent="0.3">
      <c r="A18" s="1"/>
      <c r="B18" s="1"/>
      <c r="C18" s="51"/>
      <c r="D18" s="1"/>
      <c r="E18" s="1"/>
      <c r="F18" s="1"/>
      <c r="G18" s="1"/>
    </row>
    <row r="19" spans="1:11" ht="15.6" x14ac:dyDescent="0.3">
      <c r="A19" s="1"/>
      <c r="B19" s="1"/>
      <c r="C19" s="1"/>
      <c r="D19" s="50" t="s">
        <v>8</v>
      </c>
      <c r="E19" s="50" t="s">
        <v>9</v>
      </c>
      <c r="F19" s="1"/>
      <c r="G19" s="1"/>
    </row>
    <row r="20" spans="1:11" ht="15.6" x14ac:dyDescent="0.3">
      <c r="A20" s="50" t="s">
        <v>10</v>
      </c>
      <c r="B20" s="77" t="s">
        <v>11</v>
      </c>
      <c r="C20" s="77" t="s">
        <v>12</v>
      </c>
      <c r="D20" s="69">
        <v>50</v>
      </c>
      <c r="E20" s="69">
        <v>100</v>
      </c>
      <c r="F20" s="77" t="s">
        <v>113</v>
      </c>
      <c r="G20" s="1"/>
      <c r="J20" s="6" t="s">
        <v>8</v>
      </c>
      <c r="K20" s="6" t="s">
        <v>9</v>
      </c>
    </row>
    <row r="21" spans="1:11" ht="15.6" x14ac:dyDescent="0.3">
      <c r="A21" s="50"/>
      <c r="B21" s="59">
        <f t="shared" ref="B21" si="1">I21</f>
        <v>1</v>
      </c>
      <c r="C21" s="59"/>
      <c r="D21" s="59">
        <f>J21+D$20</f>
        <v>1700</v>
      </c>
      <c r="E21" s="59">
        <f>K21+$E$20</f>
        <v>750</v>
      </c>
      <c r="F21" s="58" t="str">
        <f>C27</f>
        <v>CUB MESA 3 LADOS</v>
      </c>
      <c r="G21" s="1"/>
      <c r="I21" s="4">
        <f>B27</f>
        <v>1</v>
      </c>
      <c r="J21" s="5">
        <f t="shared" ref="J21:K21" si="2">D27</f>
        <v>1650</v>
      </c>
      <c r="K21" s="5">
        <f t="shared" si="2"/>
        <v>650</v>
      </c>
    </row>
    <row r="22" spans="1:11" ht="6.75" customHeight="1" x14ac:dyDescent="0.3">
      <c r="G22" s="1"/>
      <c r="I22" s="3"/>
      <c r="J22" s="3"/>
      <c r="K22" s="3"/>
    </row>
    <row r="23" spans="1:11" ht="16.2" thickBot="1" x14ac:dyDescent="0.35">
      <c r="A23" s="50"/>
      <c r="B23" s="7"/>
      <c r="C23" s="7"/>
      <c r="D23" s="7"/>
      <c r="E23" s="7"/>
      <c r="F23" s="49"/>
      <c r="I23" s="3"/>
      <c r="J23" s="3"/>
      <c r="K23" s="3"/>
    </row>
    <row r="24" spans="1:11" ht="16.2" thickBot="1" x14ac:dyDescent="0.35">
      <c r="A24" s="50"/>
      <c r="B24" s="71" t="s">
        <v>110</v>
      </c>
      <c r="C24" s="72"/>
      <c r="D24" s="72"/>
      <c r="E24" s="72"/>
      <c r="F24" s="73"/>
      <c r="I24" s="3"/>
      <c r="J24" s="3"/>
      <c r="K24" s="3"/>
    </row>
    <row r="25" spans="1:11" ht="10.5" customHeight="1" x14ac:dyDescent="0.3"/>
    <row r="26" spans="1:11" x14ac:dyDescent="0.3">
      <c r="A26" s="50" t="s">
        <v>10</v>
      </c>
      <c r="B26" s="76" t="s">
        <v>11</v>
      </c>
      <c r="C26" s="76" t="s">
        <v>113</v>
      </c>
      <c r="D26" s="76" t="s">
        <v>8</v>
      </c>
      <c r="E26" s="76" t="s">
        <v>9</v>
      </c>
      <c r="F26" s="76" t="s">
        <v>26</v>
      </c>
    </row>
    <row r="27" spans="1:11" ht="15.6" x14ac:dyDescent="0.3">
      <c r="A27" s="50"/>
      <c r="B27" s="74">
        <f>'4637'!B20</f>
        <v>1</v>
      </c>
      <c r="C27" s="75" t="str">
        <f>'4637'!C20</f>
        <v>CUB MESA 3 LADOS</v>
      </c>
      <c r="D27" s="74">
        <f>'4637'!D20</f>
        <v>1650</v>
      </c>
      <c r="E27" s="74">
        <f>'4637'!E20</f>
        <v>650</v>
      </c>
      <c r="F27" s="120" t="str">
        <f>'4637'!F20</f>
        <v>NEW BLACK GRANITE BR</v>
      </c>
    </row>
    <row r="28" spans="1:11" ht="15.6" x14ac:dyDescent="0.3">
      <c r="A28" s="50"/>
      <c r="B28" s="7"/>
      <c r="C28" s="11"/>
      <c r="D28" s="7"/>
      <c r="E28" s="7"/>
      <c r="F28" s="49"/>
    </row>
    <row r="29" spans="1:11" ht="15.6" x14ac:dyDescent="0.3">
      <c r="B29" s="7"/>
      <c r="C29" s="11"/>
      <c r="D29" s="7"/>
      <c r="E29" s="7"/>
      <c r="F29" s="49"/>
    </row>
    <row r="30" spans="1:11" ht="15.6" x14ac:dyDescent="0.3">
      <c r="B30" s="7"/>
      <c r="C30" s="11"/>
      <c r="D30" s="7"/>
      <c r="E30" s="7"/>
      <c r="F30" s="49"/>
    </row>
    <row r="31" spans="1:11" ht="15.6" x14ac:dyDescent="0.3">
      <c r="B31" s="7"/>
      <c r="C31" s="11"/>
      <c r="D31" s="7"/>
      <c r="E31" s="7"/>
      <c r="F31" s="49"/>
    </row>
    <row r="32" spans="1:11" ht="15.6" x14ac:dyDescent="0.3">
      <c r="B32" s="7"/>
      <c r="C32" s="11"/>
      <c r="D32" s="7"/>
      <c r="E32" s="7"/>
      <c r="F32" s="49"/>
    </row>
    <row r="33" spans="1:7" ht="15.6" x14ac:dyDescent="0.3">
      <c r="B33" s="7"/>
      <c r="C33" s="11"/>
      <c r="D33" s="7"/>
      <c r="E33" s="7"/>
      <c r="F33" s="49"/>
    </row>
    <row r="34" spans="1:7" ht="15.6" x14ac:dyDescent="0.3">
      <c r="B34" s="7"/>
      <c r="C34" s="11"/>
      <c r="D34" s="7"/>
      <c r="E34" s="7"/>
      <c r="F34" s="49"/>
    </row>
    <row r="35" spans="1:7" ht="15.6" x14ac:dyDescent="0.3">
      <c r="B35" s="7"/>
      <c r="C35" s="11"/>
      <c r="D35" s="7"/>
      <c r="E35" s="7"/>
      <c r="F35" s="49"/>
    </row>
    <row r="36" spans="1:7" ht="15.6" x14ac:dyDescent="0.3">
      <c r="G36" s="1"/>
    </row>
    <row r="37" spans="1:7" ht="15.6" x14ac:dyDescent="0.3">
      <c r="C37" s="55" t="s">
        <v>30</v>
      </c>
      <c r="D37" s="54">
        <f>'4637'!G8</f>
        <v>7445</v>
      </c>
      <c r="G37" s="1"/>
    </row>
    <row r="38" spans="1:7" ht="17.25" customHeight="1" x14ac:dyDescent="0.3">
      <c r="C38" s="68" t="s">
        <v>70</v>
      </c>
      <c r="D38" s="67" t="str">
        <f>'4637'!C10</f>
        <v>SANDRA TORRES</v>
      </c>
      <c r="E38" s="22"/>
      <c r="F38" s="22"/>
      <c r="G38" s="1"/>
    </row>
    <row r="39" spans="1:7" ht="4.5" customHeight="1" x14ac:dyDescent="0.3">
      <c r="C39" s="56"/>
      <c r="D39" s="52"/>
      <c r="G39" s="1"/>
    </row>
    <row r="40" spans="1:7" ht="15.6" x14ac:dyDescent="0.3">
      <c r="C40" s="57" t="str">
        <f>'4637'!F11</f>
        <v>FECHA LIMITE :</v>
      </c>
      <c r="D40" s="53">
        <f>'4637'!G11</f>
        <v>46148</v>
      </c>
      <c r="E40" s="1"/>
      <c r="F40" s="1"/>
    </row>
    <row r="43" spans="1:7" x14ac:dyDescent="0.3">
      <c r="A43" s="131" t="s">
        <v>71</v>
      </c>
      <c r="B43" s="131"/>
      <c r="C43" s="131"/>
      <c r="D43" s="131"/>
      <c r="E43" s="131"/>
      <c r="F43" s="131"/>
    </row>
    <row r="45" spans="1:7" ht="9.75" customHeight="1" x14ac:dyDescent="0.3">
      <c r="B45" s="132" t="s">
        <v>72</v>
      </c>
      <c r="C45" s="133"/>
      <c r="D45" s="134"/>
      <c r="E45" s="134"/>
      <c r="F45" s="135"/>
    </row>
    <row r="46" spans="1:7" s="13" customFormat="1" ht="11.25" customHeight="1" x14ac:dyDescent="0.25">
      <c r="B46" s="111" t="s">
        <v>11</v>
      </c>
      <c r="C46" s="112" t="s">
        <v>12</v>
      </c>
      <c r="D46" s="113" t="s">
        <v>8</v>
      </c>
      <c r="E46" s="113" t="s">
        <v>9</v>
      </c>
      <c r="F46" s="114" t="s">
        <v>13</v>
      </c>
    </row>
    <row r="47" spans="1:7" s="13" customFormat="1" ht="15" customHeight="1" x14ac:dyDescent="0.3">
      <c r="A47" s="98" t="s">
        <v>137</v>
      </c>
      <c r="B47" s="115">
        <f>'4637'!B20</f>
        <v>1</v>
      </c>
      <c r="C47" s="117" t="str">
        <f>'4637'!C20</f>
        <v>CUB MESA 3 LADOS</v>
      </c>
      <c r="D47" s="115">
        <f>'4637'!D20</f>
        <v>1650</v>
      </c>
      <c r="E47" s="115">
        <f>'4637'!E20</f>
        <v>650</v>
      </c>
      <c r="F47" s="119" t="str">
        <f>'4637'!F20</f>
        <v>NEW BLACK GRANITE BR</v>
      </c>
    </row>
    <row r="48" spans="1:7" s="13" customFormat="1" ht="15" customHeight="1" x14ac:dyDescent="0.3">
      <c r="A48" s="98"/>
      <c r="B48" s="3"/>
      <c r="C48" s="60"/>
      <c r="D48" s="3"/>
      <c r="E48" s="3"/>
      <c r="F48" s="3"/>
    </row>
    <row r="49" spans="1:7" ht="15.6" x14ac:dyDescent="0.3">
      <c r="A49" s="60"/>
      <c r="B49" s="3"/>
      <c r="C49" s="41"/>
      <c r="D49" s="7"/>
      <c r="E49" s="7"/>
      <c r="F49" s="49"/>
    </row>
    <row r="50" spans="1:7" ht="15.6" x14ac:dyDescent="0.3">
      <c r="A50" s="60"/>
      <c r="B50" s="3"/>
      <c r="C50" s="41"/>
      <c r="D50" s="7"/>
      <c r="E50" s="7"/>
      <c r="F50" s="56"/>
    </row>
    <row r="51" spans="1:7" ht="15.6" x14ac:dyDescent="0.3">
      <c r="A51" s="60"/>
      <c r="B51" s="3"/>
      <c r="C51" s="41"/>
      <c r="D51" s="7"/>
      <c r="E51" s="7"/>
      <c r="F51" s="49"/>
    </row>
    <row r="52" spans="1:7" ht="15" thickBot="1" x14ac:dyDescent="0.35"/>
    <row r="53" spans="1:7" x14ac:dyDescent="0.3">
      <c r="B53" s="78" t="s">
        <v>15</v>
      </c>
      <c r="C53" s="79"/>
      <c r="D53" s="80"/>
      <c r="E53" s="80"/>
      <c r="F53" s="81"/>
    </row>
    <row r="54" spans="1:7" x14ac:dyDescent="0.3">
      <c r="B54" s="82"/>
      <c r="C54" s="83" t="s">
        <v>117</v>
      </c>
      <c r="D54" s="9"/>
      <c r="E54" s="9"/>
      <c r="F54" s="84"/>
    </row>
    <row r="55" spans="1:7" ht="15" customHeight="1" x14ac:dyDescent="0.35">
      <c r="B55" s="83" t="s">
        <v>124</v>
      </c>
      <c r="C55" s="70"/>
      <c r="D55" s="10"/>
      <c r="E55" s="10"/>
      <c r="F55" s="85"/>
    </row>
    <row r="56" spans="1:7" ht="18.600000000000001" thickBot="1" x14ac:dyDescent="0.4">
      <c r="B56" s="95" t="s">
        <v>123</v>
      </c>
      <c r="C56" s="86"/>
      <c r="D56" s="86"/>
      <c r="E56" s="86"/>
      <c r="F56" s="87"/>
    </row>
    <row r="57" spans="1:7" ht="18" x14ac:dyDescent="0.35">
      <c r="A57" s="2"/>
      <c r="B57" s="8"/>
      <c r="G57" s="1"/>
    </row>
    <row r="58" spans="1:7" x14ac:dyDescent="0.3">
      <c r="B58" s="66"/>
      <c r="C58" s="66"/>
      <c r="D58" s="66"/>
      <c r="E58" s="66"/>
      <c r="F58" s="66"/>
    </row>
    <row r="59" spans="1:7" x14ac:dyDescent="0.3">
      <c r="B59" s="66"/>
      <c r="C59" s="66"/>
      <c r="D59" s="66"/>
      <c r="E59" s="66"/>
      <c r="F59" s="66"/>
    </row>
    <row r="60" spans="1:7" x14ac:dyDescent="0.3">
      <c r="B60" s="66"/>
      <c r="C60" s="66"/>
      <c r="E60" s="66"/>
      <c r="F60" s="66"/>
    </row>
  </sheetData>
  <mergeCells count="6">
    <mergeCell ref="M3:N3"/>
    <mergeCell ref="A17:F17"/>
    <mergeCell ref="A10:F10"/>
    <mergeCell ref="A43:F43"/>
    <mergeCell ref="B45:F45"/>
    <mergeCell ref="K3:L3"/>
  </mergeCells>
  <pageMargins left="0.70866141732283472" right="0.70866141732283472" top="0.74803149606299213" bottom="0.74803149606299213" header="0.31496062992125984" footer="0.31496062992125984"/>
  <pageSetup scale="83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2026-05-05T20:22:50Z</cp:lastPrinted>
  <dcterms:created xsi:type="dcterms:W3CDTF">2013-03-19T12:54:14Z</dcterms:created>
  <dcterms:modified xsi:type="dcterms:W3CDTF">2026-05-05T20:28:04Z</dcterms:modified>
</cp:coreProperties>
</file>