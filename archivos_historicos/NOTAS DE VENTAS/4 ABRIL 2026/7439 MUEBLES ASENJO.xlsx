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4 ABRIL 2026\"/>
    </mc:Choice>
  </mc:AlternateContent>
  <xr:revisionPtr revIDLastSave="0" documentId="13_ncr:1_{432DEAB4-4A80-4B8D-9109-64462718D34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'4637'!$A$1:$H$30</definedName>
    <definedName name="_xlnm.Print_Area" localSheetId="2">CUBIERTA!$A$39:$F$64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4" l="1"/>
  <c r="B29" i="3"/>
  <c r="I22" i="3" s="1"/>
  <c r="C29" i="3"/>
  <c r="F22" i="3" s="1"/>
  <c r="D29" i="3"/>
  <c r="J22" i="3" s="1"/>
  <c r="E29" i="3"/>
  <c r="K22" i="3" s="1"/>
  <c r="F29" i="3"/>
  <c r="D51" i="3"/>
  <c r="E51" i="3"/>
  <c r="F51" i="3"/>
  <c r="C51" i="3"/>
  <c r="H21" i="4"/>
  <c r="I14" i="3" l="1"/>
  <c r="B14" i="3" s="1"/>
  <c r="B22" i="3"/>
  <c r="J14" i="3"/>
  <c r="D14" i="3" s="1"/>
  <c r="D22" i="3"/>
  <c r="K14" i="3"/>
  <c r="E14" i="3" s="1"/>
  <c r="E22" i="3"/>
  <c r="F14" i="3"/>
  <c r="H25" i="4" l="1"/>
  <c r="H26" i="4" l="1"/>
  <c r="N5" i="3" l="1"/>
  <c r="M5" i="3" l="1"/>
  <c r="L5" i="3"/>
  <c r="K5" i="3"/>
  <c r="C44" i="3" l="1"/>
  <c r="C7" i="3"/>
  <c r="D42" i="3"/>
  <c r="D5" i="3"/>
  <c r="D44" i="3"/>
  <c r="D7" i="3"/>
  <c r="D41" i="3"/>
  <c r="D4" i="3"/>
</calcChain>
</file>

<file path=xl/sharedStrings.xml><?xml version="1.0" encoding="utf-8"?>
<sst xmlns="http://schemas.openxmlformats.org/spreadsheetml/2006/main" count="243" uniqueCount="139">
  <si>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</si>
  <si>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</si>
  <si>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</si>
  <si>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</si>
  <si>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</si>
  <si>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</si>
  <si>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</si>
  <si>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</si>
  <si>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</si>
  <si>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</si>
  <si>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</si>
  <si>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</si>
  <si>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</si>
  <si>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</si>
  <si>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</si>
  <si>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</si>
  <si>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</si>
  <si>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</si>
  <si>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</si>
  <si>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</si>
  <si>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</si>
  <si>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</si>
  <si>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</si>
  <si>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</si>
  <si>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</si>
  <si>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</si>
  <si>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</si>
  <si>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</si>
  <si>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</si>
  <si>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</si>
  <si>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</si>
  <si>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</si>
  <si>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</si>
  <si>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</si>
  <si>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</si>
  <si>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</si>
  <si>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</si>
  <si>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</si>
  <si>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</si>
  <si>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</si>
  <si>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</si>
  <si>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</si>
  <si>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</si>
  <si>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</si>
  <si>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</si>
  <si>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</si>
  <si>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</si>
  <si>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</si>
  <si>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</si>
  <si>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</si>
  <si>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</si>
  <si>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</si>
  <si>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</si>
  <si>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</si>
  <si>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</si>
  <si>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</si>
  <si>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</si>
  <si>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</si>
  <si>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</si>
  <si>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</si>
  <si>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</si>
  <si>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</si>
  <si>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</si>
  <si>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</si>
  <si>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</si>
  <si>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</si>
  <si>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</si>
  <si>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</si>
  <si>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</si>
  <si>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</si>
  <si>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</si>
  <si>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</si>
  <si>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</si>
  <si>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</si>
  <si>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</si>
  <si>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</si>
  <si>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</si>
  <si>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</si>
  <si>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</si>
  <si>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</si>
  <si>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</si>
  <si>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</si>
  <si>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</si>
  <si>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</si>
  <si>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</si>
  <si>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</si>
  <si>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</si>
  <si>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</si>
  <si>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</si>
  <si>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</si>
  <si>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</si>
  <si>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</si>
  <si>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</si>
  <si>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</si>
  <si>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</si>
  <si>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</si>
  <si>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</si>
  <si>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</si>
  <si>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</si>
  <si>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</si>
  <si>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</si>
  <si>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</si>
  <si>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</si>
  <si>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</si>
  <si>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</si>
  <si>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</si>
  <si>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</si>
  <si>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</si>
  <si>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</si>
  <si>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</si>
  <si>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</si>
  <si>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</si>
  <si>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</si>
  <si>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</si>
  <si>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</si>
  <si>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</si>
  <si>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</si>
  <si>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</si>
  <si>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</si>
  <si>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</si>
  <si>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</si>
  <si>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</si>
  <si>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</si>
  <si>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</si>
  <si>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</si>
  <si>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</si>
  <si>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</si>
  <si>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</si>
  <si>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</si>
  <si>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</si>
  <si>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</si>
  <si>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</si>
  <si>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</si>
  <si>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O/C 30 DIAS</t>
  </si>
  <si>
    <t>NO</t>
  </si>
  <si>
    <t>MDF18MM</t>
  </si>
  <si>
    <t>MUEBLES ASENJO</t>
  </si>
  <si>
    <t>N° 11864</t>
  </si>
  <si>
    <t>PALE GREY 22169 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</si>
</sst>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1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21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8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0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9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3" borderId="0" xfId="0" applyFont="1" applyFill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6" fillId="0" borderId="0" xfId="2" quotePrefix="1" applyFont="1" applyFill="1" applyBorder="1" applyAlignment="1">
      <alignment horizontal="left"/>
    </xf>
    <xf numFmtId="166" fontId="3" fillId="0" borderId="2" xfId="1" applyNumberFormat="1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5" fillId="0" borderId="2" xfId="0" applyFont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7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5" fillId="0" borderId="0" xfId="0" applyFont="1" applyBorder="1" applyAlignment="1">
      <alignment horizontal="center" vertical="center"/>
    </xf>
    <xf numFmtId="1" fontId="15" fillId="0" borderId="0" xfId="0" applyNumberFormat="1" applyFont="1" applyBorder="1" applyAlignment="1">
      <alignment horizontal="center" vertical="center"/>
    </xf>
  </cellXfs>
  <cellStyles count="3">
    <cellStyle name="Hipervínculo" xfId="2" builtinId="8"/>
    <cellStyle name="Millares" xfId="1" builtinId="3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23</xdr:row>
      <xdr:rowOff>11430</xdr:rowOff>
    </xdr:from>
    <xdr:to>
      <xdr:col>5</xdr:col>
      <xdr:colOff>1386840</xdr:colOff>
      <xdr:row>26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15265" y="5574030"/>
          <a:ext cx="52959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45</xdr:row>
      <xdr:rowOff>171450</xdr:rowOff>
    </xdr:from>
    <xdr:to>
      <xdr:col>5</xdr:col>
      <xdr:colOff>1685924</xdr:colOff>
      <xdr:row>47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43</xdr:row>
      <xdr:rowOff>0</xdr:rowOff>
    </xdr:from>
    <xdr:to>
      <xdr:col>6</xdr:col>
      <xdr:colOff>0</xdr:colOff>
      <xdr:row>44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38100</xdr:rowOff>
    </xdr:from>
    <xdr:to>
      <xdr:col>6</xdr:col>
      <xdr:colOff>0</xdr:colOff>
      <xdr:row>42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54</xdr:row>
      <xdr:rowOff>0</xdr:rowOff>
    </xdr:from>
    <xdr:to>
      <xdr:col>2</xdr:col>
      <xdr:colOff>38100</xdr:colOff>
      <xdr:row>55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54</xdr:row>
      <xdr:rowOff>0</xdr:rowOff>
    </xdr:from>
    <xdr:to>
      <xdr:col>2</xdr:col>
      <xdr:colOff>1019175</xdr:colOff>
      <xdr:row>54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54</xdr:row>
      <xdr:rowOff>0</xdr:rowOff>
    </xdr:from>
    <xdr:to>
      <xdr:col>3</xdr:col>
      <xdr:colOff>352425</xdr:colOff>
      <xdr:row>55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54</xdr:row>
      <xdr:rowOff>0</xdr:rowOff>
    </xdr:from>
    <xdr:to>
      <xdr:col>4</xdr:col>
      <xdr:colOff>257175</xdr:colOff>
      <xdr:row>55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54</xdr:row>
      <xdr:rowOff>0</xdr:rowOff>
    </xdr:from>
    <xdr:to>
      <xdr:col>5</xdr:col>
      <xdr:colOff>447675</xdr:colOff>
      <xdr:row>54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54</xdr:row>
      <xdr:rowOff>0</xdr:rowOff>
    </xdr:from>
    <xdr:to>
      <xdr:col>6</xdr:col>
      <xdr:colOff>0</xdr:colOff>
      <xdr:row>54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54</xdr:row>
      <xdr:rowOff>190500</xdr:rowOff>
    </xdr:from>
    <xdr:to>
      <xdr:col>2</xdr:col>
      <xdr:colOff>304800</xdr:colOff>
      <xdr:row>56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54</xdr:row>
      <xdr:rowOff>190500</xdr:rowOff>
    </xdr:from>
    <xdr:to>
      <xdr:col>2</xdr:col>
      <xdr:colOff>1276350</xdr:colOff>
      <xdr:row>56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54</xdr:row>
      <xdr:rowOff>190500</xdr:rowOff>
    </xdr:from>
    <xdr:to>
      <xdr:col>3</xdr:col>
      <xdr:colOff>619125</xdr:colOff>
      <xdr:row>56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54</xdr:row>
      <xdr:rowOff>190500</xdr:rowOff>
    </xdr:from>
    <xdr:to>
      <xdr:col>4</xdr:col>
      <xdr:colOff>523875</xdr:colOff>
      <xdr:row>56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54</xdr:row>
      <xdr:rowOff>190500</xdr:rowOff>
    </xdr:from>
    <xdr:to>
      <xdr:col>5</xdr:col>
      <xdr:colOff>723900</xdr:colOff>
      <xdr:row>56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54</xdr:row>
      <xdr:rowOff>190500</xdr:rowOff>
    </xdr:from>
    <xdr:to>
      <xdr:col>6</xdr:col>
      <xdr:colOff>0</xdr:colOff>
      <xdr:row>56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32</xdr:row>
      <xdr:rowOff>15239</xdr:rowOff>
    </xdr:from>
    <xdr:to>
      <xdr:col>6</xdr:col>
      <xdr:colOff>68580</xdr:colOff>
      <xdr:row>36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57</xdr:row>
      <xdr:rowOff>32385</xdr:rowOff>
    </xdr:from>
    <xdr:to>
      <xdr:col>6</xdr:col>
      <xdr:colOff>19050</xdr:colOff>
      <xdr:row>61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39</xdr:row>
      <xdr:rowOff>41910</xdr:rowOff>
    </xdr:from>
    <xdr:to>
      <xdr:col>1</xdr:col>
      <xdr:colOff>556018</xdr:colOff>
      <xdr:row>45</xdr:row>
      <xdr:rowOff>129540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550303</xdr:colOff>
      <xdr:row>8</xdr:row>
      <xdr:rowOff>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3"/>
  <sheetViews>
    <sheetView tabSelected="1" workbookViewId="0">
      <selection activeCell="D21" sqref="D21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8" t="s">
        <v>16</v>
      </c>
      <c r="C8" s="89"/>
      <c r="D8" s="90" t="s">
        <v>137</v>
      </c>
      <c r="E8" s="1"/>
      <c r="F8" s="91" t="s">
        <v>27</v>
      </c>
      <c r="G8" s="92">
        <v>7439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2" t="s">
        <v>129</v>
      </c>
      <c r="C10" s="84" t="s">
        <v>136</v>
      </c>
      <c r="D10" s="53"/>
      <c r="E10" s="53"/>
      <c r="F10" s="54" t="s">
        <v>28</v>
      </c>
      <c r="G10" s="55">
        <v>46134</v>
      </c>
      <c r="H10" s="56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7" t="s">
        <v>2</v>
      </c>
      <c r="C11" s="1"/>
      <c r="D11" s="58"/>
      <c r="E11" s="58"/>
      <c r="F11" s="58" t="s">
        <v>124</v>
      </c>
      <c r="G11" s="59"/>
      <c r="H11" s="60"/>
      <c r="I11" s="1"/>
    </row>
    <row r="12" spans="1:17" ht="16.2" thickBot="1" x14ac:dyDescent="0.35">
      <c r="A12" s="1"/>
      <c r="B12" s="61" t="s">
        <v>130</v>
      </c>
      <c r="D12" s="41"/>
      <c r="E12" s="41"/>
      <c r="F12" s="41" t="s">
        <v>30</v>
      </c>
      <c r="G12" s="62"/>
      <c r="H12" s="63"/>
      <c r="I12" s="1"/>
    </row>
    <row r="13" spans="1:17" ht="15.6" x14ac:dyDescent="0.3">
      <c r="A13" s="1"/>
      <c r="B13" s="61" t="s">
        <v>132</v>
      </c>
      <c r="C13" s="84"/>
      <c r="D13" s="41"/>
      <c r="E13" s="41"/>
      <c r="F13" s="41" t="s">
        <v>128</v>
      </c>
      <c r="G13" s="62"/>
      <c r="H13" s="63"/>
      <c r="I13" s="1"/>
    </row>
    <row r="14" spans="1:17" ht="15.6" x14ac:dyDescent="0.3">
      <c r="A14" s="1"/>
      <c r="B14" s="57" t="s">
        <v>17</v>
      </c>
      <c r="C14" s="99"/>
      <c r="D14" s="64"/>
      <c r="E14" s="58"/>
      <c r="F14" s="58" t="s">
        <v>29</v>
      </c>
      <c r="G14" s="58" t="s">
        <v>134</v>
      </c>
      <c r="H14" s="60"/>
      <c r="I14" s="1"/>
    </row>
    <row r="15" spans="1:17" ht="15.6" x14ac:dyDescent="0.3">
      <c r="A15" s="1"/>
      <c r="B15" s="61" t="s">
        <v>1</v>
      </c>
      <c r="C15" s="95"/>
      <c r="D15" s="41"/>
      <c r="E15" s="41"/>
      <c r="F15" s="65" t="s">
        <v>75</v>
      </c>
      <c r="G15" s="65" t="s">
        <v>133</v>
      </c>
      <c r="H15" s="63"/>
      <c r="I15" s="1"/>
    </row>
    <row r="16" spans="1:17" ht="16.2" thickBot="1" x14ac:dyDescent="0.35">
      <c r="A16" s="1"/>
      <c r="B16" s="66" t="s">
        <v>3</v>
      </c>
      <c r="C16" s="67" t="s">
        <v>131</v>
      </c>
      <c r="D16" s="67"/>
      <c r="E16" s="68"/>
      <c r="F16" s="106" t="s">
        <v>18</v>
      </c>
      <c r="G16" s="106"/>
      <c r="H16" s="107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08" t="s">
        <v>19</v>
      </c>
      <c r="C19" s="109"/>
      <c r="D19" s="109"/>
      <c r="E19" s="109"/>
      <c r="F19" s="109"/>
      <c r="G19" s="109"/>
      <c r="H19" s="110"/>
      <c r="I19" s="1"/>
    </row>
    <row r="20" spans="1:16" ht="15.6" x14ac:dyDescent="0.3">
      <c r="A20" s="1"/>
      <c r="B20" s="69" t="s">
        <v>20</v>
      </c>
      <c r="C20" s="70" t="s">
        <v>21</v>
      </c>
      <c r="D20" s="70" t="s">
        <v>22</v>
      </c>
      <c r="E20" s="70" t="s">
        <v>8</v>
      </c>
      <c r="F20" s="71" t="s">
        <v>23</v>
      </c>
      <c r="G20" s="69" t="s">
        <v>24</v>
      </c>
      <c r="H20" s="71" t="s">
        <v>4</v>
      </c>
      <c r="I20" s="1"/>
    </row>
    <row r="21" spans="1:16" ht="18" customHeight="1" x14ac:dyDescent="0.3">
      <c r="A21" s="1"/>
      <c r="B21" s="104">
        <v>1</v>
      </c>
      <c r="C21" s="104" t="s">
        <v>127</v>
      </c>
      <c r="D21" s="105">
        <v>2844</v>
      </c>
      <c r="E21" s="105">
        <v>600</v>
      </c>
      <c r="F21" s="104" t="s">
        <v>138</v>
      </c>
      <c r="G21" s="100">
        <v>92904</v>
      </c>
      <c r="H21" s="100">
        <f>G21*B21</f>
        <v>92904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19"/>
      <c r="C22" s="119"/>
      <c r="D22" s="120"/>
      <c r="E22" s="120"/>
      <c r="F22" s="119"/>
      <c r="G22" s="73"/>
      <c r="H22" s="73"/>
      <c r="I22" s="1"/>
      <c r="K22" s="17"/>
      <c r="L22" s="26"/>
      <c r="M22" s="17"/>
      <c r="N22" s="17"/>
      <c r="O22" s="26"/>
      <c r="P22" s="33"/>
    </row>
    <row r="23" spans="1:16" ht="18" customHeight="1" thickBot="1" x14ac:dyDescent="0.35">
      <c r="A23" s="1"/>
      <c r="B23" s="72"/>
      <c r="C23" s="72"/>
      <c r="D23" s="72"/>
      <c r="E23" s="72"/>
      <c r="F23" s="72"/>
      <c r="G23" s="73"/>
      <c r="H23" s="73"/>
      <c r="I23" s="1"/>
    </row>
    <row r="24" spans="1:16" ht="18" customHeight="1" x14ac:dyDescent="0.3">
      <c r="A24" s="1"/>
      <c r="B24" s="1"/>
      <c r="C24" s="1"/>
      <c r="D24" s="1"/>
      <c r="E24" s="1"/>
      <c r="F24" s="1"/>
      <c r="G24" s="74" t="s">
        <v>5</v>
      </c>
      <c r="H24" s="75">
        <f>SUM(H21:H23)</f>
        <v>92904</v>
      </c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6</v>
      </c>
      <c r="H25" s="77">
        <f>H24*19%</f>
        <v>17651.759999999998</v>
      </c>
      <c r="I25" s="1"/>
    </row>
    <row r="26" spans="1:16" ht="16.2" thickBot="1" x14ac:dyDescent="0.35">
      <c r="A26" s="1"/>
      <c r="B26" s="1"/>
      <c r="C26" s="1"/>
      <c r="D26" s="1"/>
      <c r="E26" s="1"/>
      <c r="F26" s="1"/>
      <c r="G26" s="78" t="s">
        <v>4</v>
      </c>
      <c r="H26" s="79">
        <f>H24+H25</f>
        <v>110555.76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50"/>
      <c r="H27" s="94"/>
      <c r="I27" s="1"/>
    </row>
    <row r="28" spans="1:16" ht="15.6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16" ht="15.6" x14ac:dyDescent="0.3">
      <c r="A29" s="1"/>
      <c r="B29" s="80" t="s">
        <v>123</v>
      </c>
      <c r="C29" s="81"/>
      <c r="D29" s="82"/>
      <c r="E29" s="82"/>
      <c r="F29" s="72"/>
      <c r="G29" s="1"/>
      <c r="H29" s="1"/>
      <c r="I29" s="1"/>
    </row>
    <row r="30" spans="1:16" ht="15.6" x14ac:dyDescent="0.3">
      <c r="A30" s="1"/>
      <c r="B30" s="80" t="s">
        <v>122</v>
      </c>
      <c r="C30" s="81"/>
      <c r="D30" s="82"/>
      <c r="E30" s="82"/>
      <c r="F30" s="72"/>
      <c r="G30" s="1"/>
      <c r="H30" s="1"/>
      <c r="I30" s="1"/>
    </row>
    <row r="31" spans="1:16" ht="15.6" x14ac:dyDescent="0.3">
      <c r="A31" s="1"/>
      <c r="B31" s="1" t="s">
        <v>25</v>
      </c>
      <c r="C31" s="1"/>
      <c r="D31" s="1"/>
      <c r="E31" s="83" t="s">
        <v>26</v>
      </c>
      <c r="F31" s="1"/>
      <c r="G31" s="1"/>
      <c r="H31" s="1"/>
      <c r="I31" s="1"/>
    </row>
    <row r="32" spans="1:16" ht="15.6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</sheetData>
  <sortState xmlns:xlrd2="http://schemas.microsoft.com/office/spreadsheetml/2017/richdata2" ref="B35">
    <sortCondition sortBy="fontColor" ref="B35" dxfId="5"/>
  </sortState>
  <mergeCells count="2">
    <mergeCell ref="F16:H16"/>
    <mergeCell ref="B19:H19"/>
  </mergeCells>
  <phoneticPr fontId="10" type="noConversion"/>
  <hyperlinks>
    <hyperlink ref="E3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1" t="s">
        <v>31</v>
      </c>
      <c r="C2" s="111"/>
      <c r="D2" s="111"/>
      <c r="E2" s="18"/>
      <c r="G2" s="111" t="s">
        <v>70</v>
      </c>
      <c r="H2" s="111"/>
      <c r="I2" s="111"/>
      <c r="P2" s="112" t="s">
        <v>58</v>
      </c>
      <c r="Q2" s="112"/>
      <c r="R2" s="112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2" t="s">
        <v>58</v>
      </c>
      <c r="M8" s="112"/>
      <c r="N8" s="112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5"/>
  <sheetViews>
    <sheetView topLeftCell="A30" zoomScaleNormal="100" workbookViewId="0">
      <selection activeCell="A16" sqref="A16"/>
    </sheetView>
  </sheetViews>
  <sheetFormatPr baseColWidth="10" defaultRowHeight="14.4" x14ac:dyDescent="0.3"/>
  <cols>
    <col min="1" max="1" width="17.3320312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3" t="s">
        <v>61</v>
      </c>
      <c r="L3" s="113"/>
      <c r="M3" s="113" t="s">
        <v>14</v>
      </c>
      <c r="N3" s="113"/>
    </row>
    <row r="4" spans="1:14" ht="15.75" customHeight="1" x14ac:dyDescent="0.3">
      <c r="A4" s="1"/>
      <c r="B4" s="1"/>
      <c r="C4" s="38" t="s">
        <v>27</v>
      </c>
      <c r="D4" s="14">
        <f>'4637'!G8</f>
        <v>7439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39" t="s">
        <v>67</v>
      </c>
      <c r="D5" s="40" t="str">
        <f>'4637'!C10</f>
        <v>MUEBLES ASENJO</v>
      </c>
      <c r="E5" s="41"/>
      <c r="F5" s="41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2"/>
      <c r="D6" s="43"/>
      <c r="E6" s="1"/>
      <c r="F6" s="1"/>
      <c r="G6" s="1"/>
    </row>
    <row r="7" spans="1:14" ht="15.6" x14ac:dyDescent="0.3">
      <c r="A7" s="1"/>
      <c r="B7" s="1"/>
      <c r="C7" s="85" t="str">
        <f>'4637'!F11</f>
        <v>FECHA LIMITE :</v>
      </c>
      <c r="D7" s="13">
        <f>'4637'!G11</f>
        <v>0</v>
      </c>
      <c r="E7" s="1"/>
      <c r="F7" s="1"/>
      <c r="G7" s="1"/>
    </row>
    <row r="8" spans="1:14" ht="15.6" x14ac:dyDescent="0.3">
      <c r="A8" s="1"/>
      <c r="B8" s="1"/>
      <c r="C8" s="51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4" t="s">
        <v>61</v>
      </c>
      <c r="B10" s="114"/>
      <c r="C10" s="114"/>
      <c r="D10" s="114"/>
      <c r="E10" s="114"/>
      <c r="F10" s="114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0" t="s">
        <v>7</v>
      </c>
      <c r="E12" s="50" t="s">
        <v>8</v>
      </c>
      <c r="F12" s="1"/>
      <c r="G12" s="1"/>
    </row>
    <row r="13" spans="1:14" ht="15.6" x14ac:dyDescent="0.3">
      <c r="A13" s="50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3" t="s">
        <v>135</v>
      </c>
      <c r="B14" s="25">
        <f>I14</f>
        <v>1</v>
      </c>
      <c r="C14" s="25"/>
      <c r="D14" s="25">
        <f>J14+$D$13</f>
        <v>2924</v>
      </c>
      <c r="E14" s="35">
        <f>K14+$E$13</f>
        <v>570</v>
      </c>
      <c r="F14" s="97" t="str">
        <f>C29</f>
        <v>CUB C/R R6</v>
      </c>
      <c r="G14" s="1"/>
      <c r="I14" s="87">
        <f>I22</f>
        <v>1</v>
      </c>
      <c r="J14" s="4">
        <f>J22</f>
        <v>2844</v>
      </c>
      <c r="K14" s="4">
        <f>K22</f>
        <v>600</v>
      </c>
    </row>
    <row r="15" spans="1:14" x14ac:dyDescent="0.3">
      <c r="A15" s="93"/>
    </row>
    <row r="16" spans="1:14" ht="15.6" x14ac:dyDescent="0.3">
      <c r="A16" s="50"/>
      <c r="B16" s="6"/>
      <c r="C16" s="6"/>
      <c r="D16" s="6"/>
      <c r="E16" s="101"/>
      <c r="F16" s="6"/>
      <c r="G16" s="1"/>
      <c r="I16" s="87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14" t="s">
        <v>14</v>
      </c>
      <c r="B18" s="114"/>
      <c r="C18" s="114"/>
      <c r="D18" s="114"/>
      <c r="E18" s="114"/>
      <c r="F18" s="114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0" t="s">
        <v>7</v>
      </c>
      <c r="E20" s="50" t="s">
        <v>8</v>
      </c>
      <c r="F20" s="1"/>
      <c r="G20" s="1"/>
    </row>
    <row r="21" spans="1:11" ht="15.6" x14ac:dyDescent="0.3">
      <c r="A21" s="50" t="s">
        <v>9</v>
      </c>
      <c r="B21" s="36" t="s">
        <v>10</v>
      </c>
      <c r="C21" s="36" t="s">
        <v>11</v>
      </c>
      <c r="D21" s="21">
        <v>40</v>
      </c>
      <c r="E21" s="21">
        <v>130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3"/>
      <c r="B22" s="16">
        <f>I22</f>
        <v>1</v>
      </c>
      <c r="C22" s="16"/>
      <c r="D22" s="16">
        <f>J22+D$21</f>
        <v>2884</v>
      </c>
      <c r="E22" s="16">
        <f>K22+E$21</f>
        <v>730</v>
      </c>
      <c r="F22" s="98" t="str">
        <f>C29</f>
        <v>CUB C/R R6</v>
      </c>
      <c r="G22" s="1"/>
      <c r="I22" s="3">
        <f>B29</f>
        <v>1</v>
      </c>
      <c r="J22" s="4">
        <f>D29</f>
        <v>2844</v>
      </c>
      <c r="K22" s="4">
        <f>E29</f>
        <v>600</v>
      </c>
    </row>
    <row r="23" spans="1:11" x14ac:dyDescent="0.3">
      <c r="A23" s="93"/>
    </row>
    <row r="24" spans="1:11" ht="15.6" x14ac:dyDescent="0.3">
      <c r="A24" s="93"/>
      <c r="B24" s="6"/>
      <c r="C24" s="6"/>
      <c r="D24" s="6"/>
      <c r="E24" s="6"/>
      <c r="F24" s="103"/>
      <c r="G24" s="1"/>
      <c r="I24" s="87"/>
      <c r="J24" s="2"/>
      <c r="K24" s="2"/>
    </row>
    <row r="25" spans="1:11" ht="16.2" thickBot="1" x14ac:dyDescent="0.35">
      <c r="A25" s="50"/>
      <c r="B25" s="6"/>
      <c r="C25" s="6"/>
      <c r="D25" s="6"/>
      <c r="E25" s="6"/>
      <c r="F25" s="6"/>
      <c r="G25" s="1"/>
      <c r="I25" s="2"/>
      <c r="J25" s="2"/>
      <c r="K25" s="2"/>
    </row>
    <row r="26" spans="1:11" ht="16.2" thickBot="1" x14ac:dyDescent="0.35">
      <c r="A26" s="50"/>
      <c r="B26" s="22" t="s">
        <v>107</v>
      </c>
      <c r="C26" s="23"/>
      <c r="D26" s="23"/>
      <c r="E26" s="23"/>
      <c r="F26" s="24"/>
      <c r="G26" s="1"/>
      <c r="I26" s="2"/>
      <c r="J26" s="2"/>
      <c r="K26" s="2"/>
    </row>
    <row r="27" spans="1:11" ht="10.5" customHeight="1" x14ac:dyDescent="0.3">
      <c r="A27" s="1"/>
      <c r="B27" s="1"/>
      <c r="C27" s="1"/>
      <c r="D27" s="1"/>
      <c r="E27" s="1"/>
      <c r="F27" s="1"/>
      <c r="G27" s="1"/>
    </row>
    <row r="28" spans="1:11" ht="15.6" x14ac:dyDescent="0.3">
      <c r="A28" s="50" t="s">
        <v>9</v>
      </c>
      <c r="B28" s="86" t="s">
        <v>10</v>
      </c>
      <c r="C28" s="86" t="s">
        <v>110</v>
      </c>
      <c r="D28" s="86" t="s">
        <v>7</v>
      </c>
      <c r="E28" s="86" t="s">
        <v>8</v>
      </c>
      <c r="F28" s="86" t="s">
        <v>23</v>
      </c>
      <c r="G28" s="1"/>
    </row>
    <row r="29" spans="1:11" ht="15.6" x14ac:dyDescent="0.3">
      <c r="A29" s="93" t="s">
        <v>135</v>
      </c>
      <c r="B29" s="25">
        <f>'4637'!B21</f>
        <v>1</v>
      </c>
      <c r="C29" s="97" t="str">
        <f>'4637'!C21</f>
        <v>CUB C/R R6</v>
      </c>
      <c r="D29" s="25">
        <f>'4637'!D21</f>
        <v>2844</v>
      </c>
      <c r="E29" s="25">
        <f>'4637'!E21</f>
        <v>600</v>
      </c>
      <c r="F29" s="25" t="str">
        <f>'4637'!F21</f>
        <v>PALE GREY 22169 SF</v>
      </c>
      <c r="G29" s="1"/>
    </row>
    <row r="30" spans="1:11" ht="15.6" x14ac:dyDescent="0.3">
      <c r="A30" s="93"/>
      <c r="G30" s="1"/>
    </row>
    <row r="31" spans="1:11" ht="15.6" x14ac:dyDescent="0.3">
      <c r="A31" s="93"/>
      <c r="B31" s="6"/>
      <c r="C31" s="103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1"/>
      <c r="C40" s="1"/>
      <c r="D40" s="1"/>
      <c r="E40" s="1"/>
      <c r="F40" s="1"/>
      <c r="G40" s="1"/>
    </row>
    <row r="41" spans="1:7" ht="15.6" x14ac:dyDescent="0.3">
      <c r="A41" s="1"/>
      <c r="B41" s="1"/>
      <c r="C41" s="38" t="s">
        <v>27</v>
      </c>
      <c r="D41" s="14">
        <f>'4637'!G8</f>
        <v>7439</v>
      </c>
      <c r="E41" s="1"/>
      <c r="F41" s="1"/>
      <c r="G41" s="1"/>
    </row>
    <row r="42" spans="1:7" ht="17.25" customHeight="1" x14ac:dyDescent="0.3">
      <c r="A42" s="1"/>
      <c r="B42" s="1"/>
      <c r="C42" s="39" t="s">
        <v>67</v>
      </c>
      <c r="D42" s="40" t="str">
        <f>'4637'!C10</f>
        <v>MUEBLES ASENJO</v>
      </c>
      <c r="E42" s="41"/>
      <c r="F42" s="41"/>
      <c r="G42" s="1"/>
    </row>
    <row r="43" spans="1:7" ht="4.5" customHeight="1" x14ac:dyDescent="0.3">
      <c r="A43" s="1"/>
      <c r="B43" s="1"/>
      <c r="C43" s="42"/>
      <c r="D43" s="43"/>
      <c r="E43" s="1"/>
      <c r="F43" s="1"/>
      <c r="G43" s="1"/>
    </row>
    <row r="44" spans="1:7" ht="15.6" x14ac:dyDescent="0.3">
      <c r="A44" s="1"/>
      <c r="B44" s="1"/>
      <c r="C44" s="44" t="str">
        <f>'4637'!F11</f>
        <v>FECHA LIMITE :</v>
      </c>
      <c r="D44" s="13">
        <f>'4637'!G11</f>
        <v>0</v>
      </c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6" x14ac:dyDescent="0.3">
      <c r="A47" s="114" t="s">
        <v>68</v>
      </c>
      <c r="B47" s="114"/>
      <c r="C47" s="114"/>
      <c r="D47" s="114"/>
      <c r="E47" s="114"/>
      <c r="F47" s="114"/>
      <c r="G47" s="1"/>
    </row>
    <row r="48" spans="1:7" ht="15.6" x14ac:dyDescent="0.3">
      <c r="A48" s="1"/>
      <c r="B48" s="1"/>
      <c r="C48" s="1"/>
      <c r="D48" s="1"/>
      <c r="E48" s="1"/>
      <c r="F48" s="1"/>
      <c r="G48" s="1"/>
    </row>
    <row r="49" spans="1:7" ht="15.75" customHeight="1" x14ac:dyDescent="0.3">
      <c r="A49" s="1"/>
      <c r="B49" s="115" t="s">
        <v>69</v>
      </c>
      <c r="C49" s="116"/>
      <c r="D49" s="117"/>
      <c r="E49" s="117"/>
      <c r="F49" s="118"/>
      <c r="G49" s="1"/>
    </row>
    <row r="50" spans="1:7" s="15" customFormat="1" ht="12.75" customHeight="1" x14ac:dyDescent="0.3">
      <c r="A50" s="1"/>
      <c r="B50" s="36" t="s">
        <v>10</v>
      </c>
      <c r="C50" s="45" t="s">
        <v>11</v>
      </c>
      <c r="D50" s="46" t="s">
        <v>7</v>
      </c>
      <c r="E50" s="46" t="s">
        <v>8</v>
      </c>
      <c r="F50" s="47" t="s">
        <v>12</v>
      </c>
      <c r="G50" s="1"/>
    </row>
    <row r="51" spans="1:7" s="15" customFormat="1" ht="15" customHeight="1" x14ac:dyDescent="0.3">
      <c r="A51" s="93" t="s">
        <v>135</v>
      </c>
      <c r="B51" s="50">
        <v>1</v>
      </c>
      <c r="C51" s="96" t="str">
        <f>'4637'!C21</f>
        <v>CUB C/R R6</v>
      </c>
      <c r="D51" s="96">
        <f>'4637'!D21</f>
        <v>2844</v>
      </c>
      <c r="E51" s="96">
        <f>'4637'!E21</f>
        <v>600</v>
      </c>
      <c r="F51" s="96" t="str">
        <f>'4637'!F21</f>
        <v>PALE GREY 22169 SF</v>
      </c>
      <c r="G51" s="1"/>
    </row>
    <row r="52" spans="1:7" s="15" customFormat="1" ht="15" customHeight="1" x14ac:dyDescent="0.3">
      <c r="A52" s="93"/>
      <c r="G52" s="1"/>
    </row>
    <row r="53" spans="1:7" s="15" customFormat="1" ht="15" customHeight="1" x14ac:dyDescent="0.3">
      <c r="B53" s="50"/>
      <c r="C53" s="102"/>
      <c r="D53" s="50"/>
      <c r="E53" s="50"/>
      <c r="F53" s="50"/>
      <c r="G53" s="1"/>
    </row>
    <row r="54" spans="1:7" s="15" customFormat="1" ht="15" customHeight="1" x14ac:dyDescent="0.3">
      <c r="A54" s="48"/>
      <c r="B54" s="50"/>
      <c r="C54" s="50"/>
      <c r="D54" s="50"/>
      <c r="E54" s="50"/>
      <c r="F54" s="50"/>
      <c r="G54" s="1"/>
    </row>
    <row r="55" spans="1:7" ht="15.6" x14ac:dyDescent="0.3">
      <c r="A55" s="6"/>
      <c r="B55" s="6"/>
      <c r="C55" s="1"/>
      <c r="D55" s="6"/>
      <c r="E55" s="6"/>
      <c r="F55" s="42"/>
      <c r="G55" s="1"/>
    </row>
    <row r="56" spans="1:7" ht="15.6" x14ac:dyDescent="0.3">
      <c r="A56" s="6"/>
      <c r="B56" s="6"/>
      <c r="C56" s="1"/>
      <c r="D56" s="6"/>
      <c r="E56" s="6"/>
      <c r="F56" s="6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" customHeight="1" x14ac:dyDescent="0.3">
      <c r="A60" s="1"/>
      <c r="B60" s="1"/>
      <c r="C60" s="1"/>
      <c r="D60" s="1"/>
      <c r="E60" s="1"/>
      <c r="F60" s="1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ht="15.6" x14ac:dyDescent="0.3">
      <c r="A62" s="6"/>
      <c r="B62" s="49"/>
      <c r="C62" s="1"/>
      <c r="D62" s="1"/>
      <c r="E62" s="1"/>
      <c r="F62" s="1"/>
      <c r="G62" s="1"/>
    </row>
    <row r="63" spans="1:7" ht="15.6" x14ac:dyDescent="0.3">
      <c r="A63" s="1"/>
      <c r="B63" s="1"/>
      <c r="C63" s="1"/>
      <c r="D63" s="1"/>
      <c r="E63" s="1"/>
      <c r="F63" s="1"/>
      <c r="G63" s="1"/>
    </row>
    <row r="64" spans="1:7" x14ac:dyDescent="0.3">
      <c r="B64" s="20"/>
      <c r="C64" s="20"/>
      <c r="D64" s="20"/>
      <c r="E64" s="20"/>
      <c r="F64" s="20"/>
    </row>
    <row r="65" spans="2:6" x14ac:dyDescent="0.3">
      <c r="B65" s="20"/>
      <c r="C65" s="20"/>
      <c r="E65" s="20"/>
      <c r="F65" s="20"/>
    </row>
  </sheetData>
  <mergeCells count="6">
    <mergeCell ref="M3:N3"/>
    <mergeCell ref="A18:F18"/>
    <mergeCell ref="A10:F10"/>
    <mergeCell ref="A47:F47"/>
    <mergeCell ref="B49:F49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2026-02-04T12:27:43Z</cp:lastPrinted>
  <dcterms:created xsi:type="dcterms:W3CDTF">2013-03-19T12:54:14Z</dcterms:created>
  <dcterms:modified xsi:type="dcterms:W3CDTF">2026-04-22T11:54:47Z</dcterms:modified>
</cp:coreProperties>
</file>