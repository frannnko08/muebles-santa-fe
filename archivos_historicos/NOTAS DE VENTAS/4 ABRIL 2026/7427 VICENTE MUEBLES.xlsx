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A8AB6F7B-FE7D-4AAC-B19D-C013273DB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" l="1"/>
  <c r="H21" i="4" l="1"/>
  <c r="H24" i="4" s="1"/>
  <c r="B26" i="3" l="1"/>
  <c r="I21" i="3" s="1"/>
  <c r="I14" i="3" s="1"/>
  <c r="B14" i="3" s="1"/>
  <c r="C26" i="3"/>
  <c r="F14" i="3" s="1"/>
  <c r="D26" i="3"/>
  <c r="J21" i="3" s="1"/>
  <c r="D21" i="3" s="1"/>
  <c r="E26" i="3"/>
  <c r="F26" i="3"/>
  <c r="B47" i="3"/>
  <c r="C47" i="3"/>
  <c r="D47" i="3"/>
  <c r="E47" i="3"/>
  <c r="F47" i="3"/>
  <c r="K21" i="3" l="1"/>
  <c r="J14" i="3"/>
  <c r="D14" i="3" s="1"/>
  <c r="B21" i="3"/>
  <c r="F21" i="3"/>
  <c r="K14" i="3" l="1"/>
  <c r="E14" i="3" s="1"/>
  <c r="E21" i="3"/>
  <c r="H25" i="4"/>
  <c r="H26" i="4" s="1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<sst xmlns="http://schemas.openxmlformats.org/spreadsheetml/2006/main" count="244" uniqueCount="141">
  <si>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</si>
  <si>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</si>
  <si>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</si>
  <si>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</si>
  <si>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</si>
  <si>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</si>
  <si>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</si>
  <si>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</si>
  <si>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</si>
  <si>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</si>
  <si>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</si>
  <si>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</si>
  <si>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</si>
  <si>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</si>
  <si>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</si>
  <si>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</si>
  <si>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</si>
  <si>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</si>
  <si>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</si>
  <si>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</si>
  <si>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</si>
  <si>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</si>
  <si>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</si>
  <si>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</si>
  <si>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</si>
  <si>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</si>
  <si>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</si>
  <si>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</si>
  <si>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</si>
  <si>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</si>
  <si>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</si>
  <si>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</si>
  <si>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</si>
  <si>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</si>
  <si>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</si>
  <si>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</si>
  <si>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</si>
  <si>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</si>
  <si>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</si>
  <si>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</si>
  <si>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</si>
  <si>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</si>
  <si>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</si>
  <si>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</si>
  <si>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</si>
  <si>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</si>
  <si>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</si>
  <si>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</si>
  <si>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</si>
  <si>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</si>
  <si>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</si>
  <si>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</si>
  <si>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</si>
  <si>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</si>
  <si>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</si>
  <si>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</si>
  <si>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</si>
  <si>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</si>
  <si>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</si>
  <si>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</si>
  <si>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</si>
  <si>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</si>
  <si>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</si>
  <si>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</si>
  <si>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</si>
  <si>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</si>
  <si>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</si>
  <si>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</si>
  <si>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</si>
  <si>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</si>
  <si>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</si>
  <si>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</si>
  <si>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</si>
  <si>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</si>
  <si>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</si>
  <si>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</si>
  <si>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</si>
  <si>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</si>
  <si>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</si>
  <si>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</si>
  <si>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</si>
  <si>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</si>
  <si>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</si>
  <si>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</si>
  <si>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</si>
  <si>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</si>
  <si>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</si>
  <si>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</si>
  <si>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</si>
  <si>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</si>
  <si>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</si>
  <si>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</si>
  <si>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</si>
  <si>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</si>
  <si>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</si>
  <si>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</si>
  <si>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</si>
  <si>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</si>
  <si>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</si>
  <si>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</si>
  <si>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</si>
  <si>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</si>
  <si>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</si>
  <si>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</si>
  <si>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</si>
  <si>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</si>
  <si>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</si>
  <si>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</si>
  <si>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</si>
  <si>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</si>
  <si>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</si>
  <si>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</si>
  <si>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</si>
  <si>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</si>
  <si>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</si>
  <si>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</si>
  <si>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</si>
  <si>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</si>
  <si>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</si>
  <si>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</si>
  <si>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</si>
  <si>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</si>
  <si>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</si>
  <si>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</si>
  <si>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</si>
  <si>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</si>
  <si>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</si>
  <si>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</si>
  <si>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</si>
  <si>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</si>
  <si>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</si>
  <si>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</si>
  <si>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</si>
  <si>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</si>
  <si>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</si>
  <si>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</si>
  <si>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 xml:space="preserve"> </t>
  </si>
  <si>
    <t>N° 12077</t>
  </si>
  <si>
    <t>VICENTE MUEBLES</t>
  </si>
  <si>
    <t>CUB S/R SIN REGRUESO</t>
  </si>
  <si>
    <t>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</si>
</sst>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3" fontId="3" fillId="0" borderId="0" xfId="0" applyNumberFormat="1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TRANSFERENCIA 07-04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51</xdr:row>
      <xdr:rowOff>32385</xdr:rowOff>
    </xdr:from>
    <xdr:to>
      <xdr:col>6</xdr:col>
      <xdr:colOff>19050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552208</xdr:colOff>
      <xdr:row>41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4" workbookViewId="0">
      <selection activeCell="G28" sqref="G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1.33203125" bestFit="1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7427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46120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7"/>
      <c r="D11" s="60"/>
      <c r="E11" s="60"/>
      <c r="F11" s="60" t="s">
        <v>124</v>
      </c>
      <c r="G11" s="61">
        <v>46120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5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/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8">
        <v>1</v>
      </c>
      <c r="C21" s="109" t="s">
        <v>139</v>
      </c>
      <c r="D21" s="110">
        <v>2400</v>
      </c>
      <c r="E21" s="110">
        <v>500</v>
      </c>
      <c r="F21" s="109" t="s">
        <v>140</v>
      </c>
      <c r="G21" s="111">
        <v>77690</v>
      </c>
      <c r="H21" s="112">
        <f t="shared" ref="H21" si="0">G21*B21</f>
        <v>77690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SUM(H21:H22)</f>
        <v>77690</v>
      </c>
      <c r="I24" s="1"/>
      <c r="K24">
        <f>109900/1.19</f>
        <v>92352.941176470587</v>
      </c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14761.1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92451.1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opLeftCell="A32" zoomScaleNormal="100" workbookViewId="0">
      <selection activeCell="G36" sqref="A36:G57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7427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VICENTE MUEBLES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46120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/>
      <c r="D14" s="25">
        <f>J14+$D$13</f>
        <v>2450</v>
      </c>
      <c r="E14" s="35">
        <f>K14+$E$13</f>
        <v>500</v>
      </c>
      <c r="F14" s="99" t="str">
        <f>C26</f>
        <v>CUB S/R SIN REGRUESO</v>
      </c>
      <c r="G14" s="1"/>
      <c r="I14" s="89">
        <f t="shared" ref="I14:K14" si="1">I21</f>
        <v>1</v>
      </c>
      <c r="J14" s="4">
        <f t="shared" si="1"/>
        <v>2400</v>
      </c>
      <c r="K14" s="4">
        <f t="shared" si="1"/>
        <v>500</v>
      </c>
    </row>
    <row r="15" spans="1:14" ht="15.6" x14ac:dyDescent="0.3">
      <c r="A15" s="52"/>
      <c r="B15" s="6"/>
      <c r="C15" s="6"/>
      <c r="D15" s="6"/>
      <c r="E15" s="101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14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40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J21+D20</f>
        <v>2440</v>
      </c>
      <c r="E21" s="16">
        <f>K21+$E$20</f>
        <v>540</v>
      </c>
      <c r="F21" s="100" t="str">
        <f>C26</f>
        <v>CUB S/R SIN REGRUESO</v>
      </c>
      <c r="G21" s="1"/>
      <c r="I21" s="3">
        <f>B26</f>
        <v>1</v>
      </c>
      <c r="J21" s="4">
        <f>D26</f>
        <v>2400</v>
      </c>
      <c r="K21" s="4">
        <f t="shared" ref="K21" si="3">E26</f>
        <v>500</v>
      </c>
    </row>
    <row r="22" spans="1:11" ht="16.2" thickBot="1" x14ac:dyDescent="0.35">
      <c r="A22" s="52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2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2" t="s">
        <v>9</v>
      </c>
      <c r="B25" s="88" t="s">
        <v>10</v>
      </c>
      <c r="C25" s="88" t="s">
        <v>110</v>
      </c>
      <c r="D25" s="88" t="s">
        <v>7</v>
      </c>
      <c r="E25" s="88" t="s">
        <v>8</v>
      </c>
      <c r="F25" s="88" t="s">
        <v>23</v>
      </c>
      <c r="G25" s="1"/>
    </row>
    <row r="26" spans="1:11" ht="15.6" x14ac:dyDescent="0.3">
      <c r="A26" s="95" t="s">
        <v>134</v>
      </c>
      <c r="B26" s="25">
        <f>'4637'!B21</f>
        <v>1</v>
      </c>
      <c r="C26" s="99" t="str">
        <f>'4637'!C21</f>
        <v>CUB S/R SIN REGRUESO</v>
      </c>
      <c r="D26" s="25">
        <f>'4637'!D21</f>
        <v>2400</v>
      </c>
      <c r="E26" s="25">
        <f>'4637'!E21</f>
        <v>500</v>
      </c>
      <c r="F26" s="25" t="str">
        <f>'4637'!F21</f>
        <v>VAINILLA 2109 MT</v>
      </c>
      <c r="G26" s="1"/>
    </row>
    <row r="27" spans="1:11" ht="15.6" x14ac:dyDescent="0.3">
      <c r="A27" s="95"/>
      <c r="B27" s="6"/>
      <c r="C27" s="102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 t="s">
        <v>136</v>
      </c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40" t="s">
        <v>27</v>
      </c>
      <c r="D37" s="14">
        <f>'4637'!G8</f>
        <v>7427</v>
      </c>
      <c r="E37" s="1"/>
      <c r="F37" s="1"/>
      <c r="G37" s="1"/>
    </row>
    <row r="38" spans="1:7" ht="17.25" customHeight="1" x14ac:dyDescent="0.3">
      <c r="A38" s="1"/>
      <c r="B38" s="1"/>
      <c r="C38" s="41" t="s">
        <v>67</v>
      </c>
      <c r="D38" s="42" t="str">
        <f>'4637'!C10</f>
        <v>VICENTE MUEBLES</v>
      </c>
      <c r="E38" s="43"/>
      <c r="F38" s="43"/>
      <c r="G38" s="1"/>
    </row>
    <row r="39" spans="1:7" ht="4.5" customHeight="1" x14ac:dyDescent="0.3">
      <c r="A39" s="1"/>
      <c r="B39" s="1"/>
      <c r="C39" s="44"/>
      <c r="D39" s="45"/>
      <c r="E39" s="1"/>
      <c r="F39" s="1"/>
      <c r="G39" s="1"/>
    </row>
    <row r="40" spans="1:7" ht="15.6" x14ac:dyDescent="0.3">
      <c r="A40" s="1"/>
      <c r="B40" s="1"/>
      <c r="C40" s="46" t="str">
        <f>'4637'!F11</f>
        <v>FECHA LIMITE :</v>
      </c>
      <c r="D40" s="13">
        <f>'4637'!G11</f>
        <v>46120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21" t="s">
        <v>68</v>
      </c>
      <c r="B43" s="121"/>
      <c r="C43" s="121"/>
      <c r="D43" s="121"/>
      <c r="E43" s="121"/>
      <c r="F43" s="12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22" t="s">
        <v>69</v>
      </c>
      <c r="C45" s="123"/>
      <c r="D45" s="124"/>
      <c r="E45" s="124"/>
      <c r="F45" s="125"/>
      <c r="G45" s="1"/>
    </row>
    <row r="46" spans="1:7" s="15" customFormat="1" ht="12.75" customHeight="1" x14ac:dyDescent="0.3">
      <c r="A46" s="1"/>
      <c r="B46" s="36" t="s">
        <v>10</v>
      </c>
      <c r="C46" s="47" t="s">
        <v>11</v>
      </c>
      <c r="D46" s="48" t="s">
        <v>7</v>
      </c>
      <c r="E46" s="48" t="s">
        <v>8</v>
      </c>
      <c r="F46" s="49" t="s">
        <v>12</v>
      </c>
      <c r="G46" s="1"/>
    </row>
    <row r="47" spans="1:7" s="15" customFormat="1" ht="15" customHeight="1" x14ac:dyDescent="0.3">
      <c r="A47" s="95" t="s">
        <v>134</v>
      </c>
      <c r="B47" s="38">
        <f>'4637'!B21</f>
        <v>1</v>
      </c>
      <c r="C47" s="98" t="str">
        <f>'4637'!C21</f>
        <v>CUB S/R SIN REGRUESO</v>
      </c>
      <c r="D47" s="39">
        <f>'4637'!D21</f>
        <v>2400</v>
      </c>
      <c r="E47" s="39">
        <f>'4637'!E21</f>
        <v>500</v>
      </c>
      <c r="F47" s="38" t="str">
        <f>'4637'!F21</f>
        <v>VAINILLA 2109 MT</v>
      </c>
      <c r="G47" s="1"/>
    </row>
    <row r="48" spans="1:7" s="15" customFormat="1" ht="15" customHeight="1" x14ac:dyDescent="0.3">
      <c r="A48" s="50"/>
      <c r="B48" s="52"/>
      <c r="C48" s="52"/>
      <c r="D48" s="52"/>
      <c r="E48" s="52"/>
      <c r="F48" s="52"/>
      <c r="G48" s="1"/>
    </row>
    <row r="49" spans="1:7" ht="15.6" x14ac:dyDescent="0.3">
      <c r="A49" s="6"/>
      <c r="B49" s="6"/>
      <c r="C49" s="1"/>
      <c r="D49" s="6"/>
      <c r="E49" s="6"/>
      <c r="F49" s="44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2026-04-08T12:55:59Z</cp:lastPrinted>
  <dcterms:created xsi:type="dcterms:W3CDTF">2013-03-19T12:54:14Z</dcterms:created>
  <dcterms:modified xsi:type="dcterms:W3CDTF">2026-04-08T14:28:27Z</dcterms:modified>
</cp:coreProperties>
</file>