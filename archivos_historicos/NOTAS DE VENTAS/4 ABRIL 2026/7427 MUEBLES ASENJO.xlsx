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6\"/>
    </mc:Choice>
  </mc:AlternateContent>
  <xr:revisionPtr revIDLastSave="0" documentId="13_ncr:1_{38BD06B4-962F-4C42-81BB-B210F9374CF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CUBIERTA!$A$36:$G$59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3" l="1"/>
  <c r="E48" i="3"/>
  <c r="F48" i="3"/>
  <c r="H21" i="4"/>
  <c r="H24" i="4" s="1"/>
  <c r="B27" i="3" l="1"/>
  <c r="I21" i="3" s="1"/>
  <c r="I14" i="3" s="1"/>
  <c r="B14" i="3" s="1"/>
  <c r="C27" i="3"/>
  <c r="F14" i="3" s="1"/>
  <c r="D27" i="3"/>
  <c r="J21" i="3" s="1"/>
  <c r="E27" i="3"/>
  <c r="F27" i="3"/>
  <c r="B48" i="3"/>
  <c r="C48" i="3"/>
  <c r="K21" i="3" l="1"/>
  <c r="D21" i="3"/>
  <c r="J14" i="3"/>
  <c r="D14" i="3" s="1"/>
  <c r="B21" i="3"/>
  <c r="F21" i="3"/>
  <c r="K14" i="3" l="1"/>
  <c r="E14" i="3" s="1"/>
  <c r="E21" i="3"/>
  <c r="H25" i="4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<sst xmlns="http://schemas.openxmlformats.org/spreadsheetml/2006/main" count="245" uniqueCount="141">
  <si>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</si>
  <si>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</si>
  <si>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</si>
  <si>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</si>
  <si>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</si>
  <si>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</si>
  <si>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</si>
  <si>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</si>
  <si>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</si>
  <si>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</si>
  <si>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</si>
  <si>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</si>
  <si>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</si>
  <si>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</si>
  <si>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</si>
  <si>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</si>
  <si>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</si>
  <si>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</si>
  <si>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</si>
  <si>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</si>
  <si>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</si>
  <si>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</si>
  <si>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</si>
  <si>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</si>
  <si>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</si>
  <si>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</si>
  <si>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</si>
  <si>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</si>
  <si>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</si>
  <si>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</si>
  <si>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</si>
  <si>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</si>
  <si>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</si>
  <si>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</si>
  <si>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</si>
  <si>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</si>
  <si>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</si>
  <si>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</si>
  <si>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</si>
  <si>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</si>
  <si>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</si>
  <si>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</si>
  <si>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</si>
  <si>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</si>
  <si>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</si>
  <si>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</si>
  <si>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</si>
  <si>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</si>
  <si>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</si>
  <si>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</si>
  <si>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</si>
  <si>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</si>
  <si>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</si>
  <si>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</si>
  <si>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</si>
  <si>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</si>
  <si>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</si>
  <si>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</si>
  <si>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</si>
  <si>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</si>
  <si>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</si>
  <si>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</si>
  <si>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</si>
  <si>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</si>
  <si>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</si>
  <si>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</si>
  <si>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</si>
  <si>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</si>
  <si>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</si>
  <si>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</si>
  <si>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</si>
  <si>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</si>
  <si>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</si>
  <si>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</si>
  <si>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</si>
  <si>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</si>
  <si>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</si>
  <si>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</si>
  <si>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</si>
  <si>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</si>
  <si>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</si>
  <si>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</si>
  <si>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</si>
  <si>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</si>
  <si>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</si>
  <si>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</si>
  <si>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</si>
  <si>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</si>
  <si>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</si>
  <si>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</si>
  <si>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</si>
  <si>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</si>
  <si>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</si>
  <si>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</si>
  <si>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</si>
  <si>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</si>
  <si>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</si>
  <si>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</si>
  <si>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</si>
  <si>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</si>
  <si>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</si>
  <si>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</si>
  <si>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</si>
  <si>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</si>
  <si>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</si>
  <si>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</si>
  <si>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</si>
  <si>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</si>
  <si>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</si>
  <si>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</si>
  <si>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</si>
  <si>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</si>
  <si>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</si>
  <si>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</si>
  <si>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</si>
  <si>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</si>
  <si>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</si>
  <si>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</si>
  <si>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</si>
  <si>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</si>
  <si>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</si>
  <si>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</si>
  <si>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</si>
  <si>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</si>
  <si>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</si>
  <si>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</si>
  <si>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</si>
  <si>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</si>
  <si>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</si>
  <si>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</si>
  <si>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</si>
  <si>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</si>
  <si>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</si>
  <si>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</si>
  <si>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</si>
  <si>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</si>
  <si>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</si>
  <si>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N° 12077</t>
  </si>
  <si>
    <t>CUB C/R R8</t>
  </si>
  <si>
    <t>NV 28393</t>
  </si>
  <si>
    <t>LIME 21163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</si>
</sst>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166" fontId="3" fillId="0" borderId="2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23</xdr:row>
      <xdr:rowOff>11430</xdr:rowOff>
    </xdr:from>
    <xdr:to>
      <xdr:col>5</xdr:col>
      <xdr:colOff>1386840</xdr:colOff>
      <xdr:row>26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556018</xdr:colOff>
      <xdr:row>42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9" workbookViewId="0">
      <selection activeCell="L17" sqref="L1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137</v>
      </c>
      <c r="E8" s="1"/>
      <c r="F8" s="92" t="s">
        <v>27</v>
      </c>
      <c r="G8" s="93">
        <v>7427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136</v>
      </c>
      <c r="D10" s="54"/>
      <c r="E10" s="54"/>
      <c r="F10" s="55" t="s">
        <v>28</v>
      </c>
      <c r="G10" s="56">
        <v>46119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/>
      <c r="H11" s="61"/>
      <c r="I11" s="1"/>
    </row>
    <row r="12" spans="1:17" ht="16.2" thickBot="1" x14ac:dyDescent="0.35">
      <c r="A12" s="1"/>
      <c r="B12" s="62" t="s">
        <v>130</v>
      </c>
      <c r="D12" s="42"/>
      <c r="E12" s="42"/>
      <c r="F12" s="42" t="s">
        <v>30</v>
      </c>
      <c r="G12" s="63">
        <v>24154</v>
      </c>
      <c r="H12" s="64"/>
      <c r="I12" s="1"/>
    </row>
    <row r="13" spans="1:17" ht="15.6" x14ac:dyDescent="0.3">
      <c r="A13" s="1"/>
      <c r="B13" s="62" t="s">
        <v>132</v>
      </c>
      <c r="C13" s="85"/>
      <c r="D13" s="42"/>
      <c r="E13" s="42"/>
      <c r="F13" s="42" t="s">
        <v>128</v>
      </c>
      <c r="G13" s="63"/>
      <c r="H13" s="64"/>
      <c r="I13" s="1"/>
    </row>
    <row r="14" spans="1:17" ht="15.6" x14ac:dyDescent="0.3">
      <c r="A14" s="1"/>
      <c r="B14" s="58" t="s">
        <v>17</v>
      </c>
      <c r="C14" s="100"/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C15" s="96"/>
      <c r="D15" s="42"/>
      <c r="E15" s="42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131</v>
      </c>
      <c r="D16" s="68"/>
      <c r="E16" s="69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5">
        <v>1</v>
      </c>
      <c r="C21" s="105" t="s">
        <v>138</v>
      </c>
      <c r="D21" s="106">
        <v>2500</v>
      </c>
      <c r="E21" s="106">
        <v>650</v>
      </c>
      <c r="F21" s="105" t="s">
        <v>140</v>
      </c>
      <c r="G21" s="101">
        <v>104354</v>
      </c>
      <c r="H21" s="101">
        <f t="shared" ref="H21" si="0">G21*B21</f>
        <v>104354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7"/>
      <c r="C22" s="107"/>
      <c r="D22" s="108"/>
      <c r="E22" s="108"/>
      <c r="F22" s="107"/>
      <c r="G22" s="74"/>
      <c r="H22" s="74"/>
      <c r="I22" s="1"/>
      <c r="K22" s="17"/>
      <c r="L22" s="26"/>
      <c r="M22" s="17"/>
      <c r="N22" s="17"/>
      <c r="O22" s="26"/>
      <c r="P22" s="33"/>
    </row>
    <row r="23" spans="1:16" ht="15" customHeight="1" thickBot="1" x14ac:dyDescent="0.35">
      <c r="A23" s="1"/>
      <c r="B23" s="73"/>
      <c r="C23" s="73"/>
      <c r="D23" s="73"/>
      <c r="E23" s="73"/>
      <c r="F23" s="73"/>
      <c r="G23" s="74"/>
      <c r="H23" s="74"/>
      <c r="I23" s="1"/>
    </row>
    <row r="24" spans="1:16" ht="15.6" x14ac:dyDescent="0.3">
      <c r="A24" s="1"/>
      <c r="B24" s="1"/>
      <c r="C24" s="1"/>
      <c r="D24" s="1"/>
      <c r="E24" s="1"/>
      <c r="F24" s="1"/>
      <c r="G24" s="75" t="s">
        <v>5</v>
      </c>
      <c r="H24" s="76">
        <f>SUM(H21:H23)</f>
        <v>104354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7" t="s">
        <v>6</v>
      </c>
      <c r="H25" s="78">
        <f>H24*19%</f>
        <v>19827.260000000002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9" t="s">
        <v>4</v>
      </c>
      <c r="H26" s="80">
        <f>H24+H25</f>
        <v>124181.26000000001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1"/>
      <c r="H27" s="95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1" t="s">
        <v>123</v>
      </c>
      <c r="C29" s="82"/>
      <c r="D29" s="83"/>
      <c r="E29" s="83"/>
      <c r="F29" s="73"/>
      <c r="G29" s="1"/>
      <c r="H29" s="1"/>
      <c r="I29" s="1"/>
    </row>
    <row r="30" spans="1:16" ht="15.6" x14ac:dyDescent="0.3">
      <c r="A30" s="1"/>
      <c r="B30" s="81" t="s">
        <v>122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4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24" zoomScaleNormal="100" workbookViewId="0">
      <selection activeCell="A36" sqref="A36:G59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09" t="s">
        <v>61</v>
      </c>
      <c r="L3" s="109"/>
      <c r="M3" s="109" t="s">
        <v>14</v>
      </c>
      <c r="N3" s="109"/>
    </row>
    <row r="4" spans="1:14" ht="15.75" customHeight="1" x14ac:dyDescent="0.3">
      <c r="A4" s="1"/>
      <c r="B4" s="1"/>
      <c r="C4" s="39" t="s">
        <v>27</v>
      </c>
      <c r="D4" s="14">
        <f>'4637'!G8</f>
        <v>7427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ASENJO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0" t="s">
        <v>61</v>
      </c>
      <c r="B10" s="110"/>
      <c r="C10" s="110"/>
      <c r="D10" s="110"/>
      <c r="E10" s="110"/>
      <c r="F10" s="11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135</v>
      </c>
      <c r="B14" s="25">
        <f t="shared" ref="B14" si="0">I14</f>
        <v>1</v>
      </c>
      <c r="C14" s="25" t="s">
        <v>139</v>
      </c>
      <c r="D14" s="25">
        <f>J14+$D$13</f>
        <v>2580</v>
      </c>
      <c r="E14" s="35">
        <f t="shared" ref="E14" si="1">K14+$E$13</f>
        <v>620</v>
      </c>
      <c r="F14" s="98" t="str">
        <f>C27</f>
        <v>CUB C/R R8</v>
      </c>
      <c r="G14" s="1"/>
      <c r="I14" s="88">
        <f>I21</f>
        <v>1</v>
      </c>
      <c r="J14" s="4">
        <f>J21</f>
        <v>2500</v>
      </c>
      <c r="K14" s="4">
        <f>K21</f>
        <v>650</v>
      </c>
    </row>
    <row r="15" spans="1:14" ht="15.6" x14ac:dyDescent="0.3">
      <c r="A15" s="51"/>
      <c r="B15" s="6"/>
      <c r="C15" s="6"/>
      <c r="D15" s="6"/>
      <c r="E15" s="102"/>
      <c r="F15" s="6"/>
      <c r="G15" s="1"/>
      <c r="I15" s="88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0" t="s">
        <v>14</v>
      </c>
      <c r="B17" s="110"/>
      <c r="C17" s="110"/>
      <c r="D17" s="110"/>
      <c r="E17" s="110"/>
      <c r="F17" s="110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4"/>
      <c r="B21" s="16">
        <f t="shared" ref="B21" si="2">I21</f>
        <v>1</v>
      </c>
      <c r="C21" s="16" t="s">
        <v>139</v>
      </c>
      <c r="D21" s="16">
        <f>J21+D$20</f>
        <v>2540</v>
      </c>
      <c r="E21" s="16">
        <f>K21+E$20</f>
        <v>780</v>
      </c>
      <c r="F21" s="99" t="str">
        <f>C27</f>
        <v>CUB C/R R8</v>
      </c>
      <c r="G21" s="1"/>
      <c r="I21" s="3">
        <f>B27</f>
        <v>1</v>
      </c>
      <c r="J21" s="4">
        <f>D27</f>
        <v>2500</v>
      </c>
      <c r="K21" s="4">
        <f t="shared" ref="K21" si="3">E27</f>
        <v>650</v>
      </c>
    </row>
    <row r="22" spans="1:11" ht="15.6" x14ac:dyDescent="0.3">
      <c r="A22" s="94"/>
      <c r="B22" s="6"/>
      <c r="C22" s="6"/>
      <c r="D22" s="6"/>
      <c r="E22" s="6"/>
      <c r="F22" s="104"/>
      <c r="G22" s="1"/>
      <c r="I22" s="88"/>
      <c r="J22" s="2"/>
      <c r="K22" s="2"/>
    </row>
    <row r="23" spans="1:11" ht="16.2" thickBot="1" x14ac:dyDescent="0.35">
      <c r="A23" s="51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1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1" t="s">
        <v>9</v>
      </c>
      <c r="B26" s="87" t="s">
        <v>10</v>
      </c>
      <c r="C26" s="87" t="s">
        <v>110</v>
      </c>
      <c r="D26" s="87" t="s">
        <v>7</v>
      </c>
      <c r="E26" s="87" t="s">
        <v>8</v>
      </c>
      <c r="F26" s="87" t="s">
        <v>23</v>
      </c>
      <c r="G26" s="1"/>
    </row>
    <row r="27" spans="1:11" ht="15.6" x14ac:dyDescent="0.3">
      <c r="A27" s="94" t="s">
        <v>135</v>
      </c>
      <c r="B27" s="25">
        <f>'4637'!B21</f>
        <v>1</v>
      </c>
      <c r="C27" s="98" t="str">
        <f>'4637'!C21</f>
        <v>CUB C/R R8</v>
      </c>
      <c r="D27" s="25">
        <f>'4637'!D21</f>
        <v>2500</v>
      </c>
      <c r="E27" s="25">
        <f>'4637'!E21</f>
        <v>650</v>
      </c>
      <c r="F27" s="25" t="str">
        <f>'4637'!F21</f>
        <v>LIME 21163 GL</v>
      </c>
      <c r="G27" s="1"/>
    </row>
    <row r="28" spans="1:11" ht="15.6" x14ac:dyDescent="0.3">
      <c r="A28" s="94"/>
      <c r="B28" s="6"/>
      <c r="C28" s="104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9" t="s">
        <v>27</v>
      </c>
      <c r="D38" s="14">
        <f>'4637'!G8</f>
        <v>7427</v>
      </c>
      <c r="E38" s="1"/>
      <c r="F38" s="1"/>
      <c r="G38" s="1"/>
    </row>
    <row r="39" spans="1:7" ht="17.25" customHeight="1" x14ac:dyDescent="0.3">
      <c r="A39" s="1"/>
      <c r="B39" s="1"/>
      <c r="C39" s="40" t="s">
        <v>67</v>
      </c>
      <c r="D39" s="41" t="str">
        <f>'4637'!C10</f>
        <v>MUEBLES ASENJO</v>
      </c>
      <c r="E39" s="42"/>
      <c r="F39" s="42"/>
      <c r="G39" s="1"/>
    </row>
    <row r="40" spans="1:7" ht="4.5" customHeight="1" x14ac:dyDescent="0.3">
      <c r="A40" s="1"/>
      <c r="B40" s="1"/>
      <c r="C40" s="43"/>
      <c r="D40" s="44"/>
      <c r="E40" s="1"/>
      <c r="F40" s="1"/>
      <c r="G40" s="1"/>
    </row>
    <row r="41" spans="1:7" ht="15.6" x14ac:dyDescent="0.3">
      <c r="A41" s="1"/>
      <c r="B41" s="1"/>
      <c r="C41" s="45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0" t="s">
        <v>68</v>
      </c>
      <c r="B44" s="110"/>
      <c r="C44" s="110"/>
      <c r="D44" s="110"/>
      <c r="E44" s="110"/>
      <c r="F44" s="110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1" t="s">
        <v>69</v>
      </c>
      <c r="C46" s="112"/>
      <c r="D46" s="113"/>
      <c r="E46" s="113"/>
      <c r="F46" s="114"/>
      <c r="G46" s="1"/>
    </row>
    <row r="47" spans="1:7" s="15" customFormat="1" ht="12.75" customHeight="1" x14ac:dyDescent="0.3">
      <c r="A47" s="1"/>
      <c r="B47" s="36" t="s">
        <v>10</v>
      </c>
      <c r="C47" s="46" t="s">
        <v>11</v>
      </c>
      <c r="D47" s="47" t="s">
        <v>7</v>
      </c>
      <c r="E47" s="47" t="s">
        <v>8</v>
      </c>
      <c r="F47" s="48" t="s">
        <v>12</v>
      </c>
      <c r="G47" s="1"/>
    </row>
    <row r="48" spans="1:7" s="15" customFormat="1" ht="15" customHeight="1" x14ac:dyDescent="0.3">
      <c r="A48" s="94" t="s">
        <v>135</v>
      </c>
      <c r="B48" s="38">
        <f>'4637'!B21</f>
        <v>1</v>
      </c>
      <c r="C48" s="97" t="str">
        <f>'4637'!C21</f>
        <v>CUB C/R R8</v>
      </c>
      <c r="D48" s="97">
        <f>'4637'!D21</f>
        <v>2500</v>
      </c>
      <c r="E48" s="97">
        <f>'4637'!E21</f>
        <v>650</v>
      </c>
      <c r="F48" s="97" t="str">
        <f>'4637'!F21</f>
        <v>LIME 21163 GL</v>
      </c>
      <c r="G48" s="1"/>
    </row>
    <row r="49" spans="1:7" s="15" customFormat="1" ht="15" customHeight="1" x14ac:dyDescent="0.3">
      <c r="B49" s="51"/>
      <c r="C49" s="103"/>
      <c r="D49" s="51"/>
      <c r="E49" s="51"/>
      <c r="F49" s="51"/>
      <c r="G49" s="1"/>
    </row>
    <row r="50" spans="1:7" s="15" customFormat="1" ht="15" customHeight="1" x14ac:dyDescent="0.3">
      <c r="A50" s="49"/>
      <c r="B50" s="51"/>
      <c r="C50" s="51"/>
      <c r="D50" s="51"/>
      <c r="E50" s="51"/>
      <c r="F50" s="51"/>
      <c r="G50" s="1"/>
    </row>
    <row r="51" spans="1:7" ht="15.6" x14ac:dyDescent="0.3">
      <c r="A51" s="6"/>
      <c r="B51" s="6"/>
      <c r="C51" s="1"/>
      <c r="D51" s="6"/>
      <c r="E51" s="6"/>
      <c r="F51" s="43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0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2026-04-09T13:20:31Z</cp:lastPrinted>
  <dcterms:created xsi:type="dcterms:W3CDTF">2013-03-19T12:54:14Z</dcterms:created>
  <dcterms:modified xsi:type="dcterms:W3CDTF">2026-04-09T13:21:22Z</dcterms:modified>
</cp:coreProperties>
</file>