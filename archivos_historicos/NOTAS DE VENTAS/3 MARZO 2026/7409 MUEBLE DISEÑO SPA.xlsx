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3 MARZO 2026\"/>
    </mc:Choice>
  </mc:AlternateContent>
  <xr:revisionPtr revIDLastSave="0" documentId="13_ncr:1_{29B55BC3-C871-454D-B041-138D3CDAD63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CUBIERTA!$A$1:$F$40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" l="1"/>
  <c r="E15" i="3"/>
  <c r="E14" i="3"/>
  <c r="F15" i="3"/>
  <c r="I15" i="3"/>
  <c r="B15" i="3" s="1"/>
  <c r="J15" i="3"/>
  <c r="K15" i="3"/>
  <c r="B32" i="3"/>
  <c r="I24" i="3" s="1"/>
  <c r="B24" i="3" s="1"/>
  <c r="C32" i="3"/>
  <c r="F24" i="3" s="1"/>
  <c r="D32" i="3"/>
  <c r="J24" i="3" s="1"/>
  <c r="D24" i="3" s="1"/>
  <c r="E32" i="3"/>
  <c r="K24" i="3" s="1"/>
  <c r="E24" i="3" s="1"/>
  <c r="F32" i="3"/>
  <c r="B33" i="3"/>
  <c r="I25" i="3" s="1"/>
  <c r="B25" i="3" s="1"/>
  <c r="C33" i="3"/>
  <c r="F25" i="3" s="1"/>
  <c r="D33" i="3"/>
  <c r="J25" i="3" s="1"/>
  <c r="D25" i="3" s="1"/>
  <c r="E33" i="3"/>
  <c r="K25" i="3" s="1"/>
  <c r="E25" i="3" s="1"/>
  <c r="F33" i="3"/>
  <c r="B55" i="3"/>
  <c r="C55" i="3"/>
  <c r="D55" i="3"/>
  <c r="E55" i="3"/>
  <c r="F55" i="3"/>
  <c r="B56" i="3"/>
  <c r="C56" i="3"/>
  <c r="D56" i="3"/>
  <c r="E56" i="3"/>
  <c r="F56" i="3"/>
  <c r="H23" i="4"/>
  <c r="H22" i="4"/>
  <c r="B31" i="3"/>
  <c r="I23" i="3" s="1"/>
  <c r="B23" i="3" s="1"/>
  <c r="C31" i="3"/>
  <c r="F23" i="3" s="1"/>
  <c r="D31" i="3"/>
  <c r="J23" i="3" s="1"/>
  <c r="D23" i="3" s="1"/>
  <c r="E31" i="3"/>
  <c r="K23" i="3" s="1"/>
  <c r="E23" i="3" s="1"/>
  <c r="F31" i="3"/>
  <c r="B54" i="3"/>
  <c r="C54" i="3"/>
  <c r="D54" i="3"/>
  <c r="E54" i="3"/>
  <c r="F54" i="3"/>
  <c r="K14" i="3" l="1"/>
  <c r="J14" i="3"/>
  <c r="I14" i="3"/>
  <c r="B14" i="3" s="1"/>
  <c r="F14" i="3"/>
  <c r="H26" i="4" l="1"/>
  <c r="H27" i="4" l="1"/>
  <c r="H28" i="4" l="1"/>
  <c r="N5" i="3" l="1"/>
  <c r="M5" i="3" l="1"/>
  <c r="L5" i="3"/>
  <c r="K5" i="3"/>
  <c r="C47" i="3" l="1"/>
  <c r="C7" i="3"/>
  <c r="D45" i="3"/>
  <c r="D5" i="3"/>
  <c r="D47" i="3"/>
  <c r="D7" i="3"/>
  <c r="D44" i="3"/>
  <c r="D4" i="3"/>
</calcChain>
</file>

<file path=xl/sharedStrings.xml><?xml version="1.0" encoding="utf-8"?>
<sst xmlns="http://schemas.openxmlformats.org/spreadsheetml/2006/main" count="253" uniqueCount="147">
  <si>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</si>
  <si>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</si>
  <si>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</si>
  <si>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</si>
  <si>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</si>
  <si>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</si>
  <si>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</si>
  <si>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</si>
  <si>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</si>
  <si>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</si>
  <si>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</si>
  <si>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</si>
  <si>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</si>
  <si>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</si>
  <si>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</si>
  <si>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</si>
  <si>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</si>
  <si>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</si>
  <si>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</si>
  <si>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</si>
  <si>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</si>
  <si>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</si>
  <si>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</si>
  <si>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</si>
  <si>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</si>
  <si>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</si>
  <si>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</si>
  <si>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</si>
  <si>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</si>
  <si>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</si>
  <si>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</si>
  <si>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</si>
  <si>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</si>
  <si>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</si>
  <si>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</si>
  <si>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</si>
  <si>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</si>
  <si>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</si>
  <si>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</si>
  <si>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</si>
  <si>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</si>
  <si>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</si>
  <si>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</si>
  <si>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</si>
  <si>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</si>
  <si>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</si>
  <si>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</si>
  <si>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</si>
  <si>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</si>
  <si>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</si>
  <si>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</si>
  <si>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</si>
  <si>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</si>
  <si>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</si>
  <si>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</si>
  <si>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</si>
  <si>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</si>
  <si>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</si>
  <si>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</si>
  <si>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</si>
  <si>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</si>
  <si>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</si>
  <si>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</si>
  <si>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</si>
  <si>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</si>
  <si>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</si>
  <si>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</si>
  <si>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</si>
  <si>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</si>
  <si>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</si>
  <si>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</si>
  <si>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</si>
  <si>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</si>
  <si>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</si>
  <si>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</si>
  <si>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</si>
  <si>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</si>
  <si>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</si>
  <si>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</si>
  <si>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</si>
  <si>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</si>
  <si>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</si>
  <si>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</si>
  <si>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</si>
  <si>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</si>
  <si>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</si>
  <si>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</si>
  <si>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</si>
  <si>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</si>
  <si>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</si>
  <si>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</si>
  <si>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</si>
  <si>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</si>
  <si>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</si>
  <si>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</si>
  <si>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</si>
  <si>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</si>
  <si>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</si>
  <si>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</si>
  <si>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</si>
  <si>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</si>
  <si>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</si>
  <si>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</si>
  <si>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</si>
  <si>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</si>
  <si>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</si>
  <si>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</si>
  <si>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</si>
  <si>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</si>
  <si>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</si>
  <si>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</si>
  <si>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</si>
  <si>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</si>
  <si>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</si>
  <si>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</si>
  <si>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</si>
  <si>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</si>
  <si>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</si>
  <si>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</si>
  <si>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</si>
  <si>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</si>
  <si>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</si>
  <si>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</si>
  <si>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</si>
  <si>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</si>
  <si>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</si>
  <si>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</si>
  <si>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</si>
  <si>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</si>
  <si>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</si>
  <si>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</si>
  <si>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</si>
  <si>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CORREO:</t>
  </si>
  <si>
    <t>F.DONOSO</t>
  </si>
  <si>
    <t>MDF18MM</t>
  </si>
  <si>
    <t>CONTADO</t>
  </si>
  <si>
    <t>SANTIAGO</t>
  </si>
  <si>
    <t>FCA DE MUEBLES</t>
  </si>
  <si>
    <t>NO</t>
  </si>
  <si>
    <t>MUEBLE Y DISEÑO SPA</t>
  </si>
  <si>
    <t>78.101.234-3</t>
  </si>
  <si>
    <t>ANTONIO BELLET 193 PROVIDENCIA</t>
  </si>
  <si>
    <t>OMAR VERGARA</t>
  </si>
  <si>
    <t>GRANITO METALIZADO 5030 MT</t>
  </si>
  <si>
    <t>ZOCALOS</t>
  </si>
  <si>
    <t>N° 12031</t>
  </si>
  <si>
    <t>CUB C/R FRENTE ESPAÑOL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</si>
</sst>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0000"/>
      <name val="Segoe UI"/>
      <family val="2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17" fillId="3" borderId="0" xfId="0" applyFont="1" applyFill="1"/>
    <xf numFmtId="0" fontId="6" fillId="3" borderId="0" xfId="2" applyFill="1"/>
    <xf numFmtId="0" fontId="19" fillId="0" borderId="9" xfId="2" applyFont="1" applyFill="1" applyBorder="1" applyAlignment="1">
      <alignment horizontal="left"/>
    </xf>
    <xf numFmtId="0" fontId="20" fillId="3" borderId="0" xfId="0" applyFont="1" applyFill="1"/>
    <xf numFmtId="0" fontId="16" fillId="3" borderId="4" xfId="0" applyFont="1" applyFill="1" applyBorder="1"/>
    <xf numFmtId="0" fontId="17" fillId="0" borderId="0" xfId="0" applyFont="1"/>
    <xf numFmtId="0" fontId="21" fillId="3" borderId="0" xfId="0" applyFont="1" applyFill="1"/>
    <xf numFmtId="0" fontId="18" fillId="0" borderId="0" xfId="0" quotePrefix="1" applyFont="1" applyAlignment="1">
      <alignment horizontal="left"/>
    </xf>
    <xf numFmtId="0" fontId="22" fillId="0" borderId="2" xfId="0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29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</a:t>
          </a:r>
          <a:r>
            <a:rPr lang="es-CL" sz="900" b="1" i="1" baseline="0"/>
            <a:t> $ 150.000.-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48</xdr:row>
      <xdr:rowOff>171450</xdr:rowOff>
    </xdr:from>
    <xdr:to>
      <xdr:col>5</xdr:col>
      <xdr:colOff>1685924</xdr:colOff>
      <xdr:row>50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0</xdr:rowOff>
    </xdr:from>
    <xdr:to>
      <xdr:col>6</xdr:col>
      <xdr:colOff>0</xdr:colOff>
      <xdr:row>47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38100</xdr:rowOff>
    </xdr:from>
    <xdr:to>
      <xdr:col>6</xdr:col>
      <xdr:colOff>0</xdr:colOff>
      <xdr:row>45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57</xdr:row>
      <xdr:rowOff>0</xdr:rowOff>
    </xdr:from>
    <xdr:to>
      <xdr:col>2</xdr:col>
      <xdr:colOff>38100</xdr:colOff>
      <xdr:row>58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57</xdr:row>
      <xdr:rowOff>0</xdr:rowOff>
    </xdr:from>
    <xdr:to>
      <xdr:col>2</xdr:col>
      <xdr:colOff>1019175</xdr:colOff>
      <xdr:row>57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57</xdr:row>
      <xdr:rowOff>0</xdr:rowOff>
    </xdr:from>
    <xdr:to>
      <xdr:col>3</xdr:col>
      <xdr:colOff>352425</xdr:colOff>
      <xdr:row>58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57</xdr:row>
      <xdr:rowOff>0</xdr:rowOff>
    </xdr:from>
    <xdr:to>
      <xdr:col>4</xdr:col>
      <xdr:colOff>257175</xdr:colOff>
      <xdr:row>58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57</xdr:row>
      <xdr:rowOff>0</xdr:rowOff>
    </xdr:from>
    <xdr:to>
      <xdr:col>5</xdr:col>
      <xdr:colOff>447675</xdr:colOff>
      <xdr:row>57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57</xdr:row>
      <xdr:rowOff>0</xdr:rowOff>
    </xdr:from>
    <xdr:to>
      <xdr:col>6</xdr:col>
      <xdr:colOff>0</xdr:colOff>
      <xdr:row>57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57</xdr:row>
      <xdr:rowOff>190500</xdr:rowOff>
    </xdr:from>
    <xdr:to>
      <xdr:col>2</xdr:col>
      <xdr:colOff>304800</xdr:colOff>
      <xdr:row>59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57</xdr:row>
      <xdr:rowOff>190500</xdr:rowOff>
    </xdr:from>
    <xdr:to>
      <xdr:col>2</xdr:col>
      <xdr:colOff>1276350</xdr:colOff>
      <xdr:row>59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57</xdr:row>
      <xdr:rowOff>190500</xdr:rowOff>
    </xdr:from>
    <xdr:to>
      <xdr:col>3</xdr:col>
      <xdr:colOff>619125</xdr:colOff>
      <xdr:row>59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57</xdr:row>
      <xdr:rowOff>190500</xdr:rowOff>
    </xdr:from>
    <xdr:to>
      <xdr:col>4</xdr:col>
      <xdr:colOff>523875</xdr:colOff>
      <xdr:row>59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57</xdr:row>
      <xdr:rowOff>190500</xdr:rowOff>
    </xdr:from>
    <xdr:to>
      <xdr:col>5</xdr:col>
      <xdr:colOff>723900</xdr:colOff>
      <xdr:row>59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57</xdr:row>
      <xdr:rowOff>190500</xdr:rowOff>
    </xdr:from>
    <xdr:to>
      <xdr:col>6</xdr:col>
      <xdr:colOff>0</xdr:colOff>
      <xdr:row>59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35</xdr:row>
      <xdr:rowOff>15239</xdr:rowOff>
    </xdr:from>
    <xdr:to>
      <xdr:col>6</xdr:col>
      <xdr:colOff>68580</xdr:colOff>
      <xdr:row>39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26</xdr:row>
      <xdr:rowOff>200025</xdr:rowOff>
    </xdr:from>
    <xdr:to>
      <xdr:col>6</xdr:col>
      <xdr:colOff>19049</xdr:colOff>
      <xdr:row>28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60</xdr:row>
      <xdr:rowOff>32385</xdr:rowOff>
    </xdr:from>
    <xdr:to>
      <xdr:col>6</xdr:col>
      <xdr:colOff>19050</xdr:colOff>
      <xdr:row>64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42</xdr:row>
      <xdr:rowOff>41910</xdr:rowOff>
    </xdr:from>
    <xdr:to>
      <xdr:col>1</xdr:col>
      <xdr:colOff>801763</xdr:colOff>
      <xdr:row>48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opLeftCell="A6" workbookViewId="0">
      <selection activeCell="D25" sqref="D2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32.4414062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145</v>
      </c>
      <c r="E8" s="1"/>
      <c r="F8" s="91" t="s">
        <v>27</v>
      </c>
      <c r="G8" s="92">
        <v>7409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129</v>
      </c>
      <c r="C10" s="106" t="s">
        <v>139</v>
      </c>
      <c r="D10" s="54"/>
      <c r="E10" s="54"/>
      <c r="F10" s="55" t="s">
        <v>28</v>
      </c>
      <c r="G10" s="56">
        <v>46098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7" t="s">
        <v>140</v>
      </c>
      <c r="D11" s="59"/>
      <c r="E11" s="59"/>
      <c r="F11" s="59" t="s">
        <v>124</v>
      </c>
      <c r="G11" s="60"/>
      <c r="H11" s="61"/>
      <c r="I11" s="1"/>
    </row>
    <row r="12" spans="1:17" ht="15.6" x14ac:dyDescent="0.3">
      <c r="A12" s="1"/>
      <c r="B12" s="62" t="s">
        <v>130</v>
      </c>
      <c r="C12" s="108" t="s">
        <v>137</v>
      </c>
      <c r="D12" s="42"/>
      <c r="E12" s="42"/>
      <c r="F12" s="42" t="s">
        <v>30</v>
      </c>
      <c r="G12" s="63">
        <v>52</v>
      </c>
      <c r="H12" s="64"/>
      <c r="I12" s="1"/>
    </row>
    <row r="13" spans="1:17" ht="15.6" x14ac:dyDescent="0.3">
      <c r="A13" s="1"/>
      <c r="B13" s="62" t="s">
        <v>131</v>
      </c>
      <c r="C13" t="s">
        <v>142</v>
      </c>
      <c r="D13" s="42"/>
      <c r="E13" s="42"/>
      <c r="F13" s="42" t="s">
        <v>128</v>
      </c>
      <c r="G13" s="63" t="s">
        <v>133</v>
      </c>
      <c r="H13" s="64"/>
      <c r="I13" s="1"/>
    </row>
    <row r="14" spans="1:17" ht="15.6" x14ac:dyDescent="0.3">
      <c r="A14" s="1"/>
      <c r="B14" s="62" t="s">
        <v>132</v>
      </c>
      <c r="C14" s="103"/>
      <c r="D14" s="42"/>
      <c r="E14" s="42"/>
      <c r="F14" s="42"/>
      <c r="G14" s="63"/>
      <c r="H14" s="64"/>
      <c r="I14" s="1"/>
    </row>
    <row r="15" spans="1:17" ht="15.6" x14ac:dyDescent="0.3">
      <c r="A15" s="1"/>
      <c r="B15" s="58" t="s">
        <v>17</v>
      </c>
      <c r="C15" s="109">
        <v>968412708</v>
      </c>
      <c r="D15" s="65"/>
      <c r="E15" s="59"/>
      <c r="F15" s="59" t="s">
        <v>29</v>
      </c>
      <c r="G15" s="59" t="s">
        <v>138</v>
      </c>
      <c r="H15" s="61"/>
      <c r="I15" s="1"/>
    </row>
    <row r="16" spans="1:17" ht="16.8" x14ac:dyDescent="0.4">
      <c r="A16" s="1"/>
      <c r="B16" s="62" t="s">
        <v>1</v>
      </c>
      <c r="C16" s="102" t="s">
        <v>141</v>
      </c>
      <c r="D16" s="42"/>
      <c r="E16" s="42"/>
      <c r="F16" s="66" t="s">
        <v>75</v>
      </c>
      <c r="G16" s="105" t="s">
        <v>135</v>
      </c>
      <c r="H16" s="64"/>
      <c r="I16" s="1"/>
    </row>
    <row r="17" spans="1:16" ht="16.2" thickBot="1" x14ac:dyDescent="0.35">
      <c r="A17" s="1"/>
      <c r="B17" s="67" t="s">
        <v>3</v>
      </c>
      <c r="C17" s="104" t="s">
        <v>136</v>
      </c>
      <c r="D17" s="68"/>
      <c r="E17" s="69"/>
      <c r="F17" s="111" t="s">
        <v>18</v>
      </c>
      <c r="G17" s="111"/>
      <c r="H17" s="112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3" t="s">
        <v>19</v>
      </c>
      <c r="C20" s="114"/>
      <c r="D20" s="114"/>
      <c r="E20" s="114"/>
      <c r="F20" s="114"/>
      <c r="G20" s="114"/>
      <c r="H20" s="115"/>
      <c r="I20" s="1"/>
    </row>
    <row r="21" spans="1:16" ht="15.6" x14ac:dyDescent="0.3">
      <c r="A21" s="1"/>
      <c r="B21" s="70" t="s">
        <v>20</v>
      </c>
      <c r="C21" s="71" t="s">
        <v>21</v>
      </c>
      <c r="D21" s="71" t="s">
        <v>22</v>
      </c>
      <c r="E21" s="71" t="s">
        <v>8</v>
      </c>
      <c r="F21" s="72" t="s">
        <v>23</v>
      </c>
      <c r="G21" s="70" t="s">
        <v>24</v>
      </c>
      <c r="H21" s="72" t="s">
        <v>4</v>
      </c>
      <c r="I21" s="1"/>
    </row>
    <row r="22" spans="1:16" ht="18" customHeight="1" x14ac:dyDescent="0.3">
      <c r="A22" s="1"/>
      <c r="B22" s="98">
        <v>1</v>
      </c>
      <c r="C22" s="110" t="s">
        <v>146</v>
      </c>
      <c r="D22" s="101">
        <v>2400</v>
      </c>
      <c r="E22" s="101">
        <v>600</v>
      </c>
      <c r="F22" s="98" t="s">
        <v>143</v>
      </c>
      <c r="G22" s="99">
        <v>149651</v>
      </c>
      <c r="H22" s="99">
        <f>G22*B22</f>
        <v>149651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8">
        <v>1</v>
      </c>
      <c r="C23" s="110" t="s">
        <v>146</v>
      </c>
      <c r="D23" s="101">
        <v>1200</v>
      </c>
      <c r="E23" s="101">
        <v>600</v>
      </c>
      <c r="F23" s="98" t="s">
        <v>143</v>
      </c>
      <c r="G23" s="99">
        <v>78211</v>
      </c>
      <c r="H23" s="99">
        <f>G23*B23</f>
        <v>78211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8">
        <v>2</v>
      </c>
      <c r="C24" s="98" t="s">
        <v>144</v>
      </c>
      <c r="D24" s="101">
        <v>3000</v>
      </c>
      <c r="E24" s="101">
        <v>100</v>
      </c>
      <c r="F24" s="98" t="s">
        <v>143</v>
      </c>
      <c r="G24" s="99"/>
      <c r="H24" s="99"/>
      <c r="I24" s="1"/>
      <c r="K24" s="17"/>
      <c r="L24" s="26"/>
      <c r="M24" s="17"/>
      <c r="N24" s="17"/>
      <c r="O24" s="26"/>
      <c r="P24" s="33"/>
    </row>
    <row r="25" spans="1:16" ht="15" customHeight="1" thickBot="1" x14ac:dyDescent="0.35">
      <c r="A25" s="1"/>
      <c r="B25" s="73"/>
      <c r="C25" s="73"/>
      <c r="D25" s="73"/>
      <c r="E25" s="73"/>
      <c r="F25" s="73"/>
      <c r="G25" s="74"/>
      <c r="H25" s="74"/>
      <c r="I25" s="1"/>
    </row>
    <row r="26" spans="1:16" ht="15.6" x14ac:dyDescent="0.3">
      <c r="A26" s="1"/>
      <c r="B26" s="1"/>
      <c r="C26" s="1"/>
      <c r="D26" s="1"/>
      <c r="E26" s="1"/>
      <c r="F26" s="1"/>
      <c r="G26" s="75" t="s">
        <v>5</v>
      </c>
      <c r="H26" s="76">
        <f>SUM(H22:H25)</f>
        <v>227862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7" t="s">
        <v>6</v>
      </c>
      <c r="H27" s="78">
        <f>H26*19%</f>
        <v>43293.78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79" t="s">
        <v>4</v>
      </c>
      <c r="H28" s="80">
        <f>H26+H27</f>
        <v>271155.78000000003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1"/>
      <c r="H29" s="94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81" t="s">
        <v>123</v>
      </c>
      <c r="C31" s="82"/>
      <c r="D31" s="83"/>
      <c r="E31" s="83"/>
      <c r="F31" s="73"/>
      <c r="G31" s="1"/>
      <c r="H31" s="1"/>
      <c r="I31" s="1"/>
    </row>
    <row r="32" spans="1:16" ht="15.6" x14ac:dyDescent="0.3">
      <c r="A32" s="1"/>
      <c r="B32" s="81" t="s">
        <v>122</v>
      </c>
      <c r="C32" s="82"/>
      <c r="D32" s="83"/>
      <c r="E32" s="83"/>
      <c r="F32" s="73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4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1"/>
  </sortState>
  <mergeCells count="2">
    <mergeCell ref="F17:H17"/>
    <mergeCell ref="B20:H20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8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8"/>
  <sheetViews>
    <sheetView tabSelected="1" zoomScaleNormal="100" workbookViewId="0">
      <selection activeCell="D15" sqref="D15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39" t="s">
        <v>27</v>
      </c>
      <c r="D4" s="14">
        <f>'4637'!G8</f>
        <v>7409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MUEBLE Y DISEÑO SPA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6" t="s">
        <v>10</v>
      </c>
      <c r="C13" s="36" t="s">
        <v>11</v>
      </c>
      <c r="D13" s="32">
        <v>80</v>
      </c>
      <c r="E13" s="32">
        <v>-30</v>
      </c>
      <c r="F13" s="36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134</v>
      </c>
      <c r="B14" s="25">
        <f t="shared" ref="B14" si="0">I14</f>
        <v>1</v>
      </c>
      <c r="C14" s="25"/>
      <c r="D14" s="25">
        <v>2440</v>
      </c>
      <c r="E14" s="25">
        <f>K14+E$13</f>
        <v>570</v>
      </c>
      <c r="F14" s="96" t="str">
        <f t="shared" ref="F14" si="1">C31</f>
        <v>CUB C/R FRENTE ESPAÑOL R8</v>
      </c>
      <c r="G14" s="1"/>
      <c r="I14" s="3">
        <f t="shared" ref="I14:J15" si="2">I23</f>
        <v>1</v>
      </c>
      <c r="J14" s="4">
        <f t="shared" si="2"/>
        <v>2400</v>
      </c>
      <c r="K14" s="4">
        <f t="shared" ref="K14" si="3">E31</f>
        <v>600</v>
      </c>
    </row>
    <row r="15" spans="1:14" ht="15.6" x14ac:dyDescent="0.3">
      <c r="A15" s="93"/>
      <c r="B15" s="25">
        <f t="shared" ref="B15" si="4">I15</f>
        <v>1</v>
      </c>
      <c r="C15" s="25"/>
      <c r="D15" s="25">
        <f>J15+D$13</f>
        <v>1280</v>
      </c>
      <c r="E15" s="25">
        <f>K15+E$13</f>
        <v>570</v>
      </c>
      <c r="F15" s="96" t="str">
        <f t="shared" ref="F15" si="5">C32</f>
        <v>CUB C/R FRENTE ESPAÑOL R8</v>
      </c>
      <c r="G15" s="1"/>
      <c r="I15" s="3">
        <f t="shared" si="2"/>
        <v>1</v>
      </c>
      <c r="J15" s="4">
        <f t="shared" si="2"/>
        <v>1200</v>
      </c>
      <c r="K15" s="4">
        <f t="shared" ref="K15" si="6">E32</f>
        <v>600</v>
      </c>
    </row>
    <row r="16" spans="1:14" ht="15.6" x14ac:dyDescent="0.3">
      <c r="A16" s="93"/>
      <c r="B16" s="124"/>
      <c r="C16" s="124"/>
      <c r="D16" s="124"/>
      <c r="E16" s="124"/>
      <c r="F16" s="125"/>
      <c r="G16" s="1"/>
      <c r="I16" s="126"/>
      <c r="J16" s="127"/>
      <c r="K16" s="127"/>
    </row>
    <row r="17" spans="1:11" ht="15.6" x14ac:dyDescent="0.3">
      <c r="A17" s="51"/>
      <c r="B17" s="6"/>
      <c r="C17" s="6"/>
      <c r="D17" s="6"/>
      <c r="E17" s="6"/>
      <c r="F17" s="6"/>
      <c r="G17" s="1"/>
      <c r="I17" s="87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19" t="s">
        <v>14</v>
      </c>
      <c r="B19" s="119"/>
      <c r="C19" s="119"/>
      <c r="D19" s="119"/>
      <c r="E19" s="119"/>
      <c r="F19" s="119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1" t="s">
        <v>7</v>
      </c>
      <c r="E21" s="51" t="s">
        <v>8</v>
      </c>
      <c r="F21" s="1"/>
      <c r="G21" s="1"/>
    </row>
    <row r="22" spans="1:11" ht="15.6" x14ac:dyDescent="0.3">
      <c r="A22" s="51" t="s">
        <v>9</v>
      </c>
      <c r="B22" s="35" t="s">
        <v>10</v>
      </c>
      <c r="C22" s="35" t="s">
        <v>11</v>
      </c>
      <c r="D22" s="21">
        <v>40</v>
      </c>
      <c r="E22" s="21">
        <v>150</v>
      </c>
      <c r="F22" s="35" t="s">
        <v>110</v>
      </c>
      <c r="G22" s="1"/>
      <c r="J22" s="5" t="s">
        <v>7</v>
      </c>
      <c r="K22" s="5" t="s">
        <v>8</v>
      </c>
    </row>
    <row r="23" spans="1:11" ht="15.6" x14ac:dyDescent="0.3">
      <c r="A23" s="93"/>
      <c r="B23" s="16">
        <f t="shared" ref="B23" si="7">I23</f>
        <v>1</v>
      </c>
      <c r="C23" s="16"/>
      <c r="D23" s="16">
        <f>J23+D$22</f>
        <v>2440</v>
      </c>
      <c r="E23" s="16">
        <f>K23+E$22</f>
        <v>750</v>
      </c>
      <c r="F23" s="97" t="str">
        <f t="shared" ref="F23" si="8">C31</f>
        <v>CUB C/R FRENTE ESPAÑOL R8</v>
      </c>
      <c r="G23" s="1"/>
      <c r="I23" s="3">
        <f t="shared" ref="I23" si="9">B31</f>
        <v>1</v>
      </c>
      <c r="J23" s="4">
        <f>D31</f>
        <v>2400</v>
      </c>
      <c r="K23" s="4">
        <f>E31</f>
        <v>600</v>
      </c>
    </row>
    <row r="24" spans="1:11" ht="15.6" x14ac:dyDescent="0.3">
      <c r="A24" s="93"/>
      <c r="B24" s="16">
        <f t="shared" ref="B24:B25" si="10">I24</f>
        <v>1</v>
      </c>
      <c r="C24" s="16"/>
      <c r="D24" s="16">
        <f t="shared" ref="D24:D25" si="11">J24+D$22</f>
        <v>1240</v>
      </c>
      <c r="E24" s="16">
        <f>K24+E$22</f>
        <v>750</v>
      </c>
      <c r="F24" s="97" t="str">
        <f t="shared" ref="F24:F25" si="12">C32</f>
        <v>CUB C/R FRENTE ESPAÑOL R8</v>
      </c>
      <c r="G24" s="1"/>
      <c r="I24" s="3">
        <f t="shared" ref="I24:I25" si="13">B32</f>
        <v>1</v>
      </c>
      <c r="J24" s="4">
        <f t="shared" ref="J24:K24" si="14">D32</f>
        <v>1200</v>
      </c>
      <c r="K24" s="4">
        <f t="shared" si="14"/>
        <v>600</v>
      </c>
    </row>
    <row r="25" spans="1:11" ht="15.6" x14ac:dyDescent="0.3">
      <c r="A25" s="93"/>
      <c r="B25" s="16">
        <f t="shared" si="10"/>
        <v>2</v>
      </c>
      <c r="C25" s="16"/>
      <c r="D25" s="16">
        <f t="shared" si="11"/>
        <v>3040</v>
      </c>
      <c r="E25" s="16">
        <f>K25</f>
        <v>100</v>
      </c>
      <c r="F25" s="97" t="str">
        <f t="shared" si="12"/>
        <v>ZOCALOS</v>
      </c>
      <c r="G25" s="1"/>
      <c r="I25" s="3">
        <f t="shared" si="13"/>
        <v>2</v>
      </c>
      <c r="J25" s="4">
        <f t="shared" ref="J25:K25" si="15">D33</f>
        <v>3000</v>
      </c>
      <c r="K25" s="4">
        <f t="shared" si="15"/>
        <v>100</v>
      </c>
    </row>
    <row r="26" spans="1:11" ht="15.6" x14ac:dyDescent="0.3">
      <c r="A26" s="93"/>
      <c r="B26" s="6"/>
      <c r="C26" s="6"/>
      <c r="D26" s="6"/>
      <c r="E26" s="6"/>
      <c r="F26" s="100"/>
      <c r="G26" s="1"/>
      <c r="I26" s="87"/>
      <c r="J26" s="2"/>
      <c r="K26" s="2"/>
    </row>
    <row r="27" spans="1:11" ht="16.2" thickBot="1" x14ac:dyDescent="0.35">
      <c r="A27" s="51"/>
      <c r="B27" s="6"/>
      <c r="C27" s="6"/>
      <c r="D27" s="6"/>
      <c r="E27" s="6"/>
      <c r="F27" s="6"/>
      <c r="G27" s="1"/>
      <c r="I27" s="2"/>
      <c r="J27" s="2"/>
      <c r="K27" s="2"/>
    </row>
    <row r="28" spans="1:11" ht="16.2" thickBot="1" x14ac:dyDescent="0.35">
      <c r="A28" s="51"/>
      <c r="B28" s="22" t="s">
        <v>107</v>
      </c>
      <c r="C28" s="23"/>
      <c r="D28" s="23"/>
      <c r="E28" s="23"/>
      <c r="F28" s="24"/>
      <c r="G28" s="1"/>
      <c r="I28" s="2"/>
      <c r="J28" s="2"/>
      <c r="K28" s="2"/>
    </row>
    <row r="29" spans="1:11" ht="10.5" customHeight="1" x14ac:dyDescent="0.3">
      <c r="A29" s="1"/>
      <c r="B29" s="1"/>
      <c r="C29" s="1"/>
      <c r="D29" s="1"/>
      <c r="E29" s="1"/>
      <c r="F29" s="1"/>
      <c r="G29" s="1"/>
    </row>
    <row r="30" spans="1:11" ht="15.6" x14ac:dyDescent="0.3">
      <c r="A30" s="51" t="s">
        <v>9</v>
      </c>
      <c r="B30" s="86" t="s">
        <v>10</v>
      </c>
      <c r="C30" s="86" t="s">
        <v>110</v>
      </c>
      <c r="D30" s="86" t="s">
        <v>7</v>
      </c>
      <c r="E30" s="86" t="s">
        <v>8</v>
      </c>
      <c r="F30" s="86" t="s">
        <v>23</v>
      </c>
      <c r="G30" s="1"/>
    </row>
    <row r="31" spans="1:11" ht="15.6" x14ac:dyDescent="0.3">
      <c r="A31" s="93" t="s">
        <v>134</v>
      </c>
      <c r="B31" s="25">
        <f>'4637'!B22</f>
        <v>1</v>
      </c>
      <c r="C31" s="96" t="str">
        <f>'4637'!C22</f>
        <v>CUB C/R FRENTE ESPAÑOL R8</v>
      </c>
      <c r="D31" s="25">
        <f>'4637'!D22</f>
        <v>2400</v>
      </c>
      <c r="E31" s="25">
        <f>'4637'!E22</f>
        <v>600</v>
      </c>
      <c r="F31" s="25" t="str">
        <f>'4637'!F22</f>
        <v>GRANITO METALIZADO 5030 MT</v>
      </c>
      <c r="G31" s="1"/>
    </row>
    <row r="32" spans="1:11" ht="15.6" x14ac:dyDescent="0.3">
      <c r="A32" s="93"/>
      <c r="B32" s="25">
        <f>'4637'!B23</f>
        <v>1</v>
      </c>
      <c r="C32" s="96" t="str">
        <f>'4637'!C23</f>
        <v>CUB C/R FRENTE ESPAÑOL R8</v>
      </c>
      <c r="D32" s="25">
        <f>'4637'!D23</f>
        <v>1200</v>
      </c>
      <c r="E32" s="25">
        <f>'4637'!E23</f>
        <v>600</v>
      </c>
      <c r="F32" s="25" t="str">
        <f>'4637'!F23</f>
        <v>GRANITO METALIZADO 5030 MT</v>
      </c>
      <c r="G32" s="1"/>
    </row>
    <row r="33" spans="1:7" ht="15.6" x14ac:dyDescent="0.3">
      <c r="A33" s="93"/>
      <c r="B33" s="25">
        <f>'4637'!B24</f>
        <v>2</v>
      </c>
      <c r="C33" s="96" t="str">
        <f>'4637'!C24</f>
        <v>ZOCALOS</v>
      </c>
      <c r="D33" s="25">
        <f>'4637'!D24</f>
        <v>3000</v>
      </c>
      <c r="E33" s="25">
        <f>'4637'!E24</f>
        <v>100</v>
      </c>
      <c r="F33" s="25" t="str">
        <f>'4637'!F24</f>
        <v>GRANITO METALIZADO 5030 MT</v>
      </c>
      <c r="G33" s="1"/>
    </row>
    <row r="34" spans="1:7" ht="15.6" x14ac:dyDescent="0.3">
      <c r="A34" s="93"/>
      <c r="B34" s="6"/>
      <c r="C34" s="100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39" t="s">
        <v>27</v>
      </c>
      <c r="D44" s="14">
        <f>'4637'!G8</f>
        <v>7409</v>
      </c>
      <c r="E44" s="1"/>
      <c r="F44" s="1"/>
      <c r="G44" s="1"/>
    </row>
    <row r="45" spans="1:7" ht="17.25" customHeight="1" x14ac:dyDescent="0.3">
      <c r="A45" s="1"/>
      <c r="B45" s="1"/>
      <c r="C45" s="40" t="s">
        <v>67</v>
      </c>
      <c r="D45" s="41" t="str">
        <f>'4637'!C10</f>
        <v>MUEBLE Y DISEÑO SPA</v>
      </c>
      <c r="E45" s="42"/>
      <c r="F45" s="42"/>
      <c r="G45" s="1"/>
    </row>
    <row r="46" spans="1:7" ht="4.5" customHeight="1" x14ac:dyDescent="0.3">
      <c r="A46" s="1"/>
      <c r="B46" s="1"/>
      <c r="C46" s="43"/>
      <c r="D46" s="44"/>
      <c r="E46" s="1"/>
      <c r="F46" s="1"/>
      <c r="G46" s="1"/>
    </row>
    <row r="47" spans="1:7" ht="15.6" x14ac:dyDescent="0.3">
      <c r="A47" s="1"/>
      <c r="B47" s="1"/>
      <c r="C47" s="45" t="str">
        <f>'4637'!F11</f>
        <v>FECHA LIMITE :</v>
      </c>
      <c r="D47" s="13">
        <f>'4637'!G11</f>
        <v>0</v>
      </c>
      <c r="E47" s="1"/>
      <c r="F47" s="1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119" t="s">
        <v>68</v>
      </c>
      <c r="B50" s="119"/>
      <c r="C50" s="119"/>
      <c r="D50" s="119"/>
      <c r="E50" s="119"/>
      <c r="F50" s="119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75" customHeight="1" x14ac:dyDescent="0.3">
      <c r="A52" s="1"/>
      <c r="B52" s="120" t="s">
        <v>69</v>
      </c>
      <c r="C52" s="121"/>
      <c r="D52" s="122"/>
      <c r="E52" s="122"/>
      <c r="F52" s="123"/>
      <c r="G52" s="1"/>
    </row>
    <row r="53" spans="1:7" s="15" customFormat="1" ht="12.75" customHeight="1" x14ac:dyDescent="0.3">
      <c r="A53" s="1"/>
      <c r="B53" s="35" t="s">
        <v>10</v>
      </c>
      <c r="C53" s="46" t="s">
        <v>11</v>
      </c>
      <c r="D53" s="47" t="s">
        <v>7</v>
      </c>
      <c r="E53" s="47" t="s">
        <v>8</v>
      </c>
      <c r="F53" s="48" t="s">
        <v>12</v>
      </c>
      <c r="G53" s="1"/>
    </row>
    <row r="54" spans="1:7" s="15" customFormat="1" ht="15" customHeight="1" x14ac:dyDescent="0.3">
      <c r="A54" s="93" t="s">
        <v>134</v>
      </c>
      <c r="B54" s="37">
        <f>'4637'!B22</f>
        <v>1</v>
      </c>
      <c r="C54" s="95" t="str">
        <f>'4637'!C22</f>
        <v>CUB C/R FRENTE ESPAÑOL R8</v>
      </c>
      <c r="D54" s="38">
        <f>'4637'!D22</f>
        <v>2400</v>
      </c>
      <c r="E54" s="38">
        <f>'4637'!E22</f>
        <v>600</v>
      </c>
      <c r="F54" s="37" t="str">
        <f>'4637'!F22</f>
        <v>GRANITO METALIZADO 5030 MT</v>
      </c>
      <c r="G54" s="1"/>
    </row>
    <row r="55" spans="1:7" s="15" customFormat="1" ht="15" customHeight="1" x14ac:dyDescent="0.3">
      <c r="A55" s="93"/>
      <c r="B55" s="37">
        <f>'4637'!B23</f>
        <v>1</v>
      </c>
      <c r="C55" s="95" t="str">
        <f>'4637'!C23</f>
        <v>CUB C/R FRENTE ESPAÑOL R8</v>
      </c>
      <c r="D55" s="38">
        <f>'4637'!D23</f>
        <v>1200</v>
      </c>
      <c r="E55" s="38">
        <f>'4637'!E23</f>
        <v>600</v>
      </c>
      <c r="F55" s="37" t="str">
        <f>'4637'!F23</f>
        <v>GRANITO METALIZADO 5030 MT</v>
      </c>
      <c r="G55" s="1"/>
    </row>
    <row r="56" spans="1:7" s="15" customFormat="1" ht="15" customHeight="1" x14ac:dyDescent="0.3">
      <c r="A56" s="93"/>
      <c r="B56" s="37">
        <f>'4637'!B24</f>
        <v>2</v>
      </c>
      <c r="C56" s="95" t="str">
        <f>'4637'!C24</f>
        <v>ZOCALOS</v>
      </c>
      <c r="D56" s="38">
        <f>'4637'!D24</f>
        <v>3000</v>
      </c>
      <c r="E56" s="38">
        <f>'4637'!E24</f>
        <v>100</v>
      </c>
      <c r="F56" s="37" t="str">
        <f>'4637'!F24</f>
        <v>GRANITO METALIZADO 5030 MT</v>
      </c>
      <c r="G56" s="1"/>
    </row>
    <row r="57" spans="1:7" s="15" customFormat="1" ht="15" customHeight="1" x14ac:dyDescent="0.3">
      <c r="A57" s="49"/>
      <c r="B57" s="51"/>
      <c r="C57" s="51"/>
      <c r="D57" s="51"/>
      <c r="E57" s="51"/>
      <c r="F57" s="51"/>
      <c r="G57" s="1"/>
    </row>
    <row r="58" spans="1:7" ht="15.6" x14ac:dyDescent="0.3">
      <c r="A58" s="6"/>
      <c r="B58" s="6"/>
      <c r="C58" s="1"/>
      <c r="D58" s="6"/>
      <c r="E58" s="6"/>
      <c r="F58" s="43"/>
      <c r="G58" s="1"/>
    </row>
    <row r="59" spans="1:7" ht="15.6" x14ac:dyDescent="0.3">
      <c r="A59" s="6"/>
      <c r="B59" s="6"/>
      <c r="C59" s="1"/>
      <c r="D59" s="6"/>
      <c r="E59" s="6"/>
      <c r="F59" s="6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" customHeight="1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.6" x14ac:dyDescent="0.3">
      <c r="A65" s="6"/>
      <c r="B65" s="50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x14ac:dyDescent="0.3">
      <c r="B67" s="20"/>
      <c r="C67" s="20"/>
      <c r="D67" s="20"/>
      <c r="E67" s="20"/>
      <c r="F67" s="20"/>
    </row>
    <row r="68" spans="1:7" x14ac:dyDescent="0.3">
      <c r="B68" s="20"/>
      <c r="C68" s="20"/>
      <c r="E68" s="20"/>
      <c r="F68" s="20"/>
    </row>
  </sheetData>
  <mergeCells count="6">
    <mergeCell ref="M3:N3"/>
    <mergeCell ref="A19:F19"/>
    <mergeCell ref="A10:F10"/>
    <mergeCell ref="A50:F50"/>
    <mergeCell ref="B52:F52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2026-03-11T19:28:02Z</cp:lastPrinted>
  <dcterms:created xsi:type="dcterms:W3CDTF">2013-03-19T12:54:14Z</dcterms:created>
  <dcterms:modified xsi:type="dcterms:W3CDTF">2026-03-17T13:14:23Z</dcterms:modified>
</cp:coreProperties>
</file>