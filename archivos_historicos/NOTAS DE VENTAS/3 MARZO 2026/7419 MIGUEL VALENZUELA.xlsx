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3 MARZO 2026\"/>
    </mc:Choice>
  </mc:AlternateContent>
  <xr:revisionPtr revIDLastSave="0" documentId="13_ncr:1_{01A7C7D6-500B-4A30-822F-C013E572CA9D}" xr6:coauthVersionLast="47" xr6:coauthVersionMax="47" xr10:uidLastSave="{00000000-0000-0000-0000-000000000000}"/>
  <bookViews>
    <workbookView xWindow="-20610" yWindow="1635" windowWidth="20730" windowHeight="1104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B26" i="3"/>
  <c r="I21" i="3" s="1"/>
  <c r="C26" i="3"/>
  <c r="D26" i="3"/>
  <c r="J21" i="3" s="1"/>
  <c r="E26" i="3"/>
  <c r="F26" i="3"/>
  <c r="B46" i="3"/>
  <c r="C46" i="3"/>
  <c r="D46" i="3"/>
  <c r="E46" i="3"/>
  <c r="F46" i="3"/>
  <c r="B21" i="3" l="1"/>
  <c r="I14" i="3"/>
  <c r="B14" i="3" s="1"/>
  <c r="F14" i="3"/>
  <c r="F21" i="3"/>
  <c r="D21" i="3"/>
  <c r="J14" i="3"/>
  <c r="D14" i="3" s="1"/>
  <c r="K21" i="3"/>
  <c r="E21" i="3" s="1"/>
  <c r="K14" i="3"/>
  <c r="E14" i="3" s="1"/>
  <c r="H25" i="4" l="1"/>
  <c r="H26" i="4" l="1"/>
  <c r="H27" i="4" l="1"/>
  <c r="N5" i="3" l="1"/>
  <c r="M5" i="3" l="1"/>
  <c r="L5" i="3"/>
  <c r="K5" i="3"/>
  <c r="C39" i="3" l="1"/>
  <c r="C7" i="3"/>
  <c r="D37" i="3"/>
  <c r="D5" i="3"/>
  <c r="D39" i="3"/>
  <c r="D7" i="3"/>
  <c r="D36" i="3"/>
  <c r="D4" i="3"/>
</calcChain>
</file>

<file path=xl/sharedStrings.xml><?xml version="1.0" encoding="utf-8"?>
<sst xmlns="http://schemas.openxmlformats.org/spreadsheetml/2006/main" count="250" uniqueCount="144">
  <si>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</si>
  <si>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</si>
  <si>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</si>
  <si>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</si>
  <si>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</si>
  <si>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</si>
  <si>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</si>
  <si>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</si>
  <si>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</si>
  <si>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</si>
  <si>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</si>
  <si>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</si>
  <si>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</si>
  <si>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</si>
  <si>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</si>
  <si>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</si>
  <si>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</si>
  <si>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</si>
  <si>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</si>
  <si>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</si>
  <si>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</si>
  <si>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</si>
  <si>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</si>
  <si>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</si>
  <si>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</si>
  <si>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</si>
  <si>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</si>
  <si>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</si>
  <si>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</si>
  <si>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</si>
  <si>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</si>
  <si>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</si>
  <si>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</si>
  <si>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</si>
  <si>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</si>
  <si>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</si>
  <si>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</si>
  <si>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</si>
  <si>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</si>
  <si>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</si>
  <si>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</si>
  <si>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</si>
  <si>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</si>
  <si>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</si>
  <si>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</si>
  <si>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</si>
  <si>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</si>
  <si>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</si>
  <si>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</si>
  <si>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</si>
  <si>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</si>
  <si>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</si>
  <si>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</si>
  <si>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</si>
  <si>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</si>
  <si>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</si>
  <si>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</si>
  <si>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</si>
  <si>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</si>
  <si>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</si>
  <si>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</si>
  <si>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</si>
  <si>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</si>
  <si>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</si>
  <si>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</si>
  <si>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</si>
  <si>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</si>
  <si>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</si>
  <si>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</si>
  <si>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</si>
  <si>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</si>
  <si>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</si>
  <si>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</si>
  <si>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</si>
  <si>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</si>
  <si>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</si>
  <si>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</si>
  <si>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</si>
  <si>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</si>
  <si>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</si>
  <si>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</si>
  <si>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</si>
  <si>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</si>
  <si>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</si>
  <si>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</si>
  <si>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</si>
  <si>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</si>
  <si>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</si>
  <si>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</si>
  <si>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</si>
  <si>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</si>
  <si>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</si>
  <si>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</si>
  <si>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</si>
  <si>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</si>
  <si>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</si>
  <si>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</si>
  <si>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</si>
  <si>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</si>
  <si>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</si>
  <si>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</si>
  <si>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</si>
  <si>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</si>
  <si>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</si>
  <si>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</si>
  <si>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</si>
  <si>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</si>
  <si>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</si>
  <si>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</si>
  <si>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</si>
  <si>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</si>
  <si>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</si>
  <si>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</si>
  <si>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</si>
  <si>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</si>
  <si>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</si>
  <si>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</si>
  <si>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</si>
  <si>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</si>
  <si>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ENTREGA:</t>
  </si>
  <si>
    <t>NO BORRAR REGLAS!!!!! SI NO LAS SABEN USAR NO BORREN ESTO POR FAVOR!!!!!</t>
  </si>
  <si>
    <t>CUB C/R R6</t>
  </si>
  <si>
    <t>CONTACTO:</t>
  </si>
  <si>
    <t>CORREO:</t>
  </si>
  <si>
    <t>SANTIAGO</t>
  </si>
  <si>
    <t>NO</t>
  </si>
  <si>
    <t>NOMBRE:</t>
  </si>
  <si>
    <t>FECHA</t>
  </si>
  <si>
    <t>PLAZO ENTREGA</t>
  </si>
  <si>
    <t>GIRO:</t>
  </si>
  <si>
    <t>SERVICIO EXPRESS</t>
  </si>
  <si>
    <t>CORTADA A LA MEDIDA</t>
  </si>
  <si>
    <t>DESPACHO</t>
  </si>
  <si>
    <t>INSTALACIÓN</t>
  </si>
  <si>
    <t>FORMA DE PAGO:</t>
  </si>
  <si>
    <t>ABONO 50% SALDO C/ENTREGA</t>
  </si>
  <si>
    <t>Duración cotización 5 días hábiles</t>
  </si>
  <si>
    <t>Cotizado por: Franco Donoso</t>
  </si>
  <si>
    <t>MDF18MM</t>
  </si>
  <si>
    <t>MDF 18MM</t>
  </si>
  <si>
    <t>GRANITO STOCK</t>
  </si>
  <si>
    <t>CUB S/R 90°</t>
  </si>
  <si>
    <t>MIGUEL VALENZUELA</t>
  </si>
  <si>
    <t>N° 12054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</si>
</sst>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40</xdr:row>
      <xdr:rowOff>171450</xdr:rowOff>
    </xdr:from>
    <xdr:to>
      <xdr:col>5</xdr:col>
      <xdr:colOff>1685924</xdr:colOff>
      <xdr:row>42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38100</xdr:rowOff>
    </xdr:from>
    <xdr:to>
      <xdr:col>6</xdr:col>
      <xdr:colOff>0</xdr:colOff>
      <xdr:row>37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35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0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0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0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0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0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27</xdr:row>
      <xdr:rowOff>15239</xdr:rowOff>
    </xdr:from>
    <xdr:to>
      <xdr:col>6</xdr:col>
      <xdr:colOff>68580</xdr:colOff>
      <xdr:row>31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51</xdr:row>
      <xdr:rowOff>32385</xdr:rowOff>
    </xdr:from>
    <xdr:to>
      <xdr:col>6</xdr:col>
      <xdr:colOff>19050</xdr:colOff>
      <xdr:row>55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34</xdr:row>
      <xdr:rowOff>41910</xdr:rowOff>
    </xdr:from>
    <xdr:to>
      <xdr:col>1</xdr:col>
      <xdr:colOff>801763</xdr:colOff>
      <xdr:row>40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11" workbookViewId="0">
      <selection activeCell="F29" sqref="F2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2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114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115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116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143</v>
      </c>
      <c r="E8" s="1"/>
      <c r="F8" s="91" t="s">
        <v>26</v>
      </c>
      <c r="G8" s="92">
        <v>7419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126</v>
      </c>
      <c r="C10" s="102" t="s">
        <v>142</v>
      </c>
      <c r="D10" s="54"/>
      <c r="E10" s="54"/>
      <c r="F10" s="55" t="s">
        <v>127</v>
      </c>
      <c r="G10" s="56">
        <v>46107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3"/>
      <c r="D11" s="59"/>
      <c r="E11" s="59"/>
      <c r="F11" s="59" t="s">
        <v>128</v>
      </c>
      <c r="G11" s="60">
        <v>46108</v>
      </c>
      <c r="H11" s="61"/>
      <c r="I11" s="1"/>
    </row>
    <row r="12" spans="1:17" ht="15.6" x14ac:dyDescent="0.3">
      <c r="A12" s="1"/>
      <c r="B12" s="62" t="s">
        <v>129</v>
      </c>
      <c r="C12" s="104"/>
      <c r="D12" s="42"/>
      <c r="E12" s="42"/>
      <c r="F12" s="42" t="s">
        <v>130</v>
      </c>
      <c r="G12" s="63" t="s">
        <v>125</v>
      </c>
      <c r="H12" s="64"/>
      <c r="I12" s="1"/>
    </row>
    <row r="13" spans="1:17" ht="15.6" x14ac:dyDescent="0.3">
      <c r="A13" s="1"/>
      <c r="B13" s="62" t="s">
        <v>122</v>
      </c>
      <c r="D13" s="42"/>
      <c r="E13" s="42"/>
      <c r="F13" s="42" t="s">
        <v>131</v>
      </c>
      <c r="G13" s="63" t="s">
        <v>125</v>
      </c>
      <c r="H13" s="64"/>
      <c r="I13" s="1"/>
    </row>
    <row r="14" spans="1:17" ht="15.6" x14ac:dyDescent="0.3">
      <c r="A14" s="1"/>
      <c r="B14" s="62" t="s">
        <v>123</v>
      </c>
      <c r="C14" s="99"/>
      <c r="D14" s="42"/>
      <c r="E14" s="42"/>
      <c r="F14" s="42" t="s">
        <v>132</v>
      </c>
      <c r="G14" s="63" t="s">
        <v>125</v>
      </c>
      <c r="H14" s="64"/>
      <c r="I14" s="1"/>
    </row>
    <row r="15" spans="1:17" ht="15.6" x14ac:dyDescent="0.3">
      <c r="A15" s="1"/>
      <c r="B15" s="58" t="s">
        <v>17</v>
      </c>
      <c r="C15" s="105"/>
      <c r="D15" s="65"/>
      <c r="E15" s="59"/>
      <c r="F15" s="59" t="s">
        <v>133</v>
      </c>
      <c r="G15" s="59" t="s">
        <v>125</v>
      </c>
      <c r="H15" s="61"/>
      <c r="I15" s="1"/>
    </row>
    <row r="16" spans="1:17" ht="16.8" x14ac:dyDescent="0.4">
      <c r="A16" s="1"/>
      <c r="B16" s="62" t="s">
        <v>1</v>
      </c>
      <c r="C16" s="98"/>
      <c r="D16" s="42"/>
      <c r="E16" s="42"/>
      <c r="F16" s="66" t="s">
        <v>134</v>
      </c>
      <c r="G16" s="101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0" t="s">
        <v>124</v>
      </c>
      <c r="D17" s="68"/>
      <c r="E17" s="69"/>
      <c r="F17" s="121" t="s">
        <v>136</v>
      </c>
      <c r="G17" s="121" t="s">
        <v>137</v>
      </c>
      <c r="H17" s="122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3" t="s">
        <v>18</v>
      </c>
      <c r="C20" s="124"/>
      <c r="D20" s="124"/>
      <c r="E20" s="124"/>
      <c r="F20" s="124"/>
      <c r="G20" s="124"/>
      <c r="H20" s="125"/>
      <c r="I20" s="1"/>
    </row>
    <row r="21" spans="1:16" ht="15.6" x14ac:dyDescent="0.3">
      <c r="A21" s="1"/>
      <c r="B21" s="70" t="s">
        <v>19</v>
      </c>
      <c r="C21" s="71" t="s">
        <v>20</v>
      </c>
      <c r="D21" s="71" t="s">
        <v>21</v>
      </c>
      <c r="E21" s="71" t="s">
        <v>8</v>
      </c>
      <c r="F21" s="72" t="s">
        <v>22</v>
      </c>
      <c r="G21" s="70" t="s">
        <v>23</v>
      </c>
      <c r="H21" s="72" t="s">
        <v>4</v>
      </c>
      <c r="I21" s="1"/>
    </row>
    <row r="22" spans="1:16" ht="18" customHeight="1" thickBot="1" x14ac:dyDescent="0.35">
      <c r="A22" s="1"/>
      <c r="B22" s="109">
        <v>1</v>
      </c>
      <c r="C22" s="110" t="s">
        <v>141</v>
      </c>
      <c r="D22" s="111">
        <v>800</v>
      </c>
      <c r="E22" s="111">
        <v>550</v>
      </c>
      <c r="F22" s="112" t="s">
        <v>140</v>
      </c>
      <c r="G22" s="113">
        <v>41916</v>
      </c>
      <c r="H22" s="114">
        <f>G22*B22</f>
        <v>41916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7"/>
      <c r="D23" s="108"/>
      <c r="E23" s="108"/>
      <c r="F23" s="106"/>
      <c r="G23" s="74"/>
      <c r="H23" s="74"/>
      <c r="I23" s="1"/>
      <c r="K23" s="17"/>
      <c r="L23" s="26"/>
      <c r="M23" s="17"/>
      <c r="N23" s="17"/>
      <c r="O23" s="26"/>
      <c r="P23" s="33"/>
    </row>
    <row r="24" spans="1:16" ht="1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41916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7964.04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49880.04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118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117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24</v>
      </c>
      <c r="C32" s="1"/>
      <c r="D32" s="1"/>
      <c r="E32" s="84" t="s">
        <v>25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6" workbookViewId="0">
      <selection activeCell="E6" sqref="E6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8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11" t="s">
        <v>7</v>
      </c>
      <c r="C3" s="11" t="s">
        <v>8</v>
      </c>
      <c r="D3" s="11" t="s">
        <v>20</v>
      </c>
      <c r="E3" s="19"/>
      <c r="G3" s="11" t="s">
        <v>7</v>
      </c>
      <c r="H3" s="11" t="s">
        <v>8</v>
      </c>
      <c r="I3" s="11" t="s">
        <v>20</v>
      </c>
      <c r="P3" s="11" t="s">
        <v>7</v>
      </c>
      <c r="Q3" s="11" t="s">
        <v>8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108</v>
      </c>
      <c r="E4" s="8" t="s">
        <v>96</v>
      </c>
      <c r="G4" s="29">
        <v>50</v>
      </c>
      <c r="H4" s="29">
        <v>100</v>
      </c>
      <c r="I4" s="30" t="s">
        <v>108</v>
      </c>
      <c r="J4" s="31" t="s">
        <v>104</v>
      </c>
      <c r="K4" s="31"/>
      <c r="L4" s="31"/>
      <c r="M4" s="31"/>
      <c r="P4">
        <v>50</v>
      </c>
      <c r="Q4">
        <v>-30</v>
      </c>
      <c r="R4" t="s">
        <v>28</v>
      </c>
    </row>
    <row r="5" spans="2:18" x14ac:dyDescent="0.3">
      <c r="B5" s="9">
        <v>40</v>
      </c>
      <c r="C5" s="9">
        <v>90</v>
      </c>
      <c r="D5" s="10" t="s">
        <v>109</v>
      </c>
      <c r="E5" s="8" t="s">
        <v>97</v>
      </c>
      <c r="G5" s="29">
        <v>50</v>
      </c>
      <c r="H5" s="29"/>
      <c r="I5" s="30" t="s">
        <v>110</v>
      </c>
      <c r="J5" s="31" t="s">
        <v>112</v>
      </c>
      <c r="K5" s="31"/>
      <c r="L5" s="31"/>
      <c r="M5" s="31"/>
      <c r="P5">
        <v>50</v>
      </c>
      <c r="Q5">
        <v>-30</v>
      </c>
      <c r="R5" t="s">
        <v>28</v>
      </c>
    </row>
    <row r="6" spans="2:18" x14ac:dyDescent="0.3">
      <c r="B6" s="9">
        <v>40</v>
      </c>
      <c r="C6" s="9">
        <v>100</v>
      </c>
      <c r="D6" s="10" t="s">
        <v>52</v>
      </c>
      <c r="E6" s="8" t="s">
        <v>98</v>
      </c>
      <c r="G6" s="9">
        <v>50</v>
      </c>
      <c r="H6" s="9">
        <v>100</v>
      </c>
      <c r="I6" s="10" t="s">
        <v>52</v>
      </c>
      <c r="P6">
        <v>50</v>
      </c>
      <c r="Q6">
        <v>-30</v>
      </c>
      <c r="R6" t="s">
        <v>30</v>
      </c>
    </row>
    <row r="7" spans="2:18" x14ac:dyDescent="0.3">
      <c r="B7" s="9">
        <v>40</v>
      </c>
      <c r="C7" s="9">
        <v>150</v>
      </c>
      <c r="D7" s="10" t="s">
        <v>53</v>
      </c>
      <c r="E7" s="8" t="s">
        <v>99</v>
      </c>
      <c r="G7" s="9">
        <v>50</v>
      </c>
      <c r="H7" s="9"/>
      <c r="I7" s="10" t="s">
        <v>53</v>
      </c>
      <c r="P7">
        <v>50</v>
      </c>
      <c r="Q7">
        <v>-30</v>
      </c>
      <c r="R7" t="s">
        <v>40</v>
      </c>
    </row>
    <row r="8" spans="2:18" x14ac:dyDescent="0.3">
      <c r="B8" s="9">
        <v>40</v>
      </c>
      <c r="C8" s="9">
        <v>100</v>
      </c>
      <c r="D8" s="10" t="s">
        <v>36</v>
      </c>
      <c r="E8" s="8" t="s">
        <v>100</v>
      </c>
      <c r="G8" s="9">
        <v>50</v>
      </c>
      <c r="H8" s="9">
        <v>100</v>
      </c>
      <c r="I8" s="10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9">
        <v>40</v>
      </c>
      <c r="C9" s="9">
        <v>50</v>
      </c>
      <c r="D9" s="10" t="s">
        <v>50</v>
      </c>
      <c r="E9" s="8" t="s">
        <v>71</v>
      </c>
      <c r="G9" s="9">
        <v>50</v>
      </c>
      <c r="H9" s="9">
        <v>100</v>
      </c>
      <c r="I9" s="10" t="s">
        <v>35</v>
      </c>
      <c r="L9" s="11" t="s">
        <v>7</v>
      </c>
      <c r="M9" s="11" t="s">
        <v>8</v>
      </c>
      <c r="N9" s="11" t="s">
        <v>20</v>
      </c>
      <c r="P9">
        <v>50</v>
      </c>
      <c r="Q9">
        <v>0</v>
      </c>
      <c r="R9" t="s">
        <v>41</v>
      </c>
    </row>
    <row r="10" spans="2:18" x14ac:dyDescent="0.3">
      <c r="B10" s="9">
        <v>40</v>
      </c>
      <c r="C10" s="9">
        <v>80</v>
      </c>
      <c r="D10" s="10" t="s">
        <v>51</v>
      </c>
      <c r="E10" s="8" t="s">
        <v>72</v>
      </c>
      <c r="G10" s="9">
        <v>50</v>
      </c>
      <c r="H10" s="9"/>
      <c r="I10" s="10" t="s">
        <v>37</v>
      </c>
      <c r="L10" s="9">
        <v>50</v>
      </c>
      <c r="M10" s="9">
        <v>-30</v>
      </c>
      <c r="N10" s="10" t="s">
        <v>28</v>
      </c>
      <c r="P10">
        <v>50</v>
      </c>
      <c r="Q10">
        <v>0</v>
      </c>
      <c r="R10" t="s">
        <v>29</v>
      </c>
    </row>
    <row r="11" spans="2:18" x14ac:dyDescent="0.3">
      <c r="B11" s="9">
        <v>40</v>
      </c>
      <c r="C11" s="9">
        <v>60</v>
      </c>
      <c r="D11" s="10" t="s">
        <v>67</v>
      </c>
      <c r="E11" s="8" t="s">
        <v>73</v>
      </c>
      <c r="G11" s="9">
        <v>50</v>
      </c>
      <c r="H11" s="9">
        <v>100</v>
      </c>
      <c r="I11" s="10" t="s">
        <v>50</v>
      </c>
      <c r="L11" s="9">
        <v>50</v>
      </c>
      <c r="M11" s="9">
        <v>0</v>
      </c>
      <c r="N11" s="10" t="s">
        <v>55</v>
      </c>
      <c r="P11">
        <v>50</v>
      </c>
      <c r="Q11">
        <v>0</v>
      </c>
      <c r="R11" t="s">
        <v>32</v>
      </c>
    </row>
    <row r="12" spans="2:18" x14ac:dyDescent="0.3">
      <c r="B12" s="9">
        <v>40</v>
      </c>
      <c r="C12" s="9">
        <v>100</v>
      </c>
      <c r="D12" s="10" t="s">
        <v>68</v>
      </c>
      <c r="E12" s="8" t="s">
        <v>74</v>
      </c>
      <c r="G12" s="9">
        <v>50</v>
      </c>
      <c r="H12" s="9"/>
      <c r="I12" s="10" t="s">
        <v>51</v>
      </c>
      <c r="L12" s="9">
        <v>50</v>
      </c>
      <c r="M12" s="9">
        <v>-2</v>
      </c>
      <c r="N12" s="10" t="s">
        <v>56</v>
      </c>
      <c r="P12">
        <v>50</v>
      </c>
      <c r="Q12">
        <v>0</v>
      </c>
      <c r="R12" t="s">
        <v>33</v>
      </c>
    </row>
    <row r="13" spans="2:18" x14ac:dyDescent="0.3">
      <c r="B13" s="9">
        <v>40</v>
      </c>
      <c r="C13" s="9">
        <v>130</v>
      </c>
      <c r="D13" s="10" t="s">
        <v>121</v>
      </c>
      <c r="E13" s="8" t="s">
        <v>75</v>
      </c>
      <c r="G13" s="9">
        <v>50</v>
      </c>
      <c r="H13" s="9">
        <v>-30</v>
      </c>
      <c r="I13" s="10" t="s">
        <v>28</v>
      </c>
      <c r="P13">
        <v>50</v>
      </c>
      <c r="Q13">
        <v>0</v>
      </c>
      <c r="R13" t="s">
        <v>34</v>
      </c>
    </row>
    <row r="14" spans="2:18" x14ac:dyDescent="0.3">
      <c r="B14" s="9">
        <v>40</v>
      </c>
      <c r="C14" s="9">
        <v>150</v>
      </c>
      <c r="D14" s="10" t="s">
        <v>30</v>
      </c>
      <c r="E14" s="8"/>
      <c r="G14" s="9">
        <v>50</v>
      </c>
      <c r="H14" s="9">
        <v>-30</v>
      </c>
      <c r="I14" s="10" t="s">
        <v>30</v>
      </c>
    </row>
    <row r="15" spans="2:18" x14ac:dyDescent="0.3">
      <c r="B15" s="9">
        <v>40</v>
      </c>
      <c r="C15" s="9">
        <v>150</v>
      </c>
      <c r="D15" s="10" t="s">
        <v>111</v>
      </c>
      <c r="E15" s="8" t="s">
        <v>76</v>
      </c>
      <c r="G15" s="9">
        <v>50</v>
      </c>
      <c r="H15" s="9">
        <v>-30</v>
      </c>
      <c r="I15" s="10" t="s">
        <v>40</v>
      </c>
      <c r="P15">
        <v>50</v>
      </c>
      <c r="Q15">
        <v>0</v>
      </c>
      <c r="R15" t="s">
        <v>31</v>
      </c>
    </row>
    <row r="16" spans="2:18" x14ac:dyDescent="0.3">
      <c r="B16" s="9">
        <v>40</v>
      </c>
      <c r="C16" s="9">
        <v>130</v>
      </c>
      <c r="D16" s="10" t="s">
        <v>101</v>
      </c>
      <c r="E16" s="8" t="s">
        <v>77</v>
      </c>
      <c r="G16" s="9">
        <v>50</v>
      </c>
      <c r="H16" s="9">
        <v>-30</v>
      </c>
      <c r="I16" s="10" t="s">
        <v>70</v>
      </c>
      <c r="P16">
        <v>50</v>
      </c>
      <c r="Q16">
        <v>0</v>
      </c>
      <c r="R16" t="s">
        <v>42</v>
      </c>
    </row>
    <row r="17" spans="2:18" x14ac:dyDescent="0.3">
      <c r="B17" s="9">
        <v>40</v>
      </c>
      <c r="C17" s="9">
        <v>150</v>
      </c>
      <c r="D17" s="10" t="s">
        <v>32</v>
      </c>
      <c r="E17" s="8" t="s">
        <v>78</v>
      </c>
      <c r="G17" s="9">
        <v>50</v>
      </c>
      <c r="H17" s="9"/>
      <c r="I17" s="10" t="s">
        <v>32</v>
      </c>
      <c r="P17">
        <v>50</v>
      </c>
      <c r="Q17">
        <v>0</v>
      </c>
      <c r="R17" t="s">
        <v>43</v>
      </c>
    </row>
    <row r="18" spans="2:18" x14ac:dyDescent="0.3">
      <c r="B18" s="9">
        <v>140</v>
      </c>
      <c r="C18" s="9">
        <v>150</v>
      </c>
      <c r="D18" s="10" t="s">
        <v>33</v>
      </c>
      <c r="E18" s="8" t="s">
        <v>79</v>
      </c>
      <c r="G18" s="9">
        <v>50</v>
      </c>
      <c r="H18" s="9"/>
      <c r="I18" s="10" t="s">
        <v>33</v>
      </c>
      <c r="P18">
        <v>50</v>
      </c>
      <c r="Q18">
        <v>0</v>
      </c>
      <c r="R18" t="s">
        <v>44</v>
      </c>
    </row>
    <row r="19" spans="2:18" x14ac:dyDescent="0.3">
      <c r="B19" s="9">
        <v>150</v>
      </c>
      <c r="C19" s="9">
        <v>150</v>
      </c>
      <c r="D19" s="10" t="s">
        <v>34</v>
      </c>
      <c r="E19" s="8" t="s">
        <v>80</v>
      </c>
      <c r="G19" s="9">
        <v>50</v>
      </c>
      <c r="H19" s="9"/>
      <c r="I19" s="10" t="s">
        <v>34</v>
      </c>
      <c r="P19">
        <v>50</v>
      </c>
      <c r="Q19">
        <v>0</v>
      </c>
      <c r="R19" t="s">
        <v>47</v>
      </c>
    </row>
    <row r="20" spans="2:18" x14ac:dyDescent="0.3">
      <c r="B20" s="9">
        <v>40</v>
      </c>
      <c r="C20" s="9">
        <v>100</v>
      </c>
      <c r="D20" s="10" t="s">
        <v>113</v>
      </c>
      <c r="E20" s="8" t="s">
        <v>81</v>
      </c>
      <c r="G20" s="9">
        <v>50</v>
      </c>
      <c r="H20" s="9">
        <v>0</v>
      </c>
      <c r="I20" s="10" t="s">
        <v>113</v>
      </c>
      <c r="J20" s="31" t="s">
        <v>106</v>
      </c>
      <c r="K20" s="31"/>
      <c r="L20" s="31"/>
      <c r="M20" s="31"/>
      <c r="P20">
        <v>50</v>
      </c>
      <c r="Q20">
        <v>0</v>
      </c>
      <c r="R20" t="s">
        <v>48</v>
      </c>
    </row>
    <row r="21" spans="2:18" x14ac:dyDescent="0.3">
      <c r="B21" s="9">
        <v>100</v>
      </c>
      <c r="C21" s="9">
        <v>100</v>
      </c>
      <c r="D21" s="10" t="s">
        <v>107</v>
      </c>
      <c r="E21" s="8" t="s">
        <v>82</v>
      </c>
      <c r="G21" s="9">
        <v>50</v>
      </c>
      <c r="H21" s="9">
        <v>0</v>
      </c>
      <c r="I21" s="10" t="s">
        <v>107</v>
      </c>
      <c r="P21">
        <v>50</v>
      </c>
      <c r="Q21">
        <v>0</v>
      </c>
      <c r="R21" t="s">
        <v>49</v>
      </c>
    </row>
    <row r="22" spans="2:18" x14ac:dyDescent="0.3">
      <c r="B22" s="9">
        <v>100</v>
      </c>
      <c r="C22" s="9">
        <v>100</v>
      </c>
      <c r="D22" s="10" t="s">
        <v>31</v>
      </c>
      <c r="E22" s="8" t="s">
        <v>83</v>
      </c>
      <c r="G22" s="29"/>
      <c r="H22" s="29"/>
      <c r="I22" s="30" t="s">
        <v>31</v>
      </c>
      <c r="P22">
        <v>50</v>
      </c>
      <c r="Q22">
        <v>0</v>
      </c>
      <c r="R22" t="s">
        <v>45</v>
      </c>
    </row>
    <row r="23" spans="2:18" x14ac:dyDescent="0.3">
      <c r="B23" s="9">
        <v>40</v>
      </c>
      <c r="C23" s="9">
        <v>150</v>
      </c>
      <c r="D23" s="10" t="s">
        <v>42</v>
      </c>
      <c r="E23" s="8" t="s">
        <v>84</v>
      </c>
      <c r="G23" s="9">
        <v>50</v>
      </c>
      <c r="H23" s="9"/>
      <c r="I23" s="10" t="s">
        <v>42</v>
      </c>
      <c r="R23" t="s">
        <v>38</v>
      </c>
    </row>
    <row r="24" spans="2:18" x14ac:dyDescent="0.3">
      <c r="B24" s="9">
        <v>140</v>
      </c>
      <c r="C24" s="9">
        <v>150</v>
      </c>
      <c r="D24" s="10" t="s">
        <v>43</v>
      </c>
      <c r="E24" s="8" t="s">
        <v>85</v>
      </c>
      <c r="G24" s="9">
        <v>50</v>
      </c>
      <c r="H24" s="9"/>
      <c r="I24" s="10" t="s">
        <v>43</v>
      </c>
      <c r="R24" t="s">
        <v>39</v>
      </c>
    </row>
    <row r="25" spans="2:18" x14ac:dyDescent="0.3">
      <c r="B25" s="9">
        <v>150</v>
      </c>
      <c r="C25" s="9">
        <v>150</v>
      </c>
      <c r="D25" s="10" t="s">
        <v>44</v>
      </c>
      <c r="E25" s="8" t="s">
        <v>86</v>
      </c>
      <c r="G25" s="9">
        <v>50</v>
      </c>
      <c r="H25" s="9"/>
      <c r="I25" s="10" t="s">
        <v>44</v>
      </c>
      <c r="R25" t="s">
        <v>52</v>
      </c>
    </row>
    <row r="26" spans="2:18" x14ac:dyDescent="0.3">
      <c r="B26" s="9">
        <v>40</v>
      </c>
      <c r="C26" s="9">
        <v>77</v>
      </c>
      <c r="D26" s="10" t="s">
        <v>47</v>
      </c>
      <c r="E26" s="8" t="s">
        <v>87</v>
      </c>
      <c r="G26" s="9">
        <v>50</v>
      </c>
      <c r="H26" s="9"/>
      <c r="I26" s="10" t="s">
        <v>47</v>
      </c>
      <c r="R26" t="s">
        <v>53</v>
      </c>
    </row>
    <row r="27" spans="2:18" x14ac:dyDescent="0.3">
      <c r="B27" s="9">
        <v>110</v>
      </c>
      <c r="C27" s="9">
        <v>77</v>
      </c>
      <c r="D27" s="10" t="s">
        <v>48</v>
      </c>
      <c r="E27" s="8" t="s">
        <v>88</v>
      </c>
      <c r="G27" s="9">
        <v>50</v>
      </c>
      <c r="H27" s="9"/>
      <c r="I27" s="10" t="s">
        <v>48</v>
      </c>
      <c r="R27" t="s">
        <v>36</v>
      </c>
    </row>
    <row r="28" spans="2:18" x14ac:dyDescent="0.3">
      <c r="B28" s="9">
        <v>120</v>
      </c>
      <c r="C28" s="9">
        <v>77</v>
      </c>
      <c r="D28" s="10" t="s">
        <v>49</v>
      </c>
      <c r="E28" s="8" t="s">
        <v>89</v>
      </c>
      <c r="G28" s="9">
        <v>50</v>
      </c>
      <c r="H28" s="9"/>
      <c r="I28" s="10" t="s">
        <v>49</v>
      </c>
      <c r="R28" t="s">
        <v>35</v>
      </c>
    </row>
    <row r="29" spans="2:18" x14ac:dyDescent="0.3">
      <c r="B29" s="9">
        <v>40</v>
      </c>
      <c r="C29" s="9">
        <v>50</v>
      </c>
      <c r="D29" s="10" t="s">
        <v>45</v>
      </c>
      <c r="E29" s="8" t="s">
        <v>90</v>
      </c>
      <c r="G29" s="9">
        <v>50</v>
      </c>
      <c r="H29" s="9"/>
      <c r="I29" s="10" t="s">
        <v>45</v>
      </c>
      <c r="R29" t="s">
        <v>37</v>
      </c>
    </row>
    <row r="30" spans="2:18" x14ac:dyDescent="0.3">
      <c r="B30" s="9">
        <v>40</v>
      </c>
      <c r="C30" s="9">
        <v>60</v>
      </c>
      <c r="D30" s="10" t="s">
        <v>69</v>
      </c>
      <c r="E30" s="8" t="s">
        <v>91</v>
      </c>
      <c r="G30" s="9">
        <v>50</v>
      </c>
      <c r="H30" s="9"/>
      <c r="I30" s="10" t="s">
        <v>29</v>
      </c>
      <c r="R30" t="s">
        <v>50</v>
      </c>
    </row>
    <row r="31" spans="2:18" x14ac:dyDescent="0.3">
      <c r="B31" s="9">
        <v>40</v>
      </c>
      <c r="C31" s="9">
        <v>100</v>
      </c>
      <c r="D31" s="10" t="s">
        <v>41</v>
      </c>
      <c r="E31" s="8" t="s">
        <v>92</v>
      </c>
      <c r="G31" s="9">
        <v>50</v>
      </c>
      <c r="H31" s="9"/>
      <c r="I31" s="10" t="s">
        <v>41</v>
      </c>
      <c r="R31" t="s">
        <v>51</v>
      </c>
    </row>
    <row r="32" spans="2:18" x14ac:dyDescent="0.3">
      <c r="B32" s="9">
        <v>40</v>
      </c>
      <c r="C32" s="9">
        <v>60</v>
      </c>
      <c r="D32" s="10" t="s">
        <v>103</v>
      </c>
      <c r="E32" s="8" t="s">
        <v>93</v>
      </c>
      <c r="G32" s="9">
        <v>50</v>
      </c>
      <c r="H32" s="9"/>
      <c r="I32" s="10" t="s">
        <v>103</v>
      </c>
      <c r="R32" t="s">
        <v>58</v>
      </c>
    </row>
    <row r="33" spans="2:18" x14ac:dyDescent="0.3">
      <c r="B33" s="9">
        <v>40</v>
      </c>
      <c r="C33" s="9">
        <v>90</v>
      </c>
      <c r="D33" s="10" t="s">
        <v>61</v>
      </c>
      <c r="E33" s="8" t="s">
        <v>94</v>
      </c>
      <c r="G33" s="9">
        <v>50</v>
      </c>
      <c r="H33" s="9">
        <v>-2</v>
      </c>
      <c r="I33" s="10" t="s">
        <v>61</v>
      </c>
      <c r="R33" t="s">
        <v>59</v>
      </c>
    </row>
    <row r="34" spans="2:18" x14ac:dyDescent="0.3">
      <c r="B34" s="9">
        <v>40</v>
      </c>
      <c r="C34" s="9">
        <v>90</v>
      </c>
      <c r="D34" s="10" t="s">
        <v>62</v>
      </c>
      <c r="E34" s="8"/>
      <c r="G34" s="9">
        <v>50</v>
      </c>
      <c r="H34" s="9">
        <v>-2</v>
      </c>
      <c r="I34" s="10" t="s">
        <v>62</v>
      </c>
    </row>
    <row r="35" spans="2:18" x14ac:dyDescent="0.3">
      <c r="B35" s="9">
        <v>40</v>
      </c>
      <c r="C35" s="9">
        <v>90</v>
      </c>
      <c r="D35" s="10" t="s">
        <v>58</v>
      </c>
      <c r="E35" s="8" t="s">
        <v>95</v>
      </c>
      <c r="G35" s="9">
        <v>50</v>
      </c>
      <c r="H35" s="9">
        <v>-2</v>
      </c>
      <c r="I35" s="10" t="s">
        <v>58</v>
      </c>
      <c r="R35" t="s">
        <v>60</v>
      </c>
    </row>
    <row r="36" spans="2:18" x14ac:dyDescent="0.3">
      <c r="B36" s="27">
        <v>40</v>
      </c>
      <c r="C36" s="27">
        <v>90</v>
      </c>
      <c r="D36" s="28" t="s">
        <v>59</v>
      </c>
      <c r="G36" s="9">
        <v>50</v>
      </c>
      <c r="H36" s="9">
        <v>-2</v>
      </c>
      <c r="I36" s="10" t="s">
        <v>59</v>
      </c>
      <c r="R36" t="s">
        <v>61</v>
      </c>
    </row>
    <row r="37" spans="2:18" x14ac:dyDescent="0.3">
      <c r="B37" s="27">
        <v>40</v>
      </c>
      <c r="C37" s="27">
        <v>90</v>
      </c>
      <c r="D37" s="28" t="s">
        <v>60</v>
      </c>
      <c r="G37" s="9">
        <v>50</v>
      </c>
      <c r="H37" s="9">
        <v>-2</v>
      </c>
      <c r="I37" s="10" t="s">
        <v>60</v>
      </c>
      <c r="R37" t="s">
        <v>62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tabSelected="1" topLeftCell="A40" zoomScaleNormal="100" workbookViewId="0">
      <selection activeCell="G35" sqref="A35:G5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120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57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39" t="s">
        <v>26</v>
      </c>
      <c r="D4" s="14">
        <f>'4637'!G8</f>
        <v>7419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63</v>
      </c>
      <c r="D5" s="41" t="str">
        <f>'4637'!C10</f>
        <v>MIGUEL VALENZUELA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PLAZO ENTREGA</v>
      </c>
      <c r="D7" s="13">
        <f>'4637'!G11</f>
        <v>46108</v>
      </c>
      <c r="E7" s="1"/>
      <c r="F7" s="1"/>
      <c r="G7" s="1"/>
    </row>
    <row r="8" spans="1:14" ht="15.6" x14ac:dyDescent="0.3">
      <c r="A8" s="1"/>
      <c r="B8" s="1"/>
      <c r="C8" s="52" t="s">
        <v>119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57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50</v>
      </c>
      <c r="E13" s="32"/>
      <c r="F13" s="36" t="s">
        <v>105</v>
      </c>
      <c r="G13" s="1"/>
      <c r="J13" s="5" t="s">
        <v>7</v>
      </c>
      <c r="K13" s="5" t="s">
        <v>8</v>
      </c>
    </row>
    <row r="14" spans="1:14" ht="15.6" x14ac:dyDescent="0.3">
      <c r="A14" s="93" t="s">
        <v>139</v>
      </c>
      <c r="B14" s="25">
        <f t="shared" ref="B14" si="0">I14</f>
        <v>1</v>
      </c>
      <c r="C14" s="25"/>
      <c r="D14" s="25">
        <f>J14+D$13</f>
        <v>850</v>
      </c>
      <c r="E14" s="25">
        <f>K14+$E$13</f>
        <v>550</v>
      </c>
      <c r="F14" s="96" t="str">
        <f t="shared" ref="F14" si="1">C26</f>
        <v>CUB S/R 90°</v>
      </c>
      <c r="G14" s="1"/>
      <c r="I14" s="3">
        <f>I21</f>
        <v>1</v>
      </c>
      <c r="J14" s="4">
        <f>J21</f>
        <v>800</v>
      </c>
      <c r="K14" s="4">
        <f t="shared" ref="K14" si="2">E26</f>
        <v>550</v>
      </c>
    </row>
    <row r="15" spans="1:14" ht="15.6" x14ac:dyDescent="0.3">
      <c r="A15" s="51"/>
      <c r="B15" s="6"/>
      <c r="C15" s="6"/>
      <c r="D15" s="6"/>
      <c r="E15" s="6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6" t="s">
        <v>14</v>
      </c>
      <c r="B17" s="116"/>
      <c r="C17" s="116"/>
      <c r="D17" s="116"/>
      <c r="E17" s="116"/>
      <c r="F17" s="116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>
        <v>40</v>
      </c>
      <c r="E20" s="21">
        <v>60</v>
      </c>
      <c r="F20" s="35" t="s">
        <v>105</v>
      </c>
      <c r="G20" s="1"/>
      <c r="J20" s="5" t="s">
        <v>7</v>
      </c>
      <c r="K20" s="5" t="s">
        <v>8</v>
      </c>
    </row>
    <row r="21" spans="1:11" ht="15.6" x14ac:dyDescent="0.3">
      <c r="A21" s="93" t="s">
        <v>139</v>
      </c>
      <c r="B21" s="16">
        <f t="shared" ref="B21" si="3">I21</f>
        <v>1</v>
      </c>
      <c r="C21" s="16"/>
      <c r="D21" s="16">
        <f>J21+D$20</f>
        <v>840</v>
      </c>
      <c r="E21" s="16">
        <f>K21+$E$20</f>
        <v>610</v>
      </c>
      <c r="F21" s="97" t="str">
        <f>C26</f>
        <v>CUB S/R 90°</v>
      </c>
      <c r="G21" s="1"/>
      <c r="I21" s="3">
        <f t="shared" ref="I21" si="4">B26</f>
        <v>1</v>
      </c>
      <c r="J21" s="4">
        <f t="shared" ref="J21" si="5">D26</f>
        <v>800</v>
      </c>
      <c r="K21" s="4">
        <f t="shared" ref="K21" si="6">E26</f>
        <v>550</v>
      </c>
    </row>
    <row r="22" spans="1:11" ht="16.2" thickBot="1" x14ac:dyDescent="0.35">
      <c r="A22" s="51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1"/>
      <c r="B23" s="22" t="s">
        <v>102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1" t="s">
        <v>9</v>
      </c>
      <c r="B25" s="86" t="s">
        <v>10</v>
      </c>
      <c r="C25" s="86" t="s">
        <v>105</v>
      </c>
      <c r="D25" s="86" t="s">
        <v>7</v>
      </c>
      <c r="E25" s="86" t="s">
        <v>8</v>
      </c>
      <c r="F25" s="86" t="s">
        <v>22</v>
      </c>
      <c r="G25" s="1"/>
    </row>
    <row r="26" spans="1:11" ht="15.6" x14ac:dyDescent="0.3">
      <c r="A26" s="93" t="s">
        <v>139</v>
      </c>
      <c r="B26" s="25">
        <f>'4637'!B22</f>
        <v>1</v>
      </c>
      <c r="C26" s="96" t="str">
        <f>'4637'!C22</f>
        <v>CUB S/R 90°</v>
      </c>
      <c r="D26" s="25">
        <f>'4637'!D22</f>
        <v>800</v>
      </c>
      <c r="E26" s="25">
        <f>'4637'!E22</f>
        <v>550</v>
      </c>
      <c r="F26" s="25" t="str">
        <f>'4637'!F22</f>
        <v>GRANITO STOCK</v>
      </c>
      <c r="G26" s="1"/>
    </row>
    <row r="27" spans="1:11" ht="15.6" x14ac:dyDescent="0.3">
      <c r="A27" s="1"/>
      <c r="B27" s="6"/>
      <c r="C27" s="6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1"/>
      <c r="C35" s="1"/>
      <c r="D35" s="1"/>
      <c r="E35" s="1"/>
      <c r="F35" s="1"/>
      <c r="G35" s="1"/>
    </row>
    <row r="36" spans="1:7" ht="15.6" x14ac:dyDescent="0.3">
      <c r="A36" s="1"/>
      <c r="B36" s="1"/>
      <c r="C36" s="39" t="s">
        <v>26</v>
      </c>
      <c r="D36" s="14">
        <f>'4637'!G8</f>
        <v>7419</v>
      </c>
      <c r="E36" s="1"/>
      <c r="F36" s="1"/>
      <c r="G36" s="1"/>
    </row>
    <row r="37" spans="1:7" ht="17.25" customHeight="1" x14ac:dyDescent="0.3">
      <c r="A37" s="1"/>
      <c r="B37" s="1"/>
      <c r="C37" s="40" t="s">
        <v>63</v>
      </c>
      <c r="D37" s="41" t="str">
        <f>'4637'!C10</f>
        <v>MIGUEL VALENZUELA</v>
      </c>
      <c r="E37" s="42"/>
      <c r="F37" s="42"/>
      <c r="G37" s="1"/>
    </row>
    <row r="38" spans="1:7" ht="4.5" customHeight="1" x14ac:dyDescent="0.3">
      <c r="A38" s="1"/>
      <c r="B38" s="1"/>
      <c r="C38" s="43"/>
      <c r="D38" s="44"/>
      <c r="E38" s="1"/>
      <c r="F38" s="1"/>
      <c r="G38" s="1"/>
    </row>
    <row r="39" spans="1:7" ht="15.6" x14ac:dyDescent="0.3">
      <c r="A39" s="1"/>
      <c r="B39" s="1"/>
      <c r="C39" s="45" t="str">
        <f>'4637'!F11</f>
        <v>PLAZO ENTREGA</v>
      </c>
      <c r="D39" s="13">
        <f>'4637'!G11</f>
        <v>46108</v>
      </c>
      <c r="E39" s="1"/>
      <c r="F39" s="1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16" t="s">
        <v>64</v>
      </c>
      <c r="B42" s="116"/>
      <c r="C42" s="116"/>
      <c r="D42" s="116"/>
      <c r="E42" s="116"/>
      <c r="F42" s="11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75" customHeight="1" x14ac:dyDescent="0.3">
      <c r="A44" s="1"/>
      <c r="B44" s="117" t="s">
        <v>65</v>
      </c>
      <c r="C44" s="118"/>
      <c r="D44" s="119"/>
      <c r="E44" s="119"/>
      <c r="F44" s="120"/>
      <c r="G44" s="1"/>
    </row>
    <row r="45" spans="1:7" s="15" customFormat="1" ht="12.75" customHeight="1" x14ac:dyDescent="0.3">
      <c r="A45" s="1"/>
      <c r="B45" s="35" t="s">
        <v>10</v>
      </c>
      <c r="C45" s="46" t="s">
        <v>11</v>
      </c>
      <c r="D45" s="47" t="s">
        <v>7</v>
      </c>
      <c r="E45" s="47" t="s">
        <v>8</v>
      </c>
      <c r="F45" s="48" t="s">
        <v>12</v>
      </c>
      <c r="G45" s="1"/>
    </row>
    <row r="46" spans="1:7" s="15" customFormat="1" ht="15" customHeight="1" x14ac:dyDescent="0.3">
      <c r="A46" s="93" t="s">
        <v>138</v>
      </c>
      <c r="B46" s="37">
        <f>'4637'!B22</f>
        <v>1</v>
      </c>
      <c r="C46" s="95" t="str">
        <f>'4637'!C22</f>
        <v>CUB S/R 90°</v>
      </c>
      <c r="D46" s="38">
        <f>'4637'!D22</f>
        <v>800</v>
      </c>
      <c r="E46" s="38">
        <f>'4637'!E22</f>
        <v>550</v>
      </c>
      <c r="F46" s="37" t="str">
        <f>'4637'!F22</f>
        <v>GRANITO STOCK</v>
      </c>
      <c r="G46" s="1"/>
    </row>
    <row r="47" spans="1:7" s="15" customFormat="1" ht="15" customHeight="1" x14ac:dyDescent="0.3">
      <c r="A47" s="93"/>
      <c r="G47" s="1"/>
    </row>
    <row r="48" spans="1:7" s="15" customFormat="1" ht="15" customHeight="1" x14ac:dyDescent="0.3">
      <c r="A48" s="49"/>
      <c r="B48" s="51"/>
      <c r="C48" s="51"/>
      <c r="D48" s="51"/>
      <c r="E48" s="51"/>
      <c r="F48" s="51"/>
      <c r="G48" s="1"/>
    </row>
    <row r="49" spans="1:7" ht="15.6" x14ac:dyDescent="0.3">
      <c r="A49" s="6"/>
      <c r="B49" s="6"/>
      <c r="C49" s="1"/>
      <c r="D49" s="6"/>
      <c r="E49" s="6"/>
      <c r="F49" s="43"/>
      <c r="G49" s="1"/>
    </row>
    <row r="50" spans="1:7" ht="15.6" x14ac:dyDescent="0.3">
      <c r="A50" s="6"/>
      <c r="B50" s="6"/>
      <c r="C50" s="1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6"/>
      <c r="B56" s="50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x14ac:dyDescent="0.3">
      <c r="B58" s="20"/>
      <c r="C58" s="20"/>
      <c r="D58" s="20"/>
      <c r="E58" s="20"/>
      <c r="F58" s="20"/>
    </row>
    <row r="59" spans="1:7" x14ac:dyDescent="0.3">
      <c r="B59" s="20"/>
      <c r="C59" s="20"/>
      <c r="E59" s="20"/>
      <c r="F59" s="20"/>
    </row>
  </sheetData>
  <mergeCells count="6">
    <mergeCell ref="M3:N3"/>
    <mergeCell ref="A17:F17"/>
    <mergeCell ref="A10:F10"/>
    <mergeCell ref="A42:F42"/>
    <mergeCell ref="B44:F4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2026-03-26T19:46:22Z</cp:lastPrinted>
  <dcterms:created xsi:type="dcterms:W3CDTF">2013-03-19T12:54:14Z</dcterms:created>
  <dcterms:modified xsi:type="dcterms:W3CDTF">2026-03-26T19:46:24Z</dcterms:modified>
</cp:coreProperties>
</file>