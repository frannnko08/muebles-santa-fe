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0AA93FF6-D5AB-4593-8976-6E1EB54F1E2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I18" i="3"/>
  <c r="J18" i="3"/>
  <c r="K18" i="3"/>
  <c r="B18" i="3"/>
  <c r="D18" i="3"/>
  <c r="E18" i="3"/>
  <c r="F18" i="3"/>
  <c r="I29" i="3"/>
  <c r="J29" i="3"/>
  <c r="K29" i="3"/>
  <c r="B29" i="3"/>
  <c r="D29" i="3"/>
  <c r="E29" i="3"/>
  <c r="F29" i="3"/>
  <c r="B35" i="3"/>
  <c r="C35" i="3"/>
  <c r="D35" i="3"/>
  <c r="E35" i="3"/>
  <c r="F35" i="3"/>
  <c r="B36" i="3"/>
  <c r="C36" i="3"/>
  <c r="D36" i="3"/>
  <c r="E36" i="3"/>
  <c r="F36" i="3"/>
  <c r="B37" i="3"/>
  <c r="C37" i="3"/>
  <c r="D37" i="3"/>
  <c r="E37" i="3"/>
  <c r="F37" i="3"/>
  <c r="B38" i="3"/>
  <c r="C38" i="3"/>
  <c r="D38" i="3"/>
  <c r="E38" i="3"/>
  <c r="F38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B62" i="3"/>
  <c r="C62" i="3"/>
  <c r="D62" i="3"/>
  <c r="E62" i="3"/>
  <c r="F62" i="3"/>
  <c r="I27" i="3"/>
  <c r="J27" i="3"/>
  <c r="I28" i="3"/>
  <c r="J28" i="3"/>
  <c r="H26" i="4"/>
  <c r="H25" i="4"/>
  <c r="H23" i="4"/>
  <c r="H22" i="4"/>
  <c r="I26" i="3"/>
  <c r="B26" i="3" s="1"/>
  <c r="F26" i="3"/>
  <c r="J26" i="3"/>
  <c r="D26" i="3" s="1"/>
  <c r="B34" i="3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58" i="3"/>
  <c r="C58" i="3"/>
  <c r="D58" i="3"/>
  <c r="E58" i="3"/>
  <c r="F58" i="3"/>
  <c r="B27" i="3" l="1"/>
  <c r="I16" i="3"/>
  <c r="B16" i="3" s="1"/>
  <c r="F27" i="3"/>
  <c r="F16" i="3"/>
  <c r="D27" i="3"/>
  <c r="J16" i="3"/>
  <c r="D16" i="3" s="1"/>
  <c r="K16" i="3"/>
  <c r="E16" i="3" s="1"/>
  <c r="K27" i="3"/>
  <c r="E27" i="3" s="1"/>
  <c r="B28" i="3"/>
  <c r="I17" i="3"/>
  <c r="B17" i="3" s="1"/>
  <c r="F28" i="3"/>
  <c r="F17" i="3"/>
  <c r="D28" i="3"/>
  <c r="J17" i="3"/>
  <c r="D17" i="3" s="1"/>
  <c r="K28" i="3"/>
  <c r="E28" i="3" s="1"/>
  <c r="K17" i="3"/>
  <c r="E17" i="3" s="1"/>
  <c r="I15" i="3"/>
  <c r="B15" i="3" s="1"/>
  <c r="F15" i="3"/>
  <c r="J15" i="3"/>
  <c r="D15" i="3" s="1"/>
  <c r="K26" i="3"/>
  <c r="E26" i="3" s="1"/>
  <c r="K15" i="3"/>
  <c r="E15" i="3" s="1"/>
  <c r="K14" i="3"/>
  <c r="E14" i="3" s="1"/>
  <c r="J14" i="3"/>
  <c r="I14" i="3"/>
  <c r="B14" i="3" s="1"/>
  <c r="F14" i="3"/>
  <c r="H28" i="4" l="1"/>
  <c r="H29" i="4" l="1"/>
  <c r="H30" i="4" l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<sst xmlns="http://schemas.openxmlformats.org/spreadsheetml/2006/main" count="257" uniqueCount="144">
  <si>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</si>
  <si>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</si>
  <si>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</si>
  <si>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</si>
  <si>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</si>
  <si>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</si>
  <si>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</si>
  <si>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</si>
  <si>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</si>
  <si>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</si>
  <si>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</si>
  <si>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</si>
  <si>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</si>
  <si>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</si>
  <si>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</si>
  <si>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</si>
  <si>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</si>
  <si>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</si>
  <si>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</si>
  <si>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</si>
  <si>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</si>
  <si>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</si>
  <si>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</si>
  <si>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</si>
  <si>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</si>
  <si>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</si>
  <si>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</si>
  <si>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</si>
  <si>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</si>
  <si>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</si>
  <si>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</si>
  <si>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</si>
  <si>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</si>
  <si>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</si>
  <si>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</si>
  <si>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</si>
  <si>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</si>
  <si>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</si>
  <si>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</si>
  <si>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</si>
  <si>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</si>
  <si>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</si>
  <si>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</si>
  <si>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</si>
  <si>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</si>
  <si>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</si>
  <si>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</si>
  <si>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</si>
  <si>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</si>
  <si>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</si>
  <si>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</si>
  <si>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</si>
  <si>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</si>
  <si>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</si>
  <si>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</si>
  <si>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</si>
  <si>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</si>
  <si>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</si>
  <si>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</si>
  <si>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</si>
  <si>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</si>
  <si>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</si>
  <si>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</si>
  <si>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</si>
  <si>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</si>
  <si>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</si>
  <si>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</si>
  <si>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</si>
  <si>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</si>
  <si>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</si>
  <si>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</si>
  <si>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</si>
  <si>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</si>
  <si>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</si>
  <si>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</si>
  <si>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</si>
  <si>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</si>
  <si>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</si>
  <si>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</si>
  <si>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</si>
  <si>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</si>
  <si>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</si>
  <si>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</si>
  <si>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</si>
  <si>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</si>
  <si>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</si>
  <si>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</si>
  <si>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</si>
  <si>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</si>
  <si>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</si>
  <si>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</si>
  <si>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</si>
  <si>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</si>
  <si>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</si>
  <si>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</si>
  <si>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</si>
  <si>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</si>
  <si>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</si>
  <si>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</si>
  <si>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</si>
  <si>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</si>
  <si>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</si>
  <si>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</si>
  <si>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</si>
  <si>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</si>
  <si>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</si>
  <si>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</si>
  <si>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</si>
  <si>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</si>
  <si>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</si>
  <si>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</si>
  <si>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</si>
  <si>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</si>
  <si>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</si>
  <si>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</si>
  <si>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</si>
  <si>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</si>
  <si>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</si>
  <si>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</si>
  <si>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</si>
  <si>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</si>
  <si>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</si>
  <si>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</si>
  <si>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</si>
  <si>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</si>
  <si>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</si>
  <si>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NOMBRE:</t>
  </si>
  <si>
    <t>FECHA</t>
  </si>
  <si>
    <t>PLAZO ENTREGA</t>
  </si>
  <si>
    <t>GIRO:</t>
  </si>
  <si>
    <t>SERVICIO EXPRESS</t>
  </si>
  <si>
    <t>CORTADA A LA MEDIDA</t>
  </si>
  <si>
    <t>DESPACHO</t>
  </si>
  <si>
    <t>INSTALACIÓN</t>
  </si>
  <si>
    <t>FORMA DE PAGO:</t>
  </si>
  <si>
    <t>ABONO 50% SALDO C/ENTREGA</t>
  </si>
  <si>
    <t>Duración cotización 5 días hábiles</t>
  </si>
  <si>
    <t>Cotizado por: Franco Donoso</t>
  </si>
  <si>
    <t>MDF30MM</t>
  </si>
  <si>
    <t>CUB SIN RESPALDO FTE 180°</t>
  </si>
  <si>
    <t>BLANCO BR</t>
  </si>
  <si>
    <t>ARIEL</t>
  </si>
  <si>
    <t>MDF18MM</t>
  </si>
  <si>
    <t>N° 12055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</si>
</sst>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66" fontId="3" fillId="0" borderId="36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$120.000-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  <a:p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18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143</v>
      </c>
      <c r="E8" s="1"/>
      <c r="F8" s="91" t="s">
        <v>26</v>
      </c>
      <c r="G8" s="92">
        <v>7413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105" t="s">
        <v>141</v>
      </c>
      <c r="D10" s="54"/>
      <c r="E10" s="54"/>
      <c r="F10" s="55" t="s">
        <v>127</v>
      </c>
      <c r="G10" s="56">
        <v>46104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6"/>
      <c r="D11" s="59"/>
      <c r="E11" s="59"/>
      <c r="F11" s="59" t="s">
        <v>128</v>
      </c>
      <c r="G11" s="60">
        <v>46105</v>
      </c>
      <c r="H11" s="61"/>
      <c r="I11" s="1"/>
    </row>
    <row r="12" spans="1:17" ht="15.6" x14ac:dyDescent="0.3">
      <c r="A12" s="1"/>
      <c r="B12" s="62" t="s">
        <v>129</v>
      </c>
      <c r="C12" s="107"/>
      <c r="D12" s="42"/>
      <c r="E12" s="42"/>
      <c r="F12" s="42" t="s">
        <v>130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D13" s="42"/>
      <c r="E13" s="42"/>
      <c r="F13" s="42" t="s">
        <v>131</v>
      </c>
      <c r="G13" s="63" t="s">
        <v>125</v>
      </c>
      <c r="H13" s="64"/>
      <c r="I13" s="1"/>
    </row>
    <row r="14" spans="1:17" ht="15.6" x14ac:dyDescent="0.3">
      <c r="A14" s="1"/>
      <c r="B14" s="62" t="s">
        <v>123</v>
      </c>
      <c r="C14" s="102"/>
      <c r="D14" s="42"/>
      <c r="E14" s="42"/>
      <c r="F14" s="42" t="s">
        <v>132</v>
      </c>
      <c r="G14" s="63" t="s">
        <v>125</v>
      </c>
      <c r="H14" s="64"/>
      <c r="I14" s="1"/>
    </row>
    <row r="15" spans="1:17" ht="15.6" x14ac:dyDescent="0.3">
      <c r="A15" s="1"/>
      <c r="B15" s="58" t="s">
        <v>17</v>
      </c>
      <c r="C15" s="108"/>
      <c r="D15" s="65"/>
      <c r="E15" s="59"/>
      <c r="F15" s="59" t="s">
        <v>133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101"/>
      <c r="D16" s="42"/>
      <c r="E16" s="42"/>
      <c r="F16" s="66" t="s">
        <v>134</v>
      </c>
      <c r="G16" s="104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3" t="s">
        <v>124</v>
      </c>
      <c r="D17" s="68"/>
      <c r="E17" s="69"/>
      <c r="F17" s="136" t="s">
        <v>136</v>
      </c>
      <c r="G17" s="136" t="s">
        <v>137</v>
      </c>
      <c r="H17" s="13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38" t="s">
        <v>18</v>
      </c>
      <c r="C20" s="139"/>
      <c r="D20" s="139"/>
      <c r="E20" s="139"/>
      <c r="F20" s="139"/>
      <c r="G20" s="139"/>
      <c r="H20" s="140"/>
      <c r="I20" s="1"/>
    </row>
    <row r="21" spans="1:16" ht="16.2" thickBot="1" x14ac:dyDescent="0.35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x14ac:dyDescent="0.3">
      <c r="A22" s="1"/>
      <c r="B22" s="110">
        <v>1</v>
      </c>
      <c r="C22" s="111" t="s">
        <v>139</v>
      </c>
      <c r="D22" s="127">
        <v>1770</v>
      </c>
      <c r="E22" s="127">
        <v>480</v>
      </c>
      <c r="F22" s="112" t="s">
        <v>140</v>
      </c>
      <c r="G22" s="113">
        <v>38327</v>
      </c>
      <c r="H22" s="114">
        <f>G22*B22</f>
        <v>38327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5">
        <v>1</v>
      </c>
      <c r="C23" s="109" t="s">
        <v>139</v>
      </c>
      <c r="D23" s="100">
        <v>2070</v>
      </c>
      <c r="E23" s="100">
        <v>520</v>
      </c>
      <c r="F23" s="98" t="s">
        <v>140</v>
      </c>
      <c r="G23" s="99">
        <v>48254</v>
      </c>
      <c r="H23" s="116">
        <f>G23*B23</f>
        <v>48254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7">
        <v>1</v>
      </c>
      <c r="C24" s="118" t="s">
        <v>139</v>
      </c>
      <c r="D24" s="128">
        <v>880</v>
      </c>
      <c r="E24" s="128">
        <v>250</v>
      </c>
      <c r="F24" s="119" t="s">
        <v>140</v>
      </c>
      <c r="G24" s="120">
        <v>10359</v>
      </c>
      <c r="H24" s="121">
        <v>10359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17">
        <v>1</v>
      </c>
      <c r="C25" s="118" t="s">
        <v>139</v>
      </c>
      <c r="D25" s="128">
        <v>2270</v>
      </c>
      <c r="E25" s="128">
        <v>520</v>
      </c>
      <c r="F25" s="119" t="s">
        <v>140</v>
      </c>
      <c r="G25" s="120">
        <v>52742</v>
      </c>
      <c r="H25" s="121">
        <f>G25*B25</f>
        <v>52742</v>
      </c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122">
        <v>1</v>
      </c>
      <c r="C26" s="123" t="s">
        <v>139</v>
      </c>
      <c r="D26" s="129">
        <v>2650</v>
      </c>
      <c r="E26" s="129">
        <v>480</v>
      </c>
      <c r="F26" s="124" t="s">
        <v>140</v>
      </c>
      <c r="G26" s="125">
        <v>56558</v>
      </c>
      <c r="H26" s="126">
        <f>G26*B26</f>
        <v>56558</v>
      </c>
      <c r="I26" s="1"/>
      <c r="K26" s="17"/>
      <c r="L26" s="26"/>
      <c r="M26" s="17"/>
      <c r="N26" s="17"/>
      <c r="O26" s="26"/>
      <c r="P26" s="33"/>
    </row>
    <row r="27" spans="1:16" ht="1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SUM(H22:H27)</f>
        <v>206240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39185.599999999999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245425.6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4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118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117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24</v>
      </c>
      <c r="C35" s="1"/>
      <c r="D35" s="1"/>
      <c r="E35" s="84" t="s">
        <v>25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1"/>
  </sortState>
  <mergeCells count="2">
    <mergeCell ref="F17:H17"/>
    <mergeCell ref="B20:H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3" workbookViewId="0">
      <selection activeCell="E6" sqref="E6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27</v>
      </c>
      <c r="C2" s="141"/>
      <c r="D2" s="141"/>
      <c r="E2" s="18"/>
      <c r="G2" s="141" t="s">
        <v>66</v>
      </c>
      <c r="H2" s="141"/>
      <c r="I2" s="141"/>
      <c r="P2" s="142" t="s">
        <v>54</v>
      </c>
      <c r="Q2" s="142"/>
      <c r="R2" s="142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42" t="s">
        <v>54</v>
      </c>
      <c r="M8" s="142"/>
      <c r="N8" s="142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opLeftCell="A55" zoomScaleNormal="100" workbookViewId="0">
      <selection activeCell="G47" sqref="A47:G7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0" t="s">
        <v>57</v>
      </c>
      <c r="L3" s="130"/>
      <c r="M3" s="130" t="s">
        <v>14</v>
      </c>
      <c r="N3" s="130"/>
    </row>
    <row r="4" spans="1:14" ht="15.75" customHeight="1" x14ac:dyDescent="0.3">
      <c r="A4" s="1"/>
      <c r="B4" s="1"/>
      <c r="C4" s="39" t="s">
        <v>26</v>
      </c>
      <c r="D4" s="14">
        <f>'4637'!G8</f>
        <v>7413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ARIEL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46105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1" t="s">
        <v>57</v>
      </c>
      <c r="B10" s="131"/>
      <c r="C10" s="131"/>
      <c r="D10" s="131"/>
      <c r="E10" s="131"/>
      <c r="F10" s="13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/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138</v>
      </c>
      <c r="B14" s="25">
        <f t="shared" ref="B14" si="0">I14</f>
        <v>1</v>
      </c>
      <c r="C14" s="25"/>
      <c r="D14" s="25">
        <f>J14+D$13</f>
        <v>1820</v>
      </c>
      <c r="E14" s="25">
        <f>K14+E$13</f>
        <v>480</v>
      </c>
      <c r="F14" s="96" t="str">
        <f t="shared" ref="F14" si="1">C34</f>
        <v>CUB SIN RESPALDO FTE 180°</v>
      </c>
      <c r="G14" s="1"/>
      <c r="I14" s="3">
        <f t="shared" ref="I14:J15" si="2">I25</f>
        <v>1</v>
      </c>
      <c r="J14" s="4">
        <f t="shared" si="2"/>
        <v>1770</v>
      </c>
      <c r="K14" s="4">
        <f t="shared" ref="K14" si="3">E34</f>
        <v>480</v>
      </c>
    </row>
    <row r="15" spans="1:14" ht="15.6" x14ac:dyDescent="0.3">
      <c r="A15" s="93"/>
      <c r="B15" s="25">
        <f t="shared" ref="B15" si="4">I15</f>
        <v>1</v>
      </c>
      <c r="C15" s="25"/>
      <c r="D15" s="25">
        <f>J15+D$13</f>
        <v>2120</v>
      </c>
      <c r="E15" s="25">
        <f>K15+E$13</f>
        <v>520</v>
      </c>
      <c r="F15" s="96" t="str">
        <f t="shared" ref="F15" si="5">C35</f>
        <v>CUB SIN RESPALDO FTE 180°</v>
      </c>
      <c r="G15" s="1"/>
      <c r="I15" s="3">
        <f t="shared" si="2"/>
        <v>1</v>
      </c>
      <c r="J15" s="4">
        <f t="shared" si="2"/>
        <v>2070</v>
      </c>
      <c r="K15" s="4">
        <f t="shared" ref="K15" si="6">E35</f>
        <v>520</v>
      </c>
    </row>
    <row r="16" spans="1:14" ht="15.6" x14ac:dyDescent="0.3">
      <c r="A16" s="93"/>
      <c r="B16" s="25">
        <f t="shared" ref="B16:B17" si="7">I16</f>
        <v>1</v>
      </c>
      <c r="C16" s="25"/>
      <c r="D16" s="25">
        <f t="shared" ref="D16:D17" si="8">J16+D$13</f>
        <v>930</v>
      </c>
      <c r="E16" s="25">
        <f t="shared" ref="E16:E17" si="9">K16+E$13</f>
        <v>250</v>
      </c>
      <c r="F16" s="96" t="str">
        <f t="shared" ref="F16:F17" si="10">C36</f>
        <v>CUB SIN RESPALDO FTE 180°</v>
      </c>
      <c r="G16" s="1"/>
      <c r="I16" s="3">
        <f t="shared" ref="I16:J16" si="11">I27</f>
        <v>1</v>
      </c>
      <c r="J16" s="4">
        <f t="shared" si="11"/>
        <v>880</v>
      </c>
      <c r="K16" s="4">
        <f t="shared" ref="K16:K17" si="12">E36</f>
        <v>250</v>
      </c>
    </row>
    <row r="17" spans="1:11" ht="15.6" x14ac:dyDescent="0.3">
      <c r="A17" s="93"/>
      <c r="B17" s="25">
        <f t="shared" si="7"/>
        <v>1</v>
      </c>
      <c r="C17" s="25"/>
      <c r="D17" s="25">
        <f t="shared" si="8"/>
        <v>2320</v>
      </c>
      <c r="E17" s="25">
        <f t="shared" si="9"/>
        <v>520</v>
      </c>
      <c r="F17" s="96" t="str">
        <f t="shared" si="10"/>
        <v>CUB SIN RESPALDO FTE 180°</v>
      </c>
      <c r="G17" s="1"/>
      <c r="I17" s="3">
        <f t="shared" ref="I17:J18" si="13">I28</f>
        <v>1</v>
      </c>
      <c r="J17" s="4">
        <f t="shared" si="13"/>
        <v>2270</v>
      </c>
      <c r="K17" s="4">
        <f t="shared" si="12"/>
        <v>520</v>
      </c>
    </row>
    <row r="18" spans="1:11" ht="15.6" x14ac:dyDescent="0.3">
      <c r="A18" s="93"/>
      <c r="B18" s="25">
        <f t="shared" ref="B18" si="14">I18</f>
        <v>1</v>
      </c>
      <c r="C18" s="25"/>
      <c r="D18" s="25">
        <f t="shared" ref="D18" si="15">J18+D$13</f>
        <v>2700</v>
      </c>
      <c r="E18" s="25">
        <f t="shared" ref="E18" si="16">K18+E$13</f>
        <v>480</v>
      </c>
      <c r="F18" s="96" t="str">
        <f t="shared" ref="F18" si="17">C38</f>
        <v>CUB SIN RESPALDO FTE 180°</v>
      </c>
      <c r="G18" s="1"/>
      <c r="I18" s="3">
        <f t="shared" si="13"/>
        <v>1</v>
      </c>
      <c r="J18" s="4">
        <f t="shared" si="13"/>
        <v>2650</v>
      </c>
      <c r="K18" s="4">
        <f t="shared" ref="K18" si="18">E38</f>
        <v>480</v>
      </c>
    </row>
    <row r="19" spans="1:11" ht="15.6" x14ac:dyDescent="0.3">
      <c r="A19" s="51"/>
      <c r="B19" s="6"/>
      <c r="C19" s="6"/>
      <c r="D19" s="6"/>
      <c r="E19" s="6"/>
      <c r="F19" s="6"/>
      <c r="G19" s="1"/>
      <c r="I19" s="87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31" t="s">
        <v>14</v>
      </c>
      <c r="B21" s="131"/>
      <c r="C21" s="131"/>
      <c r="D21" s="131"/>
      <c r="E21" s="131"/>
      <c r="F21" s="131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5" t="s">
        <v>10</v>
      </c>
      <c r="C24" s="35" t="s">
        <v>11</v>
      </c>
      <c r="D24" s="21">
        <v>40</v>
      </c>
      <c r="E24" s="21">
        <v>100</v>
      </c>
      <c r="F24" s="35" t="s">
        <v>105</v>
      </c>
      <c r="G24" s="1"/>
      <c r="J24" s="5" t="s">
        <v>7</v>
      </c>
      <c r="K24" s="5" t="s">
        <v>8</v>
      </c>
    </row>
    <row r="25" spans="1:11" ht="15.6" x14ac:dyDescent="0.3">
      <c r="A25" s="93"/>
      <c r="B25" s="16">
        <f t="shared" ref="B25" si="19">I25</f>
        <v>1</v>
      </c>
      <c r="C25" s="16"/>
      <c r="D25" s="16">
        <f>J25+D$24</f>
        <v>1810</v>
      </c>
      <c r="E25" s="16">
        <f>K25+E$24</f>
        <v>580</v>
      </c>
      <c r="F25" s="97" t="str">
        <f t="shared" ref="F25" si="20">C34</f>
        <v>CUB SIN RESPALDO FTE 180°</v>
      </c>
      <c r="G25" s="1"/>
      <c r="I25" s="3">
        <f t="shared" ref="I25" si="21">B34</f>
        <v>1</v>
      </c>
      <c r="J25" s="4">
        <f>D34</f>
        <v>1770</v>
      </c>
      <c r="K25" s="4">
        <f>E34</f>
        <v>480</v>
      </c>
    </row>
    <row r="26" spans="1:11" ht="15.6" x14ac:dyDescent="0.3">
      <c r="A26" s="93"/>
      <c r="B26" s="16">
        <f t="shared" ref="B26:B28" si="22">I26</f>
        <v>1</v>
      </c>
      <c r="C26" s="16"/>
      <c r="D26" s="16">
        <f t="shared" ref="D26:D28" si="23">J26+D$24</f>
        <v>2110</v>
      </c>
      <c r="E26" s="16">
        <f t="shared" ref="E26:E28" si="24">K26+E$24</f>
        <v>620</v>
      </c>
      <c r="F26" s="97" t="str">
        <f t="shared" ref="F26:F28" si="25">C35</f>
        <v>CUB SIN RESPALDO FTE 180°</v>
      </c>
      <c r="G26" s="1"/>
      <c r="I26" s="3">
        <f t="shared" ref="I26" si="26">B35</f>
        <v>1</v>
      </c>
      <c r="J26" s="4">
        <f t="shared" ref="J26:K26" si="27">D35</f>
        <v>2070</v>
      </c>
      <c r="K26" s="4">
        <f t="shared" si="27"/>
        <v>520</v>
      </c>
    </row>
    <row r="27" spans="1:11" ht="15.6" x14ac:dyDescent="0.3">
      <c r="A27" s="93"/>
      <c r="B27" s="16">
        <f t="shared" si="22"/>
        <v>1</v>
      </c>
      <c r="C27" s="16"/>
      <c r="D27" s="16">
        <f t="shared" si="23"/>
        <v>920</v>
      </c>
      <c r="E27" s="16">
        <f t="shared" si="24"/>
        <v>350</v>
      </c>
      <c r="F27" s="97" t="str">
        <f t="shared" si="25"/>
        <v>CUB SIN RESPALDO FTE 180°</v>
      </c>
      <c r="G27" s="1"/>
      <c r="I27" s="3">
        <f t="shared" ref="I27:I28" si="28">B36</f>
        <v>1</v>
      </c>
      <c r="J27" s="4">
        <f t="shared" ref="J27:J28" si="29">D36</f>
        <v>880</v>
      </c>
      <c r="K27" s="4">
        <f t="shared" ref="K27:K28" si="30">E36</f>
        <v>250</v>
      </c>
    </row>
    <row r="28" spans="1:11" ht="15.6" x14ac:dyDescent="0.3">
      <c r="A28" s="93"/>
      <c r="B28" s="16">
        <f t="shared" si="22"/>
        <v>1</v>
      </c>
      <c r="C28" s="16"/>
      <c r="D28" s="16">
        <f t="shared" si="23"/>
        <v>2310</v>
      </c>
      <c r="E28" s="16">
        <f t="shared" si="24"/>
        <v>620</v>
      </c>
      <c r="F28" s="97" t="str">
        <f t="shared" si="25"/>
        <v>CUB SIN RESPALDO FTE 180°</v>
      </c>
      <c r="G28" s="1"/>
      <c r="I28" s="3">
        <f t="shared" si="28"/>
        <v>1</v>
      </c>
      <c r="J28" s="4">
        <f t="shared" si="29"/>
        <v>2270</v>
      </c>
      <c r="K28" s="4">
        <f t="shared" si="30"/>
        <v>520</v>
      </c>
    </row>
    <row r="29" spans="1:11" ht="15.6" x14ac:dyDescent="0.3">
      <c r="A29" s="93"/>
      <c r="B29" s="16">
        <f t="shared" ref="B29" si="31">I29</f>
        <v>1</v>
      </c>
      <c r="C29" s="16"/>
      <c r="D29" s="16">
        <f t="shared" ref="D29" si="32">J29+D$24</f>
        <v>2690</v>
      </c>
      <c r="E29" s="16">
        <f t="shared" ref="E29" si="33">K29+E$24</f>
        <v>580</v>
      </c>
      <c r="F29" s="97" t="str">
        <f t="shared" ref="F29" si="34">C38</f>
        <v>CUB SIN RESPALDO FTE 180°</v>
      </c>
      <c r="G29" s="1"/>
      <c r="I29" s="3">
        <f t="shared" ref="I29" si="35">B38</f>
        <v>1</v>
      </c>
      <c r="J29" s="4">
        <f t="shared" ref="J29" si="36">D38</f>
        <v>2650</v>
      </c>
      <c r="K29" s="4">
        <f t="shared" ref="K29" si="37">E38</f>
        <v>480</v>
      </c>
    </row>
    <row r="30" spans="1:11" ht="16.2" thickBot="1" x14ac:dyDescent="0.35">
      <c r="A30" s="51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1"/>
      <c r="B31" s="22" t="s">
        <v>102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1" t="s">
        <v>9</v>
      </c>
      <c r="B33" s="86" t="s">
        <v>10</v>
      </c>
      <c r="C33" s="86" t="s">
        <v>105</v>
      </c>
      <c r="D33" s="86" t="s">
        <v>7</v>
      </c>
      <c r="E33" s="86" t="s">
        <v>8</v>
      </c>
      <c r="F33" s="86" t="s">
        <v>22</v>
      </c>
      <c r="G33" s="1"/>
    </row>
    <row r="34" spans="1:7" ht="15.6" x14ac:dyDescent="0.3">
      <c r="A34" s="93" t="s">
        <v>142</v>
      </c>
      <c r="B34" s="25">
        <f>'4637'!B22</f>
        <v>1</v>
      </c>
      <c r="C34" s="96" t="str">
        <f>'4637'!C22</f>
        <v>CUB SIN RESPALDO FTE 180°</v>
      </c>
      <c r="D34" s="25">
        <f>'4637'!D22</f>
        <v>1770</v>
      </c>
      <c r="E34" s="25">
        <f>'4637'!E22</f>
        <v>480</v>
      </c>
      <c r="F34" s="25" t="str">
        <f>'4637'!F22</f>
        <v>BLANCO BR</v>
      </c>
      <c r="G34" s="1"/>
    </row>
    <row r="35" spans="1:7" ht="15.6" x14ac:dyDescent="0.3">
      <c r="A35" s="93"/>
      <c r="B35" s="25">
        <f>'4637'!B23</f>
        <v>1</v>
      </c>
      <c r="C35" s="96" t="str">
        <f>'4637'!C23</f>
        <v>CUB SIN RESPALDO FTE 180°</v>
      </c>
      <c r="D35" s="25">
        <f>'4637'!D23</f>
        <v>2070</v>
      </c>
      <c r="E35" s="25">
        <f>'4637'!E23</f>
        <v>520</v>
      </c>
      <c r="F35" s="25" t="str">
        <f>'4637'!F23</f>
        <v>BLANCO BR</v>
      </c>
      <c r="G35" s="1"/>
    </row>
    <row r="36" spans="1:7" ht="15.6" x14ac:dyDescent="0.3">
      <c r="A36" s="93"/>
      <c r="B36" s="25">
        <f>'4637'!B24</f>
        <v>1</v>
      </c>
      <c r="C36" s="96" t="str">
        <f>'4637'!C24</f>
        <v>CUB SIN RESPALDO FTE 180°</v>
      </c>
      <c r="D36" s="25">
        <f>'4637'!D24</f>
        <v>880</v>
      </c>
      <c r="E36" s="25">
        <f>'4637'!E24</f>
        <v>250</v>
      </c>
      <c r="F36" s="25" t="str">
        <f>'4637'!F24</f>
        <v>BLANCO BR</v>
      </c>
      <c r="G36" s="1"/>
    </row>
    <row r="37" spans="1:7" ht="15.6" x14ac:dyDescent="0.3">
      <c r="A37" s="93"/>
      <c r="B37" s="25">
        <f>'4637'!B25</f>
        <v>1</v>
      </c>
      <c r="C37" s="96" t="str">
        <f>'4637'!C25</f>
        <v>CUB SIN RESPALDO FTE 180°</v>
      </c>
      <c r="D37" s="25">
        <f>'4637'!D25</f>
        <v>2270</v>
      </c>
      <c r="E37" s="25">
        <f>'4637'!E25</f>
        <v>520</v>
      </c>
      <c r="F37" s="25" t="str">
        <f>'4637'!F25</f>
        <v>BLANCO BR</v>
      </c>
      <c r="G37" s="1"/>
    </row>
    <row r="38" spans="1:7" ht="15.6" x14ac:dyDescent="0.3">
      <c r="A38" s="93"/>
      <c r="B38" s="25">
        <f>'4637'!B26</f>
        <v>1</v>
      </c>
      <c r="C38" s="96" t="str">
        <f>'4637'!C26</f>
        <v>CUB SIN RESPALDO FTE 180°</v>
      </c>
      <c r="D38" s="25">
        <f>'4637'!D26</f>
        <v>2650</v>
      </c>
      <c r="E38" s="25">
        <f>'4637'!E26</f>
        <v>480</v>
      </c>
      <c r="F38" s="25" t="str">
        <f>'4637'!F26</f>
        <v>BLANCO BR</v>
      </c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39" t="s">
        <v>26</v>
      </c>
      <c r="D48" s="14">
        <f>'4637'!G8</f>
        <v>7413</v>
      </c>
      <c r="E48" s="1"/>
      <c r="F48" s="1"/>
      <c r="G48" s="1"/>
    </row>
    <row r="49" spans="1:7" ht="17.25" customHeight="1" x14ac:dyDescent="0.3">
      <c r="A49" s="1"/>
      <c r="B49" s="1"/>
      <c r="C49" s="40" t="s">
        <v>63</v>
      </c>
      <c r="D49" s="41" t="str">
        <f>'4637'!C10</f>
        <v>ARIEL</v>
      </c>
      <c r="E49" s="42"/>
      <c r="F49" s="42"/>
      <c r="G49" s="1"/>
    </row>
    <row r="50" spans="1:7" ht="4.5" customHeight="1" x14ac:dyDescent="0.3">
      <c r="A50" s="1"/>
      <c r="B50" s="1"/>
      <c r="C50" s="43"/>
      <c r="D50" s="44"/>
      <c r="E50" s="1"/>
      <c r="F50" s="1"/>
      <c r="G50" s="1"/>
    </row>
    <row r="51" spans="1:7" ht="15.6" x14ac:dyDescent="0.3">
      <c r="A51" s="1"/>
      <c r="B51" s="1"/>
      <c r="C51" s="45" t="str">
        <f>'4637'!F11</f>
        <v>PLAZO ENTREGA</v>
      </c>
      <c r="D51" s="13">
        <f>'4637'!G11</f>
        <v>46105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31" t="s">
        <v>64</v>
      </c>
      <c r="B54" s="131"/>
      <c r="C54" s="131"/>
      <c r="D54" s="131"/>
      <c r="E54" s="131"/>
      <c r="F54" s="13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32" t="s">
        <v>65</v>
      </c>
      <c r="C56" s="133"/>
      <c r="D56" s="134"/>
      <c r="E56" s="134"/>
      <c r="F56" s="135"/>
      <c r="G56" s="1"/>
    </row>
    <row r="57" spans="1:7" s="15" customFormat="1" ht="12.75" customHeight="1" x14ac:dyDescent="0.3">
      <c r="A57" s="1"/>
      <c r="B57" s="35" t="s">
        <v>10</v>
      </c>
      <c r="C57" s="46" t="s">
        <v>11</v>
      </c>
      <c r="D57" s="47" t="s">
        <v>7</v>
      </c>
      <c r="E57" s="47" t="s">
        <v>8</v>
      </c>
      <c r="F57" s="48" t="s">
        <v>12</v>
      </c>
      <c r="G57" s="1"/>
    </row>
    <row r="58" spans="1:7" s="15" customFormat="1" ht="15" customHeight="1" x14ac:dyDescent="0.3">
      <c r="A58" s="93" t="s">
        <v>142</v>
      </c>
      <c r="B58" s="37">
        <f>'4637'!B22</f>
        <v>1</v>
      </c>
      <c r="C58" s="95" t="str">
        <f>'4637'!C22</f>
        <v>CUB SIN RESPALDO FTE 180°</v>
      </c>
      <c r="D58" s="38">
        <f>'4637'!D22</f>
        <v>1770</v>
      </c>
      <c r="E58" s="38">
        <f>'4637'!E22</f>
        <v>480</v>
      </c>
      <c r="F58" s="37" t="str">
        <f>'4637'!F22</f>
        <v>BLANCO BR</v>
      </c>
      <c r="G58" s="1"/>
    </row>
    <row r="59" spans="1:7" s="15" customFormat="1" ht="15" customHeight="1" x14ac:dyDescent="0.3">
      <c r="A59" s="93"/>
      <c r="B59" s="37">
        <f>'4637'!B23</f>
        <v>1</v>
      </c>
      <c r="C59" s="95" t="str">
        <f>'4637'!C23</f>
        <v>CUB SIN RESPALDO FTE 180°</v>
      </c>
      <c r="D59" s="38">
        <f>'4637'!D23</f>
        <v>2070</v>
      </c>
      <c r="E59" s="38">
        <f>'4637'!E23</f>
        <v>520</v>
      </c>
      <c r="F59" s="37" t="str">
        <f>'4637'!F23</f>
        <v>BLANCO BR</v>
      </c>
      <c r="G59" s="1"/>
    </row>
    <row r="60" spans="1:7" s="15" customFormat="1" ht="15" customHeight="1" x14ac:dyDescent="0.3">
      <c r="A60" s="93"/>
      <c r="B60" s="37">
        <f>'4637'!B24</f>
        <v>1</v>
      </c>
      <c r="C60" s="95" t="str">
        <f>'4637'!C24</f>
        <v>CUB SIN RESPALDO FTE 180°</v>
      </c>
      <c r="D60" s="38">
        <f>'4637'!D24</f>
        <v>880</v>
      </c>
      <c r="E60" s="38">
        <f>'4637'!E24</f>
        <v>250</v>
      </c>
      <c r="F60" s="37" t="str">
        <f>'4637'!F24</f>
        <v>BLANCO BR</v>
      </c>
      <c r="G60" s="1"/>
    </row>
    <row r="61" spans="1:7" s="15" customFormat="1" ht="15" customHeight="1" x14ac:dyDescent="0.3">
      <c r="A61" s="93"/>
      <c r="B61" s="37">
        <f>'4637'!B25</f>
        <v>1</v>
      </c>
      <c r="C61" s="95" t="str">
        <f>'4637'!C25</f>
        <v>CUB SIN RESPALDO FTE 180°</v>
      </c>
      <c r="D61" s="38">
        <f>'4637'!D25</f>
        <v>2270</v>
      </c>
      <c r="E61" s="38">
        <f>'4637'!E25</f>
        <v>520</v>
      </c>
      <c r="F61" s="37" t="str">
        <f>'4637'!F25</f>
        <v>BLANCO BR</v>
      </c>
      <c r="G61" s="1"/>
    </row>
    <row r="62" spans="1:7" s="15" customFormat="1" ht="15" customHeight="1" x14ac:dyDescent="0.3">
      <c r="A62" s="93"/>
      <c r="B62" s="37">
        <f>'4637'!B26</f>
        <v>1</v>
      </c>
      <c r="C62" s="95" t="str">
        <f>'4637'!C26</f>
        <v>CUB SIN RESPALDO FTE 180°</v>
      </c>
      <c r="D62" s="38">
        <f>'4637'!D26</f>
        <v>2650</v>
      </c>
      <c r="E62" s="38">
        <f>'4637'!E26</f>
        <v>480</v>
      </c>
      <c r="F62" s="37" t="str">
        <f>'4637'!F26</f>
        <v>BLANCO BR</v>
      </c>
      <c r="G62" s="1"/>
    </row>
    <row r="63" spans="1:7" s="15" customFormat="1" ht="15" customHeight="1" x14ac:dyDescent="0.3">
      <c r="A63" s="49"/>
      <c r="B63" s="51"/>
      <c r="C63" s="51"/>
      <c r="D63" s="51"/>
      <c r="E63" s="51"/>
      <c r="F63" s="51"/>
      <c r="G63" s="1"/>
    </row>
    <row r="64" spans="1:7" ht="15.6" x14ac:dyDescent="0.3">
      <c r="A64" s="6"/>
      <c r="B64" s="6"/>
      <c r="C64" s="1"/>
      <c r="D64" s="6"/>
      <c r="E64" s="6"/>
      <c r="F64" s="43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0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2026-03-23T19:56:52Z</cp:lastPrinted>
  <dcterms:created xsi:type="dcterms:W3CDTF">2013-03-19T12:54:14Z</dcterms:created>
  <dcterms:modified xsi:type="dcterms:W3CDTF">2026-03-23T20:02:38Z</dcterms:modified>
</cp:coreProperties>
</file>