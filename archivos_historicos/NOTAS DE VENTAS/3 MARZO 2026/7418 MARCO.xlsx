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3C43751D-D2CF-489D-9379-892F27CD24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21" i="3"/>
  <c r="H22" i="4"/>
  <c r="B26" i="3"/>
  <c r="I21" i="3" s="1"/>
  <c r="C26" i="3"/>
  <c r="D26" i="3"/>
  <c r="J21" i="3" s="1"/>
  <c r="E26" i="3"/>
  <c r="F26" i="3"/>
  <c r="B46" i="3"/>
  <c r="C46" i="3"/>
  <c r="D46" i="3"/>
  <c r="E46" i="3"/>
  <c r="F46" i="3"/>
  <c r="B21" i="3" l="1"/>
  <c r="I14" i="3"/>
  <c r="B14" i="3" s="1"/>
  <c r="F14" i="3"/>
  <c r="F21" i="3"/>
  <c r="D21" i="3"/>
  <c r="J14" i="3"/>
  <c r="D14" i="3" s="1"/>
  <c r="K21" i="3"/>
  <c r="K14" i="3"/>
  <c r="H25" i="4" l="1"/>
  <c r="H26" i="4" l="1"/>
  <c r="H27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<sst xmlns="http://schemas.openxmlformats.org/spreadsheetml/2006/main" count="250" uniqueCount="144">
  <si>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</si>
  <si>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</si>
  <si>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</si>
  <si>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</si>
  <si>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</si>
  <si>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</si>
  <si>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</si>
  <si>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</si>
  <si>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</si>
  <si>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</si>
  <si>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</si>
  <si>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</si>
  <si>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</si>
  <si>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</si>
  <si>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</si>
  <si>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</si>
  <si>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</si>
  <si>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</si>
  <si>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</si>
  <si>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</si>
  <si>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</si>
  <si>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</si>
  <si>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</si>
  <si>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</si>
  <si>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</si>
  <si>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</si>
  <si>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</si>
  <si>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</si>
  <si>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</si>
  <si>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</si>
  <si>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</si>
  <si>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</si>
  <si>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</si>
  <si>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</si>
  <si>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</si>
  <si>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</si>
  <si>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</si>
  <si>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</si>
  <si>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</si>
  <si>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</si>
  <si>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</si>
  <si>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</si>
  <si>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</si>
  <si>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</si>
  <si>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</si>
  <si>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</si>
  <si>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</si>
  <si>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</si>
  <si>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</si>
  <si>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</si>
  <si>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</si>
  <si>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</si>
  <si>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</si>
  <si>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</si>
  <si>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</si>
  <si>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</si>
  <si>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</si>
  <si>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</si>
  <si>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</si>
  <si>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</si>
  <si>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</si>
  <si>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</si>
  <si>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</si>
  <si>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</si>
  <si>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</si>
  <si>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</si>
  <si>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</si>
  <si>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</si>
  <si>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</si>
  <si>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</si>
  <si>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</si>
  <si>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</si>
  <si>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</si>
  <si>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</si>
  <si>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</si>
  <si>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</si>
  <si>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</si>
  <si>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</si>
  <si>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</si>
  <si>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</si>
  <si>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</si>
  <si>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</si>
  <si>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</si>
  <si>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</si>
  <si>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</si>
  <si>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</si>
  <si>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</si>
  <si>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</si>
  <si>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</si>
  <si>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</si>
  <si>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</si>
  <si>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</si>
  <si>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</si>
  <si>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</si>
  <si>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</si>
  <si>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</si>
  <si>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</si>
  <si>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</si>
  <si>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</si>
  <si>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</si>
  <si>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</si>
  <si>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</si>
  <si>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</si>
  <si>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</si>
  <si>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</si>
  <si>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</si>
  <si>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</si>
  <si>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</si>
  <si>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</si>
  <si>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</si>
  <si>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</si>
  <si>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</si>
  <si>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</si>
  <si>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</si>
  <si>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</si>
  <si>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</si>
  <si>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</si>
  <si>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</si>
  <si>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</si>
  <si>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</si>
  <si>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</si>
  <si>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</si>
  <si>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</si>
  <si>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</si>
  <si>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</si>
  <si>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</si>
  <si>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</si>
  <si>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</si>
  <si>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</si>
  <si>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</si>
  <si>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</si>
  <si>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</si>
  <si>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</si>
  <si>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</si>
  <si>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</si>
  <si>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</si>
  <si>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</si>
  <si>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</si>
  <si>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MDF18MM</t>
  </si>
  <si>
    <t>N° 12063</t>
  </si>
  <si>
    <t>MARCO</t>
  </si>
  <si>
    <t>CUB C/R 180°</t>
  </si>
  <si>
    <t>BLANCO MT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</si>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</sst>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801763</xdr:colOff>
      <xdr:row>40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G31" sqref="G3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26</v>
      </c>
      <c r="G8" s="92">
        <v>7418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2" t="s">
        <v>140</v>
      </c>
      <c r="D10" s="54"/>
      <c r="E10" s="54"/>
      <c r="F10" s="55" t="s">
        <v>127</v>
      </c>
      <c r="G10" s="56">
        <v>46107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128</v>
      </c>
      <c r="G11" s="60">
        <v>46108</v>
      </c>
      <c r="H11" s="61"/>
      <c r="I11" s="1"/>
    </row>
    <row r="12" spans="1:17" ht="15.6" x14ac:dyDescent="0.3">
      <c r="A12" s="1"/>
      <c r="B12" s="62" t="s">
        <v>129</v>
      </c>
      <c r="C12" s="104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99"/>
      <c r="D14" s="42"/>
      <c r="E14" s="42"/>
      <c r="F14" s="42" t="s">
        <v>132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5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98"/>
      <c r="D16" s="42"/>
      <c r="E16" s="42"/>
      <c r="F16" s="66" t="s">
        <v>134</v>
      </c>
      <c r="G16" s="101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0" t="s">
        <v>124</v>
      </c>
      <c r="D17" s="68"/>
      <c r="E17" s="69"/>
      <c r="F17" s="121" t="s">
        <v>136</v>
      </c>
      <c r="G17" s="121" t="s">
        <v>137</v>
      </c>
      <c r="H17" s="12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3" t="s">
        <v>18</v>
      </c>
      <c r="C20" s="124"/>
      <c r="D20" s="124"/>
      <c r="E20" s="124"/>
      <c r="F20" s="124"/>
      <c r="G20" s="124"/>
      <c r="H20" s="125"/>
      <c r="I20" s="1"/>
    </row>
    <row r="21" spans="1:16" ht="15.6" x14ac:dyDescent="0.3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thickBot="1" x14ac:dyDescent="0.35">
      <c r="A22" s="1"/>
      <c r="B22" s="109">
        <v>1</v>
      </c>
      <c r="C22" s="110" t="s">
        <v>141</v>
      </c>
      <c r="D22" s="111">
        <v>1080</v>
      </c>
      <c r="E22" s="111">
        <v>580</v>
      </c>
      <c r="F22" s="112" t="s">
        <v>142</v>
      </c>
      <c r="G22" s="113">
        <v>44887</v>
      </c>
      <c r="H22" s="114">
        <f>G22*B22</f>
        <v>44887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7"/>
      <c r="D23" s="108"/>
      <c r="E23" s="108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44887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8528.5300000000007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53415.53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118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117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24</v>
      </c>
      <c r="C32" s="1"/>
      <c r="D32" s="1"/>
      <c r="E32" s="84" t="s">
        <v>25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8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abSelected="1" topLeftCell="A41" zoomScaleNormal="100" workbookViewId="0">
      <selection activeCell="D39" sqref="D3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57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26</v>
      </c>
      <c r="D4" s="14">
        <f>'4637'!G8</f>
        <v>7418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MARCO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46108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57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143</v>
      </c>
      <c r="B14" s="25">
        <f t="shared" ref="B14" si="0">I14</f>
        <v>1</v>
      </c>
      <c r="C14" s="25"/>
      <c r="D14" s="25">
        <f>J14+D$13</f>
        <v>1130</v>
      </c>
      <c r="E14" s="25">
        <f>K14+$E$13</f>
        <v>550</v>
      </c>
      <c r="F14" s="96" t="str">
        <f t="shared" ref="F14" si="1">C26</f>
        <v>CUB C/R 180°</v>
      </c>
      <c r="G14" s="1"/>
      <c r="I14" s="3">
        <f>I21</f>
        <v>1</v>
      </c>
      <c r="J14" s="4">
        <f>J21</f>
        <v>1080</v>
      </c>
      <c r="K14" s="4">
        <f t="shared" ref="K14" si="2">E26</f>
        <v>580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6" t="s">
        <v>14</v>
      </c>
      <c r="B17" s="116"/>
      <c r="C17" s="116"/>
      <c r="D17" s="116"/>
      <c r="E17" s="116"/>
      <c r="F17" s="116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150</v>
      </c>
      <c r="F20" s="35" t="s">
        <v>105</v>
      </c>
      <c r="G20" s="1"/>
      <c r="J20" s="5" t="s">
        <v>7</v>
      </c>
      <c r="K20" s="5" t="s">
        <v>8</v>
      </c>
    </row>
    <row r="21" spans="1:11" ht="15.6" x14ac:dyDescent="0.3">
      <c r="A21" s="93" t="s">
        <v>143</v>
      </c>
      <c r="B21" s="16">
        <f t="shared" ref="B21" si="3">I21</f>
        <v>1</v>
      </c>
      <c r="C21" s="16"/>
      <c r="D21" s="16">
        <f>J21+D$20</f>
        <v>1120</v>
      </c>
      <c r="E21" s="16">
        <f>K21+$E$20</f>
        <v>730</v>
      </c>
      <c r="F21" s="97" t="str">
        <f>C26</f>
        <v>CUB C/R 180°</v>
      </c>
      <c r="G21" s="1"/>
      <c r="I21" s="3">
        <f t="shared" ref="I21" si="4">B26</f>
        <v>1</v>
      </c>
      <c r="J21" s="4">
        <f t="shared" ref="J21" si="5">D26</f>
        <v>1080</v>
      </c>
      <c r="K21" s="4">
        <f t="shared" ref="K21" si="6">E26</f>
        <v>580</v>
      </c>
    </row>
    <row r="22" spans="1:11" ht="16.2" thickBot="1" x14ac:dyDescent="0.35">
      <c r="A22" s="51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1"/>
      <c r="B23" s="22" t="s">
        <v>102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1" t="s">
        <v>9</v>
      </c>
      <c r="B25" s="86" t="s">
        <v>10</v>
      </c>
      <c r="C25" s="86" t="s">
        <v>105</v>
      </c>
      <c r="D25" s="86" t="s">
        <v>7</v>
      </c>
      <c r="E25" s="86" t="s">
        <v>8</v>
      </c>
      <c r="F25" s="86" t="s">
        <v>22</v>
      </c>
      <c r="G25" s="1"/>
    </row>
    <row r="26" spans="1:11" ht="15.6" x14ac:dyDescent="0.3">
      <c r="A26" s="93" t="s">
        <v>143</v>
      </c>
      <c r="B26" s="25">
        <f>'4637'!B22</f>
        <v>1</v>
      </c>
      <c r="C26" s="96" t="str">
        <f>'4637'!C22</f>
        <v>CUB C/R 180°</v>
      </c>
      <c r="D26" s="25">
        <f>'4637'!D22</f>
        <v>1080</v>
      </c>
      <c r="E26" s="25">
        <f>'4637'!E22</f>
        <v>580</v>
      </c>
      <c r="F26" s="25" t="str">
        <f>'4637'!F22</f>
        <v>BLANCO MT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39" t="s">
        <v>26</v>
      </c>
      <c r="D36" s="14">
        <f>'4637'!G8</f>
        <v>7418</v>
      </c>
      <c r="E36" s="1"/>
      <c r="F36" s="1"/>
      <c r="G36" s="1"/>
    </row>
    <row r="37" spans="1:7" ht="17.25" customHeight="1" x14ac:dyDescent="0.3">
      <c r="A37" s="1"/>
      <c r="B37" s="1"/>
      <c r="C37" s="40" t="s">
        <v>63</v>
      </c>
      <c r="D37" s="41" t="str">
        <f>'4637'!C10</f>
        <v>MARCO</v>
      </c>
      <c r="E37" s="42"/>
      <c r="F37" s="42"/>
      <c r="G37" s="1"/>
    </row>
    <row r="38" spans="1:7" ht="4.5" customHeight="1" x14ac:dyDescent="0.3">
      <c r="A38" s="1"/>
      <c r="B38" s="1"/>
      <c r="C38" s="43"/>
      <c r="D38" s="44"/>
      <c r="E38" s="1"/>
      <c r="F38" s="1"/>
      <c r="G38" s="1"/>
    </row>
    <row r="39" spans="1:7" ht="15.6" x14ac:dyDescent="0.3">
      <c r="A39" s="1"/>
      <c r="B39" s="1"/>
      <c r="C39" s="45" t="str">
        <f>'4637'!F11</f>
        <v>PLAZO ENTREGA</v>
      </c>
      <c r="D39" s="13">
        <f>'4637'!G11</f>
        <v>46108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6" t="s">
        <v>64</v>
      </c>
      <c r="B42" s="116"/>
      <c r="C42" s="116"/>
      <c r="D42" s="116"/>
      <c r="E42" s="116"/>
      <c r="F42" s="11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7" t="s">
        <v>65</v>
      </c>
      <c r="C44" s="118"/>
      <c r="D44" s="119"/>
      <c r="E44" s="119"/>
      <c r="F44" s="120"/>
      <c r="G44" s="1"/>
    </row>
    <row r="45" spans="1:7" s="15" customFormat="1" ht="12.75" customHeight="1" x14ac:dyDescent="0.3">
      <c r="A45" s="1"/>
      <c r="B45" s="35" t="s">
        <v>10</v>
      </c>
      <c r="C45" s="46" t="s">
        <v>11</v>
      </c>
      <c r="D45" s="47" t="s">
        <v>7</v>
      </c>
      <c r="E45" s="47" t="s">
        <v>8</v>
      </c>
      <c r="F45" s="48" t="s">
        <v>12</v>
      </c>
      <c r="G45" s="1"/>
    </row>
    <row r="46" spans="1:7" s="15" customFormat="1" ht="15" customHeight="1" x14ac:dyDescent="0.3">
      <c r="A46" s="93" t="s">
        <v>138</v>
      </c>
      <c r="B46" s="37">
        <f>'4637'!B22</f>
        <v>1</v>
      </c>
      <c r="C46" s="95" t="str">
        <f>'4637'!C22</f>
        <v>CUB C/R 180°</v>
      </c>
      <c r="D46" s="38">
        <f>'4637'!D22</f>
        <v>1080</v>
      </c>
      <c r="E46" s="38">
        <f>'4637'!E22</f>
        <v>580</v>
      </c>
      <c r="F46" s="37" t="str">
        <f>'4637'!F22</f>
        <v>BLANCO MT</v>
      </c>
      <c r="G46" s="1"/>
    </row>
    <row r="47" spans="1:7" s="15" customFormat="1" ht="15" customHeight="1" x14ac:dyDescent="0.3">
      <c r="A47" s="93"/>
      <c r="G47" s="1"/>
    </row>
    <row r="48" spans="1:7" s="15" customFormat="1" ht="15" customHeight="1" x14ac:dyDescent="0.3">
      <c r="A48" s="49"/>
      <c r="B48" s="51"/>
      <c r="C48" s="51"/>
      <c r="D48" s="51"/>
      <c r="E48" s="51"/>
      <c r="F48" s="51"/>
      <c r="G48" s="1"/>
    </row>
    <row r="49" spans="1:7" ht="15.6" x14ac:dyDescent="0.3">
      <c r="A49" s="6"/>
      <c r="B49" s="6"/>
      <c r="C49" s="1"/>
      <c r="D49" s="6"/>
      <c r="E49" s="6"/>
      <c r="F49" s="43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0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2026-03-25T19:40:55Z</cp:lastPrinted>
  <dcterms:created xsi:type="dcterms:W3CDTF">2013-03-19T12:54:14Z</dcterms:created>
  <dcterms:modified xsi:type="dcterms:W3CDTF">2026-03-26T12:47:48Z</dcterms:modified>
</cp:coreProperties>
</file>