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C90C50A8-F9A1-4E4F-BEBC-66F82423E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H22" i="4"/>
  <c r="B27" i="3"/>
  <c r="I21" i="3" s="1"/>
  <c r="B21" i="3" s="1"/>
  <c r="C27" i="3"/>
  <c r="F21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K14" i="3" l="1"/>
  <c r="E14" i="3" s="1"/>
  <c r="J14" i="3"/>
  <c r="I14" i="3"/>
  <c r="B14" i="3" s="1"/>
  <c r="F14" i="3"/>
  <c r="H25" i="4" l="1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<sst xmlns="http://schemas.openxmlformats.org/spreadsheetml/2006/main" count="250" uniqueCount="147">
  <si>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</si>
  <si>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</si>
  <si>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</si>
  <si>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</si>
  <si>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</si>
  <si>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</si>
  <si>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</si>
  <si>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</si>
  <si>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</si>
  <si>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</si>
  <si>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</si>
  <si>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</si>
  <si>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</si>
  <si>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</si>
  <si>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</si>
  <si>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</si>
  <si>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</si>
  <si>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</si>
  <si>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</si>
  <si>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</si>
  <si>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</si>
  <si>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</si>
  <si>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</si>
  <si>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</si>
  <si>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</si>
  <si>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</si>
  <si>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</si>
  <si>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</si>
  <si>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</si>
  <si>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</si>
  <si>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</si>
  <si>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</si>
  <si>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</si>
  <si>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</si>
  <si>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</si>
  <si>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</si>
  <si>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</si>
  <si>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</si>
  <si>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</si>
  <si>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</si>
  <si>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</si>
  <si>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</si>
  <si>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</si>
  <si>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</si>
  <si>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</si>
  <si>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</si>
  <si>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</si>
  <si>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</si>
  <si>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</si>
  <si>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</si>
  <si>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</si>
  <si>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</si>
  <si>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</si>
  <si>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</si>
  <si>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</si>
  <si>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</si>
  <si>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</si>
  <si>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</si>
  <si>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</si>
  <si>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</si>
  <si>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</si>
  <si>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</si>
  <si>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</si>
  <si>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</si>
  <si>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</si>
  <si>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</si>
  <si>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</si>
  <si>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</si>
  <si>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</si>
  <si>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</si>
  <si>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</si>
  <si>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</si>
  <si>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</si>
  <si>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</si>
  <si>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</si>
  <si>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</si>
  <si>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</si>
  <si>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</si>
  <si>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</si>
  <si>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</si>
  <si>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</si>
  <si>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</si>
  <si>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</si>
  <si>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</si>
  <si>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</si>
  <si>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</si>
  <si>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</si>
  <si>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</si>
  <si>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</si>
  <si>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</si>
  <si>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</si>
  <si>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</si>
  <si>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</si>
  <si>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</si>
  <si>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</si>
  <si>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</si>
  <si>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</si>
  <si>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</si>
  <si>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</si>
  <si>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</si>
  <si>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</si>
  <si>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</si>
  <si>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</si>
  <si>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</si>
  <si>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</si>
  <si>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</si>
  <si>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</si>
  <si>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</si>
  <si>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</si>
  <si>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</si>
  <si>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</si>
  <si>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</si>
  <si>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</si>
  <si>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</si>
  <si>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</si>
  <si>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</si>
  <si>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</si>
  <si>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</si>
  <si>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</si>
  <si>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</si>
  <si>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</si>
  <si>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</si>
  <si>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</si>
  <si>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</si>
  <si>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</si>
  <si>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</si>
  <si>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</si>
  <si>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</si>
  <si>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</si>
  <si>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</si>
  <si>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</si>
  <si>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</si>
  <si>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</si>
  <si>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</si>
  <si>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</si>
  <si>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</si>
  <si>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</si>
  <si>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</si>
  <si>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</si>
  <si>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</si>
  <si>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</si>
  <si>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</si>
  <si>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</si>
  <si>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11821</t>
  </si>
  <si>
    <t>NO</t>
  </si>
  <si>
    <t>CUB S/R 180°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</si>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</sst>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$ 76.000.-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9" workbookViewId="0">
      <selection activeCell="M18" sqref="M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143</v>
      </c>
      <c r="E8" s="1"/>
      <c r="F8" s="91" t="s">
        <v>27</v>
      </c>
      <c r="G8" s="92">
        <v>7407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137</v>
      </c>
      <c r="D10" s="54"/>
      <c r="E10" s="54"/>
      <c r="F10" s="55" t="s">
        <v>28</v>
      </c>
      <c r="G10" s="56">
        <v>46092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138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139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140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141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>
        <v>56973069852</v>
      </c>
      <c r="D15" s="65"/>
      <c r="E15" s="59"/>
      <c r="F15" s="59" t="s">
        <v>29</v>
      </c>
      <c r="G15" s="59" t="s">
        <v>144</v>
      </c>
      <c r="H15" s="61"/>
      <c r="I15" s="1"/>
    </row>
    <row r="16" spans="1:17" ht="16.8" x14ac:dyDescent="0.4">
      <c r="A16" s="1"/>
      <c r="B16" s="62" t="s">
        <v>1</v>
      </c>
      <c r="C16" s="102" t="s">
        <v>142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20" t="s">
        <v>18</v>
      </c>
      <c r="G17" s="120"/>
      <c r="H17" s="121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2" t="s">
        <v>19</v>
      </c>
      <c r="C20" s="123"/>
      <c r="D20" s="123"/>
      <c r="E20" s="123"/>
      <c r="F20" s="123"/>
      <c r="G20" s="123"/>
      <c r="H20" s="124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2" t="s">
        <v>145</v>
      </c>
      <c r="D22" s="101">
        <v>1735</v>
      </c>
      <c r="E22" s="101">
        <v>800</v>
      </c>
      <c r="F22" s="98" t="s">
        <v>146</v>
      </c>
      <c r="G22" s="99">
        <v>126526</v>
      </c>
      <c r="H22" s="99">
        <f>G22*B22</f>
        <v>126526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126526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24039.94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150565.94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sqref="A1:F3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>
        <f>'4637'!G8</f>
        <v>7407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f>J14+D13</f>
        <v>1815</v>
      </c>
      <c r="E14" s="25">
        <f>K14+E13</f>
        <v>800</v>
      </c>
      <c r="F14" s="96" t="str">
        <f t="shared" ref="F14" si="1">C27</f>
        <v>CUB S/R 180°</v>
      </c>
      <c r="G14" s="1"/>
      <c r="I14" s="3">
        <f t="shared" ref="I14:J14" si="2">I21</f>
        <v>1</v>
      </c>
      <c r="J14" s="4">
        <f t="shared" si="2"/>
        <v>1735</v>
      </c>
      <c r="K14" s="4">
        <f t="shared" ref="K14" si="3">E27</f>
        <v>800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5" t="s">
        <v>14</v>
      </c>
      <c r="B17" s="115"/>
      <c r="C17" s="115"/>
      <c r="D17" s="115"/>
      <c r="E17" s="115"/>
      <c r="F17" s="115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70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>J21+D$20</f>
        <v>1775</v>
      </c>
      <c r="E21" s="16">
        <f>K21+E$20</f>
        <v>870</v>
      </c>
      <c r="F21" s="97" t="str">
        <f t="shared" ref="F21" si="5">C27</f>
        <v>CUB S/R 180°</v>
      </c>
      <c r="G21" s="1"/>
      <c r="I21" s="3">
        <f t="shared" ref="I21" si="6">B27</f>
        <v>1</v>
      </c>
      <c r="J21" s="4">
        <f>D27</f>
        <v>1735</v>
      </c>
      <c r="K21" s="4">
        <f>E27</f>
        <v>800</v>
      </c>
    </row>
    <row r="22" spans="1:11" ht="15.6" x14ac:dyDescent="0.3">
      <c r="A22" s="93"/>
      <c r="B22" s="6"/>
      <c r="C22" s="6"/>
      <c r="D22" s="6"/>
      <c r="E22" s="6"/>
      <c r="F22" s="100"/>
      <c r="G22" s="1"/>
      <c r="I22" s="87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134</v>
      </c>
      <c r="B27" s="25">
        <f>'4637'!B22</f>
        <v>1</v>
      </c>
      <c r="C27" s="96" t="str">
        <f>'4637'!C22</f>
        <v>CUB S/R 180°</v>
      </c>
      <c r="D27" s="25">
        <f>'4637'!D22</f>
        <v>1735</v>
      </c>
      <c r="E27" s="25">
        <f>'4637'!E22</f>
        <v>800</v>
      </c>
      <c r="F27" s="25" t="str">
        <f>'4637'!F22</f>
        <v>WHITE OAK 1336 MT</v>
      </c>
      <c r="G27" s="1"/>
    </row>
    <row r="28" spans="1:11" ht="15.6" x14ac:dyDescent="0.3">
      <c r="A28" s="93"/>
      <c r="B28" s="6"/>
      <c r="C28" s="10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7407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FCA. DE MUEBLES ALVEAR Y ALVEAR LTDA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5" t="s">
        <v>68</v>
      </c>
      <c r="B44" s="115"/>
      <c r="C44" s="115"/>
      <c r="D44" s="115"/>
      <c r="E44" s="115"/>
      <c r="F44" s="115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6" t="s">
        <v>69</v>
      </c>
      <c r="C46" s="117"/>
      <c r="D46" s="118"/>
      <c r="E46" s="118"/>
      <c r="F46" s="119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3" t="s">
        <v>134</v>
      </c>
      <c r="B48" s="37">
        <f>'4637'!B22</f>
        <v>1</v>
      </c>
      <c r="C48" s="95" t="str">
        <f>'4637'!C22</f>
        <v>CUB S/R 180°</v>
      </c>
      <c r="D48" s="38">
        <f>'4637'!D22</f>
        <v>1735</v>
      </c>
      <c r="E48" s="38">
        <f>'4637'!E22</f>
        <v>800</v>
      </c>
      <c r="F48" s="37" t="str">
        <f>'4637'!F22</f>
        <v>WHITE OAK 1336 MT</v>
      </c>
      <c r="G48" s="1"/>
    </row>
    <row r="49" spans="1:7" s="15" customFormat="1" ht="15" customHeight="1" x14ac:dyDescent="0.3">
      <c r="A49" s="93"/>
      <c r="B49" s="51"/>
      <c r="C49" s="113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2026-03-11T19:28:02Z</cp:lastPrinted>
  <dcterms:created xsi:type="dcterms:W3CDTF">2013-03-19T12:54:14Z</dcterms:created>
  <dcterms:modified xsi:type="dcterms:W3CDTF">2026-03-11T19:30:09Z</dcterms:modified>
</cp:coreProperties>
</file>