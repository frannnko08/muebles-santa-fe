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20E30BA2-8713-4851-A307-703EDD8E236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3" l="1"/>
  <c r="E48" i="3"/>
  <c r="F48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H25" i="4"/>
  <c r="K21" i="3" l="1"/>
  <c r="D21" i="3"/>
  <c r="J14" i="3"/>
  <c r="D14" i="3" s="1"/>
  <c r="B21" i="3"/>
  <c r="F21" i="3"/>
  <c r="K14" i="3" l="1"/>
  <c r="E14" i="3" s="1"/>
  <c r="E21" i="3"/>
  <c r="H26" i="4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<sst xmlns="http://schemas.openxmlformats.org/spreadsheetml/2006/main" count="243" uniqueCount="140">
  <si>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</si>
  <si>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</si>
  <si>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</si>
  <si>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</si>
  <si>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</si>
  <si>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</si>
  <si>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</si>
  <si>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</si>
  <si>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</si>
  <si>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</si>
  <si>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</si>
  <si>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</si>
  <si>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</si>
  <si>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</si>
  <si>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</si>
  <si>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</si>
  <si>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</si>
  <si>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</si>
  <si>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</si>
  <si>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</si>
  <si>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</si>
  <si>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</si>
  <si>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</si>
  <si>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</si>
  <si>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</si>
  <si>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</si>
  <si>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</si>
  <si>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</si>
  <si>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</si>
  <si>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</si>
  <si>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</si>
  <si>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</si>
  <si>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</si>
  <si>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</si>
  <si>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</si>
  <si>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</si>
  <si>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</si>
  <si>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</si>
  <si>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</si>
  <si>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</si>
  <si>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</si>
  <si>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</si>
  <si>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</si>
  <si>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</si>
  <si>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</si>
  <si>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</si>
  <si>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</si>
  <si>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</si>
  <si>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</si>
  <si>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</si>
  <si>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</si>
  <si>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</si>
  <si>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</si>
  <si>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</si>
  <si>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</si>
  <si>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</si>
  <si>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</si>
  <si>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</si>
  <si>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</si>
  <si>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</si>
  <si>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</si>
  <si>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</si>
  <si>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</si>
  <si>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</si>
  <si>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</si>
  <si>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</si>
  <si>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</si>
  <si>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</si>
  <si>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</si>
  <si>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</si>
  <si>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</si>
  <si>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</si>
  <si>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</si>
  <si>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</si>
  <si>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</si>
  <si>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</si>
  <si>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</si>
  <si>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</si>
  <si>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</si>
  <si>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</si>
  <si>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</si>
  <si>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</si>
  <si>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</si>
  <si>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</si>
  <si>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</si>
  <si>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</si>
  <si>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</si>
  <si>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</si>
  <si>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</si>
  <si>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</si>
  <si>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</si>
  <si>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</si>
  <si>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</si>
  <si>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</si>
  <si>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</si>
  <si>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</si>
  <si>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</si>
  <si>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</si>
  <si>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</si>
  <si>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</si>
  <si>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</si>
  <si>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</si>
  <si>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</si>
  <si>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</si>
  <si>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</si>
  <si>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</si>
  <si>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</si>
  <si>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</si>
  <si>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</si>
  <si>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</si>
  <si>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</si>
  <si>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</si>
  <si>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</si>
  <si>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</si>
  <si>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</si>
  <si>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</si>
  <si>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</si>
  <si>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</si>
  <si>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</si>
  <si>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</si>
  <si>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</si>
  <si>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</si>
  <si>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</si>
  <si>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</si>
  <si>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</si>
  <si>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</si>
  <si>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</si>
  <si>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</si>
  <si>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</si>
  <si>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</si>
  <si>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</si>
  <si>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</si>
  <si>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</si>
  <si>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</si>
  <si>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</si>
  <si>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</si>
  <si>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</si>
  <si>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CUB C/R R8</t>
  </si>
  <si>
    <t>GLACIAL WHITE 22191 SF</t>
  </si>
  <si>
    <t xml:space="preserve">N°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</si>
</sst>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L27" sqref="L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139</v>
      </c>
      <c r="E8" s="1"/>
      <c r="F8" s="91" t="s">
        <v>27</v>
      </c>
      <c r="G8" s="92">
        <v>7400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44988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17" t="s">
        <v>18</v>
      </c>
      <c r="G16" s="117"/>
      <c r="H16" s="11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9" t="s">
        <v>19</v>
      </c>
      <c r="C19" s="120"/>
      <c r="D19" s="120"/>
      <c r="E19" s="120"/>
      <c r="F19" s="120"/>
      <c r="G19" s="120"/>
      <c r="H19" s="121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8">
        <v>1</v>
      </c>
      <c r="C21" s="100" t="s">
        <v>137</v>
      </c>
      <c r="D21" s="102">
        <v>1550</v>
      </c>
      <c r="E21" s="102">
        <v>600</v>
      </c>
      <c r="F21" s="100" t="s">
        <v>138</v>
      </c>
      <c r="G21" s="101">
        <v>50856</v>
      </c>
      <c r="H21" s="109">
        <f t="shared" ref="H21" si="0">G21*B21</f>
        <v>50856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/>
      <c r="C22" s="106"/>
      <c r="D22" s="107"/>
      <c r="E22" s="107"/>
      <c r="F22" s="106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3"/>
      <c r="H23" s="73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SUM(H21:H24)</f>
        <v>50856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H25*19%</f>
        <v>9662.64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60518.64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4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2" t="s">
        <v>31</v>
      </c>
      <c r="C2" s="122"/>
      <c r="D2" s="122"/>
      <c r="E2" s="18"/>
      <c r="G2" s="122" t="s">
        <v>70</v>
      </c>
      <c r="H2" s="122"/>
      <c r="I2" s="122"/>
      <c r="P2" s="123" t="s">
        <v>58</v>
      </c>
      <c r="Q2" s="123"/>
      <c r="R2" s="12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3" t="s">
        <v>58</v>
      </c>
      <c r="M8" s="123"/>
      <c r="N8" s="12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topLeftCell="A36" zoomScaleNormal="100" workbookViewId="0">
      <selection activeCell="A36" sqref="A36:F59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1" t="s">
        <v>61</v>
      </c>
      <c r="L3" s="111"/>
      <c r="M3" s="111" t="s">
        <v>14</v>
      </c>
      <c r="N3" s="111"/>
    </row>
    <row r="4" spans="1:14" ht="15.75" customHeight="1" x14ac:dyDescent="0.3">
      <c r="A4" s="1"/>
      <c r="B4" s="1"/>
      <c r="C4" s="38" t="s">
        <v>27</v>
      </c>
      <c r="D4" s="14">
        <f>'4637'!G8</f>
        <v>7400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2" t="s">
        <v>61</v>
      </c>
      <c r="B10" s="112"/>
      <c r="C10" s="112"/>
      <c r="D10" s="112"/>
      <c r="E10" s="112"/>
      <c r="F10" s="11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1630</v>
      </c>
      <c r="E14" s="35">
        <f t="shared" ref="E14" si="1">K14+$E$13</f>
        <v>570</v>
      </c>
      <c r="F14" s="97" t="str">
        <f>C27</f>
        <v>CUB C/R R8</v>
      </c>
      <c r="G14" s="1"/>
      <c r="I14" s="87">
        <f>I21</f>
        <v>1</v>
      </c>
      <c r="J14" s="4">
        <f>J21</f>
        <v>1550</v>
      </c>
      <c r="K14" s="4">
        <f>K21</f>
        <v>600</v>
      </c>
    </row>
    <row r="15" spans="1:14" ht="15.6" x14ac:dyDescent="0.3">
      <c r="A15" s="50"/>
      <c r="B15" s="6"/>
      <c r="C15" s="6"/>
      <c r="D15" s="6"/>
      <c r="E15" s="103"/>
      <c r="F15" s="6"/>
      <c r="G15" s="1"/>
      <c r="I15" s="87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2" t="s">
        <v>14</v>
      </c>
      <c r="B17" s="112"/>
      <c r="C17" s="112"/>
      <c r="D17" s="112"/>
      <c r="E17" s="112"/>
      <c r="F17" s="112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0" t="s">
        <v>7</v>
      </c>
      <c r="E19" s="50" t="s">
        <v>8</v>
      </c>
      <c r="F19" s="1"/>
      <c r="G19" s="1"/>
    </row>
    <row r="20" spans="1:11" ht="15.6" x14ac:dyDescent="0.3">
      <c r="A20" s="50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3"/>
      <c r="B21" s="16">
        <f t="shared" ref="B21" si="2">I21</f>
        <v>1</v>
      </c>
      <c r="C21" s="16"/>
      <c r="D21" s="16">
        <f>J21+D$20</f>
        <v>1590</v>
      </c>
      <c r="E21" s="16">
        <f>K21+E$20</f>
        <v>730</v>
      </c>
      <c r="F21" s="98" t="str">
        <f>C27</f>
        <v>CUB C/R R8</v>
      </c>
      <c r="G21" s="1"/>
      <c r="I21" s="3">
        <f>B27</f>
        <v>1</v>
      </c>
      <c r="J21" s="4">
        <f>D27</f>
        <v>1550</v>
      </c>
      <c r="K21" s="4">
        <f t="shared" ref="K21" si="3">E27</f>
        <v>600</v>
      </c>
    </row>
    <row r="22" spans="1:11" ht="15.6" x14ac:dyDescent="0.3">
      <c r="A22" s="93"/>
      <c r="B22" s="6"/>
      <c r="C22" s="6"/>
      <c r="D22" s="6"/>
      <c r="E22" s="6"/>
      <c r="F22" s="105"/>
      <c r="G22" s="1"/>
      <c r="I22" s="87"/>
      <c r="J22" s="2"/>
      <c r="K22" s="2"/>
    </row>
    <row r="23" spans="1:11" ht="16.2" thickBot="1" x14ac:dyDescent="0.35">
      <c r="A23" s="50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0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0" t="s">
        <v>9</v>
      </c>
      <c r="B26" s="86" t="s">
        <v>10</v>
      </c>
      <c r="C26" s="86" t="s">
        <v>110</v>
      </c>
      <c r="D26" s="86" t="s">
        <v>7</v>
      </c>
      <c r="E26" s="86" t="s">
        <v>8</v>
      </c>
      <c r="F26" s="86" t="s">
        <v>23</v>
      </c>
      <c r="G26" s="1"/>
    </row>
    <row r="27" spans="1:11" ht="15.6" x14ac:dyDescent="0.3">
      <c r="A27" s="93" t="s">
        <v>135</v>
      </c>
      <c r="B27" s="25">
        <f>'4637'!B21</f>
        <v>1</v>
      </c>
      <c r="C27" s="97" t="str">
        <f>'4637'!C21</f>
        <v>CUB C/R R8</v>
      </c>
      <c r="D27" s="25">
        <f>'4637'!D21</f>
        <v>1550</v>
      </c>
      <c r="E27" s="25">
        <f>'4637'!E21</f>
        <v>600</v>
      </c>
      <c r="F27" s="25" t="str">
        <f>'4637'!F21</f>
        <v>GLACIAL WHITE 22191 SF</v>
      </c>
      <c r="G27" s="1"/>
    </row>
    <row r="28" spans="1:11" ht="15.6" x14ac:dyDescent="0.3">
      <c r="A28" s="93"/>
      <c r="B28" s="6"/>
      <c r="C28" s="105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8" t="s">
        <v>27</v>
      </c>
      <c r="D38" s="14">
        <f>'4637'!G8</f>
        <v>7400</v>
      </c>
      <c r="E38" s="1"/>
      <c r="F38" s="1"/>
      <c r="G38" s="1"/>
    </row>
    <row r="39" spans="1:7" ht="17.25" customHeight="1" x14ac:dyDescent="0.3">
      <c r="A39" s="1"/>
      <c r="B39" s="1"/>
      <c r="C39" s="39" t="s">
        <v>67</v>
      </c>
      <c r="D39" s="40" t="str">
        <f>'4637'!C10</f>
        <v>MUEBLES ASENJO</v>
      </c>
      <c r="E39" s="41"/>
      <c r="F39" s="41"/>
      <c r="G39" s="1"/>
    </row>
    <row r="40" spans="1:7" ht="4.5" customHeight="1" x14ac:dyDescent="0.3">
      <c r="A40" s="1"/>
      <c r="B40" s="1"/>
      <c r="C40" s="42"/>
      <c r="D40" s="43"/>
      <c r="E40" s="1"/>
      <c r="F40" s="1"/>
      <c r="G40" s="1"/>
    </row>
    <row r="41" spans="1:7" ht="15.6" x14ac:dyDescent="0.3">
      <c r="A41" s="1"/>
      <c r="B41" s="1"/>
      <c r="C41" s="44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2" t="s">
        <v>68</v>
      </c>
      <c r="B44" s="112"/>
      <c r="C44" s="112"/>
      <c r="D44" s="112"/>
      <c r="E44" s="112"/>
      <c r="F44" s="112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3" t="s">
        <v>69</v>
      </c>
      <c r="C46" s="114"/>
      <c r="D46" s="115"/>
      <c r="E46" s="115"/>
      <c r="F46" s="116"/>
      <c r="G46" s="1"/>
    </row>
    <row r="47" spans="1:7" s="15" customFormat="1" ht="12.75" customHeight="1" x14ac:dyDescent="0.3">
      <c r="A47" s="1"/>
      <c r="B47" s="36" t="s">
        <v>10</v>
      </c>
      <c r="C47" s="45" t="s">
        <v>11</v>
      </c>
      <c r="D47" s="46" t="s">
        <v>7</v>
      </c>
      <c r="E47" s="46" t="s">
        <v>8</v>
      </c>
      <c r="F47" s="47" t="s">
        <v>12</v>
      </c>
      <c r="G47" s="1"/>
    </row>
    <row r="48" spans="1:7" s="15" customFormat="1" ht="15" customHeight="1" x14ac:dyDescent="0.3">
      <c r="A48" s="93" t="s">
        <v>135</v>
      </c>
      <c r="B48" s="110">
        <f>'4637'!B21</f>
        <v>1</v>
      </c>
      <c r="C48" s="96" t="str">
        <f>'4637'!C21</f>
        <v>CUB C/R R8</v>
      </c>
      <c r="D48" s="96">
        <f>'4637'!D21</f>
        <v>1550</v>
      </c>
      <c r="E48" s="96">
        <f>'4637'!E21</f>
        <v>600</v>
      </c>
      <c r="F48" s="96" t="str">
        <f>'4637'!F21</f>
        <v>GLACIAL WHITE 22191 SF</v>
      </c>
      <c r="G48" s="1"/>
    </row>
    <row r="49" spans="1:7" s="15" customFormat="1" ht="15" customHeight="1" x14ac:dyDescent="0.3">
      <c r="B49" s="50"/>
      <c r="C49" s="104"/>
      <c r="D49" s="50"/>
      <c r="E49" s="50"/>
      <c r="F49" s="50"/>
      <c r="G49" s="1"/>
    </row>
    <row r="50" spans="1:7" s="15" customFormat="1" ht="15" customHeight="1" x14ac:dyDescent="0.3">
      <c r="A50" s="48"/>
      <c r="B50" s="50"/>
      <c r="C50" s="50"/>
      <c r="D50" s="50"/>
      <c r="E50" s="50"/>
      <c r="F50" s="50"/>
      <c r="G50" s="1"/>
    </row>
    <row r="51" spans="1:7" ht="15.6" x14ac:dyDescent="0.3">
      <c r="A51" s="6"/>
      <c r="B51" s="6"/>
      <c r="C51" s="1"/>
      <c r="D51" s="6"/>
      <c r="E51" s="6"/>
      <c r="F51" s="42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49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2026-03-10T14:00:18Z</cp:lastPrinted>
  <dcterms:created xsi:type="dcterms:W3CDTF">2013-03-19T12:54:14Z</dcterms:created>
  <dcterms:modified xsi:type="dcterms:W3CDTF">2026-03-10T14:29:03Z</dcterms:modified>
</cp:coreProperties>
</file>