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6\"/>
    </mc:Choice>
  </mc:AlternateContent>
  <xr:revisionPtr revIDLastSave="0" documentId="13_ncr:1_{B1D586F3-2A49-4A28-9109-03E1F5BD5D3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" l="1"/>
  <c r="I23" i="3" s="1"/>
  <c r="C30" i="3"/>
  <c r="F23" i="3" s="1"/>
  <c r="D30" i="3"/>
  <c r="J23" i="3" s="1"/>
  <c r="E30" i="3"/>
  <c r="K23" i="3" s="1"/>
  <c r="F30" i="3"/>
  <c r="D51" i="3"/>
  <c r="E51" i="3"/>
  <c r="F51" i="3"/>
  <c r="D52" i="3"/>
  <c r="E52" i="3"/>
  <c r="F52" i="3"/>
  <c r="C52" i="3"/>
  <c r="H22" i="4"/>
  <c r="H21" i="4"/>
  <c r="I15" i="3" l="1"/>
  <c r="B15" i="3" s="1"/>
  <c r="B23" i="3"/>
  <c r="J15" i="3"/>
  <c r="D15" i="3" s="1"/>
  <c r="D23" i="3"/>
  <c r="K15" i="3"/>
  <c r="E15" i="3" s="1"/>
  <c r="E23" i="3"/>
  <c r="F15" i="3"/>
  <c r="B29" i="3"/>
  <c r="I22" i="3" s="1"/>
  <c r="I14" i="3" s="1"/>
  <c r="B14" i="3" s="1"/>
  <c r="C29" i="3"/>
  <c r="F14" i="3" s="1"/>
  <c r="D29" i="3"/>
  <c r="J22" i="3" s="1"/>
  <c r="E29" i="3"/>
  <c r="F29" i="3"/>
  <c r="B51" i="3"/>
  <c r="C51" i="3"/>
  <c r="H26" i="4"/>
  <c r="K22" i="3" l="1"/>
  <c r="D22" i="3"/>
  <c r="J14" i="3"/>
  <c r="D14" i="3" s="1"/>
  <c r="B22" i="3"/>
  <c r="F22" i="3"/>
  <c r="K14" i="3" l="1"/>
  <c r="E14" i="3" s="1"/>
  <c r="E22" i="3"/>
  <c r="H27" i="4"/>
  <c r="H28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<sst xmlns="http://schemas.openxmlformats.org/spreadsheetml/2006/main" count="245" uniqueCount="140">
  <si>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</si>
  <si>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</si>
  <si>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</si>
  <si>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</si>
  <si>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</si>
  <si>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</si>
  <si>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</si>
  <si>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</si>
  <si>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</si>
  <si>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</si>
  <si>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</si>
  <si>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</si>
  <si>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</si>
  <si>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</si>
  <si>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</si>
  <si>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</si>
  <si>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</si>
  <si>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</si>
  <si>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</si>
  <si>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</si>
  <si>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</si>
  <si>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</si>
  <si>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</si>
  <si>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</si>
  <si>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</si>
  <si>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</si>
  <si>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</si>
  <si>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</si>
  <si>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</si>
  <si>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</si>
  <si>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</si>
  <si>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</si>
  <si>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</si>
  <si>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</si>
  <si>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</si>
  <si>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</si>
  <si>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</si>
  <si>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</si>
  <si>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</si>
  <si>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</si>
  <si>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</si>
  <si>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</si>
  <si>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</si>
  <si>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</si>
  <si>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</si>
  <si>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</si>
  <si>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</si>
  <si>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</si>
  <si>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</si>
  <si>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</si>
  <si>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</si>
  <si>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</si>
  <si>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</si>
  <si>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</si>
  <si>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</si>
  <si>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</si>
  <si>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</si>
  <si>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</si>
  <si>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</si>
  <si>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</si>
  <si>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</si>
  <si>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</si>
  <si>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</si>
  <si>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</si>
  <si>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</si>
  <si>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</si>
  <si>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</si>
  <si>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</si>
  <si>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</si>
  <si>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</si>
  <si>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</si>
  <si>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</si>
  <si>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</si>
  <si>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</si>
  <si>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</si>
  <si>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</si>
  <si>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</si>
  <si>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</si>
  <si>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</si>
  <si>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</si>
  <si>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</si>
  <si>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</si>
  <si>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</si>
  <si>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</si>
  <si>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</si>
  <si>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</si>
  <si>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</si>
  <si>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</si>
  <si>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</si>
  <si>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</si>
  <si>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</si>
  <si>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</si>
  <si>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</si>
  <si>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</si>
  <si>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</si>
  <si>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</si>
  <si>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</si>
  <si>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</si>
  <si>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</si>
  <si>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</si>
  <si>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</si>
  <si>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</si>
  <si>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</si>
  <si>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</si>
  <si>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</si>
  <si>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</si>
  <si>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</si>
  <si>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</si>
  <si>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</si>
  <si>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</si>
  <si>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</si>
  <si>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</si>
  <si>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</si>
  <si>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</si>
  <si>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</si>
  <si>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</si>
  <si>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</si>
  <si>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</si>
  <si>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</si>
  <si>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</si>
  <si>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</si>
  <si>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</si>
  <si>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</si>
  <si>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</si>
  <si>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</si>
  <si>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</si>
  <si>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</si>
  <si>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</si>
  <si>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</si>
  <si>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</si>
  <si>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</si>
  <si>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</si>
  <si>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</si>
  <si>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</si>
  <si>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</si>
  <si>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</si>
  <si>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MUEBLES ASENJO</t>
  </si>
  <si>
    <t>CUB C/R R8</t>
  </si>
  <si>
    <t>GLACIAL WHITE 22191 SF</t>
  </si>
  <si>
    <t>N° 12016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</si>
</sst>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17" fillId="0" borderId="19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25</xdr:row>
      <xdr:rowOff>11430</xdr:rowOff>
    </xdr:from>
    <xdr:to>
      <xdr:col>5</xdr:col>
      <xdr:colOff>1386840</xdr:colOff>
      <xdr:row>28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19050</xdr:colOff>
      <xdr:row>61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556018</xdr:colOff>
      <xdr:row>45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6" workbookViewId="0">
      <selection activeCell="J10" sqref="J1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139</v>
      </c>
      <c r="E8" s="1"/>
      <c r="F8" s="91" t="s">
        <v>27</v>
      </c>
      <c r="G8" s="92">
        <v>7398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129</v>
      </c>
      <c r="C10" s="84" t="s">
        <v>136</v>
      </c>
      <c r="D10" s="53"/>
      <c r="E10" s="53"/>
      <c r="F10" s="54" t="s">
        <v>28</v>
      </c>
      <c r="G10" s="55">
        <v>44988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"/>
      <c r="D11" s="58"/>
      <c r="E11" s="58"/>
      <c r="F11" s="58" t="s">
        <v>124</v>
      </c>
      <c r="G11" s="59"/>
      <c r="H11" s="60"/>
      <c r="I11" s="1"/>
    </row>
    <row r="12" spans="1:17" ht="16.2" thickBot="1" x14ac:dyDescent="0.35">
      <c r="A12" s="1"/>
      <c r="B12" s="61" t="s">
        <v>130</v>
      </c>
      <c r="D12" s="41"/>
      <c r="E12" s="41"/>
      <c r="F12" s="41" t="s">
        <v>30</v>
      </c>
      <c r="G12" s="62"/>
      <c r="H12" s="63"/>
      <c r="I12" s="1"/>
    </row>
    <row r="13" spans="1:17" ht="15.6" x14ac:dyDescent="0.3">
      <c r="A13" s="1"/>
      <c r="B13" s="61" t="s">
        <v>132</v>
      </c>
      <c r="C13" s="84"/>
      <c r="D13" s="41"/>
      <c r="E13" s="41"/>
      <c r="F13" s="41" t="s">
        <v>128</v>
      </c>
      <c r="G13" s="62"/>
      <c r="H13" s="63"/>
      <c r="I13" s="1"/>
    </row>
    <row r="14" spans="1:17" ht="15.6" x14ac:dyDescent="0.3">
      <c r="A14" s="1"/>
      <c r="B14" s="57" t="s">
        <v>17</v>
      </c>
      <c r="C14" s="99"/>
      <c r="D14" s="64"/>
      <c r="E14" s="58"/>
      <c r="F14" s="58" t="s">
        <v>29</v>
      </c>
      <c r="G14" s="58" t="s">
        <v>134</v>
      </c>
      <c r="H14" s="60"/>
      <c r="I14" s="1"/>
    </row>
    <row r="15" spans="1:17" ht="15.6" x14ac:dyDescent="0.3">
      <c r="A15" s="1"/>
      <c r="B15" s="61" t="s">
        <v>1</v>
      </c>
      <c r="C15" s="95"/>
      <c r="D15" s="41"/>
      <c r="E15" s="41"/>
      <c r="F15" s="65" t="s">
        <v>75</v>
      </c>
      <c r="G15" s="65" t="s">
        <v>133</v>
      </c>
      <c r="H15" s="63"/>
      <c r="I15" s="1"/>
    </row>
    <row r="16" spans="1:17" ht="16.2" thickBot="1" x14ac:dyDescent="0.35">
      <c r="A16" s="1"/>
      <c r="B16" s="66" t="s">
        <v>3</v>
      </c>
      <c r="C16" s="67" t="s">
        <v>131</v>
      </c>
      <c r="D16" s="67"/>
      <c r="E16" s="68"/>
      <c r="F16" s="115" t="s">
        <v>18</v>
      </c>
      <c r="G16" s="115"/>
      <c r="H16" s="11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7" t="s">
        <v>19</v>
      </c>
      <c r="C19" s="118"/>
      <c r="D19" s="118"/>
      <c r="E19" s="118"/>
      <c r="F19" s="118"/>
      <c r="G19" s="118"/>
      <c r="H19" s="119"/>
      <c r="I19" s="1"/>
    </row>
    <row r="20" spans="1:16" ht="16.2" thickBot="1" x14ac:dyDescent="0.35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8" customHeight="1" x14ac:dyDescent="0.3">
      <c r="A21" s="1"/>
      <c r="B21" s="108">
        <v>2</v>
      </c>
      <c r="C21" s="100" t="s">
        <v>137</v>
      </c>
      <c r="D21" s="102">
        <v>3000</v>
      </c>
      <c r="E21" s="102">
        <v>600</v>
      </c>
      <c r="F21" s="100" t="s">
        <v>138</v>
      </c>
      <c r="G21" s="101">
        <v>93093</v>
      </c>
      <c r="H21" s="109">
        <f t="shared" ref="H21" si="0">G21*B21</f>
        <v>186186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10">
        <v>1</v>
      </c>
      <c r="C22" s="100" t="s">
        <v>137</v>
      </c>
      <c r="D22" s="102">
        <v>1500</v>
      </c>
      <c r="E22" s="102">
        <v>600</v>
      </c>
      <c r="F22" s="100" t="s">
        <v>138</v>
      </c>
      <c r="G22" s="101">
        <v>49216</v>
      </c>
      <c r="H22" s="111">
        <f>G22*B22</f>
        <v>49216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/>
      <c r="C23" s="106"/>
      <c r="D23" s="107"/>
      <c r="E23" s="107"/>
      <c r="F23" s="106"/>
      <c r="G23" s="73"/>
      <c r="H23" s="73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6"/>
      <c r="C24" s="106"/>
      <c r="D24" s="107"/>
      <c r="E24" s="107"/>
      <c r="F24" s="106"/>
      <c r="G24" s="73"/>
      <c r="H24" s="73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2"/>
      <c r="C25" s="72"/>
      <c r="D25" s="72"/>
      <c r="E25" s="72"/>
      <c r="F25" s="72"/>
      <c r="G25" s="73"/>
      <c r="H25" s="73"/>
      <c r="I25" s="1"/>
    </row>
    <row r="26" spans="1:16" ht="15.6" x14ac:dyDescent="0.3">
      <c r="A26" s="1"/>
      <c r="B26" s="1"/>
      <c r="C26" s="1"/>
      <c r="D26" s="1"/>
      <c r="E26" s="1"/>
      <c r="F26" s="1"/>
      <c r="G26" s="74" t="s">
        <v>5</v>
      </c>
      <c r="H26" s="75">
        <f>SUM(H21:H25)</f>
        <v>235402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6" t="s">
        <v>6</v>
      </c>
      <c r="H27" s="77">
        <f>H26*19%</f>
        <v>44726.38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78" t="s">
        <v>4</v>
      </c>
      <c r="H28" s="79">
        <f>H26+H27</f>
        <v>280128.38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0"/>
      <c r="H29" s="94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0" t="s">
        <v>123</v>
      </c>
      <c r="C31" s="81"/>
      <c r="D31" s="82"/>
      <c r="E31" s="82"/>
      <c r="F31" s="72"/>
      <c r="G31" s="1"/>
      <c r="H31" s="1"/>
      <c r="I31" s="1"/>
    </row>
    <row r="32" spans="1:16" ht="15.6" x14ac:dyDescent="0.3">
      <c r="A32" s="1"/>
      <c r="B32" s="80" t="s">
        <v>122</v>
      </c>
      <c r="C32" s="81"/>
      <c r="D32" s="82"/>
      <c r="E32" s="82"/>
      <c r="F32" s="72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3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1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tabSelected="1" zoomScaleNormal="100" workbookViewId="0">
      <selection sqref="A1:F39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61</v>
      </c>
      <c r="L3" s="122"/>
      <c r="M3" s="122" t="s">
        <v>14</v>
      </c>
      <c r="N3" s="122"/>
    </row>
    <row r="4" spans="1:14" ht="15.75" customHeight="1" x14ac:dyDescent="0.3">
      <c r="A4" s="1"/>
      <c r="B4" s="1"/>
      <c r="C4" s="38" t="s">
        <v>27</v>
      </c>
      <c r="D4" s="14">
        <f>'4637'!G8</f>
        <v>7398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67</v>
      </c>
      <c r="D5" s="40" t="str">
        <f>'4637'!C10</f>
        <v>MUEBLES ASENJO</v>
      </c>
      <c r="E5" s="41"/>
      <c r="F5" s="41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1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61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135</v>
      </c>
      <c r="B14" s="25">
        <f t="shared" ref="B14" si="0">I14</f>
        <v>2</v>
      </c>
      <c r="C14" s="25"/>
      <c r="D14" s="25">
        <f>J14+$D$13</f>
        <v>3080</v>
      </c>
      <c r="E14" s="35">
        <f t="shared" ref="E14:E15" si="1">K14+$E$13</f>
        <v>570</v>
      </c>
      <c r="F14" s="97" t="str">
        <f>C29</f>
        <v>CUB C/R R8</v>
      </c>
      <c r="G14" s="1"/>
      <c r="I14" s="87">
        <f>I22</f>
        <v>2</v>
      </c>
      <c r="J14" s="4">
        <f>J22</f>
        <v>3000</v>
      </c>
      <c r="K14" s="4">
        <f>K22</f>
        <v>600</v>
      </c>
    </row>
    <row r="15" spans="1:14" ht="15.6" x14ac:dyDescent="0.3">
      <c r="A15" s="93"/>
      <c r="B15" s="25">
        <f t="shared" ref="B15" si="2">I15</f>
        <v>1</v>
      </c>
      <c r="C15" s="25"/>
      <c r="D15" s="25">
        <f t="shared" ref="D15" si="3">J15+$D$13</f>
        <v>1580</v>
      </c>
      <c r="E15" s="35">
        <f t="shared" si="1"/>
        <v>570</v>
      </c>
      <c r="F15" s="97" t="str">
        <f>C30</f>
        <v>CUB C/R R8</v>
      </c>
      <c r="G15" s="1"/>
      <c r="I15" s="87">
        <f t="shared" ref="I15:K15" si="4">I23</f>
        <v>1</v>
      </c>
      <c r="J15" s="4">
        <f t="shared" si="4"/>
        <v>1500</v>
      </c>
      <c r="K15" s="4">
        <f t="shared" si="4"/>
        <v>600</v>
      </c>
    </row>
    <row r="16" spans="1:14" ht="15.6" x14ac:dyDescent="0.3">
      <c r="A16" s="50"/>
      <c r="B16" s="6"/>
      <c r="C16" s="6"/>
      <c r="D16" s="6"/>
      <c r="E16" s="103"/>
      <c r="F16" s="6"/>
      <c r="G16" s="1"/>
      <c r="I16" s="87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3" t="s">
        <v>14</v>
      </c>
      <c r="B18" s="123"/>
      <c r="C18" s="123"/>
      <c r="D18" s="123"/>
      <c r="E18" s="123"/>
      <c r="F18" s="123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7</v>
      </c>
      <c r="E20" s="50" t="s">
        <v>8</v>
      </c>
      <c r="F20" s="1"/>
      <c r="G20" s="1"/>
    </row>
    <row r="21" spans="1:11" ht="15.6" x14ac:dyDescent="0.3">
      <c r="A21" s="50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3"/>
      <c r="B22" s="16">
        <f t="shared" ref="B22" si="5">I22</f>
        <v>2</v>
      </c>
      <c r="C22" s="16"/>
      <c r="D22" s="16">
        <f>J22+D$21</f>
        <v>3040</v>
      </c>
      <c r="E22" s="16">
        <f t="shared" ref="E22:E23" si="6">K22+E$21</f>
        <v>730</v>
      </c>
      <c r="F22" s="98" t="str">
        <f>C29</f>
        <v>CUB C/R R8</v>
      </c>
      <c r="G22" s="1"/>
      <c r="I22" s="3">
        <f>B29</f>
        <v>2</v>
      </c>
      <c r="J22" s="4">
        <f>D29</f>
        <v>3000</v>
      </c>
      <c r="K22" s="4">
        <f t="shared" ref="K22" si="7">E29</f>
        <v>600</v>
      </c>
    </row>
    <row r="23" spans="1:11" ht="15.6" x14ac:dyDescent="0.3">
      <c r="A23" s="93"/>
      <c r="B23" s="16">
        <f t="shared" ref="B23" si="8">I23</f>
        <v>1</v>
      </c>
      <c r="C23" s="16"/>
      <c r="D23" s="16">
        <f t="shared" ref="D23" si="9">J23+D$21</f>
        <v>1540</v>
      </c>
      <c r="E23" s="16">
        <f t="shared" si="6"/>
        <v>730</v>
      </c>
      <c r="F23" s="98" t="str">
        <f>C30</f>
        <v>CUB C/R R8</v>
      </c>
      <c r="G23" s="1"/>
      <c r="I23" s="3">
        <f>B30</f>
        <v>1</v>
      </c>
      <c r="J23" s="4">
        <f>D30</f>
        <v>1500</v>
      </c>
      <c r="K23" s="4">
        <f>E30</f>
        <v>600</v>
      </c>
    </row>
    <row r="24" spans="1:11" ht="15.6" x14ac:dyDescent="0.3">
      <c r="A24" s="93"/>
      <c r="B24" s="6"/>
      <c r="C24" s="6"/>
      <c r="D24" s="6"/>
      <c r="E24" s="6"/>
      <c r="F24" s="105"/>
      <c r="G24" s="1"/>
      <c r="I24" s="87"/>
      <c r="J24" s="2"/>
      <c r="K24" s="2"/>
    </row>
    <row r="25" spans="1:11" ht="16.2" thickBot="1" x14ac:dyDescent="0.35">
      <c r="A25" s="50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0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0" t="s">
        <v>9</v>
      </c>
      <c r="B28" s="86" t="s">
        <v>10</v>
      </c>
      <c r="C28" s="86" t="s">
        <v>110</v>
      </c>
      <c r="D28" s="86" t="s">
        <v>7</v>
      </c>
      <c r="E28" s="86" t="s">
        <v>8</v>
      </c>
      <c r="F28" s="86" t="s">
        <v>23</v>
      </c>
      <c r="G28" s="1"/>
    </row>
    <row r="29" spans="1:11" ht="15.6" x14ac:dyDescent="0.3">
      <c r="A29" s="93" t="s">
        <v>135</v>
      </c>
      <c r="B29" s="25">
        <f>'4637'!B21</f>
        <v>2</v>
      </c>
      <c r="C29" s="97" t="str">
        <f>'4637'!C21</f>
        <v>CUB C/R R8</v>
      </c>
      <c r="D29" s="25">
        <f>'4637'!D21</f>
        <v>3000</v>
      </c>
      <c r="E29" s="25">
        <f>'4637'!E21</f>
        <v>600</v>
      </c>
      <c r="F29" s="25" t="str">
        <f>'4637'!F21</f>
        <v>GLACIAL WHITE 22191 SF</v>
      </c>
      <c r="G29" s="1"/>
    </row>
    <row r="30" spans="1:11" ht="15.6" x14ac:dyDescent="0.3">
      <c r="A30" s="93"/>
      <c r="B30" s="25">
        <f>'4637'!B22</f>
        <v>1</v>
      </c>
      <c r="C30" s="97" t="str">
        <f>'4637'!C22</f>
        <v>CUB C/R R8</v>
      </c>
      <c r="D30" s="25">
        <f>'4637'!D22</f>
        <v>1500</v>
      </c>
      <c r="E30" s="25">
        <f>'4637'!E22</f>
        <v>600</v>
      </c>
      <c r="F30" s="25" t="str">
        <f>'4637'!F22</f>
        <v>GLACIAL WHITE 22191 SF</v>
      </c>
      <c r="G30" s="1"/>
    </row>
    <row r="31" spans="1:11" ht="15.6" x14ac:dyDescent="0.3">
      <c r="A31" s="93"/>
      <c r="B31" s="6"/>
      <c r="C31" s="105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38" t="s">
        <v>27</v>
      </c>
      <c r="D41" s="14">
        <f>'4637'!G8</f>
        <v>7398</v>
      </c>
      <c r="E41" s="1"/>
      <c r="F41" s="1"/>
      <c r="G41" s="1"/>
    </row>
    <row r="42" spans="1:7" ht="17.25" customHeight="1" x14ac:dyDescent="0.3">
      <c r="A42" s="1"/>
      <c r="B42" s="1"/>
      <c r="C42" s="39" t="s">
        <v>67</v>
      </c>
      <c r="D42" s="40" t="str">
        <f>'4637'!C10</f>
        <v>MUEBLES ASENJO</v>
      </c>
      <c r="E42" s="41"/>
      <c r="F42" s="41"/>
      <c r="G42" s="1"/>
    </row>
    <row r="43" spans="1:7" ht="4.5" customHeight="1" x14ac:dyDescent="0.3">
      <c r="A43" s="1"/>
      <c r="B43" s="1"/>
      <c r="C43" s="42"/>
      <c r="D43" s="43"/>
      <c r="E43" s="1"/>
      <c r="F43" s="1"/>
      <c r="G43" s="1"/>
    </row>
    <row r="44" spans="1:7" ht="15.6" x14ac:dyDescent="0.3">
      <c r="A44" s="1"/>
      <c r="B44" s="1"/>
      <c r="C44" s="44" t="str">
        <f>'4637'!F11</f>
        <v>FECHA LIMITE :</v>
      </c>
      <c r="D44" s="13">
        <f>'4637'!G11</f>
        <v>0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23" t="s">
        <v>68</v>
      </c>
      <c r="B47" s="123"/>
      <c r="C47" s="123"/>
      <c r="D47" s="123"/>
      <c r="E47" s="123"/>
      <c r="F47" s="123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24" t="s">
        <v>69</v>
      </c>
      <c r="C49" s="125"/>
      <c r="D49" s="126"/>
      <c r="E49" s="126"/>
      <c r="F49" s="127"/>
      <c r="G49" s="1"/>
    </row>
    <row r="50" spans="1:7" s="15" customFormat="1" ht="12.75" customHeight="1" x14ac:dyDescent="0.3">
      <c r="A50" s="1"/>
      <c r="B50" s="36" t="s">
        <v>10</v>
      </c>
      <c r="C50" s="45" t="s">
        <v>11</v>
      </c>
      <c r="D50" s="46" t="s">
        <v>7</v>
      </c>
      <c r="E50" s="46" t="s">
        <v>8</v>
      </c>
      <c r="F50" s="47" t="s">
        <v>12</v>
      </c>
      <c r="G50" s="1"/>
    </row>
    <row r="51" spans="1:7" s="15" customFormat="1" ht="15" customHeight="1" x14ac:dyDescent="0.3">
      <c r="A51" s="93" t="s">
        <v>135</v>
      </c>
      <c r="B51" s="113">
        <f>'4637'!B21</f>
        <v>2</v>
      </c>
      <c r="C51" s="96" t="str">
        <f>'4637'!C21</f>
        <v>CUB C/R R8</v>
      </c>
      <c r="D51" s="96">
        <f>'4637'!D21</f>
        <v>3000</v>
      </c>
      <c r="E51" s="96">
        <f>'4637'!E21</f>
        <v>600</v>
      </c>
      <c r="F51" s="96" t="str">
        <f>'4637'!F21</f>
        <v>GLACIAL WHITE 22191 SF</v>
      </c>
      <c r="G51" s="1"/>
    </row>
    <row r="52" spans="1:7" s="15" customFormat="1" ht="15" customHeight="1" x14ac:dyDescent="0.3">
      <c r="A52" s="93"/>
      <c r="B52" s="114">
        <v>1</v>
      </c>
      <c r="C52" s="112" t="str">
        <f>'4637'!C22</f>
        <v>CUB C/R R8</v>
      </c>
      <c r="D52" s="96">
        <f>'4637'!D22</f>
        <v>1500</v>
      </c>
      <c r="E52" s="96">
        <f>'4637'!E22</f>
        <v>600</v>
      </c>
      <c r="F52" s="96" t="str">
        <f>'4637'!F22</f>
        <v>GLACIAL WHITE 22191 SF</v>
      </c>
      <c r="G52" s="1"/>
    </row>
    <row r="53" spans="1:7" s="15" customFormat="1" ht="15" customHeight="1" x14ac:dyDescent="0.3">
      <c r="B53" s="50"/>
      <c r="C53" s="104"/>
      <c r="D53" s="50"/>
      <c r="E53" s="50"/>
      <c r="F53" s="50"/>
      <c r="G53" s="1"/>
    </row>
    <row r="54" spans="1:7" s="15" customFormat="1" ht="15" customHeight="1" x14ac:dyDescent="0.3">
      <c r="A54" s="48"/>
      <c r="B54" s="50"/>
      <c r="C54" s="50"/>
      <c r="D54" s="50"/>
      <c r="E54" s="50"/>
      <c r="F54" s="50"/>
      <c r="G54" s="1"/>
    </row>
    <row r="55" spans="1:7" ht="15.6" x14ac:dyDescent="0.3">
      <c r="A55" s="6"/>
      <c r="B55" s="6"/>
      <c r="C55" s="1"/>
      <c r="D55" s="6"/>
      <c r="E55" s="6"/>
      <c r="F55" s="42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49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2026-03-04T19:55:41Z</cp:lastPrinted>
  <dcterms:created xsi:type="dcterms:W3CDTF">2013-03-19T12:54:14Z</dcterms:created>
  <dcterms:modified xsi:type="dcterms:W3CDTF">2026-03-04T20:00:18Z</dcterms:modified>
</cp:coreProperties>
</file>