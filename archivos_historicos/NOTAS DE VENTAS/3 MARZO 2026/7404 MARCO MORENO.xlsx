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743E79A4-657B-430E-9FB4-2C02C32A911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I15" i="3"/>
  <c r="B15" i="3" s="1"/>
  <c r="J15" i="3"/>
  <c r="K15" i="3"/>
  <c r="I23" i="3"/>
  <c r="B23" i="3" s="1"/>
  <c r="J23" i="3"/>
  <c r="K23" i="3"/>
  <c r="D15" i="3"/>
  <c r="F15" i="3"/>
  <c r="D23" i="3"/>
  <c r="B29" i="3"/>
  <c r="C29" i="3"/>
  <c r="F23" i="3" s="1"/>
  <c r="D29" i="3"/>
  <c r="E29" i="3"/>
  <c r="F29" i="3"/>
  <c r="B51" i="3"/>
  <c r="C51" i="3"/>
  <c r="D51" i="3"/>
  <c r="E51" i="3"/>
  <c r="F51" i="3"/>
  <c r="H22" i="4"/>
  <c r="D50" i="3"/>
  <c r="E50" i="3"/>
  <c r="F50" i="3"/>
  <c r="H21" i="4"/>
  <c r="B28" i="3" l="1"/>
  <c r="I22" i="3" s="1"/>
  <c r="I14" i="3" s="1"/>
  <c r="B14" i="3" s="1"/>
  <c r="C28" i="3"/>
  <c r="F14" i="3" s="1"/>
  <c r="D28" i="3"/>
  <c r="J22" i="3" s="1"/>
  <c r="E28" i="3"/>
  <c r="F28" i="3"/>
  <c r="B50" i="3"/>
  <c r="C50" i="3"/>
  <c r="H25" i="4"/>
  <c r="K22" i="3" l="1"/>
  <c r="D22" i="3"/>
  <c r="J14" i="3"/>
  <c r="D14" i="3" s="1"/>
  <c r="B22" i="3"/>
  <c r="F22" i="3"/>
  <c r="K14" i="3" l="1"/>
  <c r="E14" i="3" s="1"/>
  <c r="E22" i="3"/>
  <c r="H26" i="4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<sst xmlns="http://schemas.openxmlformats.org/spreadsheetml/2006/main" count="246" uniqueCount="142">
  <si>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</si>
  <si>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</si>
  <si>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</si>
  <si>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</si>
  <si>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</si>
  <si>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</si>
  <si>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</si>
  <si>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</si>
  <si>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</si>
  <si>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</si>
  <si>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</si>
  <si>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</si>
  <si>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</si>
  <si>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</si>
  <si>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</si>
  <si>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</si>
  <si>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</si>
  <si>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</si>
  <si>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</si>
  <si>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</si>
  <si>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</si>
  <si>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</si>
  <si>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</si>
  <si>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</si>
  <si>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</si>
  <si>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</si>
  <si>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</si>
  <si>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</si>
  <si>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</si>
  <si>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</si>
  <si>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</si>
  <si>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</si>
  <si>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</si>
  <si>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</si>
  <si>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</si>
  <si>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</si>
  <si>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</si>
  <si>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</si>
  <si>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</si>
  <si>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</si>
  <si>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</si>
  <si>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</si>
  <si>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</si>
  <si>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</si>
  <si>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</si>
  <si>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</si>
  <si>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</si>
  <si>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</si>
  <si>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</si>
  <si>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</si>
  <si>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</si>
  <si>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</si>
  <si>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</si>
  <si>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</si>
  <si>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</si>
  <si>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</si>
  <si>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</si>
  <si>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</si>
  <si>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</si>
  <si>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</si>
  <si>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</si>
  <si>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</si>
  <si>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</si>
  <si>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</si>
  <si>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</si>
  <si>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</si>
  <si>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</si>
  <si>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</si>
  <si>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</si>
  <si>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</si>
  <si>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</si>
  <si>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</si>
  <si>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</si>
  <si>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</si>
  <si>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</si>
  <si>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</si>
  <si>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</si>
  <si>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</si>
  <si>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</si>
  <si>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</si>
  <si>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</si>
  <si>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</si>
  <si>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</si>
  <si>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</si>
  <si>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</si>
  <si>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</si>
  <si>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</si>
  <si>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</si>
  <si>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</si>
  <si>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</si>
  <si>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</si>
  <si>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</si>
  <si>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</si>
  <si>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</si>
  <si>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</si>
  <si>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</si>
  <si>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</si>
  <si>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</si>
  <si>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</si>
  <si>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</si>
  <si>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</si>
  <si>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</si>
  <si>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</si>
  <si>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</si>
  <si>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</si>
  <si>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</si>
  <si>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</si>
  <si>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</si>
  <si>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</si>
  <si>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</si>
  <si>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</si>
  <si>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</si>
  <si>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</si>
  <si>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</si>
  <si>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</si>
  <si>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</si>
  <si>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</si>
  <si>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</si>
  <si>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</si>
  <si>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</si>
  <si>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</si>
  <si>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</si>
  <si>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</si>
  <si>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</si>
  <si>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</si>
  <si>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</si>
  <si>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</si>
  <si>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</si>
  <si>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</si>
  <si>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</si>
  <si>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</si>
  <si>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</si>
  <si>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</si>
  <si>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</si>
  <si>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</si>
  <si>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CUB C/R R8</t>
  </si>
  <si>
    <t>MARCO MORENO</t>
  </si>
  <si>
    <t>+569 5667 1283</t>
  </si>
  <si>
    <t>CUB MESA 2 LADOS 180°</t>
  </si>
  <si>
    <t>THAI SAMOA TEAK 10845</t>
  </si>
  <si>
    <t>N° 12026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</si>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</sst>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166" fontId="3" fillId="0" borderId="31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1" fontId="15" fillId="0" borderId="31" xfId="0" applyNumberFormat="1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1" fontId="15" fillId="0" borderId="32" xfId="0" applyNumberFormat="1" applyFont="1" applyFill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$90.000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552208</xdr:colOff>
      <xdr:row>44</xdr:row>
      <xdr:rowOff>133350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554113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8" workbookViewId="0">
      <selection activeCell="F16" sqref="F16:H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140</v>
      </c>
      <c r="E8" s="1"/>
      <c r="F8" s="91" t="s">
        <v>27</v>
      </c>
      <c r="G8" s="92">
        <v>7404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46090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46097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137</v>
      </c>
      <c r="D14" s="64"/>
      <c r="E14" s="58"/>
      <c r="F14" s="58" t="s">
        <v>29</v>
      </c>
      <c r="G14" s="58" t="s">
        <v>133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141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19">
        <v>1</v>
      </c>
      <c r="C21" s="120" t="s">
        <v>135</v>
      </c>
      <c r="D21" s="121">
        <v>1930</v>
      </c>
      <c r="E21" s="121">
        <v>550</v>
      </c>
      <c r="F21" s="120" t="s">
        <v>139</v>
      </c>
      <c r="G21" s="105">
        <v>85325</v>
      </c>
      <c r="H21" s="103">
        <f t="shared" ref="H21" si="0">G21*B21</f>
        <v>85325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22">
        <v>1</v>
      </c>
      <c r="C22" s="123" t="s">
        <v>138</v>
      </c>
      <c r="D22" s="124">
        <v>1735</v>
      </c>
      <c r="E22" s="124">
        <v>365</v>
      </c>
      <c r="F22" s="123" t="s">
        <v>139</v>
      </c>
      <c r="G22" s="125">
        <v>65615</v>
      </c>
      <c r="H22" s="126">
        <f>G22*B22</f>
        <v>65615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/>
      <c r="C23" s="101"/>
      <c r="D23" s="102"/>
      <c r="E23" s="102"/>
      <c r="F23" s="101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150940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28678.6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179618.6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zoomScaleNormal="100" workbookViewId="0">
      <selection activeCell="D24" sqref="D2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38" t="s">
        <v>27</v>
      </c>
      <c r="D4" s="14">
        <f>'4637'!G8</f>
        <v>7404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MARCO MORENO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46097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134</v>
      </c>
      <c r="B14" s="25">
        <f t="shared" ref="B14" si="0">I14</f>
        <v>1</v>
      </c>
      <c r="C14" s="25"/>
      <c r="D14" s="25">
        <f>J14+$D$13</f>
        <v>1980</v>
      </c>
      <c r="E14" s="35">
        <f t="shared" ref="E14" si="1">K14+$E$13</f>
        <v>520</v>
      </c>
      <c r="F14" s="97" t="str">
        <f>C28</f>
        <v>CUB C/R R8</v>
      </c>
      <c r="G14" s="1"/>
      <c r="I14" s="87">
        <f>I22</f>
        <v>1</v>
      </c>
      <c r="J14" s="4">
        <f>J22</f>
        <v>1930</v>
      </c>
      <c r="K14" s="4">
        <f>K22</f>
        <v>550</v>
      </c>
    </row>
    <row r="15" spans="1:14" ht="15.6" x14ac:dyDescent="0.3">
      <c r="A15" s="93"/>
      <c r="B15" s="25">
        <f t="shared" ref="B15" si="2">I15</f>
        <v>1</v>
      </c>
      <c r="C15" s="25"/>
      <c r="D15" s="25">
        <f>J15+$D$13</f>
        <v>1785</v>
      </c>
      <c r="E15" s="35">
        <v>365</v>
      </c>
      <c r="F15" s="97" t="str">
        <f>C29</f>
        <v>CUB MESA 2 LADOS 180°</v>
      </c>
      <c r="G15" s="1"/>
      <c r="I15" s="87">
        <f>I23</f>
        <v>1</v>
      </c>
      <c r="J15" s="4">
        <f>J23</f>
        <v>1735</v>
      </c>
      <c r="K15" s="4">
        <f>K23</f>
        <v>365</v>
      </c>
    </row>
    <row r="16" spans="1:14" ht="15.6" x14ac:dyDescent="0.3">
      <c r="A16" s="50"/>
      <c r="B16" s="6"/>
      <c r="C16" s="6"/>
      <c r="D16" s="6"/>
      <c r="E16" s="100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4" t="s">
        <v>14</v>
      </c>
      <c r="B18" s="114"/>
      <c r="C18" s="114"/>
      <c r="D18" s="114"/>
      <c r="E18" s="114"/>
      <c r="F18" s="11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 t="shared" ref="B22" si="3">I22</f>
        <v>1</v>
      </c>
      <c r="C22" s="16"/>
      <c r="D22" s="16">
        <f>J22+D$21</f>
        <v>1970</v>
      </c>
      <c r="E22" s="16">
        <f>K22+E$21</f>
        <v>680</v>
      </c>
      <c r="F22" s="98" t="str">
        <f>C28</f>
        <v>CUB C/R R8</v>
      </c>
      <c r="G22" s="1"/>
      <c r="I22" s="3">
        <f>B28</f>
        <v>1</v>
      </c>
      <c r="J22" s="4">
        <f>D28</f>
        <v>1930</v>
      </c>
      <c r="K22" s="4">
        <f t="shared" ref="K22" si="4">E28</f>
        <v>550</v>
      </c>
    </row>
    <row r="23" spans="1:11" ht="15.6" x14ac:dyDescent="0.3">
      <c r="A23" s="93"/>
      <c r="B23" s="16">
        <f t="shared" ref="B23" si="5">I23</f>
        <v>1</v>
      </c>
      <c r="C23" s="16"/>
      <c r="D23" s="16">
        <f>J23+D$21</f>
        <v>1775</v>
      </c>
      <c r="E23" s="16">
        <f>K23+150</f>
        <v>515</v>
      </c>
      <c r="F23" s="98" t="str">
        <f>C29</f>
        <v>CUB MESA 2 LADOS 180°</v>
      </c>
      <c r="G23" s="1"/>
      <c r="I23" s="3">
        <f>B29</f>
        <v>1</v>
      </c>
      <c r="J23" s="4">
        <f>D29</f>
        <v>1735</v>
      </c>
      <c r="K23" s="4">
        <f t="shared" ref="K23" si="6">E29</f>
        <v>365</v>
      </c>
    </row>
    <row r="24" spans="1:11" ht="16.2" thickBot="1" x14ac:dyDescent="0.35">
      <c r="A24" s="50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0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0" t="s">
        <v>9</v>
      </c>
      <c r="B27" s="86" t="s">
        <v>10</v>
      </c>
      <c r="C27" s="86" t="s">
        <v>110</v>
      </c>
      <c r="D27" s="86" t="s">
        <v>7</v>
      </c>
      <c r="E27" s="86" t="s">
        <v>8</v>
      </c>
      <c r="F27" s="86" t="s">
        <v>23</v>
      </c>
      <c r="G27" s="1"/>
    </row>
    <row r="28" spans="1:11" ht="15.6" x14ac:dyDescent="0.3">
      <c r="A28" s="93" t="s">
        <v>134</v>
      </c>
      <c r="B28" s="25">
        <f>'4637'!B21</f>
        <v>1</v>
      </c>
      <c r="C28" s="97" t="str">
        <f>'4637'!C21</f>
        <v>CUB C/R R8</v>
      </c>
      <c r="D28" s="25">
        <f>'4637'!D21</f>
        <v>1930</v>
      </c>
      <c r="E28" s="25">
        <f>'4637'!E21</f>
        <v>550</v>
      </c>
      <c r="F28" s="25" t="str">
        <f>'4637'!F21</f>
        <v>THAI SAMOA TEAK 10845</v>
      </c>
      <c r="G28" s="1"/>
    </row>
    <row r="29" spans="1:11" ht="15.6" x14ac:dyDescent="0.3">
      <c r="A29" s="93"/>
      <c r="B29" s="25">
        <f>'4637'!B22</f>
        <v>1</v>
      </c>
      <c r="C29" s="97" t="str">
        <f>'4637'!C22</f>
        <v>CUB MESA 2 LADOS 180°</v>
      </c>
      <c r="D29" s="25">
        <f>'4637'!D22</f>
        <v>1735</v>
      </c>
      <c r="E29" s="25">
        <f>'4637'!E22</f>
        <v>365</v>
      </c>
      <c r="F29" s="25" t="str">
        <f>'4637'!F22</f>
        <v>THAI SAMOA TEAK 10845</v>
      </c>
      <c r="G29" s="1"/>
    </row>
    <row r="30" spans="1:11" ht="15.6" x14ac:dyDescent="0.3">
      <c r="A30" s="93"/>
      <c r="B30" s="127"/>
      <c r="C30" s="128"/>
      <c r="D30" s="127"/>
      <c r="E30" s="127"/>
      <c r="F30" s="127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38" t="s">
        <v>27</v>
      </c>
      <c r="D40" s="14">
        <f>'4637'!G8</f>
        <v>7404</v>
      </c>
      <c r="E40" s="1"/>
      <c r="F40" s="1"/>
      <c r="G40" s="1"/>
    </row>
    <row r="41" spans="1:7" ht="17.25" customHeight="1" x14ac:dyDescent="0.3">
      <c r="A41" s="1"/>
      <c r="B41" s="1"/>
      <c r="C41" s="39" t="s">
        <v>67</v>
      </c>
      <c r="D41" s="40" t="str">
        <f>'4637'!C10</f>
        <v>MARCO MORENO</v>
      </c>
      <c r="E41" s="41"/>
      <c r="F41" s="41"/>
      <c r="G41" s="1"/>
    </row>
    <row r="42" spans="1:7" ht="4.5" customHeight="1" x14ac:dyDescent="0.3">
      <c r="A42" s="1"/>
      <c r="B42" s="1"/>
      <c r="C42" s="42"/>
      <c r="D42" s="43"/>
      <c r="E42" s="1"/>
      <c r="F42" s="1"/>
      <c r="G42" s="1"/>
    </row>
    <row r="43" spans="1:7" ht="15.6" x14ac:dyDescent="0.3">
      <c r="A43" s="1"/>
      <c r="B43" s="1"/>
      <c r="C43" s="44" t="str">
        <f>'4637'!F11</f>
        <v>FECHA LIMITE :</v>
      </c>
      <c r="D43" s="13">
        <f>'4637'!G11</f>
        <v>46097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14" t="s">
        <v>68</v>
      </c>
      <c r="B46" s="114"/>
      <c r="C46" s="114"/>
      <c r="D46" s="114"/>
      <c r="E46" s="114"/>
      <c r="F46" s="114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15" t="s">
        <v>69</v>
      </c>
      <c r="C48" s="116"/>
      <c r="D48" s="117"/>
      <c r="E48" s="117"/>
      <c r="F48" s="118"/>
      <c r="G48" s="1"/>
    </row>
    <row r="49" spans="1:7" s="15" customFormat="1" ht="12.75" customHeight="1" x14ac:dyDescent="0.3">
      <c r="A49" s="1"/>
      <c r="B49" s="36" t="s">
        <v>10</v>
      </c>
      <c r="C49" s="45" t="s">
        <v>11</v>
      </c>
      <c r="D49" s="46" t="s">
        <v>7</v>
      </c>
      <c r="E49" s="46" t="s">
        <v>8</v>
      </c>
      <c r="F49" s="47" t="s">
        <v>12</v>
      </c>
      <c r="G49" s="1"/>
    </row>
    <row r="50" spans="1:7" s="15" customFormat="1" ht="15" customHeight="1" x14ac:dyDescent="0.3">
      <c r="A50" s="93" t="s">
        <v>134</v>
      </c>
      <c r="B50" s="104">
        <f>'4637'!B21</f>
        <v>1</v>
      </c>
      <c r="C50" s="96" t="str">
        <f>'4637'!C21</f>
        <v>CUB C/R R8</v>
      </c>
      <c r="D50" s="96">
        <f>'4637'!D21</f>
        <v>1930</v>
      </c>
      <c r="E50" s="96">
        <f>'4637'!E21</f>
        <v>550</v>
      </c>
      <c r="F50" s="96" t="str">
        <f>'4637'!F21</f>
        <v>THAI SAMOA TEAK 10845</v>
      </c>
      <c r="G50" s="1"/>
    </row>
    <row r="51" spans="1:7" s="15" customFormat="1" ht="15" customHeight="1" x14ac:dyDescent="0.3">
      <c r="A51" s="93"/>
      <c r="B51" s="104">
        <f>'4637'!B22</f>
        <v>1</v>
      </c>
      <c r="C51" s="96" t="str">
        <f>'4637'!C22</f>
        <v>CUB MESA 2 LADOS 180°</v>
      </c>
      <c r="D51" s="96">
        <f>'4637'!D22</f>
        <v>1735</v>
      </c>
      <c r="E51" s="96">
        <f>'4637'!E22</f>
        <v>365</v>
      </c>
      <c r="F51" s="96" t="str">
        <f>'4637'!F22</f>
        <v>THAI SAMOA TEAK 10845</v>
      </c>
      <c r="G51" s="1"/>
    </row>
    <row r="52" spans="1:7" s="15" customFormat="1" ht="15" customHeight="1" x14ac:dyDescent="0.3">
      <c r="A52" s="48"/>
      <c r="B52" s="50"/>
      <c r="C52" s="50"/>
      <c r="D52" s="50"/>
      <c r="E52" s="50"/>
      <c r="F52" s="50"/>
      <c r="G52" s="1"/>
    </row>
    <row r="53" spans="1:7" ht="15.6" x14ac:dyDescent="0.3">
      <c r="A53" s="6"/>
      <c r="B53" s="6"/>
      <c r="C53" s="1"/>
      <c r="D53" s="6"/>
      <c r="E53" s="6"/>
      <c r="F53" s="42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49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2026-03-10T12:40:27Z</cp:lastPrinted>
  <dcterms:created xsi:type="dcterms:W3CDTF">2013-03-19T12:54:14Z</dcterms:created>
  <dcterms:modified xsi:type="dcterms:W3CDTF">2026-03-10T12:41:11Z</dcterms:modified>
</cp:coreProperties>
</file>