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BFB67F61-0FBD-4630-A548-C529D90882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J25" i="3"/>
  <c r="K25" i="3"/>
  <c r="I16" i="3"/>
  <c r="J16" i="3"/>
  <c r="K16" i="3"/>
  <c r="B25" i="3"/>
  <c r="D25" i="3"/>
  <c r="F25" i="3"/>
  <c r="B16" i="3"/>
  <c r="D16" i="3"/>
  <c r="H24" i="4"/>
  <c r="B31" i="3"/>
  <c r="I24" i="3" s="1"/>
  <c r="B24" i="3" s="1"/>
  <c r="C31" i="3"/>
  <c r="F24" i="3" s="1"/>
  <c r="D31" i="3"/>
  <c r="J24" i="3" s="1"/>
  <c r="D24" i="3" s="1"/>
  <c r="E31" i="3"/>
  <c r="F31" i="3"/>
  <c r="B32" i="3"/>
  <c r="C32" i="3"/>
  <c r="F16" i="3" s="1"/>
  <c r="D32" i="3"/>
  <c r="E32" i="3"/>
  <c r="F32" i="3"/>
  <c r="B53" i="3"/>
  <c r="C53" i="3"/>
  <c r="D53" i="3"/>
  <c r="E53" i="3"/>
  <c r="F53" i="3"/>
  <c r="B54" i="3"/>
  <c r="C54" i="3"/>
  <c r="D54" i="3"/>
  <c r="E54" i="3"/>
  <c r="F54" i="3"/>
  <c r="H23" i="4"/>
  <c r="H22" i="4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I15" i="3" l="1"/>
  <c r="B15" i="3" s="1"/>
  <c r="F15" i="3"/>
  <c r="J15" i="3"/>
  <c r="D15" i="3" s="1"/>
  <c r="K24" i="3"/>
  <c r="E24" i="3" s="1"/>
  <c r="K15" i="3"/>
  <c r="E15" i="3" s="1"/>
  <c r="K14" i="3"/>
  <c r="E14" i="3" s="1"/>
  <c r="J14" i="3"/>
  <c r="D14" i="3" s="1"/>
  <c r="I14" i="3"/>
  <c r="B14" i="3" s="1"/>
  <c r="F14" i="3"/>
  <c r="H27" i="4" l="1"/>
  <c r="H28" i="4" l="1"/>
  <c r="H29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<sst xmlns="http://schemas.openxmlformats.org/spreadsheetml/2006/main" count="253" uniqueCount="145">
  <si>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</si>
  <si>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</si>
  <si>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</si>
  <si>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</si>
  <si>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</si>
  <si>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</si>
  <si>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</si>
  <si>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</si>
  <si>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</si>
  <si>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</si>
  <si>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</si>
  <si>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</si>
  <si>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</si>
  <si>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</si>
  <si>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</si>
  <si>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</si>
  <si>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</si>
  <si>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</si>
  <si>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</si>
  <si>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</si>
  <si>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</si>
  <si>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</si>
  <si>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</si>
  <si>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</si>
  <si>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</si>
  <si>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</si>
  <si>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</si>
  <si>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</si>
  <si>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</si>
  <si>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</si>
  <si>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</si>
  <si>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</si>
  <si>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</si>
  <si>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</si>
  <si>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</si>
  <si>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</si>
  <si>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</si>
  <si>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</si>
  <si>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</si>
  <si>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</si>
  <si>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</si>
  <si>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</si>
  <si>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</si>
  <si>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</si>
  <si>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</si>
  <si>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</si>
  <si>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</si>
  <si>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</si>
  <si>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</si>
  <si>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</si>
  <si>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</si>
  <si>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</si>
  <si>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</si>
  <si>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</si>
  <si>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</si>
  <si>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</si>
  <si>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</si>
  <si>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</si>
  <si>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</si>
  <si>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</si>
  <si>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</si>
  <si>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</si>
  <si>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</si>
  <si>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</si>
  <si>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</si>
  <si>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</si>
  <si>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</si>
  <si>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</si>
  <si>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</si>
  <si>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</si>
  <si>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</si>
  <si>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</si>
  <si>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</si>
  <si>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</si>
  <si>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</si>
  <si>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</si>
  <si>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</si>
  <si>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</si>
  <si>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</si>
  <si>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</si>
  <si>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</si>
  <si>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</si>
  <si>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</si>
  <si>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</si>
  <si>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</si>
  <si>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</si>
  <si>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</si>
  <si>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</si>
  <si>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</si>
  <si>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</si>
  <si>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</si>
  <si>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</si>
  <si>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</si>
  <si>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</si>
  <si>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</si>
  <si>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</si>
  <si>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</si>
  <si>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</si>
  <si>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</si>
  <si>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</si>
  <si>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</si>
  <si>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</si>
  <si>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</si>
  <si>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</si>
  <si>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</si>
  <si>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</si>
  <si>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</si>
  <si>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</si>
  <si>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</si>
  <si>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</si>
  <si>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</si>
  <si>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</si>
  <si>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</si>
  <si>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</si>
  <si>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</si>
  <si>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</si>
  <si>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</si>
  <si>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</si>
  <si>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</si>
  <si>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</si>
  <si>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</si>
  <si>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</si>
  <si>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</si>
  <si>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</si>
  <si>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</si>
  <si>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</si>
  <si>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</si>
  <si>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</si>
  <si>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</si>
  <si>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</si>
  <si>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</si>
  <si>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</si>
  <si>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</si>
  <si>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</si>
  <si>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</si>
  <si>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</si>
  <si>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</si>
  <si>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</si>
  <si>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MDF30MM</t>
  </si>
  <si>
    <t>MDF18MM</t>
  </si>
  <si>
    <t>CUB SIN RESPALDO R8</t>
  </si>
  <si>
    <t>CUB CON RESPALDO R8</t>
  </si>
  <si>
    <t>N° 12060</t>
  </si>
  <si>
    <t>KINGFISHER BLUE BR</t>
  </si>
  <si>
    <t>CARLOS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</si>
</sst>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SIN RESPALDO CORTADA A LA MEDIDA Y ENCHAPADA EN AMBOS LADOS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CUBIERTA SIN RESPALDO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MEDIDA Y ENCHAPADA EN AMBOS LADOS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3" workbookViewId="0">
      <selection activeCell="C11" sqref="C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142</v>
      </c>
      <c r="E8" s="1"/>
      <c r="F8" s="91" t="s">
        <v>26</v>
      </c>
      <c r="G8" s="92">
        <v>7417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5" t="s">
        <v>144</v>
      </c>
      <c r="D10" s="54"/>
      <c r="E10" s="54"/>
      <c r="F10" s="55" t="s">
        <v>127</v>
      </c>
      <c r="G10" s="56">
        <v>46106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6"/>
      <c r="D11" s="59"/>
      <c r="E11" s="59"/>
      <c r="F11" s="59" t="s">
        <v>128</v>
      </c>
      <c r="G11" s="60">
        <v>46112</v>
      </c>
      <c r="H11" s="61"/>
      <c r="I11" s="1"/>
    </row>
    <row r="12" spans="1:17" ht="15.6" x14ac:dyDescent="0.3">
      <c r="A12" s="1"/>
      <c r="B12" s="62" t="s">
        <v>129</v>
      </c>
      <c r="C12" s="107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102"/>
      <c r="D14" s="42"/>
      <c r="E14" s="42"/>
      <c r="F14" s="42" t="s">
        <v>132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8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101"/>
      <c r="D16" s="42"/>
      <c r="E16" s="42"/>
      <c r="F16" s="66" t="s">
        <v>134</v>
      </c>
      <c r="G16" s="104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3" t="s">
        <v>124</v>
      </c>
      <c r="D17" s="68"/>
      <c r="E17" s="69"/>
      <c r="F17" s="127" t="s">
        <v>136</v>
      </c>
      <c r="G17" s="127" t="s">
        <v>137</v>
      </c>
      <c r="H17" s="128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9" t="s">
        <v>18</v>
      </c>
      <c r="C20" s="130"/>
      <c r="D20" s="130"/>
      <c r="E20" s="130"/>
      <c r="F20" s="130"/>
      <c r="G20" s="130"/>
      <c r="H20" s="131"/>
      <c r="I20" s="1"/>
    </row>
    <row r="21" spans="1:16" ht="16.2" thickBot="1" x14ac:dyDescent="0.35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x14ac:dyDescent="0.3">
      <c r="A22" s="1"/>
      <c r="B22" s="110">
        <v>1</v>
      </c>
      <c r="C22" s="111" t="s">
        <v>141</v>
      </c>
      <c r="D22" s="117">
        <v>2100</v>
      </c>
      <c r="E22" s="117">
        <v>510</v>
      </c>
      <c r="F22" s="112" t="s">
        <v>143</v>
      </c>
      <c r="G22" s="113">
        <v>105296</v>
      </c>
      <c r="H22" s="114">
        <f>G22*B22</f>
        <v>105296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5">
        <v>1</v>
      </c>
      <c r="C23" s="109" t="s">
        <v>141</v>
      </c>
      <c r="D23" s="100">
        <v>1550</v>
      </c>
      <c r="E23" s="100">
        <v>510</v>
      </c>
      <c r="F23" s="98" t="s">
        <v>143</v>
      </c>
      <c r="G23" s="99">
        <v>78730</v>
      </c>
      <c r="H23" s="116">
        <f>G23*B23</f>
        <v>78730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34">
        <v>1</v>
      </c>
      <c r="C24" s="135" t="s">
        <v>140</v>
      </c>
      <c r="D24" s="136">
        <v>1600</v>
      </c>
      <c r="E24" s="136">
        <v>510</v>
      </c>
      <c r="F24" s="137" t="s">
        <v>143</v>
      </c>
      <c r="G24" s="138">
        <v>84145</v>
      </c>
      <c r="H24" s="139">
        <f>G24*B24</f>
        <v>84145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8"/>
      <c r="C25" s="119"/>
      <c r="D25" s="120"/>
      <c r="E25" s="120"/>
      <c r="F25" s="118"/>
      <c r="G25" s="74"/>
      <c r="H25" s="74"/>
      <c r="I25" s="1"/>
      <c r="K25" s="17"/>
      <c r="L25" s="26"/>
      <c r="M25" s="17"/>
      <c r="N25" s="17"/>
      <c r="O25" s="26"/>
      <c r="P25" s="33"/>
    </row>
    <row r="26" spans="1:16" ht="15" customHeight="1" thickBot="1" x14ac:dyDescent="0.35">
      <c r="A26" s="1"/>
      <c r="B26" s="73"/>
      <c r="C26" s="73"/>
      <c r="D26" s="73"/>
      <c r="E26" s="73"/>
      <c r="F26" s="73"/>
      <c r="G26" s="74"/>
      <c r="H26" s="7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SUM(H22:H26)</f>
        <v>268171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50952.49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319123.49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1"/>
      <c r="H30" s="9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118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117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24</v>
      </c>
      <c r="C34" s="1"/>
      <c r="D34" s="1"/>
      <c r="E34" s="84" t="s">
        <v>25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8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2" t="s">
        <v>27</v>
      </c>
      <c r="C2" s="132"/>
      <c r="D2" s="132"/>
      <c r="E2" s="18"/>
      <c r="G2" s="132" t="s">
        <v>66</v>
      </c>
      <c r="H2" s="132"/>
      <c r="I2" s="132"/>
      <c r="P2" s="133" t="s">
        <v>54</v>
      </c>
      <c r="Q2" s="133"/>
      <c r="R2" s="133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33" t="s">
        <v>54</v>
      </c>
      <c r="M8" s="133"/>
      <c r="N8" s="133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38" zoomScaleNormal="100" workbookViewId="0">
      <selection activeCell="G41" sqref="A41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57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9" t="s">
        <v>26</v>
      </c>
      <c r="D4" s="14">
        <f>'4637'!G8</f>
        <v>7417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CARLOS TORRES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46112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57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138</v>
      </c>
      <c r="B14" s="25">
        <f t="shared" ref="B14" si="0">I14</f>
        <v>1</v>
      </c>
      <c r="C14" s="25"/>
      <c r="D14" s="25">
        <f>J14+D$13</f>
        <v>2150</v>
      </c>
      <c r="E14" s="25">
        <f>K14+E$13</f>
        <v>480</v>
      </c>
      <c r="F14" s="96" t="str">
        <f t="shared" ref="F14" si="1">C30</f>
        <v>CUB CON RESPALDO R8</v>
      </c>
      <c r="G14" s="1"/>
      <c r="I14" s="3">
        <f t="shared" ref="I14:J16" si="2">I23</f>
        <v>1</v>
      </c>
      <c r="J14" s="4">
        <f t="shared" si="2"/>
        <v>2100</v>
      </c>
      <c r="K14" s="4">
        <f t="shared" ref="K14" si="3">E30</f>
        <v>510</v>
      </c>
    </row>
    <row r="15" spans="1:14" ht="15.6" x14ac:dyDescent="0.3">
      <c r="A15" s="93"/>
      <c r="B15" s="25">
        <f t="shared" ref="B15" si="4">I15</f>
        <v>1</v>
      </c>
      <c r="C15" s="25"/>
      <c r="D15" s="25">
        <f>J15+D$13</f>
        <v>1600</v>
      </c>
      <c r="E15" s="25">
        <f>K15+E$13</f>
        <v>480</v>
      </c>
      <c r="F15" s="96" t="str">
        <f t="shared" ref="F15" si="5">C31</f>
        <v>CUB CON RESPALDO R8</v>
      </c>
      <c r="G15" s="1"/>
      <c r="I15" s="3">
        <f t="shared" si="2"/>
        <v>1</v>
      </c>
      <c r="J15" s="4">
        <f t="shared" si="2"/>
        <v>1550</v>
      </c>
      <c r="K15" s="4">
        <f t="shared" ref="K15" si="6">E31</f>
        <v>510</v>
      </c>
    </row>
    <row r="16" spans="1:14" ht="15.6" x14ac:dyDescent="0.3">
      <c r="A16" s="93"/>
      <c r="B16" s="25">
        <f t="shared" ref="B16" si="7">I16</f>
        <v>1</v>
      </c>
      <c r="C16" s="25"/>
      <c r="D16" s="25">
        <f>J16+D$13</f>
        <v>1650</v>
      </c>
      <c r="E16" s="25">
        <v>510</v>
      </c>
      <c r="F16" s="96" t="str">
        <f t="shared" ref="F16" si="8">C32</f>
        <v>CUB SIN RESPALDO R8</v>
      </c>
      <c r="G16" s="1"/>
      <c r="I16" s="3">
        <f t="shared" si="2"/>
        <v>1</v>
      </c>
      <c r="J16" s="4">
        <f t="shared" si="2"/>
        <v>1600</v>
      </c>
      <c r="K16" s="4">
        <f t="shared" ref="K16" si="9">E32</f>
        <v>510</v>
      </c>
    </row>
    <row r="17" spans="1:11" ht="15.6" x14ac:dyDescent="0.3">
      <c r="A17" s="51"/>
      <c r="B17" s="6"/>
      <c r="C17" s="6"/>
      <c r="D17" s="6"/>
      <c r="E17" s="6"/>
      <c r="F17" s="6"/>
      <c r="G17" s="1"/>
      <c r="I17" s="87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5" t="s">
        <v>10</v>
      </c>
      <c r="C22" s="35" t="s">
        <v>11</v>
      </c>
      <c r="D22" s="21">
        <v>40</v>
      </c>
      <c r="E22" s="21">
        <v>130</v>
      </c>
      <c r="F22" s="35" t="s">
        <v>105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" si="10">I23</f>
        <v>1</v>
      </c>
      <c r="C23" s="16"/>
      <c r="D23" s="16">
        <f>J23+D$22</f>
        <v>2140</v>
      </c>
      <c r="E23" s="16">
        <f>K23+E$22</f>
        <v>640</v>
      </c>
      <c r="F23" s="97" t="str">
        <f t="shared" ref="F23" si="11">C30</f>
        <v>CUB CON RESPALDO R8</v>
      </c>
      <c r="G23" s="1"/>
      <c r="I23" s="3">
        <f t="shared" ref="I23" si="12">B30</f>
        <v>1</v>
      </c>
      <c r="J23" s="4">
        <f>D30</f>
        <v>2100</v>
      </c>
      <c r="K23" s="4">
        <f>E30</f>
        <v>510</v>
      </c>
    </row>
    <row r="24" spans="1:11" ht="15.6" x14ac:dyDescent="0.3">
      <c r="A24" s="93"/>
      <c r="B24" s="16">
        <f t="shared" ref="B24" si="13">I24</f>
        <v>1</v>
      </c>
      <c r="C24" s="16"/>
      <c r="D24" s="16">
        <f>J24+D$22</f>
        <v>1590</v>
      </c>
      <c r="E24" s="16">
        <f>K24+E$22</f>
        <v>640</v>
      </c>
      <c r="F24" s="97" t="str">
        <f>C31</f>
        <v>CUB CON RESPALDO R8</v>
      </c>
      <c r="G24" s="1"/>
      <c r="I24" s="3">
        <f t="shared" ref="I24" si="14">B31</f>
        <v>1</v>
      </c>
      <c r="J24" s="4">
        <f t="shared" ref="J24:K24" si="15">D31</f>
        <v>1550</v>
      </c>
      <c r="K24" s="4">
        <f t="shared" si="15"/>
        <v>510</v>
      </c>
    </row>
    <row r="25" spans="1:11" ht="15.6" x14ac:dyDescent="0.3">
      <c r="A25" s="93"/>
      <c r="B25" s="16">
        <f t="shared" ref="B25" si="16">I25</f>
        <v>1</v>
      </c>
      <c r="C25" s="16"/>
      <c r="D25" s="16">
        <f>J25+D$22</f>
        <v>1640</v>
      </c>
      <c r="E25" s="16">
        <v>570</v>
      </c>
      <c r="F25" s="97" t="str">
        <f>C32</f>
        <v>CUB SIN RESPALDO R8</v>
      </c>
      <c r="G25" s="1"/>
      <c r="I25" s="3">
        <f t="shared" ref="I25" si="17">B32</f>
        <v>1</v>
      </c>
      <c r="J25" s="4">
        <f t="shared" ref="J25" si="18">D32</f>
        <v>1600</v>
      </c>
      <c r="K25" s="4">
        <f t="shared" ref="K25" si="19">E32</f>
        <v>510</v>
      </c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1"/>
      <c r="B27" s="22" t="s">
        <v>102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6" t="s">
        <v>10</v>
      </c>
      <c r="C29" s="86" t="s">
        <v>105</v>
      </c>
      <c r="D29" s="86" t="s">
        <v>7</v>
      </c>
      <c r="E29" s="86" t="s">
        <v>8</v>
      </c>
      <c r="F29" s="86" t="s">
        <v>22</v>
      </c>
      <c r="G29" s="1"/>
    </row>
    <row r="30" spans="1:11" ht="15.6" x14ac:dyDescent="0.3">
      <c r="A30" s="93" t="s">
        <v>139</v>
      </c>
      <c r="B30" s="25">
        <f>'4637'!B22</f>
        <v>1</v>
      </c>
      <c r="C30" s="96" t="str">
        <f>'4637'!C22</f>
        <v>CUB CON RESPALDO R8</v>
      </c>
      <c r="D30" s="25">
        <f>'4637'!D22</f>
        <v>2100</v>
      </c>
      <c r="E30" s="25">
        <f>'4637'!E22</f>
        <v>510</v>
      </c>
      <c r="F30" s="25" t="str">
        <f>'4637'!F22</f>
        <v>KINGFISHER BLUE BR</v>
      </c>
      <c r="G30" s="1"/>
    </row>
    <row r="31" spans="1:11" ht="15.6" x14ac:dyDescent="0.3">
      <c r="A31" s="93"/>
      <c r="B31" s="25">
        <f>'4637'!B23</f>
        <v>1</v>
      </c>
      <c r="C31" s="96" t="str">
        <f>'4637'!C23</f>
        <v>CUB CON RESPALDO R8</v>
      </c>
      <c r="D31" s="25">
        <f>'4637'!D23</f>
        <v>1550</v>
      </c>
      <c r="E31" s="25">
        <f>'4637'!E23</f>
        <v>510</v>
      </c>
      <c r="F31" s="25" t="str">
        <f>'4637'!F23</f>
        <v>KINGFISHER BLUE BR</v>
      </c>
      <c r="G31" s="1"/>
    </row>
    <row r="32" spans="1:11" ht="15.6" x14ac:dyDescent="0.3">
      <c r="A32" s="93"/>
      <c r="B32" s="25">
        <f>'4637'!B24</f>
        <v>1</v>
      </c>
      <c r="C32" s="96" t="str">
        <f>'4637'!C24</f>
        <v>CUB SIN RESPALDO R8</v>
      </c>
      <c r="D32" s="25">
        <f>'4637'!D24</f>
        <v>1600</v>
      </c>
      <c r="E32" s="25">
        <f>'4637'!E24</f>
        <v>510</v>
      </c>
      <c r="F32" s="25" t="str">
        <f>'4637'!F24</f>
        <v>KINGFISHER BLUE BR</v>
      </c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39" t="s">
        <v>26</v>
      </c>
      <c r="D42" s="14">
        <f>'4637'!G8</f>
        <v>7417</v>
      </c>
      <c r="E42" s="1"/>
      <c r="F42" s="1"/>
      <c r="G42" s="1"/>
    </row>
    <row r="43" spans="1:7" ht="17.25" customHeight="1" x14ac:dyDescent="0.3">
      <c r="A43" s="1"/>
      <c r="B43" s="1"/>
      <c r="C43" s="40" t="s">
        <v>63</v>
      </c>
      <c r="D43" s="41" t="str">
        <f>'4637'!C10</f>
        <v>CARLOS TORRES</v>
      </c>
      <c r="E43" s="42"/>
      <c r="F43" s="42"/>
      <c r="G43" s="1"/>
    </row>
    <row r="44" spans="1:7" ht="4.5" customHeight="1" x14ac:dyDescent="0.3">
      <c r="A44" s="1"/>
      <c r="B44" s="1"/>
      <c r="C44" s="43"/>
      <c r="D44" s="44"/>
      <c r="E44" s="1"/>
      <c r="F44" s="1"/>
      <c r="G44" s="1"/>
    </row>
    <row r="45" spans="1:7" ht="15.6" x14ac:dyDescent="0.3">
      <c r="A45" s="1"/>
      <c r="B45" s="1"/>
      <c r="C45" s="45" t="str">
        <f>'4637'!F11</f>
        <v>PLAZO ENTREGA</v>
      </c>
      <c r="D45" s="13">
        <f>'4637'!G11</f>
        <v>46112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2" t="s">
        <v>64</v>
      </c>
      <c r="B48" s="122"/>
      <c r="C48" s="122"/>
      <c r="D48" s="122"/>
      <c r="E48" s="122"/>
      <c r="F48" s="122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3" t="s">
        <v>65</v>
      </c>
      <c r="C50" s="124"/>
      <c r="D50" s="125"/>
      <c r="E50" s="125"/>
      <c r="F50" s="126"/>
      <c r="G50" s="1"/>
    </row>
    <row r="51" spans="1:7" s="15" customFormat="1" ht="12.75" customHeight="1" x14ac:dyDescent="0.3">
      <c r="A51" s="1"/>
      <c r="B51" s="35" t="s">
        <v>10</v>
      </c>
      <c r="C51" s="46" t="s">
        <v>11</v>
      </c>
      <c r="D51" s="47" t="s">
        <v>7</v>
      </c>
      <c r="E51" s="47" t="s">
        <v>8</v>
      </c>
      <c r="F51" s="48" t="s">
        <v>12</v>
      </c>
      <c r="G51" s="1"/>
    </row>
    <row r="52" spans="1:7" s="15" customFormat="1" ht="15" customHeight="1" x14ac:dyDescent="0.3">
      <c r="A52" s="93" t="s">
        <v>139</v>
      </c>
      <c r="B52" s="37">
        <f>'4637'!B22</f>
        <v>1</v>
      </c>
      <c r="C52" s="95" t="str">
        <f>'4637'!C22</f>
        <v>CUB CON RESPALDO R8</v>
      </c>
      <c r="D52" s="38">
        <f>'4637'!D22</f>
        <v>2100</v>
      </c>
      <c r="E52" s="38">
        <f>'4637'!E22</f>
        <v>510</v>
      </c>
      <c r="F52" s="37" t="str">
        <f>'4637'!F22</f>
        <v>KINGFISHER BLUE BR</v>
      </c>
      <c r="G52" s="1"/>
    </row>
    <row r="53" spans="1:7" s="15" customFormat="1" ht="15" customHeight="1" x14ac:dyDescent="0.3">
      <c r="A53" s="93"/>
      <c r="B53" s="37">
        <f>'4637'!B23</f>
        <v>1</v>
      </c>
      <c r="C53" s="95" t="str">
        <f>'4637'!C23</f>
        <v>CUB CON RESPALDO R8</v>
      </c>
      <c r="D53" s="38">
        <f>'4637'!D23</f>
        <v>1550</v>
      </c>
      <c r="E53" s="38">
        <f>'4637'!E23</f>
        <v>510</v>
      </c>
      <c r="F53" s="37" t="str">
        <f>'4637'!F23</f>
        <v>KINGFISHER BLUE BR</v>
      </c>
      <c r="G53" s="1"/>
    </row>
    <row r="54" spans="1:7" s="15" customFormat="1" ht="15" customHeight="1" x14ac:dyDescent="0.3">
      <c r="A54" s="93"/>
      <c r="B54" s="37">
        <f>'4637'!B24</f>
        <v>1</v>
      </c>
      <c r="C54" s="95" t="str">
        <f>'4637'!C24</f>
        <v>CUB SIN RESPALDO R8</v>
      </c>
      <c r="D54" s="38">
        <f>'4637'!D24</f>
        <v>1600</v>
      </c>
      <c r="E54" s="38">
        <f>'4637'!E24</f>
        <v>510</v>
      </c>
      <c r="F54" s="37" t="str">
        <f>'4637'!F24</f>
        <v>KINGFISHER BLUE BR</v>
      </c>
      <c r="G54" s="1"/>
    </row>
    <row r="55" spans="1:7" s="15" customFormat="1" ht="15" customHeight="1" x14ac:dyDescent="0.3">
      <c r="A55" s="49"/>
      <c r="B55" s="51"/>
      <c r="C55" s="51"/>
      <c r="D55" s="51"/>
      <c r="E55" s="51"/>
      <c r="F55" s="51"/>
      <c r="G55" s="1"/>
    </row>
    <row r="56" spans="1:7" ht="15.6" x14ac:dyDescent="0.3">
      <c r="A56" s="6"/>
      <c r="B56" s="6"/>
      <c r="C56" s="1"/>
      <c r="D56" s="6"/>
      <c r="E56" s="6"/>
      <c r="F56" s="43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0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2026-03-25T19:40:55Z</cp:lastPrinted>
  <dcterms:created xsi:type="dcterms:W3CDTF">2013-03-19T12:54:14Z</dcterms:created>
  <dcterms:modified xsi:type="dcterms:W3CDTF">2026-03-25T20:01:32Z</dcterms:modified>
</cp:coreProperties>
</file>