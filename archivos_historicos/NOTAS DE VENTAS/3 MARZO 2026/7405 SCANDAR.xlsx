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3 MARZO 2026\"/>
    </mc:Choice>
  </mc:AlternateContent>
  <xr:revisionPtr revIDLastSave="0" documentId="13_ncr:1_{2BBEBCBF-21ED-42D9-B38D-1BC2504D5E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CUBIERTA!$A$34:$F$57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7" i="3" l="1"/>
  <c r="E47" i="3"/>
  <c r="F47" i="3"/>
  <c r="H21" i="4"/>
  <c r="B26" i="3" l="1"/>
  <c r="I21" i="3" s="1"/>
  <c r="I14" i="3" s="1"/>
  <c r="B14" i="3" s="1"/>
  <c r="C26" i="3"/>
  <c r="F14" i="3" s="1"/>
  <c r="D26" i="3"/>
  <c r="J21" i="3" s="1"/>
  <c r="E26" i="3"/>
  <c r="F26" i="3"/>
  <c r="B47" i="3"/>
  <c r="C47" i="3"/>
  <c r="H24" i="4"/>
  <c r="K21" i="3" l="1"/>
  <c r="D21" i="3"/>
  <c r="J14" i="3"/>
  <c r="D14" i="3" s="1"/>
  <c r="B21" i="3"/>
  <c r="F21" i="3"/>
  <c r="K14" i="3" l="1"/>
  <c r="E14" i="3" s="1"/>
  <c r="E21" i="3"/>
  <c r="H25" i="4"/>
  <c r="H26" i="4" l="1"/>
  <c r="N5" i="3" l="1"/>
  <c r="M5" i="3" l="1"/>
  <c r="L5" i="3"/>
  <c r="K5" i="3"/>
  <c r="C40" i="3" l="1"/>
  <c r="C7" i="3"/>
  <c r="D38" i="3"/>
  <c r="D5" i="3"/>
  <c r="D40" i="3"/>
  <c r="D7" i="3"/>
  <c r="D37" i="3"/>
  <c r="D4" i="3"/>
</calcChain>
</file>

<file path=xl/sharedStrings.xml><?xml version="1.0" encoding="utf-8"?>
<sst xmlns="http://schemas.openxmlformats.org/spreadsheetml/2006/main" count="245" uniqueCount="142">
  <si>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</si>
  <si>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</si>
  <si>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</si>
  <si>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</si>
  <si>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</si>
  <si>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</si>
  <si>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</si>
  <si>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</si>
  <si>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</si>
  <si>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</si>
  <si>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</si>
  <si>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</si>
  <si>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</si>
  <si>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</si>
  <si>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</si>
  <si>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</si>
  <si>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</si>
  <si>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</si>
  <si>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</si>
  <si>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</si>
  <si>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</si>
  <si>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</si>
  <si>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</si>
  <si>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</si>
  <si>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</si>
  <si>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</si>
  <si>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</si>
  <si>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</si>
  <si>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</si>
  <si>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</si>
  <si>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</si>
  <si>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</si>
  <si>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</si>
  <si>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</si>
  <si>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</si>
  <si>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</si>
  <si>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</si>
  <si>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</si>
  <si>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</si>
  <si>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</si>
  <si>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</si>
  <si>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</si>
  <si>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</si>
  <si>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</si>
  <si>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</si>
  <si>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</si>
  <si>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</si>
  <si>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</si>
  <si>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</si>
  <si>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</si>
  <si>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</si>
  <si>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</si>
  <si>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</si>
  <si>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</si>
  <si>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</si>
  <si>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</si>
  <si>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</si>
  <si>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</si>
  <si>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</si>
  <si>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</si>
  <si>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</si>
  <si>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</si>
  <si>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</si>
  <si>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</si>
  <si>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</si>
  <si>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</si>
  <si>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</si>
  <si>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</si>
  <si>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</si>
  <si>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</si>
  <si>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</si>
  <si>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</si>
  <si>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</si>
  <si>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</si>
  <si>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</si>
  <si>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</si>
  <si>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</si>
  <si>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</si>
  <si>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</si>
  <si>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</si>
  <si>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</si>
  <si>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</si>
  <si>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</si>
  <si>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</si>
  <si>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</si>
  <si>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</si>
  <si>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</si>
  <si>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</si>
  <si>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</si>
  <si>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</si>
  <si>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</si>
  <si>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</si>
  <si>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</si>
  <si>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</si>
  <si>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</si>
  <si>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</si>
  <si>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</si>
  <si>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</si>
  <si>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</si>
  <si>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</si>
  <si>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</si>
  <si>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</si>
  <si>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</si>
  <si>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</si>
  <si>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</si>
  <si>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</si>
  <si>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</si>
  <si>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</si>
  <si>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</si>
  <si>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</si>
  <si>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</si>
  <si>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</si>
  <si>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</si>
  <si>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</si>
  <si>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</si>
  <si>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</si>
  <si>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</si>
  <si>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</si>
  <si>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</si>
  <si>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</si>
  <si>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</si>
  <si>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</si>
  <si>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</si>
  <si>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</si>
  <si>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</si>
  <si>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</si>
  <si>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</si>
  <si>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</si>
  <si>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</si>
  <si>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</si>
  <si>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</si>
  <si>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</si>
  <si>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</si>
  <si>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NO</t>
  </si>
  <si>
    <t>MDF18MM</t>
  </si>
  <si>
    <t>N° 12026</t>
  </si>
  <si>
    <t>TRANSFERENCIA</t>
  </si>
  <si>
    <t>CUB S/R 180°</t>
  </si>
  <si>
    <t>SHELL WHITE 22011 BRILLO</t>
  </si>
  <si>
    <t>ESCANDAR</t>
  </si>
  <si>
    <t>J.GONZALEZ</t>
  </si>
  <si>
    <t>569 6849 1403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</si>
</sst>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1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3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8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0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29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3" borderId="0" xfId="0" applyFont="1" applyFill="1"/>
    <xf numFmtId="0" fontId="16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/>
    </xf>
    <xf numFmtId="166" fontId="3" fillId="0" borderId="31" xfId="1" applyNumberFormat="1" applyFont="1" applyFill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1" fontId="15" fillId="0" borderId="3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7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0" fillId="0" borderId="0" xfId="0" applyAlignment="1">
      <alignment horizontal="left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23</xdr:row>
      <xdr:rowOff>11430</xdr:rowOff>
    </xdr:from>
    <xdr:to>
      <xdr:col>5</xdr:col>
      <xdr:colOff>1386840</xdr:colOff>
      <xdr:row>26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15265" y="5574030"/>
          <a:ext cx="52959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20955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41</xdr:row>
      <xdr:rowOff>171450</xdr:rowOff>
    </xdr:from>
    <xdr:to>
      <xdr:col>5</xdr:col>
      <xdr:colOff>1685924</xdr:colOff>
      <xdr:row>43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38100</xdr:rowOff>
    </xdr:from>
    <xdr:to>
      <xdr:col>6</xdr:col>
      <xdr:colOff>0</xdr:colOff>
      <xdr:row>38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36</xdr:row>
      <xdr:rowOff>0</xdr:rowOff>
    </xdr:from>
    <xdr:to>
      <xdr:col>6</xdr:col>
      <xdr:colOff>0</xdr:colOff>
      <xdr:row>37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48</xdr:row>
      <xdr:rowOff>0</xdr:rowOff>
    </xdr:from>
    <xdr:to>
      <xdr:col>2</xdr:col>
      <xdr:colOff>38100</xdr:colOff>
      <xdr:row>49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48</xdr:row>
      <xdr:rowOff>0</xdr:rowOff>
    </xdr:from>
    <xdr:to>
      <xdr:col>2</xdr:col>
      <xdr:colOff>1019175</xdr:colOff>
      <xdr:row>48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48</xdr:row>
      <xdr:rowOff>0</xdr:rowOff>
    </xdr:from>
    <xdr:to>
      <xdr:col>3</xdr:col>
      <xdr:colOff>352425</xdr:colOff>
      <xdr:row>49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48</xdr:row>
      <xdr:rowOff>0</xdr:rowOff>
    </xdr:from>
    <xdr:to>
      <xdr:col>4</xdr:col>
      <xdr:colOff>257175</xdr:colOff>
      <xdr:row>49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48</xdr:row>
      <xdr:rowOff>0</xdr:rowOff>
    </xdr:from>
    <xdr:to>
      <xdr:col>5</xdr:col>
      <xdr:colOff>447675</xdr:colOff>
      <xdr:row>48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48</xdr:row>
      <xdr:rowOff>0</xdr:rowOff>
    </xdr:from>
    <xdr:to>
      <xdr:col>6</xdr:col>
      <xdr:colOff>0</xdr:colOff>
      <xdr:row>48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48</xdr:row>
      <xdr:rowOff>190500</xdr:rowOff>
    </xdr:from>
    <xdr:to>
      <xdr:col>2</xdr:col>
      <xdr:colOff>304800</xdr:colOff>
      <xdr:row>50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48</xdr:row>
      <xdr:rowOff>190500</xdr:rowOff>
    </xdr:from>
    <xdr:to>
      <xdr:col>2</xdr:col>
      <xdr:colOff>1276350</xdr:colOff>
      <xdr:row>50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48</xdr:row>
      <xdr:rowOff>190500</xdr:rowOff>
    </xdr:from>
    <xdr:to>
      <xdr:col>3</xdr:col>
      <xdr:colOff>619125</xdr:colOff>
      <xdr:row>50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48</xdr:row>
      <xdr:rowOff>190500</xdr:rowOff>
    </xdr:from>
    <xdr:to>
      <xdr:col>4</xdr:col>
      <xdr:colOff>523875</xdr:colOff>
      <xdr:row>50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48</xdr:row>
      <xdr:rowOff>190500</xdr:rowOff>
    </xdr:from>
    <xdr:to>
      <xdr:col>5</xdr:col>
      <xdr:colOff>723900</xdr:colOff>
      <xdr:row>50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48</xdr:row>
      <xdr:rowOff>190500</xdr:rowOff>
    </xdr:from>
    <xdr:to>
      <xdr:col>6</xdr:col>
      <xdr:colOff>0</xdr:colOff>
      <xdr:row>50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28</xdr:row>
      <xdr:rowOff>15239</xdr:rowOff>
    </xdr:from>
    <xdr:to>
      <xdr:col>6</xdr:col>
      <xdr:colOff>68580</xdr:colOff>
      <xdr:row>32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SON PARA LOS MUEBLES QUE SE ESTÁN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HACIENDO, SE ENCHAPAN POR SUS TRES CANTOS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21</xdr:row>
      <xdr:rowOff>200025</xdr:rowOff>
    </xdr:from>
    <xdr:to>
      <xdr:col>6</xdr:col>
      <xdr:colOff>19049</xdr:colOff>
      <xdr:row>23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51</xdr:row>
      <xdr:rowOff>32385</xdr:rowOff>
    </xdr:from>
    <xdr:to>
      <xdr:col>6</xdr:col>
      <xdr:colOff>19050</xdr:colOff>
      <xdr:row>55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OBSERVACIONES:CORTADAS A LA MEDIDA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Y SE ENCHAPAN SUS 3 CANTOS, SON PARA LOS MUEBLES QUE SE ESTÁN HACIENDO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35</xdr:row>
      <xdr:rowOff>41910</xdr:rowOff>
    </xdr:from>
    <xdr:to>
      <xdr:col>1</xdr:col>
      <xdr:colOff>552208</xdr:colOff>
      <xdr:row>41</xdr:row>
      <xdr:rowOff>133350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554113</xdr:colOff>
      <xdr:row>8</xdr:row>
      <xdr:rowOff>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tabSelected="1" topLeftCell="A8" workbookViewId="0">
      <selection activeCell="K28" sqref="K28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8" t="s">
        <v>16</v>
      </c>
      <c r="C8" s="89"/>
      <c r="D8" s="90" t="s">
        <v>135</v>
      </c>
      <c r="E8" s="1"/>
      <c r="F8" s="91" t="s">
        <v>27</v>
      </c>
      <c r="G8" s="92">
        <v>7404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2" t="s">
        <v>129</v>
      </c>
      <c r="C10" s="84" t="s">
        <v>139</v>
      </c>
      <c r="D10" s="53"/>
      <c r="E10" s="53"/>
      <c r="F10" s="54" t="s">
        <v>28</v>
      </c>
      <c r="G10" s="55">
        <v>46090</v>
      </c>
      <c r="H10" s="56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7" t="s">
        <v>2</v>
      </c>
      <c r="C11" s="1"/>
      <c r="D11" s="58"/>
      <c r="E11" s="58"/>
      <c r="F11" s="58" t="s">
        <v>124</v>
      </c>
      <c r="G11" s="59">
        <v>46097</v>
      </c>
      <c r="H11" s="60"/>
      <c r="I11" s="1"/>
    </row>
    <row r="12" spans="1:17" ht="16.2" thickBot="1" x14ac:dyDescent="0.35">
      <c r="A12" s="1"/>
      <c r="B12" s="61" t="s">
        <v>130</v>
      </c>
      <c r="D12" s="41"/>
      <c r="E12" s="41"/>
      <c r="F12" s="41" t="s">
        <v>30</v>
      </c>
      <c r="G12" s="62"/>
      <c r="H12" s="63"/>
      <c r="I12" s="1"/>
    </row>
    <row r="13" spans="1:17" ht="15.6" x14ac:dyDescent="0.3">
      <c r="A13" s="1"/>
      <c r="B13" s="61" t="s">
        <v>132</v>
      </c>
      <c r="C13" s="84" t="s">
        <v>140</v>
      </c>
      <c r="D13" s="41"/>
      <c r="E13" s="41"/>
      <c r="F13" s="41" t="s">
        <v>128</v>
      </c>
      <c r="G13" s="62"/>
      <c r="H13" s="63"/>
      <c r="I13" s="1"/>
    </row>
    <row r="14" spans="1:17" ht="15.6" x14ac:dyDescent="0.3">
      <c r="A14" s="1"/>
      <c r="B14" s="57" t="s">
        <v>17</v>
      </c>
      <c r="C14" s="122" t="s">
        <v>141</v>
      </c>
      <c r="D14" s="64"/>
      <c r="E14" s="58"/>
      <c r="F14" s="58" t="s">
        <v>29</v>
      </c>
      <c r="G14" s="58" t="s">
        <v>133</v>
      </c>
      <c r="H14" s="60"/>
      <c r="I14" s="1"/>
    </row>
    <row r="15" spans="1:17" ht="15.6" x14ac:dyDescent="0.3">
      <c r="A15" s="1"/>
      <c r="B15" s="61" t="s">
        <v>1</v>
      </c>
      <c r="C15" s="95"/>
      <c r="D15" s="41"/>
      <c r="E15" s="41"/>
      <c r="F15" s="65" t="s">
        <v>75</v>
      </c>
      <c r="G15" s="65" t="s">
        <v>136</v>
      </c>
      <c r="H15" s="63"/>
      <c r="I15" s="1"/>
    </row>
    <row r="16" spans="1:17" ht="16.2" thickBot="1" x14ac:dyDescent="0.35">
      <c r="A16" s="1"/>
      <c r="B16" s="66" t="s">
        <v>3</v>
      </c>
      <c r="C16" s="67" t="s">
        <v>131</v>
      </c>
      <c r="D16" s="67"/>
      <c r="E16" s="68"/>
      <c r="F16" s="109" t="s">
        <v>18</v>
      </c>
      <c r="G16" s="109"/>
      <c r="H16" s="110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1" t="s">
        <v>19</v>
      </c>
      <c r="C19" s="112"/>
      <c r="D19" s="112"/>
      <c r="E19" s="112"/>
      <c r="F19" s="112"/>
      <c r="G19" s="112"/>
      <c r="H19" s="113"/>
      <c r="I19" s="1"/>
    </row>
    <row r="20" spans="1:16" ht="16.2" thickBot="1" x14ac:dyDescent="0.35">
      <c r="A20" s="1"/>
      <c r="B20" s="69" t="s">
        <v>20</v>
      </c>
      <c r="C20" s="70" t="s">
        <v>21</v>
      </c>
      <c r="D20" s="70" t="s">
        <v>22</v>
      </c>
      <c r="E20" s="70" t="s">
        <v>8</v>
      </c>
      <c r="F20" s="71" t="s">
        <v>23</v>
      </c>
      <c r="G20" s="69" t="s">
        <v>24</v>
      </c>
      <c r="H20" s="71" t="s">
        <v>4</v>
      </c>
      <c r="I20" s="1"/>
    </row>
    <row r="21" spans="1:16" ht="18" customHeight="1" x14ac:dyDescent="0.3">
      <c r="A21" s="1"/>
      <c r="B21" s="105">
        <v>16</v>
      </c>
      <c r="C21" s="106" t="s">
        <v>137</v>
      </c>
      <c r="D21" s="107">
        <v>700</v>
      </c>
      <c r="E21" s="107">
        <v>500</v>
      </c>
      <c r="F21" s="106" t="s">
        <v>138</v>
      </c>
      <c r="G21" s="104">
        <v>21992</v>
      </c>
      <c r="H21" s="102">
        <f t="shared" ref="H21" si="0">G21*B21</f>
        <v>351872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0"/>
      <c r="C22" s="100"/>
      <c r="D22" s="101"/>
      <c r="E22" s="101"/>
      <c r="F22" s="100"/>
      <c r="G22" s="73"/>
      <c r="H22" s="73"/>
      <c r="I22" s="1"/>
      <c r="K22" s="17"/>
      <c r="L22" s="26"/>
      <c r="M22" s="17"/>
      <c r="N22" s="17"/>
      <c r="O22" s="26"/>
      <c r="P22" s="33"/>
    </row>
    <row r="23" spans="1:16" ht="8.25" customHeight="1" thickBot="1" x14ac:dyDescent="0.35">
      <c r="A23" s="1"/>
      <c r="B23" s="72"/>
      <c r="C23" s="72"/>
      <c r="D23" s="72"/>
      <c r="E23" s="72"/>
      <c r="F23" s="72"/>
      <c r="G23" s="73"/>
      <c r="H23" s="73"/>
      <c r="I23" s="1"/>
    </row>
    <row r="24" spans="1:16" ht="15.6" x14ac:dyDescent="0.3">
      <c r="A24" s="1"/>
      <c r="B24" s="1"/>
      <c r="C24" s="1"/>
      <c r="D24" s="1"/>
      <c r="E24" s="1"/>
      <c r="F24" s="1"/>
      <c r="G24" s="74" t="s">
        <v>5</v>
      </c>
      <c r="H24" s="75">
        <f>SUM(H21:H23)</f>
        <v>351872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6" t="s">
        <v>6</v>
      </c>
      <c r="H25" s="77">
        <f>H24*19%</f>
        <v>66855.680000000008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78" t="s">
        <v>4</v>
      </c>
      <c r="H26" s="79">
        <f>H24+H25</f>
        <v>418727.67999999999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0"/>
      <c r="H27" s="94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80" t="s">
        <v>123</v>
      </c>
      <c r="C29" s="81"/>
      <c r="D29" s="82"/>
      <c r="E29" s="82"/>
      <c r="F29" s="72"/>
      <c r="G29" s="1"/>
      <c r="H29" s="1"/>
      <c r="I29" s="1"/>
    </row>
    <row r="30" spans="1:16" ht="15.6" x14ac:dyDescent="0.3">
      <c r="A30" s="1"/>
      <c r="B30" s="80" t="s">
        <v>122</v>
      </c>
      <c r="C30" s="81"/>
      <c r="D30" s="82"/>
      <c r="E30" s="82"/>
      <c r="F30" s="72"/>
      <c r="G30" s="1"/>
      <c r="H30" s="1"/>
      <c r="I30" s="1"/>
    </row>
    <row r="31" spans="1:16" ht="15.6" x14ac:dyDescent="0.3">
      <c r="A31" s="1"/>
      <c r="B31" s="1" t="s">
        <v>25</v>
      </c>
      <c r="C31" s="1"/>
      <c r="D31" s="1"/>
      <c r="E31" s="83" t="s">
        <v>26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0"/>
  </sortState>
  <mergeCells count="2">
    <mergeCell ref="F16:H16"/>
    <mergeCell ref="B19:H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topLeftCell="A6"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4" t="s">
        <v>31</v>
      </c>
      <c r="C2" s="114"/>
      <c r="D2" s="114"/>
      <c r="E2" s="18"/>
      <c r="G2" s="114" t="s">
        <v>70</v>
      </c>
      <c r="H2" s="114"/>
      <c r="I2" s="114"/>
      <c r="P2" s="115" t="s">
        <v>58</v>
      </c>
      <c r="Q2" s="115"/>
      <c r="R2" s="115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5" t="s">
        <v>58</v>
      </c>
      <c r="M8" s="115"/>
      <c r="N8" s="115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59"/>
  <sheetViews>
    <sheetView topLeftCell="A34" zoomScaleNormal="100" workbookViewId="0">
      <selection activeCell="A34" sqref="A34:F57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6" t="s">
        <v>61</v>
      </c>
      <c r="L3" s="116"/>
      <c r="M3" s="116" t="s">
        <v>14</v>
      </c>
      <c r="N3" s="116"/>
    </row>
    <row r="4" spans="1:14" ht="15.75" customHeight="1" x14ac:dyDescent="0.3">
      <c r="A4" s="1"/>
      <c r="B4" s="1"/>
      <c r="C4" s="38" t="s">
        <v>27</v>
      </c>
      <c r="D4" s="14">
        <f>'4637'!G8</f>
        <v>7404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39" t="s">
        <v>67</v>
      </c>
      <c r="D5" s="40" t="str">
        <f>'4637'!C10</f>
        <v>ESCANDAR</v>
      </c>
      <c r="E5" s="41"/>
      <c r="F5" s="41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2"/>
      <c r="D6" s="43"/>
      <c r="E6" s="1"/>
      <c r="F6" s="1"/>
      <c r="G6" s="1"/>
    </row>
    <row r="7" spans="1:14" ht="15.6" x14ac:dyDescent="0.3">
      <c r="A7" s="1"/>
      <c r="B7" s="1"/>
      <c r="C7" s="85" t="str">
        <f>'4637'!F11</f>
        <v>FECHA LIMITE :</v>
      </c>
      <c r="D7" s="13">
        <f>'4637'!G11</f>
        <v>46097</v>
      </c>
      <c r="E7" s="1"/>
      <c r="F7" s="1"/>
      <c r="G7" s="1"/>
    </row>
    <row r="8" spans="1:14" ht="15.6" x14ac:dyDescent="0.3">
      <c r="A8" s="1"/>
      <c r="B8" s="1"/>
      <c r="C8" s="51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7" t="s">
        <v>61</v>
      </c>
      <c r="B10" s="117"/>
      <c r="C10" s="117"/>
      <c r="D10" s="117"/>
      <c r="E10" s="117"/>
      <c r="F10" s="117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0" t="s">
        <v>7</v>
      </c>
      <c r="E12" s="50" t="s">
        <v>8</v>
      </c>
      <c r="F12" s="1"/>
      <c r="G12" s="1"/>
    </row>
    <row r="13" spans="1:14" ht="15.6" x14ac:dyDescent="0.3">
      <c r="A13" s="50" t="s">
        <v>9</v>
      </c>
      <c r="B13" s="37" t="s">
        <v>10</v>
      </c>
      <c r="C13" s="37" t="s">
        <v>11</v>
      </c>
      <c r="D13" s="32">
        <v>50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3" t="s">
        <v>134</v>
      </c>
      <c r="B14" s="25">
        <f t="shared" ref="B14" si="0">I14</f>
        <v>16</v>
      </c>
      <c r="C14" s="25"/>
      <c r="D14" s="25">
        <f>J14+$D$13</f>
        <v>750</v>
      </c>
      <c r="E14" s="35">
        <f>K14</f>
        <v>500</v>
      </c>
      <c r="F14" s="97" t="str">
        <f>C26</f>
        <v>CUB S/R 180°</v>
      </c>
      <c r="G14" s="1"/>
      <c r="I14" s="87">
        <f t="shared" ref="I14:K14" si="1">I21</f>
        <v>16</v>
      </c>
      <c r="J14" s="4">
        <f t="shared" si="1"/>
        <v>700</v>
      </c>
      <c r="K14" s="4">
        <f t="shared" si="1"/>
        <v>500</v>
      </c>
    </row>
    <row r="15" spans="1:14" ht="15.6" x14ac:dyDescent="0.3">
      <c r="A15" s="50"/>
      <c r="B15" s="6"/>
      <c r="C15" s="6"/>
      <c r="D15" s="6"/>
      <c r="E15" s="99"/>
      <c r="F15" s="6"/>
      <c r="G15" s="1"/>
      <c r="I15" s="87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17" t="s">
        <v>14</v>
      </c>
      <c r="B17" s="117"/>
      <c r="C17" s="117"/>
      <c r="D17" s="117"/>
      <c r="E17" s="117"/>
      <c r="F17" s="117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0" t="s">
        <v>7</v>
      </c>
      <c r="E19" s="50" t="s">
        <v>8</v>
      </c>
      <c r="F19" s="1"/>
      <c r="G19" s="1"/>
    </row>
    <row r="20" spans="1:11" ht="15.6" x14ac:dyDescent="0.3">
      <c r="A20" s="50" t="s">
        <v>9</v>
      </c>
      <c r="B20" s="36" t="s">
        <v>10</v>
      </c>
      <c r="C20" s="36" t="s">
        <v>11</v>
      </c>
      <c r="D20" s="21">
        <v>40</v>
      </c>
      <c r="E20" s="21">
        <v>60</v>
      </c>
      <c r="F20" s="36" t="s">
        <v>110</v>
      </c>
      <c r="G20" s="1"/>
      <c r="J20" s="5" t="s">
        <v>7</v>
      </c>
      <c r="K20" s="5" t="s">
        <v>8</v>
      </c>
    </row>
    <row r="21" spans="1:11" ht="15.6" x14ac:dyDescent="0.3">
      <c r="A21" s="93"/>
      <c r="B21" s="16">
        <f t="shared" ref="B21" si="2">I21</f>
        <v>16</v>
      </c>
      <c r="C21" s="16"/>
      <c r="D21" s="16">
        <f>J21+D$20</f>
        <v>740</v>
      </c>
      <c r="E21" s="16">
        <f>K21+E$20</f>
        <v>560</v>
      </c>
      <c r="F21" s="98" t="str">
        <f>C26</f>
        <v>CUB S/R 180°</v>
      </c>
      <c r="G21" s="1"/>
      <c r="I21" s="3">
        <f>B26</f>
        <v>16</v>
      </c>
      <c r="J21" s="4">
        <f>D26</f>
        <v>700</v>
      </c>
      <c r="K21" s="4">
        <f t="shared" ref="K21" si="3">E26</f>
        <v>500</v>
      </c>
    </row>
    <row r="22" spans="1:11" ht="16.2" thickBot="1" x14ac:dyDescent="0.35">
      <c r="A22" s="50"/>
      <c r="B22" s="6"/>
      <c r="C22" s="6"/>
      <c r="D22" s="6"/>
      <c r="E22" s="6"/>
      <c r="F22" s="6"/>
      <c r="G22" s="1"/>
      <c r="I22" s="2"/>
      <c r="J22" s="2"/>
      <c r="K22" s="2"/>
    </row>
    <row r="23" spans="1:11" ht="16.2" thickBot="1" x14ac:dyDescent="0.35">
      <c r="A23" s="50"/>
      <c r="B23" s="22" t="s">
        <v>107</v>
      </c>
      <c r="C23" s="23"/>
      <c r="D23" s="23"/>
      <c r="E23" s="23"/>
      <c r="F23" s="24"/>
      <c r="G23" s="1"/>
      <c r="I23" s="2"/>
      <c r="J23" s="2"/>
      <c r="K23" s="2"/>
    </row>
    <row r="24" spans="1:11" ht="10.5" customHeight="1" x14ac:dyDescent="0.3">
      <c r="A24" s="1"/>
      <c r="B24" s="1"/>
      <c r="C24" s="1"/>
      <c r="D24" s="1"/>
      <c r="E24" s="1"/>
      <c r="F24" s="1"/>
      <c r="G24" s="1"/>
    </row>
    <row r="25" spans="1:11" ht="15.6" x14ac:dyDescent="0.3">
      <c r="A25" s="50" t="s">
        <v>9</v>
      </c>
      <c r="B25" s="86" t="s">
        <v>10</v>
      </c>
      <c r="C25" s="86" t="s">
        <v>110</v>
      </c>
      <c r="D25" s="86" t="s">
        <v>7</v>
      </c>
      <c r="E25" s="86" t="s">
        <v>8</v>
      </c>
      <c r="F25" s="86" t="s">
        <v>23</v>
      </c>
      <c r="G25" s="1"/>
    </row>
    <row r="26" spans="1:11" ht="15.6" x14ac:dyDescent="0.3">
      <c r="A26" s="93" t="s">
        <v>134</v>
      </c>
      <c r="B26" s="25">
        <f>'4637'!B21</f>
        <v>16</v>
      </c>
      <c r="C26" s="97" t="str">
        <f>'4637'!C21</f>
        <v>CUB S/R 180°</v>
      </c>
      <c r="D26" s="25">
        <f>'4637'!D21</f>
        <v>700</v>
      </c>
      <c r="E26" s="25">
        <f>'4637'!E21</f>
        <v>500</v>
      </c>
      <c r="F26" s="25" t="str">
        <f>'4637'!F21</f>
        <v>SHELL WHITE 22011 BRILLO</v>
      </c>
      <c r="G26" s="1"/>
    </row>
    <row r="27" spans="1:11" ht="15.6" x14ac:dyDescent="0.3">
      <c r="A27" s="93"/>
      <c r="B27" s="6"/>
      <c r="C27" s="108"/>
      <c r="D27" s="6"/>
      <c r="E27" s="6"/>
      <c r="F27" s="6"/>
      <c r="G27" s="1"/>
    </row>
    <row r="28" spans="1:11" ht="15.6" x14ac:dyDescent="0.3">
      <c r="A28" s="1"/>
      <c r="B28" s="6"/>
      <c r="C28" s="6"/>
      <c r="D28" s="6"/>
      <c r="E28" s="6"/>
      <c r="F28" s="6"/>
      <c r="G28" s="1"/>
    </row>
    <row r="29" spans="1:11" ht="15.6" x14ac:dyDescent="0.3">
      <c r="A29" s="1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1"/>
      <c r="C36" s="1"/>
      <c r="D36" s="1"/>
      <c r="E36" s="1"/>
      <c r="F36" s="1"/>
      <c r="G36" s="1"/>
    </row>
    <row r="37" spans="1:7" ht="15.6" x14ac:dyDescent="0.3">
      <c r="A37" s="1"/>
      <c r="B37" s="1"/>
      <c r="C37" s="38" t="s">
        <v>27</v>
      </c>
      <c r="D37" s="14">
        <f>'4637'!G8</f>
        <v>7404</v>
      </c>
      <c r="E37" s="1"/>
      <c r="F37" s="1"/>
      <c r="G37" s="1"/>
    </row>
    <row r="38" spans="1:7" ht="17.25" customHeight="1" x14ac:dyDescent="0.3">
      <c r="A38" s="1"/>
      <c r="B38" s="1"/>
      <c r="C38" s="39" t="s">
        <v>67</v>
      </c>
      <c r="D38" s="40" t="str">
        <f>'4637'!C10</f>
        <v>ESCANDAR</v>
      </c>
      <c r="E38" s="41"/>
      <c r="F38" s="41"/>
      <c r="G38" s="1"/>
    </row>
    <row r="39" spans="1:7" ht="4.5" customHeight="1" x14ac:dyDescent="0.3">
      <c r="A39" s="1"/>
      <c r="B39" s="1"/>
      <c r="C39" s="42"/>
      <c r="D39" s="43"/>
      <c r="E39" s="1"/>
      <c r="F39" s="1"/>
      <c r="G39" s="1"/>
    </row>
    <row r="40" spans="1:7" ht="15.6" x14ac:dyDescent="0.3">
      <c r="A40" s="1"/>
      <c r="B40" s="1"/>
      <c r="C40" s="44" t="str">
        <f>'4637'!F11</f>
        <v>FECHA LIMITE :</v>
      </c>
      <c r="D40" s="13">
        <f>'4637'!G11</f>
        <v>46097</v>
      </c>
      <c r="E40" s="1"/>
      <c r="F40" s="1"/>
      <c r="G40" s="1"/>
    </row>
    <row r="41" spans="1:7" ht="15.6" x14ac:dyDescent="0.3">
      <c r="A41" s="1"/>
      <c r="B41" s="1"/>
      <c r="C41" s="1"/>
      <c r="D41" s="1"/>
      <c r="E41" s="1"/>
      <c r="F41" s="1"/>
      <c r="G41" s="1"/>
    </row>
    <row r="42" spans="1:7" ht="15.6" x14ac:dyDescent="0.3">
      <c r="A42" s="1"/>
      <c r="B42" s="1"/>
      <c r="C42" s="1"/>
      <c r="D42" s="1"/>
      <c r="E42" s="1"/>
      <c r="F42" s="1"/>
      <c r="G42" s="1"/>
    </row>
    <row r="43" spans="1:7" ht="15.6" x14ac:dyDescent="0.3">
      <c r="A43" s="117" t="s">
        <v>68</v>
      </c>
      <c r="B43" s="117"/>
      <c r="C43" s="117"/>
      <c r="D43" s="117"/>
      <c r="E43" s="117"/>
      <c r="F43" s="117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75" customHeight="1" x14ac:dyDescent="0.3">
      <c r="A45" s="1"/>
      <c r="B45" s="118" t="s">
        <v>69</v>
      </c>
      <c r="C45" s="119"/>
      <c r="D45" s="120"/>
      <c r="E45" s="120"/>
      <c r="F45" s="121"/>
      <c r="G45" s="1"/>
    </row>
    <row r="46" spans="1:7" s="15" customFormat="1" ht="12.75" customHeight="1" x14ac:dyDescent="0.3">
      <c r="A46" s="1"/>
      <c r="B46" s="36" t="s">
        <v>10</v>
      </c>
      <c r="C46" s="45" t="s">
        <v>11</v>
      </c>
      <c r="D46" s="46" t="s">
        <v>7</v>
      </c>
      <c r="E46" s="46" t="s">
        <v>8</v>
      </c>
      <c r="F46" s="47" t="s">
        <v>12</v>
      </c>
      <c r="G46" s="1"/>
    </row>
    <row r="47" spans="1:7" s="15" customFormat="1" ht="15" customHeight="1" x14ac:dyDescent="0.3">
      <c r="A47" s="93" t="s">
        <v>134</v>
      </c>
      <c r="B47" s="103">
        <f>'4637'!B21</f>
        <v>16</v>
      </c>
      <c r="C47" s="96" t="str">
        <f>'4637'!C21</f>
        <v>CUB S/R 180°</v>
      </c>
      <c r="D47" s="96">
        <f>'4637'!D21</f>
        <v>700</v>
      </c>
      <c r="E47" s="96">
        <f>'4637'!E21</f>
        <v>500</v>
      </c>
      <c r="F47" s="96" t="str">
        <f>'4637'!F21</f>
        <v>SHELL WHITE 22011 BRILLO</v>
      </c>
      <c r="G47" s="1"/>
    </row>
    <row r="48" spans="1:7" s="15" customFormat="1" ht="15" customHeight="1" x14ac:dyDescent="0.3">
      <c r="A48" s="48"/>
      <c r="B48" s="50"/>
      <c r="C48" s="50"/>
      <c r="D48" s="50"/>
      <c r="E48" s="50"/>
      <c r="F48" s="50"/>
      <c r="G48" s="1"/>
    </row>
    <row r="49" spans="1:7" ht="15.6" x14ac:dyDescent="0.3">
      <c r="A49" s="6"/>
      <c r="B49" s="6"/>
      <c r="C49" s="1"/>
      <c r="D49" s="6"/>
      <c r="E49" s="6"/>
      <c r="F49" s="42"/>
      <c r="G49" s="1"/>
    </row>
    <row r="50" spans="1:7" ht="15.6" x14ac:dyDescent="0.3">
      <c r="A50" s="6"/>
      <c r="B50" s="6"/>
      <c r="C50" s="1"/>
      <c r="D50" s="6"/>
      <c r="E50" s="6"/>
      <c r="F50" s="6"/>
      <c r="G50" s="1"/>
    </row>
    <row r="51" spans="1:7" ht="15.6" x14ac:dyDescent="0.3">
      <c r="A51" s="1"/>
      <c r="B51" s="1"/>
      <c r="C51" s="1"/>
      <c r="D51" s="1"/>
      <c r="E51" s="1"/>
      <c r="F51" s="1"/>
      <c r="G51" s="1"/>
    </row>
    <row r="52" spans="1:7" ht="15.6" x14ac:dyDescent="0.3">
      <c r="A52" s="1"/>
      <c r="B52" s="1"/>
      <c r="C52" s="1"/>
      <c r="D52" s="1"/>
      <c r="E52" s="1"/>
      <c r="F52" s="1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" customHeight="1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6"/>
      <c r="B56" s="49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x14ac:dyDescent="0.3">
      <c r="B58" s="20"/>
      <c r="C58" s="20"/>
      <c r="D58" s="20"/>
      <c r="E58" s="20"/>
      <c r="F58" s="20"/>
    </row>
    <row r="59" spans="1:7" x14ac:dyDescent="0.3">
      <c r="B59" s="20"/>
      <c r="C59" s="20"/>
      <c r="E59" s="20"/>
      <c r="F59" s="20"/>
    </row>
  </sheetData>
  <mergeCells count="6">
    <mergeCell ref="M3:N3"/>
    <mergeCell ref="A17:F17"/>
    <mergeCell ref="A10:F10"/>
    <mergeCell ref="A43:F43"/>
    <mergeCell ref="B45:F45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2026-03-11T12:47:08Z</cp:lastPrinted>
  <dcterms:created xsi:type="dcterms:W3CDTF">2013-03-19T12:54:14Z</dcterms:created>
  <dcterms:modified xsi:type="dcterms:W3CDTF">2026-03-11T12:47:16Z</dcterms:modified>
</cp:coreProperties>
</file>