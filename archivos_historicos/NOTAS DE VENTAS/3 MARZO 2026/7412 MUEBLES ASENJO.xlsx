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6\"/>
    </mc:Choice>
  </mc:AlternateContent>
  <xr:revisionPtr revIDLastSave="0" documentId="13_ncr:1_{734A3E78-BBAE-463B-95B3-F1EF55FF164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CUBIERTA!$A$39:$F$64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C30" i="3"/>
  <c r="D30" i="3"/>
  <c r="E30" i="3"/>
  <c r="F30" i="3"/>
  <c r="B52" i="3"/>
  <c r="C52" i="3"/>
  <c r="D52" i="3"/>
  <c r="E52" i="3"/>
  <c r="F52" i="3"/>
  <c r="H22" i="4"/>
  <c r="I23" i="3" l="1"/>
  <c r="F23" i="3"/>
  <c r="J23" i="3"/>
  <c r="K23" i="3"/>
  <c r="D51" i="3"/>
  <c r="E51" i="3"/>
  <c r="F51" i="3"/>
  <c r="H21" i="4"/>
  <c r="H25" i="4" s="1"/>
  <c r="J15" i="3" l="1"/>
  <c r="D15" i="3" s="1"/>
  <c r="D23" i="3"/>
  <c r="I15" i="3"/>
  <c r="B15" i="3" s="1"/>
  <c r="B23" i="3"/>
  <c r="K15" i="3"/>
  <c r="E15" i="3" s="1"/>
  <c r="E23" i="3"/>
  <c r="F15" i="3"/>
  <c r="B29" i="3"/>
  <c r="I22" i="3" s="1"/>
  <c r="I14" i="3" s="1"/>
  <c r="B14" i="3" s="1"/>
  <c r="C29" i="3"/>
  <c r="F14" i="3" s="1"/>
  <c r="D29" i="3"/>
  <c r="J22" i="3" s="1"/>
  <c r="E29" i="3"/>
  <c r="F29" i="3"/>
  <c r="B51" i="3"/>
  <c r="C51" i="3"/>
  <c r="K22" i="3" l="1"/>
  <c r="D22" i="3"/>
  <c r="J14" i="3"/>
  <c r="D14" i="3" s="1"/>
  <c r="B22" i="3"/>
  <c r="F22" i="3"/>
  <c r="K14" i="3" l="1"/>
  <c r="E14" i="3" s="1"/>
  <c r="E22" i="3"/>
  <c r="H26" i="4"/>
  <c r="H27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<sst xmlns="http://schemas.openxmlformats.org/spreadsheetml/2006/main" count="245" uniqueCount="141">
  <si>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</si>
  <si>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</si>
  <si>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</si>
  <si>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</si>
  <si>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</si>
  <si>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</si>
  <si>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</si>
  <si>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</si>
  <si>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</si>
  <si>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</si>
  <si>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</si>
  <si>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</si>
  <si>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</si>
  <si>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</si>
  <si>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</si>
  <si>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</si>
  <si>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</si>
  <si>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</si>
  <si>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</si>
  <si>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</si>
  <si>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</si>
  <si>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</si>
  <si>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</si>
  <si>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</si>
  <si>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</si>
  <si>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</si>
  <si>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</si>
  <si>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</si>
  <si>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</si>
  <si>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</si>
  <si>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</si>
  <si>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</si>
  <si>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</si>
  <si>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</si>
  <si>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</si>
  <si>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</si>
  <si>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</si>
  <si>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</si>
  <si>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</si>
  <si>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</si>
  <si>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</si>
  <si>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</si>
  <si>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</si>
  <si>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</si>
  <si>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</si>
  <si>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</si>
  <si>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</si>
  <si>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</si>
  <si>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</si>
  <si>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</si>
  <si>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</si>
  <si>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</si>
  <si>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</si>
  <si>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</si>
  <si>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</si>
  <si>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</si>
  <si>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</si>
  <si>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</si>
  <si>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</si>
  <si>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</si>
  <si>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</si>
  <si>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</si>
  <si>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</si>
  <si>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</si>
  <si>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</si>
  <si>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</si>
  <si>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</si>
  <si>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</si>
  <si>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</si>
  <si>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</si>
  <si>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</si>
  <si>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</si>
  <si>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</si>
  <si>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</si>
  <si>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</si>
  <si>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</si>
  <si>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</si>
  <si>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</si>
  <si>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</si>
  <si>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</si>
  <si>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</si>
  <si>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</si>
  <si>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</si>
  <si>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</si>
  <si>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</si>
  <si>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</si>
  <si>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</si>
  <si>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</si>
  <si>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</si>
  <si>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</si>
  <si>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</si>
  <si>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</si>
  <si>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</si>
  <si>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</si>
  <si>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</si>
  <si>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</si>
  <si>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</si>
  <si>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</si>
  <si>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</si>
  <si>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</si>
  <si>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</si>
  <si>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</si>
  <si>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</si>
  <si>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</si>
  <si>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</si>
  <si>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</si>
  <si>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</si>
  <si>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</si>
  <si>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</si>
  <si>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</si>
  <si>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</si>
  <si>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</si>
  <si>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</si>
  <si>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</si>
  <si>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</si>
  <si>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</si>
  <si>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</si>
  <si>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</si>
  <si>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</si>
  <si>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</si>
  <si>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</si>
  <si>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</si>
  <si>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</si>
  <si>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</si>
  <si>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</si>
  <si>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</si>
  <si>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</si>
  <si>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</si>
  <si>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</si>
  <si>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</si>
  <si>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</si>
  <si>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</si>
  <si>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</si>
  <si>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</si>
  <si>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</si>
  <si>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</si>
  <si>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</si>
  <si>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N° 11864</t>
  </si>
  <si>
    <t>PALE GREY 22169 SF</t>
  </si>
  <si>
    <t>CUB C/R R8</t>
  </si>
  <si>
    <t>GLACIAL WHITE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</si>
</sst>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7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7" xfId="0" applyFont="1" applyFill="1" applyBorder="1" applyAlignment="1">
      <alignment horizontal="center"/>
    </xf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21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5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2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3" fontId="1" fillId="3" borderId="12" xfId="0" applyNumberFormat="1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4" xfId="0" applyFont="1" applyBorder="1" applyAlignment="1">
      <alignment horizontal="left" indent="1"/>
    </xf>
    <xf numFmtId="0" fontId="1" fillId="0" borderId="15" xfId="0" applyFont="1" applyBorder="1"/>
    <xf numFmtId="0" fontId="1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7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166" fontId="3" fillId="0" borderId="2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19" xfId="0" applyFont="1" applyFill="1" applyBorder="1" applyAlignment="1">
      <alignment horizontal="left" vertical="top" indent="28"/>
    </xf>
    <xf numFmtId="0" fontId="9" fillId="3" borderId="20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8" xfId="0" applyFont="1" applyFill="1" applyBorder="1" applyAlignment="1">
      <alignment horizontal="left" vertical="top" indent="28"/>
    </xf>
    <xf numFmtId="166" fontId="3" fillId="0" borderId="29" xfId="1" applyNumberFormat="1" applyFont="1" applyFill="1" applyBorder="1"/>
    <xf numFmtId="166" fontId="3" fillId="0" borderId="28" xfId="1" applyNumberFormat="1" applyFont="1" applyFill="1" applyBorder="1"/>
    <xf numFmtId="0" fontId="15" fillId="0" borderId="0" xfId="0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556018</xdr:colOff>
      <xdr:row>45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8" workbookViewId="0">
      <selection activeCell="I25" sqref="I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6" t="s">
        <v>16</v>
      </c>
      <c r="C8" s="87"/>
      <c r="D8" s="88" t="s">
        <v>137</v>
      </c>
      <c r="E8" s="1"/>
      <c r="F8" s="89" t="s">
        <v>27</v>
      </c>
      <c r="G8" s="90">
        <v>7412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2" t="s">
        <v>136</v>
      </c>
      <c r="D10" s="54"/>
      <c r="E10" s="54"/>
      <c r="F10" s="55" t="s">
        <v>28</v>
      </c>
      <c r="G10" s="56">
        <v>46104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/>
      <c r="H11" s="61"/>
      <c r="I11" s="1"/>
    </row>
    <row r="12" spans="1:17" ht="16.2" thickBot="1" x14ac:dyDescent="0.35">
      <c r="A12" s="1"/>
      <c r="B12" s="62" t="s">
        <v>130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132</v>
      </c>
      <c r="C13" s="82"/>
      <c r="D13" s="42"/>
      <c r="E13" s="42"/>
      <c r="F13" s="42" t="s">
        <v>128</v>
      </c>
      <c r="G13" s="63"/>
      <c r="H13" s="64"/>
      <c r="I13" s="1"/>
    </row>
    <row r="14" spans="1:17" ht="15.6" x14ac:dyDescent="0.3">
      <c r="A14" s="1"/>
      <c r="B14" s="58" t="s">
        <v>17</v>
      </c>
      <c r="C14" s="97"/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C15" s="93"/>
      <c r="D15" s="42"/>
      <c r="E15" s="42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131</v>
      </c>
      <c r="D16" s="68"/>
      <c r="E16" s="69"/>
      <c r="F16" s="104" t="s">
        <v>18</v>
      </c>
      <c r="G16" s="104"/>
      <c r="H16" s="10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6" t="s">
        <v>19</v>
      </c>
      <c r="C19" s="107"/>
      <c r="D19" s="107"/>
      <c r="E19" s="107"/>
      <c r="F19" s="107"/>
      <c r="G19" s="107"/>
      <c r="H19" s="108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2">
        <v>1</v>
      </c>
      <c r="C21" s="102" t="s">
        <v>127</v>
      </c>
      <c r="D21" s="103">
        <v>2844</v>
      </c>
      <c r="E21" s="103">
        <v>600</v>
      </c>
      <c r="F21" s="102" t="s">
        <v>138</v>
      </c>
      <c r="G21" s="98">
        <v>92904</v>
      </c>
      <c r="H21" s="98">
        <f t="shared" ref="H21:H22" si="0">G21*B21</f>
        <v>92904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2">
        <v>1</v>
      </c>
      <c r="C22" s="102" t="s">
        <v>139</v>
      </c>
      <c r="D22" s="103">
        <v>3500</v>
      </c>
      <c r="E22" s="103">
        <v>600</v>
      </c>
      <c r="F22" s="102" t="s">
        <v>140</v>
      </c>
      <c r="G22" s="98">
        <v>111175</v>
      </c>
      <c r="H22" s="98">
        <f t="shared" si="0"/>
        <v>111175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19"/>
      <c r="C23" s="119"/>
      <c r="D23" s="120"/>
      <c r="E23" s="120"/>
      <c r="F23" s="119"/>
      <c r="G23" s="74"/>
      <c r="H23" s="74"/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B24" s="73"/>
      <c r="C24" s="73"/>
      <c r="D24" s="73"/>
      <c r="E24" s="73"/>
      <c r="F24" s="73"/>
      <c r="G24" s="74"/>
      <c r="H24" s="7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98">
        <f>SUM(H21:H24)</f>
        <v>204079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6</v>
      </c>
      <c r="H26" s="117">
        <f>H25*19%</f>
        <v>38775.01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7" t="s">
        <v>4</v>
      </c>
      <c r="H27" s="118">
        <f>H25+H26</f>
        <v>242854.01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1"/>
      <c r="H28" s="92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78" t="s">
        <v>123</v>
      </c>
      <c r="C30" s="79"/>
      <c r="D30" s="80"/>
      <c r="E30" s="80"/>
      <c r="F30" s="73"/>
      <c r="G30" s="1"/>
      <c r="H30" s="1"/>
      <c r="I30" s="1"/>
    </row>
    <row r="31" spans="1:16" ht="15.6" x14ac:dyDescent="0.3">
      <c r="A31" s="1"/>
      <c r="B31" s="78" t="s">
        <v>122</v>
      </c>
      <c r="C31" s="79"/>
      <c r="D31" s="80"/>
      <c r="E31" s="80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1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4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09" t="s">
        <v>31</v>
      </c>
      <c r="C2" s="109"/>
      <c r="D2" s="109"/>
      <c r="E2" s="18"/>
      <c r="G2" s="109" t="s">
        <v>70</v>
      </c>
      <c r="H2" s="109"/>
      <c r="I2" s="109"/>
      <c r="P2" s="110" t="s">
        <v>58</v>
      </c>
      <c r="Q2" s="110"/>
      <c r="R2" s="11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0" t="s">
        <v>58</v>
      </c>
      <c r="M8" s="110"/>
      <c r="N8" s="11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abSelected="1" topLeftCell="A9" zoomScaleNormal="100" workbookViewId="0">
      <selection activeCell="A16" sqref="A16:XFD17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1" t="s">
        <v>61</v>
      </c>
      <c r="L3" s="111"/>
      <c r="M3" s="111" t="s">
        <v>14</v>
      </c>
      <c r="N3" s="111"/>
    </row>
    <row r="4" spans="1:14" ht="15.75" customHeight="1" x14ac:dyDescent="0.3">
      <c r="A4" s="1"/>
      <c r="B4" s="1"/>
      <c r="C4" s="39" t="s">
        <v>27</v>
      </c>
      <c r="D4" s="14">
        <f>'4637'!G8</f>
        <v>7412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ASENJO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2" t="s">
        <v>61</v>
      </c>
      <c r="B10" s="112"/>
      <c r="C10" s="112"/>
      <c r="D10" s="112"/>
      <c r="E10" s="112"/>
      <c r="F10" s="11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1" t="s">
        <v>135</v>
      </c>
      <c r="B14" s="25">
        <f t="shared" ref="B14" si="0">I14</f>
        <v>1</v>
      </c>
      <c r="C14" s="25"/>
      <c r="D14" s="25">
        <f>J14+$D$13</f>
        <v>2924</v>
      </c>
      <c r="E14" s="35">
        <f t="shared" ref="E14:E15" si="1">K14+$E$13</f>
        <v>570</v>
      </c>
      <c r="F14" s="95" t="str">
        <f>C29</f>
        <v>CUB C/R R6</v>
      </c>
      <c r="G14" s="1"/>
      <c r="I14" s="85">
        <f>I22</f>
        <v>1</v>
      </c>
      <c r="J14" s="4">
        <f>J22</f>
        <v>2844</v>
      </c>
      <c r="K14" s="4">
        <f>K22</f>
        <v>600</v>
      </c>
    </row>
    <row r="15" spans="1:14" ht="15.6" x14ac:dyDescent="0.3">
      <c r="A15" s="91"/>
      <c r="B15" s="25">
        <f t="shared" ref="B15" si="2">I15</f>
        <v>1</v>
      </c>
      <c r="C15" s="25"/>
      <c r="D15" s="25">
        <f t="shared" ref="D15" si="3">J15+$D$13</f>
        <v>3580</v>
      </c>
      <c r="E15" s="35">
        <f t="shared" si="1"/>
        <v>570</v>
      </c>
      <c r="F15" s="95" t="str">
        <f t="shared" ref="F15" si="4">C30</f>
        <v>CUB C/R R8</v>
      </c>
      <c r="G15" s="1"/>
      <c r="I15" s="85">
        <f t="shared" ref="I15:K15" si="5">I23</f>
        <v>1</v>
      </c>
      <c r="J15" s="4">
        <f t="shared" si="5"/>
        <v>3500</v>
      </c>
      <c r="K15" s="4">
        <f t="shared" si="5"/>
        <v>600</v>
      </c>
    </row>
    <row r="16" spans="1:14" ht="15.6" x14ac:dyDescent="0.3">
      <c r="A16" s="51"/>
      <c r="B16" s="6"/>
      <c r="C16" s="6"/>
      <c r="D16" s="6"/>
      <c r="E16" s="99"/>
      <c r="F16" s="6"/>
      <c r="G16" s="1"/>
      <c r="I16" s="85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2" t="s">
        <v>14</v>
      </c>
      <c r="B18" s="112"/>
      <c r="C18" s="112"/>
      <c r="D18" s="112"/>
      <c r="E18" s="112"/>
      <c r="F18" s="11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1"/>
      <c r="B22" s="16">
        <f t="shared" ref="B22" si="6">I22</f>
        <v>1</v>
      </c>
      <c r="C22" s="16"/>
      <c r="D22" s="16">
        <f>J22+D$21</f>
        <v>2884</v>
      </c>
      <c r="E22" s="16">
        <f>K22+E$21</f>
        <v>730</v>
      </c>
      <c r="F22" s="96" t="str">
        <f>C29</f>
        <v>CUB C/R R6</v>
      </c>
      <c r="G22" s="1"/>
      <c r="I22" s="3">
        <f>B29</f>
        <v>1</v>
      </c>
      <c r="J22" s="4">
        <f>D29</f>
        <v>2844</v>
      </c>
      <c r="K22" s="4">
        <f t="shared" ref="K22" si="7">E29</f>
        <v>600</v>
      </c>
    </row>
    <row r="23" spans="1:11" ht="15.6" x14ac:dyDescent="0.3">
      <c r="A23" s="91"/>
      <c r="B23" s="16">
        <f t="shared" ref="B23" si="8">I23</f>
        <v>1</v>
      </c>
      <c r="C23" s="16"/>
      <c r="D23" s="16">
        <f>J23+D$21</f>
        <v>3540</v>
      </c>
      <c r="E23" s="16">
        <f>K23+E$21</f>
        <v>730</v>
      </c>
      <c r="F23" s="96" t="str">
        <f t="shared" ref="F23" si="9">C30</f>
        <v>CUB C/R R8</v>
      </c>
      <c r="G23" s="1"/>
      <c r="I23" s="3">
        <f t="shared" ref="I23" si="10">B30</f>
        <v>1</v>
      </c>
      <c r="J23" s="4">
        <f t="shared" ref="J23" si="11">D30</f>
        <v>3500</v>
      </c>
      <c r="K23" s="4">
        <f t="shared" ref="K23" si="12">E30</f>
        <v>600</v>
      </c>
    </row>
    <row r="24" spans="1:11" ht="15.6" x14ac:dyDescent="0.3">
      <c r="A24" s="91"/>
      <c r="B24" s="6"/>
      <c r="C24" s="6"/>
      <c r="D24" s="6"/>
      <c r="E24" s="6"/>
      <c r="F24" s="101"/>
      <c r="G24" s="1"/>
      <c r="I24" s="85"/>
      <c r="J24" s="2"/>
      <c r="K24" s="2"/>
    </row>
    <row r="25" spans="1:11" ht="16.2" thickBot="1" x14ac:dyDescent="0.35">
      <c r="A25" s="51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1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1" t="s">
        <v>9</v>
      </c>
      <c r="B28" s="84" t="s">
        <v>10</v>
      </c>
      <c r="C28" s="84" t="s">
        <v>110</v>
      </c>
      <c r="D28" s="84" t="s">
        <v>7</v>
      </c>
      <c r="E28" s="84" t="s">
        <v>8</v>
      </c>
      <c r="F28" s="84" t="s">
        <v>23</v>
      </c>
      <c r="G28" s="1"/>
    </row>
    <row r="29" spans="1:11" ht="15.6" x14ac:dyDescent="0.3">
      <c r="A29" s="91" t="s">
        <v>135</v>
      </c>
      <c r="B29" s="25">
        <f>'4637'!B21</f>
        <v>1</v>
      </c>
      <c r="C29" s="95" t="str">
        <f>'4637'!C21</f>
        <v>CUB C/R R6</v>
      </c>
      <c r="D29" s="25">
        <f>'4637'!D21</f>
        <v>2844</v>
      </c>
      <c r="E29" s="25">
        <f>'4637'!E21</f>
        <v>600</v>
      </c>
      <c r="F29" s="25" t="str">
        <f>'4637'!F21</f>
        <v>PALE GREY 22169 SF</v>
      </c>
      <c r="G29" s="1"/>
    </row>
    <row r="30" spans="1:11" ht="15.6" x14ac:dyDescent="0.3">
      <c r="A30" s="91"/>
      <c r="B30" s="25">
        <f>'4637'!B22</f>
        <v>1</v>
      </c>
      <c r="C30" s="95" t="str">
        <f>'4637'!C22</f>
        <v>CUB C/R R8</v>
      </c>
      <c r="D30" s="25">
        <f>'4637'!D22</f>
        <v>3500</v>
      </c>
      <c r="E30" s="25">
        <f>'4637'!E22</f>
        <v>600</v>
      </c>
      <c r="F30" s="25" t="str">
        <f>'4637'!F22</f>
        <v>GLACIAL WHITE 22191 SF</v>
      </c>
      <c r="G30" s="1"/>
    </row>
    <row r="31" spans="1:11" ht="15.6" x14ac:dyDescent="0.3">
      <c r="A31" s="91"/>
      <c r="B31" s="6"/>
      <c r="C31" s="101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39" t="s">
        <v>27</v>
      </c>
      <c r="D41" s="14">
        <f>'4637'!G8</f>
        <v>7412</v>
      </c>
      <c r="E41" s="1"/>
      <c r="F41" s="1"/>
      <c r="G41" s="1"/>
    </row>
    <row r="42" spans="1:7" ht="17.25" customHeight="1" x14ac:dyDescent="0.3">
      <c r="A42" s="1"/>
      <c r="B42" s="1"/>
      <c r="C42" s="40" t="s">
        <v>67</v>
      </c>
      <c r="D42" s="41" t="str">
        <f>'4637'!C10</f>
        <v>MUEBLES ASENJO</v>
      </c>
      <c r="E42" s="42"/>
      <c r="F42" s="42"/>
      <c r="G42" s="1"/>
    </row>
    <row r="43" spans="1:7" ht="4.5" customHeight="1" x14ac:dyDescent="0.3">
      <c r="A43" s="1"/>
      <c r="B43" s="1"/>
      <c r="C43" s="43"/>
      <c r="D43" s="44"/>
      <c r="E43" s="1"/>
      <c r="F43" s="1"/>
      <c r="G43" s="1"/>
    </row>
    <row r="44" spans="1:7" ht="15.6" x14ac:dyDescent="0.3">
      <c r="A44" s="1"/>
      <c r="B44" s="1"/>
      <c r="C44" s="45" t="str">
        <f>'4637'!F11</f>
        <v>FECHA LIMITE :</v>
      </c>
      <c r="D44" s="13">
        <f>'4637'!G11</f>
        <v>0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2" t="s">
        <v>68</v>
      </c>
      <c r="B47" s="112"/>
      <c r="C47" s="112"/>
      <c r="D47" s="112"/>
      <c r="E47" s="112"/>
      <c r="F47" s="112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3" t="s">
        <v>69</v>
      </c>
      <c r="C49" s="114"/>
      <c r="D49" s="115"/>
      <c r="E49" s="115"/>
      <c r="F49" s="116"/>
      <c r="G49" s="1"/>
    </row>
    <row r="50" spans="1:7" s="15" customFormat="1" ht="12.75" customHeight="1" x14ac:dyDescent="0.3">
      <c r="A50" s="1"/>
      <c r="B50" s="36" t="s">
        <v>10</v>
      </c>
      <c r="C50" s="46" t="s">
        <v>11</v>
      </c>
      <c r="D50" s="47" t="s">
        <v>7</v>
      </c>
      <c r="E50" s="47" t="s">
        <v>8</v>
      </c>
      <c r="F50" s="48" t="s">
        <v>12</v>
      </c>
      <c r="G50" s="1"/>
    </row>
    <row r="51" spans="1:7" s="15" customFormat="1" ht="15" customHeight="1" x14ac:dyDescent="0.3">
      <c r="A51" s="91" t="s">
        <v>135</v>
      </c>
      <c r="B51" s="38">
        <f>'4637'!B21</f>
        <v>1</v>
      </c>
      <c r="C51" s="94" t="str">
        <f>'4637'!C21</f>
        <v>CUB C/R R6</v>
      </c>
      <c r="D51" s="94">
        <f>'4637'!D21</f>
        <v>2844</v>
      </c>
      <c r="E51" s="94">
        <f>'4637'!E21</f>
        <v>600</v>
      </c>
      <c r="F51" s="94" t="str">
        <f>'4637'!F21</f>
        <v>PALE GREY 22169 SF</v>
      </c>
      <c r="G51" s="1"/>
    </row>
    <row r="52" spans="1:7" s="15" customFormat="1" ht="15" customHeight="1" x14ac:dyDescent="0.3">
      <c r="A52" s="91"/>
      <c r="B52" s="38">
        <f>'4637'!B22</f>
        <v>1</v>
      </c>
      <c r="C52" s="94" t="str">
        <f>'4637'!C22</f>
        <v>CUB C/R R8</v>
      </c>
      <c r="D52" s="94">
        <f>'4637'!D22</f>
        <v>3500</v>
      </c>
      <c r="E52" s="94">
        <f>'4637'!E22</f>
        <v>600</v>
      </c>
      <c r="F52" s="94" t="str">
        <f>'4637'!F22</f>
        <v>GLACIAL WHITE 22191 SF</v>
      </c>
      <c r="G52" s="1"/>
    </row>
    <row r="53" spans="1:7" s="15" customFormat="1" ht="15" customHeight="1" x14ac:dyDescent="0.3">
      <c r="B53" s="51"/>
      <c r="C53" s="100"/>
      <c r="D53" s="51"/>
      <c r="E53" s="51"/>
      <c r="F53" s="51"/>
      <c r="G53" s="1"/>
    </row>
    <row r="54" spans="1:7" s="15" customFormat="1" ht="15" customHeight="1" x14ac:dyDescent="0.3">
      <c r="A54" s="49"/>
      <c r="B54" s="51"/>
      <c r="C54" s="51"/>
      <c r="D54" s="51"/>
      <c r="E54" s="51"/>
      <c r="F54" s="51"/>
      <c r="G54" s="1"/>
    </row>
    <row r="55" spans="1:7" ht="15.6" x14ac:dyDescent="0.3">
      <c r="A55" s="6"/>
      <c r="B55" s="6"/>
      <c r="C55" s="1"/>
      <c r="D55" s="6"/>
      <c r="E55" s="6"/>
      <c r="F55" s="43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0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2026-02-04T12:27:43Z</cp:lastPrinted>
  <dcterms:created xsi:type="dcterms:W3CDTF">2013-03-19T12:54:14Z</dcterms:created>
  <dcterms:modified xsi:type="dcterms:W3CDTF">2026-03-23T14:33:09Z</dcterms:modified>
</cp:coreProperties>
</file>