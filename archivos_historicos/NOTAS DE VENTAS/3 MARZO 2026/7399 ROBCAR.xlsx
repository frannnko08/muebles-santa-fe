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3 MARZO 2026\"/>
    </mc:Choice>
  </mc:AlternateContent>
  <xr:revisionPtr revIDLastSave="0" documentId="13_ncr:1_{21B0B8A9-C9E2-4FF7-9D12-66F763F760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'4637'!$B$1:$H$32</definedName>
    <definedName name="_xlnm.Print_Area" localSheetId="2">CUBIERTA!$A$1:$F$28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3" l="1"/>
  <c r="I26" i="3" s="1"/>
  <c r="C34" i="3"/>
  <c r="F26" i="3" s="1"/>
  <c r="D34" i="3"/>
  <c r="J26" i="3" s="1"/>
  <c r="D26" i="3" s="1"/>
  <c r="E34" i="3"/>
  <c r="K26" i="3" s="1"/>
  <c r="E26" i="3" s="1"/>
  <c r="F34" i="3"/>
  <c r="B35" i="3"/>
  <c r="I27" i="3" s="1"/>
  <c r="C35" i="3"/>
  <c r="F27" i="3" s="1"/>
  <c r="D35" i="3"/>
  <c r="J27" i="3" s="1"/>
  <c r="D27" i="3" s="1"/>
  <c r="E35" i="3"/>
  <c r="K27" i="3" s="1"/>
  <c r="E27" i="3" s="1"/>
  <c r="F35" i="3"/>
  <c r="B57" i="3"/>
  <c r="C57" i="3"/>
  <c r="D57" i="3"/>
  <c r="E57" i="3"/>
  <c r="F57" i="3"/>
  <c r="B58" i="3"/>
  <c r="C58" i="3"/>
  <c r="D58" i="3"/>
  <c r="E58" i="3"/>
  <c r="F58" i="3"/>
  <c r="H24" i="4"/>
  <c r="H23" i="4"/>
  <c r="H22" i="4"/>
  <c r="B33" i="3"/>
  <c r="C33" i="3"/>
  <c r="F25" i="3" s="1"/>
  <c r="D33" i="3"/>
  <c r="J25" i="3" s="1"/>
  <c r="D25" i="3" s="1"/>
  <c r="E33" i="3"/>
  <c r="K25" i="3" s="1"/>
  <c r="E25" i="3" s="1"/>
  <c r="F33" i="3"/>
  <c r="B56" i="3"/>
  <c r="C56" i="3"/>
  <c r="D56" i="3"/>
  <c r="E56" i="3"/>
  <c r="F56" i="3"/>
  <c r="H27" i="4" l="1"/>
  <c r="B27" i="3"/>
  <c r="I16" i="3"/>
  <c r="B16" i="3" s="1"/>
  <c r="B26" i="3"/>
  <c r="I15" i="3"/>
  <c r="B15" i="3" s="1"/>
  <c r="I25" i="3"/>
  <c r="F15" i="3"/>
  <c r="F16" i="3"/>
  <c r="K16" i="3"/>
  <c r="E16" i="3" s="1"/>
  <c r="K15" i="3"/>
  <c r="E15" i="3" s="1"/>
  <c r="J16" i="3"/>
  <c r="D16" i="3" s="1"/>
  <c r="J15" i="3"/>
  <c r="D15" i="3" s="1"/>
  <c r="K14" i="3"/>
  <c r="E14" i="3" s="1"/>
  <c r="J14" i="3"/>
  <c r="D14" i="3" s="1"/>
  <c r="F14" i="3"/>
  <c r="B25" i="3" l="1"/>
  <c r="I14" i="3"/>
  <c r="B14" i="3" s="1"/>
  <c r="H28" i="4"/>
  <c r="H29" i="4" l="1"/>
  <c r="N5" i="3" l="1"/>
  <c r="M5" i="3" l="1"/>
  <c r="L5" i="3"/>
  <c r="K5" i="3"/>
  <c r="C49" i="3" l="1"/>
  <c r="C7" i="3"/>
  <c r="D47" i="3"/>
  <c r="D5" i="3"/>
  <c r="D49" i="3"/>
  <c r="D7" i="3"/>
  <c r="D46" i="3"/>
  <c r="D4" i="3"/>
</calcChain>
</file>

<file path=xl/sharedStrings.xml><?xml version="1.0" encoding="utf-8"?>
<sst xmlns="http://schemas.openxmlformats.org/spreadsheetml/2006/main" count="248" uniqueCount="141">
  <si>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</si>
  <si>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</si>
  <si>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</si>
  <si>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</si>
  <si>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</si>
  <si>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</si>
  <si>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</si>
  <si>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</si>
  <si>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</si>
  <si>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</si>
  <si>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</si>
  <si>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</si>
  <si>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</si>
  <si>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</si>
  <si>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</si>
  <si>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</si>
  <si>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</si>
  <si>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</si>
  <si>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</si>
  <si>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</si>
  <si>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</si>
  <si>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</si>
  <si>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</si>
  <si>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</si>
  <si>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</si>
  <si>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</si>
  <si>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</si>
  <si>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</si>
  <si>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</si>
  <si>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</si>
  <si>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</si>
  <si>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</si>
  <si>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</si>
  <si>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</si>
  <si>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</si>
  <si>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</si>
  <si>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</si>
  <si>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</si>
  <si>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</si>
  <si>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</si>
  <si>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</si>
  <si>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</si>
  <si>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</si>
  <si>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</si>
  <si>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</si>
  <si>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</si>
  <si>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</si>
  <si>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</si>
  <si>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</si>
  <si>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</si>
  <si>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</si>
  <si>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</si>
  <si>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</si>
  <si>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</si>
  <si>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</si>
  <si>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</si>
  <si>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</si>
  <si>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</si>
  <si>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</si>
  <si>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</si>
  <si>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</si>
  <si>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</si>
  <si>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</si>
  <si>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</si>
  <si>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</si>
  <si>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</si>
  <si>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</si>
  <si>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</si>
  <si>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</si>
  <si>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</si>
  <si>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</si>
  <si>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</si>
  <si>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</si>
  <si>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</si>
  <si>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</si>
  <si>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</si>
  <si>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</si>
  <si>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</si>
  <si>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</si>
  <si>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</si>
  <si>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</si>
  <si>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</si>
  <si>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</si>
  <si>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</si>
  <si>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</si>
  <si>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</si>
  <si>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</si>
  <si>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</si>
  <si>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</si>
  <si>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</si>
  <si>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</si>
  <si>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</si>
  <si>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</si>
  <si>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</si>
  <si>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</si>
  <si>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</si>
  <si>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</si>
  <si>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</si>
  <si>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</si>
  <si>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</si>
  <si>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</si>
  <si>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</si>
  <si>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</si>
  <si>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</si>
  <si>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</si>
  <si>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</si>
  <si>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</si>
  <si>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</si>
  <si>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</si>
  <si>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</si>
  <si>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</si>
  <si>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</si>
  <si>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</si>
  <si>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</si>
  <si>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</si>
  <si>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</si>
  <si>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</si>
  <si>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</si>
  <si>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</si>
  <si>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</si>
  <si>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</si>
  <si>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</si>
  <si>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</si>
  <si>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</si>
  <si>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</si>
  <si>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</si>
  <si>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</si>
  <si>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</si>
  <si>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</si>
  <si>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CONTACTO:</t>
  </si>
  <si>
    <t>CORREO:</t>
  </si>
  <si>
    <t>CONTADO</t>
  </si>
  <si>
    <t>NO</t>
  </si>
  <si>
    <t>LINARES</t>
  </si>
  <si>
    <t>MELAMIL 18MM</t>
  </si>
  <si>
    <t>ROBCAR</t>
  </si>
  <si>
    <t>CUB C/R R8</t>
  </si>
  <si>
    <t>GLACIAL WHITE 22191 SF</t>
  </si>
  <si>
    <t>JHOAU DONAYRE</t>
  </si>
  <si>
    <t>+569 7317 1851</t>
  </si>
  <si>
    <t>N° 12020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</si>
</sst>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 * #,##0_ ;_ * \-#,##0_ ;_ * &quot;-&quot;_ ;_ @_ "/>
    <numFmt numFmtId="164" formatCode="_-* #,##0.00_-;\-* #,##0.00_-;_-* &quot;-&quot;??_-;_-@_-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000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1" fontId="4" fillId="0" borderId="0" applyFont="0" applyFill="0" applyBorder="0" applyAlignment="0" applyProtection="0"/>
  </cellStyleXfs>
  <cellXfs count="118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2" applyFont="1" applyFill="1" applyBorder="1" applyAlignment="1">
      <alignment horizontal="left" vertical="center" indent="1"/>
    </xf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4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13" fillId="0" borderId="2" xfId="0" applyNumberFormat="1" applyFont="1" applyBorder="1" applyAlignment="1">
      <alignment horizontal="center" vertical="center"/>
    </xf>
    <xf numFmtId="0" fontId="15" fillId="3" borderId="0" xfId="0" applyFont="1" applyFill="1"/>
    <xf numFmtId="0" fontId="6" fillId="3" borderId="0" xfId="2" applyFill="1"/>
    <xf numFmtId="0" fontId="17" fillId="0" borderId="9" xfId="2" applyFont="1" applyFill="1" applyBorder="1" applyAlignment="1">
      <alignment horizontal="left"/>
    </xf>
    <xf numFmtId="0" fontId="18" fillId="3" borderId="0" xfId="0" applyFont="1" applyFill="1"/>
    <xf numFmtId="0" fontId="14" fillId="3" borderId="4" xfId="0" applyFont="1" applyFill="1" applyBorder="1"/>
    <xf numFmtId="0" fontId="19" fillId="3" borderId="0" xfId="0" applyFont="1" applyFill="1"/>
    <xf numFmtId="0" fontId="16" fillId="0" borderId="0" xfId="0" quotePrefix="1" applyFont="1" applyAlignment="1">
      <alignment horizontal="left"/>
    </xf>
    <xf numFmtId="41" fontId="3" fillId="0" borderId="2" xfId="3" applyFont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3" fontId="15" fillId="0" borderId="0" xfId="0" applyNumberFormat="1" applyFont="1"/>
  </cellXfs>
  <cellStyles count="4">
    <cellStyle name="Hipervínculo" xfId="2" builtinId="8"/>
    <cellStyle name="Millares" xfId="1" builtinId="3"/>
    <cellStyle name="Millares [0]" xfId="3" builtinId="6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156210</xdr:colOff>
      <xdr:row>25</xdr:row>
      <xdr:rowOff>169545</xdr:rowOff>
    </xdr:from>
    <xdr:to>
      <xdr:col>5</xdr:col>
      <xdr:colOff>1337310</xdr:colOff>
      <xdr:row>30</xdr:row>
      <xdr:rowOff>78105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56210" y="10974705"/>
          <a:ext cx="5920740" cy="8382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24765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19</xdr:row>
      <xdr:rowOff>76200</xdr:rowOff>
    </xdr:from>
    <xdr:to>
      <xdr:col>5</xdr:col>
      <xdr:colOff>1676399</xdr:colOff>
      <xdr:row>21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50</xdr:row>
      <xdr:rowOff>171450</xdr:rowOff>
    </xdr:from>
    <xdr:to>
      <xdr:col>5</xdr:col>
      <xdr:colOff>1685924</xdr:colOff>
      <xdr:row>52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48</xdr:row>
      <xdr:rowOff>0</xdr:rowOff>
    </xdr:from>
    <xdr:to>
      <xdr:col>6</xdr:col>
      <xdr:colOff>0</xdr:colOff>
      <xdr:row>49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46</xdr:row>
      <xdr:rowOff>38100</xdr:rowOff>
    </xdr:from>
    <xdr:to>
      <xdr:col>6</xdr:col>
      <xdr:colOff>0</xdr:colOff>
      <xdr:row>47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45</xdr:row>
      <xdr:rowOff>0</xdr:rowOff>
    </xdr:from>
    <xdr:to>
      <xdr:col>6</xdr:col>
      <xdr:colOff>0</xdr:colOff>
      <xdr:row>46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59</xdr:row>
      <xdr:rowOff>0</xdr:rowOff>
    </xdr:from>
    <xdr:to>
      <xdr:col>2</xdr:col>
      <xdr:colOff>38100</xdr:colOff>
      <xdr:row>60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59</xdr:row>
      <xdr:rowOff>0</xdr:rowOff>
    </xdr:from>
    <xdr:to>
      <xdr:col>2</xdr:col>
      <xdr:colOff>1019175</xdr:colOff>
      <xdr:row>59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59</xdr:row>
      <xdr:rowOff>0</xdr:rowOff>
    </xdr:from>
    <xdr:to>
      <xdr:col>3</xdr:col>
      <xdr:colOff>352425</xdr:colOff>
      <xdr:row>60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59</xdr:row>
      <xdr:rowOff>0</xdr:rowOff>
    </xdr:from>
    <xdr:to>
      <xdr:col>4</xdr:col>
      <xdr:colOff>257175</xdr:colOff>
      <xdr:row>60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59</xdr:row>
      <xdr:rowOff>0</xdr:rowOff>
    </xdr:from>
    <xdr:to>
      <xdr:col>5</xdr:col>
      <xdr:colOff>447675</xdr:colOff>
      <xdr:row>59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59</xdr:row>
      <xdr:rowOff>0</xdr:rowOff>
    </xdr:from>
    <xdr:to>
      <xdr:col>6</xdr:col>
      <xdr:colOff>0</xdr:colOff>
      <xdr:row>59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59</xdr:row>
      <xdr:rowOff>190500</xdr:rowOff>
    </xdr:from>
    <xdr:to>
      <xdr:col>2</xdr:col>
      <xdr:colOff>304800</xdr:colOff>
      <xdr:row>61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59</xdr:row>
      <xdr:rowOff>190500</xdr:rowOff>
    </xdr:from>
    <xdr:to>
      <xdr:col>2</xdr:col>
      <xdr:colOff>1276350</xdr:colOff>
      <xdr:row>61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59</xdr:row>
      <xdr:rowOff>190500</xdr:rowOff>
    </xdr:from>
    <xdr:to>
      <xdr:col>3</xdr:col>
      <xdr:colOff>619125</xdr:colOff>
      <xdr:row>61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59</xdr:row>
      <xdr:rowOff>190500</xdr:rowOff>
    </xdr:from>
    <xdr:to>
      <xdr:col>4</xdr:col>
      <xdr:colOff>523875</xdr:colOff>
      <xdr:row>61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59</xdr:row>
      <xdr:rowOff>190500</xdr:rowOff>
    </xdr:from>
    <xdr:to>
      <xdr:col>5</xdr:col>
      <xdr:colOff>723900</xdr:colOff>
      <xdr:row>61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59</xdr:row>
      <xdr:rowOff>190500</xdr:rowOff>
    </xdr:from>
    <xdr:to>
      <xdr:col>6</xdr:col>
      <xdr:colOff>0</xdr:colOff>
      <xdr:row>61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37</xdr:row>
      <xdr:rowOff>15239</xdr:rowOff>
    </xdr:from>
    <xdr:to>
      <xdr:col>6</xdr:col>
      <xdr:colOff>68580</xdr:colOff>
      <xdr:row>41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28</xdr:row>
      <xdr:rowOff>200025</xdr:rowOff>
    </xdr:from>
    <xdr:to>
      <xdr:col>6</xdr:col>
      <xdr:colOff>19049</xdr:colOff>
      <xdr:row>30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62</xdr:row>
      <xdr:rowOff>32385</xdr:rowOff>
    </xdr:from>
    <xdr:to>
      <xdr:col>6</xdr:col>
      <xdr:colOff>19050</xdr:colOff>
      <xdr:row>66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44</xdr:row>
      <xdr:rowOff>41910</xdr:rowOff>
    </xdr:from>
    <xdr:to>
      <xdr:col>1</xdr:col>
      <xdr:colOff>801763</xdr:colOff>
      <xdr:row>50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abSelected="1" topLeftCell="A7" workbookViewId="0">
      <selection activeCell="D9" sqref="D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7" width="12.88671875" customWidth="1"/>
    <col min="8" max="8" width="11.88671875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3" t="s">
        <v>16</v>
      </c>
      <c r="C8" s="84"/>
      <c r="D8" s="85" t="s">
        <v>140</v>
      </c>
      <c r="E8" s="1"/>
      <c r="F8" s="86" t="s">
        <v>27</v>
      </c>
      <c r="G8" s="87">
        <v>7399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3" t="s">
        <v>127</v>
      </c>
      <c r="C10" s="100" t="s">
        <v>135</v>
      </c>
      <c r="D10" s="54"/>
      <c r="E10" s="54"/>
      <c r="F10" s="55" t="s">
        <v>28</v>
      </c>
      <c r="G10" s="56">
        <v>46086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8" t="s">
        <v>2</v>
      </c>
      <c r="C11" s="117">
        <v>76552851</v>
      </c>
      <c r="D11" s="59"/>
      <c r="E11" s="59"/>
      <c r="F11" s="59" t="s">
        <v>122</v>
      </c>
      <c r="G11" s="60">
        <v>46093</v>
      </c>
      <c r="H11" s="61"/>
      <c r="I11" s="1"/>
    </row>
    <row r="12" spans="1:17" ht="15.6" x14ac:dyDescent="0.3">
      <c r="A12" s="1"/>
      <c r="B12" s="62" t="s">
        <v>128</v>
      </c>
      <c r="C12" s="101"/>
      <c r="D12" s="42"/>
      <c r="E12" s="42"/>
      <c r="F12" s="42" t="s">
        <v>30</v>
      </c>
      <c r="G12" s="63"/>
      <c r="H12" s="64"/>
      <c r="I12" s="1"/>
    </row>
    <row r="13" spans="1:17" ht="15.6" x14ac:dyDescent="0.3">
      <c r="A13" s="1"/>
      <c r="B13" s="62" t="s">
        <v>129</v>
      </c>
      <c r="C13" t="s">
        <v>138</v>
      </c>
      <c r="D13" s="42"/>
      <c r="E13" s="42"/>
      <c r="F13" s="42" t="s">
        <v>126</v>
      </c>
      <c r="G13" s="63"/>
      <c r="H13" s="64"/>
      <c r="I13" s="1"/>
    </row>
    <row r="14" spans="1:17" ht="15.6" x14ac:dyDescent="0.3">
      <c r="A14" s="1"/>
      <c r="B14" s="62" t="s">
        <v>130</v>
      </c>
      <c r="C14" s="97"/>
      <c r="D14" s="42"/>
      <c r="E14" s="42"/>
      <c r="F14" s="42"/>
      <c r="G14" s="63"/>
      <c r="H14" s="64"/>
      <c r="I14" s="1"/>
    </row>
    <row r="15" spans="1:17" ht="15.6" x14ac:dyDescent="0.3">
      <c r="A15" s="1"/>
      <c r="B15" s="58" t="s">
        <v>17</v>
      </c>
      <c r="C15" s="102" t="s">
        <v>139</v>
      </c>
      <c r="D15" s="65"/>
      <c r="E15" s="59"/>
      <c r="F15" s="59" t="s">
        <v>29</v>
      </c>
      <c r="G15" s="59" t="s">
        <v>132</v>
      </c>
      <c r="H15" s="61"/>
      <c r="I15" s="1"/>
    </row>
    <row r="16" spans="1:17" ht="16.8" x14ac:dyDescent="0.4">
      <c r="A16" s="1"/>
      <c r="B16" s="62" t="s">
        <v>1</v>
      </c>
      <c r="C16" s="96"/>
      <c r="D16" s="42"/>
      <c r="E16" s="42"/>
      <c r="F16" s="66" t="s">
        <v>75</v>
      </c>
      <c r="G16" s="99" t="s">
        <v>131</v>
      </c>
      <c r="H16" s="64"/>
      <c r="I16" s="1"/>
    </row>
    <row r="17" spans="1:16" ht="16.2" thickBot="1" x14ac:dyDescent="0.35">
      <c r="A17" s="1"/>
      <c r="B17" s="67" t="s">
        <v>3</v>
      </c>
      <c r="C17" s="98" t="s">
        <v>133</v>
      </c>
      <c r="D17" s="68"/>
      <c r="E17" s="69"/>
      <c r="F17" s="104" t="s">
        <v>18</v>
      </c>
      <c r="G17" s="104"/>
      <c r="H17" s="105"/>
      <c r="I17" s="1"/>
    </row>
    <row r="18" spans="1:16" ht="15.6" x14ac:dyDescent="0.3">
      <c r="A18" s="1"/>
      <c r="B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6" ht="16.2" thickBot="1" x14ac:dyDescent="0.35">
      <c r="A20" s="1"/>
      <c r="B20" s="106" t="s">
        <v>19</v>
      </c>
      <c r="C20" s="107"/>
      <c r="D20" s="107"/>
      <c r="E20" s="107"/>
      <c r="F20" s="107"/>
      <c r="G20" s="107"/>
      <c r="H20" s="108"/>
      <c r="I20" s="1"/>
    </row>
    <row r="21" spans="1:16" ht="15.6" x14ac:dyDescent="0.3">
      <c r="A21" s="1"/>
      <c r="B21" s="70" t="s">
        <v>20</v>
      </c>
      <c r="C21" s="71" t="s">
        <v>21</v>
      </c>
      <c r="D21" s="71" t="s">
        <v>22</v>
      </c>
      <c r="E21" s="71" t="s">
        <v>8</v>
      </c>
      <c r="F21" s="72" t="s">
        <v>23</v>
      </c>
      <c r="G21" s="70" t="s">
        <v>24</v>
      </c>
      <c r="H21" s="72" t="s">
        <v>4</v>
      </c>
      <c r="I21" s="1"/>
    </row>
    <row r="22" spans="1:16" ht="18" customHeight="1" x14ac:dyDescent="0.3">
      <c r="A22" s="1"/>
      <c r="B22" s="92">
        <v>2</v>
      </c>
      <c r="C22" s="92" t="s">
        <v>136</v>
      </c>
      <c r="D22" s="95">
        <v>2400</v>
      </c>
      <c r="E22" s="95">
        <v>800</v>
      </c>
      <c r="F22" s="92" t="s">
        <v>137</v>
      </c>
      <c r="G22" s="103">
        <v>116410</v>
      </c>
      <c r="H22" s="93">
        <f>G22*B22</f>
        <v>232820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2">
        <v>2</v>
      </c>
      <c r="C23" s="92" t="s">
        <v>136</v>
      </c>
      <c r="D23" s="95">
        <v>2310</v>
      </c>
      <c r="E23" s="95">
        <v>800</v>
      </c>
      <c r="F23" s="92" t="s">
        <v>137</v>
      </c>
      <c r="G23" s="103">
        <v>112186</v>
      </c>
      <c r="H23" s="93">
        <f>G23*B23</f>
        <v>224372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92">
        <v>1</v>
      </c>
      <c r="C24" s="92" t="s">
        <v>136</v>
      </c>
      <c r="D24" s="95">
        <v>800</v>
      </c>
      <c r="E24" s="95">
        <v>830</v>
      </c>
      <c r="F24" s="92" t="s">
        <v>137</v>
      </c>
      <c r="G24" s="103">
        <v>42856</v>
      </c>
      <c r="H24" s="93">
        <f>G24*B24</f>
        <v>42856</v>
      </c>
      <c r="I24" s="1"/>
      <c r="K24" s="17"/>
      <c r="L24" s="26"/>
      <c r="M24" s="17"/>
      <c r="N24" s="17"/>
      <c r="O24" s="26"/>
      <c r="P24" s="33"/>
    </row>
    <row r="25" spans="1:16" ht="15.6" x14ac:dyDescent="0.3">
      <c r="A25" s="1"/>
      <c r="B25" s="1"/>
      <c r="C25" s="1"/>
      <c r="D25" s="1"/>
      <c r="E25" s="1"/>
      <c r="F25" s="1"/>
      <c r="I25" s="1"/>
    </row>
    <row r="26" spans="1:16" ht="16.2" thickBot="1" x14ac:dyDescent="0.35">
      <c r="A26" s="1"/>
      <c r="B26" s="1"/>
      <c r="C26" s="1"/>
      <c r="D26" s="1"/>
      <c r="E26" s="1"/>
      <c r="F26" s="1"/>
      <c r="I26" s="1"/>
    </row>
    <row r="27" spans="1:16" ht="15.6" x14ac:dyDescent="0.3">
      <c r="G27" s="73" t="s">
        <v>5</v>
      </c>
      <c r="H27" s="74">
        <f>SUM(H22:H24)</f>
        <v>500048</v>
      </c>
    </row>
    <row r="28" spans="1:16" ht="15.6" x14ac:dyDescent="0.3">
      <c r="G28" s="75" t="s">
        <v>6</v>
      </c>
      <c r="H28" s="76">
        <f>H27*19%</f>
        <v>95009.12</v>
      </c>
    </row>
    <row r="29" spans="1:16" ht="16.2" thickBot="1" x14ac:dyDescent="0.35">
      <c r="G29" s="77" t="s">
        <v>4</v>
      </c>
      <c r="H29" s="78">
        <f>H27+H28</f>
        <v>595057.12</v>
      </c>
    </row>
    <row r="33" spans="2:5" ht="15.6" x14ac:dyDescent="0.3">
      <c r="B33" s="1" t="s">
        <v>25</v>
      </c>
      <c r="C33" s="1"/>
      <c r="D33" s="1"/>
      <c r="E33" s="79" t="s">
        <v>26</v>
      </c>
    </row>
  </sheetData>
  <sortState xmlns:xlrd2="http://schemas.microsoft.com/office/spreadsheetml/2017/richdata2" ref="B28">
    <sortCondition sortBy="fontColor" ref="B28" dxfId="2"/>
  </sortState>
  <mergeCells count="2">
    <mergeCell ref="F17:H17"/>
    <mergeCell ref="B20:H20"/>
  </mergeCells>
  <phoneticPr fontId="10" type="noConversion"/>
  <hyperlinks>
    <hyperlink ref="E3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09" t="s">
        <v>31</v>
      </c>
      <c r="C2" s="109"/>
      <c r="D2" s="109"/>
      <c r="E2" s="18"/>
      <c r="G2" s="109" t="s">
        <v>70</v>
      </c>
      <c r="H2" s="109"/>
      <c r="I2" s="109"/>
      <c r="P2" s="110" t="s">
        <v>58</v>
      </c>
      <c r="Q2" s="110"/>
      <c r="R2" s="110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0" t="s">
        <v>58</v>
      </c>
      <c r="M8" s="110"/>
      <c r="N8" s="110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125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0"/>
  <sheetViews>
    <sheetView topLeftCell="A39" zoomScaleNormal="100" workbookViewId="0">
      <selection activeCell="B64" sqref="B64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124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1" t="s">
        <v>61</v>
      </c>
      <c r="L3" s="111"/>
      <c r="M3" s="111" t="s">
        <v>14</v>
      </c>
      <c r="N3" s="111"/>
    </row>
    <row r="4" spans="1:14" ht="15.75" customHeight="1" x14ac:dyDescent="0.3">
      <c r="A4" s="1"/>
      <c r="B4" s="1"/>
      <c r="C4" s="39" t="s">
        <v>27</v>
      </c>
      <c r="D4" s="14">
        <f>'4637'!G8</f>
        <v>7399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0" t="s">
        <v>67</v>
      </c>
      <c r="D5" s="41" t="str">
        <f>'4637'!C10</f>
        <v>ROBCAR</v>
      </c>
      <c r="E5" s="42"/>
      <c r="F5" s="42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3"/>
      <c r="D6" s="44"/>
      <c r="E6" s="1"/>
      <c r="F6" s="1"/>
      <c r="G6" s="1"/>
    </row>
    <row r="7" spans="1:14" ht="15.6" x14ac:dyDescent="0.3">
      <c r="A7" s="1"/>
      <c r="B7" s="1"/>
      <c r="C7" s="80" t="str">
        <f>'4637'!F11</f>
        <v>FECHA LIMITE :</v>
      </c>
      <c r="D7" s="13">
        <f>'4637'!G11</f>
        <v>46093</v>
      </c>
      <c r="E7" s="1"/>
      <c r="F7" s="1"/>
      <c r="G7" s="1"/>
    </row>
    <row r="8" spans="1:14" ht="15.6" x14ac:dyDescent="0.3">
      <c r="A8" s="1"/>
      <c r="B8" s="1"/>
      <c r="C8" s="52" t="s">
        <v>123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2" t="s">
        <v>61</v>
      </c>
      <c r="B10" s="112"/>
      <c r="C10" s="112"/>
      <c r="D10" s="112"/>
      <c r="E10" s="112"/>
      <c r="F10" s="112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6" t="s">
        <v>10</v>
      </c>
      <c r="C13" s="36" t="s">
        <v>11</v>
      </c>
      <c r="D13" s="32">
        <v>50</v>
      </c>
      <c r="E13" s="32">
        <v>-30</v>
      </c>
      <c r="F13" s="36" t="s">
        <v>110</v>
      </c>
      <c r="G13" s="1"/>
      <c r="J13" s="5" t="s">
        <v>7</v>
      </c>
      <c r="K13" s="5" t="s">
        <v>8</v>
      </c>
    </row>
    <row r="14" spans="1:14" ht="15.6" x14ac:dyDescent="0.3">
      <c r="A14" s="88" t="s">
        <v>134</v>
      </c>
      <c r="B14" s="25">
        <f t="shared" ref="B14" si="0">I14</f>
        <v>2</v>
      </c>
      <c r="C14" s="25"/>
      <c r="D14" s="25">
        <f t="shared" ref="D14:D16" si="1">J14+D$13</f>
        <v>2450</v>
      </c>
      <c r="E14" s="25">
        <f t="shared" ref="E14:E16" si="2">K14+E$13</f>
        <v>770</v>
      </c>
      <c r="F14" s="90" t="str">
        <f>C33</f>
        <v>CUB C/R R8</v>
      </c>
      <c r="G14" s="1"/>
      <c r="I14" s="3">
        <f t="shared" ref="I14:J16" si="3">I25</f>
        <v>2</v>
      </c>
      <c r="J14" s="4">
        <f t="shared" si="3"/>
        <v>2400</v>
      </c>
      <c r="K14" s="4">
        <f>E33</f>
        <v>800</v>
      </c>
    </row>
    <row r="15" spans="1:14" ht="15.6" x14ac:dyDescent="0.3">
      <c r="A15" s="88"/>
      <c r="B15" s="25">
        <f t="shared" ref="B15:B16" si="4">I15</f>
        <v>2</v>
      </c>
      <c r="C15" s="25"/>
      <c r="D15" s="25">
        <f t="shared" si="1"/>
        <v>2360</v>
      </c>
      <c r="E15" s="25">
        <f t="shared" si="2"/>
        <v>770</v>
      </c>
      <c r="F15" s="90" t="str">
        <f>C34</f>
        <v>CUB C/R R8</v>
      </c>
      <c r="G15" s="1"/>
      <c r="I15" s="3">
        <f t="shared" si="3"/>
        <v>2</v>
      </c>
      <c r="J15" s="4">
        <f t="shared" si="3"/>
        <v>2310</v>
      </c>
      <c r="K15" s="4">
        <f>E34</f>
        <v>800</v>
      </c>
    </row>
    <row r="16" spans="1:14" ht="15.6" x14ac:dyDescent="0.3">
      <c r="A16" s="88"/>
      <c r="B16" s="25">
        <f t="shared" si="4"/>
        <v>1</v>
      </c>
      <c r="C16" s="25"/>
      <c r="D16" s="25">
        <f t="shared" si="1"/>
        <v>850</v>
      </c>
      <c r="E16" s="25">
        <f t="shared" si="2"/>
        <v>800</v>
      </c>
      <c r="F16" s="90" t="str">
        <f>C35</f>
        <v>CUB C/R R8</v>
      </c>
      <c r="G16" s="1"/>
      <c r="I16" s="3">
        <f t="shared" si="3"/>
        <v>1</v>
      </c>
      <c r="J16" s="4">
        <f t="shared" si="3"/>
        <v>800</v>
      </c>
      <c r="K16" s="4">
        <f>E35</f>
        <v>830</v>
      </c>
    </row>
    <row r="17" spans="1:11" ht="15.6" x14ac:dyDescent="0.3">
      <c r="A17" s="88"/>
      <c r="B17" s="6"/>
      <c r="C17" s="6"/>
      <c r="D17" s="6"/>
      <c r="E17" s="6"/>
      <c r="F17" s="94"/>
      <c r="G17" s="1"/>
      <c r="I17" s="82"/>
      <c r="J17" s="2"/>
      <c r="K17" s="2"/>
    </row>
    <row r="18" spans="1:11" ht="15.6" x14ac:dyDescent="0.3">
      <c r="A18" s="88"/>
      <c r="B18" s="6"/>
      <c r="C18" s="6"/>
      <c r="D18" s="6"/>
      <c r="E18" s="6"/>
      <c r="F18" s="94"/>
      <c r="G18" s="1"/>
      <c r="I18" s="82"/>
      <c r="J18" s="2"/>
      <c r="K18" s="2"/>
    </row>
    <row r="19" spans="1:11" ht="15.6" x14ac:dyDescent="0.3">
      <c r="A19" s="51"/>
      <c r="B19" s="6"/>
      <c r="C19" s="6"/>
      <c r="D19" s="6"/>
      <c r="E19" s="6"/>
      <c r="F19" s="6"/>
      <c r="G19" s="1"/>
      <c r="I19" s="82"/>
      <c r="J19" s="2"/>
      <c r="K19" s="2"/>
    </row>
    <row r="20" spans="1:11" ht="6.75" customHeight="1" x14ac:dyDescent="0.3">
      <c r="A20" s="1"/>
      <c r="B20" s="1"/>
      <c r="C20" s="1"/>
      <c r="D20" s="1"/>
      <c r="E20" s="1"/>
      <c r="F20" s="1"/>
      <c r="G20" s="1"/>
    </row>
    <row r="21" spans="1:11" ht="15.6" x14ac:dyDescent="0.3">
      <c r="A21" s="112" t="s">
        <v>14</v>
      </c>
      <c r="B21" s="112"/>
      <c r="C21" s="112"/>
      <c r="D21" s="112"/>
      <c r="E21" s="112"/>
      <c r="F21" s="112"/>
      <c r="G21" s="1"/>
    </row>
    <row r="22" spans="1:11" ht="10.5" customHeight="1" x14ac:dyDescent="0.3">
      <c r="A22" s="1"/>
      <c r="B22" s="1"/>
      <c r="C22" s="12"/>
      <c r="D22" s="1"/>
      <c r="E22" s="1"/>
      <c r="F22" s="1"/>
      <c r="G22" s="1"/>
    </row>
    <row r="23" spans="1:11" ht="15.6" x14ac:dyDescent="0.3">
      <c r="A23" s="1"/>
      <c r="B23" s="1"/>
      <c r="C23" s="1"/>
      <c r="D23" s="51" t="s">
        <v>7</v>
      </c>
      <c r="E23" s="51" t="s">
        <v>8</v>
      </c>
      <c r="F23" s="1"/>
      <c r="G23" s="1"/>
    </row>
    <row r="24" spans="1:11" ht="15.6" x14ac:dyDescent="0.3">
      <c r="A24" s="51" t="s">
        <v>9</v>
      </c>
      <c r="B24" s="35" t="s">
        <v>10</v>
      </c>
      <c r="C24" s="35" t="s">
        <v>11</v>
      </c>
      <c r="D24" s="21">
        <v>40</v>
      </c>
      <c r="E24" s="21">
        <v>130</v>
      </c>
      <c r="F24" s="35" t="s">
        <v>110</v>
      </c>
      <c r="G24" s="1"/>
      <c r="J24" s="5" t="s">
        <v>7</v>
      </c>
      <c r="K24" s="5" t="s">
        <v>8</v>
      </c>
    </row>
    <row r="25" spans="1:11" ht="15.6" x14ac:dyDescent="0.3">
      <c r="A25" s="88"/>
      <c r="B25" s="16">
        <f t="shared" ref="B25" si="5">I25</f>
        <v>2</v>
      </c>
      <c r="C25" s="16"/>
      <c r="D25" s="16">
        <f>J25+D$24</f>
        <v>2440</v>
      </c>
      <c r="E25" s="16">
        <f>K25+E$24</f>
        <v>930</v>
      </c>
      <c r="F25" s="91" t="str">
        <f>C33</f>
        <v>CUB C/R R8</v>
      </c>
      <c r="G25" s="1"/>
      <c r="I25" s="3">
        <f>B33</f>
        <v>2</v>
      </c>
      <c r="J25" s="4">
        <f>D33</f>
        <v>2400</v>
      </c>
      <c r="K25" s="4">
        <f>E33</f>
        <v>800</v>
      </c>
    </row>
    <row r="26" spans="1:11" ht="15.6" x14ac:dyDescent="0.3">
      <c r="A26" s="88"/>
      <c r="B26" s="16">
        <f t="shared" ref="B26:B27" si="6">I26</f>
        <v>2</v>
      </c>
      <c r="C26" s="16"/>
      <c r="D26" s="16">
        <f>J26+D$24</f>
        <v>2350</v>
      </c>
      <c r="E26" s="16">
        <f>K26+E$24</f>
        <v>930</v>
      </c>
      <c r="F26" s="91" t="str">
        <f>C34</f>
        <v>CUB C/R R8</v>
      </c>
      <c r="G26" s="1"/>
      <c r="I26" s="3">
        <f>B34</f>
        <v>2</v>
      </c>
      <c r="J26" s="4">
        <f t="shared" ref="J26:K26" si="7">D34</f>
        <v>2310</v>
      </c>
      <c r="K26" s="4">
        <f t="shared" si="7"/>
        <v>800</v>
      </c>
    </row>
    <row r="27" spans="1:11" ht="15.6" x14ac:dyDescent="0.3">
      <c r="A27" s="88"/>
      <c r="B27" s="16">
        <f t="shared" si="6"/>
        <v>1</v>
      </c>
      <c r="C27" s="16"/>
      <c r="D27" s="16">
        <f>J27+D$24</f>
        <v>840</v>
      </c>
      <c r="E27" s="16">
        <f>K27+E$24</f>
        <v>960</v>
      </c>
      <c r="F27" s="91" t="str">
        <f>C35</f>
        <v>CUB C/R R8</v>
      </c>
      <c r="G27" s="1"/>
      <c r="I27" s="3">
        <f>B35</f>
        <v>1</v>
      </c>
      <c r="J27" s="4">
        <f t="shared" ref="J27:K27" si="8">D35</f>
        <v>800</v>
      </c>
      <c r="K27" s="4">
        <f t="shared" si="8"/>
        <v>830</v>
      </c>
    </row>
    <row r="28" spans="1:11" ht="15.6" x14ac:dyDescent="0.3">
      <c r="A28" s="88"/>
      <c r="B28" s="6"/>
      <c r="C28" s="6"/>
      <c r="D28" s="6"/>
      <c r="E28" s="6"/>
      <c r="F28" s="94"/>
      <c r="G28" s="1"/>
      <c r="I28" s="2"/>
      <c r="J28" s="2"/>
      <c r="K28" s="2"/>
    </row>
    <row r="29" spans="1:11" ht="16.2" thickBot="1" x14ac:dyDescent="0.35">
      <c r="A29" s="51"/>
      <c r="B29" s="6"/>
      <c r="C29" s="6"/>
      <c r="D29" s="6"/>
      <c r="E29" s="6"/>
      <c r="F29" s="6"/>
      <c r="G29" s="1"/>
      <c r="I29" s="2"/>
      <c r="J29" s="2"/>
      <c r="K29" s="2"/>
    </row>
    <row r="30" spans="1:11" ht="16.2" thickBot="1" x14ac:dyDescent="0.35">
      <c r="A30" s="51"/>
      <c r="B30" s="22" t="s">
        <v>107</v>
      </c>
      <c r="C30" s="23"/>
      <c r="D30" s="23"/>
      <c r="E30" s="23"/>
      <c r="F30" s="24"/>
      <c r="G30" s="1"/>
      <c r="I30" s="2"/>
      <c r="J30" s="2"/>
      <c r="K30" s="2"/>
    </row>
    <row r="31" spans="1:11" ht="10.5" customHeight="1" x14ac:dyDescent="0.3">
      <c r="A31" s="1"/>
      <c r="B31" s="1"/>
      <c r="C31" s="1"/>
      <c r="D31" s="1"/>
      <c r="E31" s="1"/>
      <c r="F31" s="1"/>
      <c r="G31" s="1"/>
    </row>
    <row r="32" spans="1:11" ht="15.6" x14ac:dyDescent="0.3">
      <c r="A32" s="51" t="s">
        <v>9</v>
      </c>
      <c r="B32" s="81" t="s">
        <v>10</v>
      </c>
      <c r="C32" s="81" t="s">
        <v>110</v>
      </c>
      <c r="D32" s="81" t="s">
        <v>7</v>
      </c>
      <c r="E32" s="81" t="s">
        <v>8</v>
      </c>
      <c r="F32" s="81" t="s">
        <v>23</v>
      </c>
      <c r="G32" s="1"/>
    </row>
    <row r="33" spans="1:7" ht="15.6" x14ac:dyDescent="0.3">
      <c r="A33" s="88" t="s">
        <v>134</v>
      </c>
      <c r="B33" s="25">
        <f>'4637'!B22</f>
        <v>2</v>
      </c>
      <c r="C33" s="90" t="str">
        <f>'4637'!C22</f>
        <v>CUB C/R R8</v>
      </c>
      <c r="D33" s="25">
        <f>'4637'!D22</f>
        <v>2400</v>
      </c>
      <c r="E33" s="25">
        <f>'4637'!E22</f>
        <v>800</v>
      </c>
      <c r="F33" s="25" t="str">
        <f>'4637'!F22</f>
        <v>GLACIAL WHITE 22191 SF</v>
      </c>
      <c r="G33" s="1"/>
    </row>
    <row r="34" spans="1:7" ht="15.6" x14ac:dyDescent="0.3">
      <c r="A34" s="88"/>
      <c r="B34" s="25">
        <f>'4637'!B23</f>
        <v>2</v>
      </c>
      <c r="C34" s="90" t="str">
        <f>'4637'!C23</f>
        <v>CUB C/R R8</v>
      </c>
      <c r="D34" s="25">
        <f>'4637'!D23</f>
        <v>2310</v>
      </c>
      <c r="E34" s="25">
        <f>'4637'!E23</f>
        <v>800</v>
      </c>
      <c r="F34" s="25" t="str">
        <f>'4637'!F23</f>
        <v>GLACIAL WHITE 22191 SF</v>
      </c>
      <c r="G34" s="1"/>
    </row>
    <row r="35" spans="1:7" ht="15.6" x14ac:dyDescent="0.3">
      <c r="A35" s="88"/>
      <c r="B35" s="25">
        <f>'4637'!B24</f>
        <v>1</v>
      </c>
      <c r="C35" s="90" t="str">
        <f>'4637'!C24</f>
        <v>CUB C/R R8</v>
      </c>
      <c r="D35" s="25">
        <f>'4637'!D24</f>
        <v>800</v>
      </c>
      <c r="E35" s="25">
        <f>'4637'!E24</f>
        <v>830</v>
      </c>
      <c r="F35" s="25" t="str">
        <f>'4637'!F24</f>
        <v>GLACIAL WHITE 22191 SF</v>
      </c>
      <c r="G35" s="1"/>
    </row>
    <row r="36" spans="1:7" ht="15.6" x14ac:dyDescent="0.3">
      <c r="A36" s="88"/>
      <c r="B36" s="6"/>
      <c r="C36" s="94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6"/>
      <c r="C43" s="6"/>
      <c r="D43" s="6"/>
      <c r="E43" s="6"/>
      <c r="F43" s="6"/>
      <c r="G43" s="1"/>
    </row>
    <row r="44" spans="1:7" ht="15.6" x14ac:dyDescent="0.3">
      <c r="A44" s="1"/>
      <c r="B44" s="6"/>
      <c r="C44" s="6"/>
      <c r="D44" s="6"/>
      <c r="E44" s="6"/>
      <c r="F44" s="6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"/>
      <c r="B46" s="1"/>
      <c r="C46" s="39" t="s">
        <v>27</v>
      </c>
      <c r="D46" s="14">
        <f>'4637'!G8</f>
        <v>7399</v>
      </c>
      <c r="E46" s="1"/>
      <c r="F46" s="1"/>
      <c r="G46" s="1"/>
    </row>
    <row r="47" spans="1:7" ht="17.25" customHeight="1" x14ac:dyDescent="0.3">
      <c r="A47" s="1"/>
      <c r="B47" s="1"/>
      <c r="C47" s="40" t="s">
        <v>67</v>
      </c>
      <c r="D47" s="41" t="str">
        <f>'4637'!C10</f>
        <v>ROBCAR</v>
      </c>
      <c r="E47" s="42"/>
      <c r="F47" s="42"/>
      <c r="G47" s="1"/>
    </row>
    <row r="48" spans="1:7" ht="4.5" customHeight="1" x14ac:dyDescent="0.3">
      <c r="A48" s="1"/>
      <c r="B48" s="1"/>
      <c r="C48" s="43"/>
      <c r="D48" s="44"/>
      <c r="E48" s="1"/>
      <c r="F48" s="1"/>
      <c r="G48" s="1"/>
    </row>
    <row r="49" spans="1:7" ht="15.6" x14ac:dyDescent="0.3">
      <c r="A49" s="1"/>
      <c r="B49" s="1"/>
      <c r="C49" s="45" t="str">
        <f>'4637'!F11</f>
        <v>FECHA LIMITE :</v>
      </c>
      <c r="D49" s="13">
        <f>'4637'!G11</f>
        <v>46093</v>
      </c>
      <c r="E49" s="1"/>
      <c r="F49" s="1"/>
      <c r="G49" s="1"/>
    </row>
    <row r="50" spans="1:7" ht="15.6" x14ac:dyDescent="0.3">
      <c r="A50" s="1"/>
      <c r="B50" s="1"/>
      <c r="C50" s="1"/>
      <c r="D50" s="1"/>
      <c r="E50" s="1"/>
      <c r="F50" s="1"/>
      <c r="G50" s="1"/>
    </row>
    <row r="51" spans="1:7" ht="15.6" x14ac:dyDescent="0.3">
      <c r="A51" s="1"/>
      <c r="B51" s="1"/>
      <c r="C51" s="1"/>
      <c r="D51" s="1"/>
      <c r="E51" s="1"/>
      <c r="F51" s="1"/>
      <c r="G51" s="1"/>
    </row>
    <row r="52" spans="1:7" ht="15.6" x14ac:dyDescent="0.3">
      <c r="A52" s="112" t="s">
        <v>68</v>
      </c>
      <c r="B52" s="112"/>
      <c r="C52" s="112"/>
      <c r="D52" s="112"/>
      <c r="E52" s="112"/>
      <c r="F52" s="112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75" customHeight="1" x14ac:dyDescent="0.3">
      <c r="A54" s="1"/>
      <c r="B54" s="113" t="s">
        <v>69</v>
      </c>
      <c r="C54" s="114"/>
      <c r="D54" s="115"/>
      <c r="E54" s="115"/>
      <c r="F54" s="116"/>
      <c r="G54" s="1"/>
    </row>
    <row r="55" spans="1:7" s="15" customFormat="1" ht="12.75" customHeight="1" x14ac:dyDescent="0.3">
      <c r="A55" s="1"/>
      <c r="B55" s="35" t="s">
        <v>10</v>
      </c>
      <c r="C55" s="46" t="s">
        <v>11</v>
      </c>
      <c r="D55" s="47" t="s">
        <v>7</v>
      </c>
      <c r="E55" s="47" t="s">
        <v>8</v>
      </c>
      <c r="F55" s="48" t="s">
        <v>12</v>
      </c>
      <c r="G55" s="1"/>
    </row>
    <row r="56" spans="1:7" s="15" customFormat="1" ht="15" customHeight="1" x14ac:dyDescent="0.3">
      <c r="A56" s="88" t="s">
        <v>134</v>
      </c>
      <c r="B56" s="37">
        <f>'4637'!B22</f>
        <v>2</v>
      </c>
      <c r="C56" s="89" t="str">
        <f>'4637'!C22</f>
        <v>CUB C/R R8</v>
      </c>
      <c r="D56" s="38">
        <f>'4637'!D22</f>
        <v>2400</v>
      </c>
      <c r="E56" s="38">
        <f>'4637'!E22</f>
        <v>800</v>
      </c>
      <c r="F56" s="37" t="str">
        <f>'4637'!F22</f>
        <v>GLACIAL WHITE 22191 SF</v>
      </c>
      <c r="G56" s="1"/>
    </row>
    <row r="57" spans="1:7" s="15" customFormat="1" ht="15" customHeight="1" x14ac:dyDescent="0.3">
      <c r="A57" s="88"/>
      <c r="B57" s="37">
        <f>'4637'!B23</f>
        <v>2</v>
      </c>
      <c r="C57" s="89" t="str">
        <f>'4637'!C23</f>
        <v>CUB C/R R8</v>
      </c>
      <c r="D57" s="38">
        <f>'4637'!D23</f>
        <v>2310</v>
      </c>
      <c r="E57" s="38">
        <f>'4637'!E23</f>
        <v>800</v>
      </c>
      <c r="F57" s="37" t="str">
        <f>'4637'!F23</f>
        <v>GLACIAL WHITE 22191 SF</v>
      </c>
      <c r="G57" s="1"/>
    </row>
    <row r="58" spans="1:7" s="15" customFormat="1" ht="15" customHeight="1" x14ac:dyDescent="0.3">
      <c r="A58" s="88"/>
      <c r="B58" s="37">
        <f>'4637'!B24</f>
        <v>1</v>
      </c>
      <c r="C58" s="89" t="str">
        <f>'4637'!C24</f>
        <v>CUB C/R R8</v>
      </c>
      <c r="D58" s="38">
        <f>'4637'!D24</f>
        <v>800</v>
      </c>
      <c r="E58" s="38">
        <f>'4637'!E24</f>
        <v>830</v>
      </c>
      <c r="F58" s="37" t="str">
        <f>'4637'!F24</f>
        <v>GLACIAL WHITE 22191 SF</v>
      </c>
      <c r="G58" s="1"/>
    </row>
    <row r="59" spans="1:7" s="15" customFormat="1" ht="15" customHeight="1" x14ac:dyDescent="0.3">
      <c r="A59" s="49"/>
      <c r="B59" s="51"/>
      <c r="C59" s="51"/>
      <c r="D59" s="51"/>
      <c r="E59" s="51"/>
      <c r="F59" s="51"/>
      <c r="G59" s="1"/>
    </row>
    <row r="60" spans="1:7" ht="15.6" x14ac:dyDescent="0.3">
      <c r="A60" s="6"/>
      <c r="B60" s="6"/>
      <c r="C60" s="1"/>
      <c r="D60" s="6"/>
      <c r="E60" s="6"/>
      <c r="F60" s="43"/>
      <c r="G60" s="1"/>
    </row>
    <row r="61" spans="1:7" ht="15.6" x14ac:dyDescent="0.3">
      <c r="A61" s="6"/>
      <c r="B61" s="6"/>
      <c r="C61" s="1"/>
      <c r="D61" s="6"/>
      <c r="E61" s="6"/>
      <c r="F61" s="6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ht="15.6" x14ac:dyDescent="0.3">
      <c r="A63" s="1"/>
      <c r="B63" s="1"/>
      <c r="C63" s="1"/>
      <c r="D63" s="1"/>
      <c r="E63" s="1"/>
      <c r="F63" s="1"/>
      <c r="G63" s="1"/>
    </row>
    <row r="64" spans="1:7" ht="15.6" x14ac:dyDescent="0.3">
      <c r="A64" s="1"/>
      <c r="B64" s="1"/>
      <c r="C64" s="1"/>
      <c r="D64" s="1"/>
      <c r="E64" s="1"/>
      <c r="F64" s="1"/>
      <c r="G64" s="1"/>
    </row>
    <row r="65" spans="1:7" ht="15" customHeight="1" x14ac:dyDescent="0.3">
      <c r="A65" s="1"/>
      <c r="B65" s="1"/>
      <c r="C65" s="1"/>
      <c r="D65" s="1"/>
      <c r="E65" s="1"/>
      <c r="F65" s="1"/>
      <c r="G65" s="1"/>
    </row>
    <row r="66" spans="1:7" ht="15.6" x14ac:dyDescent="0.3">
      <c r="A66" s="1"/>
      <c r="B66" s="1"/>
      <c r="C66" s="1"/>
      <c r="D66" s="1"/>
      <c r="E66" s="1"/>
      <c r="F66" s="1"/>
      <c r="G66" s="1"/>
    </row>
    <row r="67" spans="1:7" ht="15.6" x14ac:dyDescent="0.3">
      <c r="A67" s="6"/>
      <c r="B67" s="50"/>
      <c r="C67" s="1"/>
      <c r="D67" s="1"/>
      <c r="E67" s="1"/>
      <c r="F67" s="1"/>
      <c r="G67" s="1"/>
    </row>
    <row r="68" spans="1:7" ht="15.6" x14ac:dyDescent="0.3">
      <c r="A68" s="1"/>
      <c r="B68" s="1"/>
      <c r="C68" s="1"/>
      <c r="D68" s="1"/>
      <c r="E68" s="1"/>
      <c r="F68" s="1"/>
      <c r="G68" s="1"/>
    </row>
    <row r="69" spans="1:7" x14ac:dyDescent="0.3">
      <c r="B69" s="20"/>
      <c r="C69" s="20"/>
      <c r="D69" s="20"/>
      <c r="E69" s="20"/>
      <c r="F69" s="20"/>
    </row>
    <row r="70" spans="1:7" x14ac:dyDescent="0.3">
      <c r="B70" s="20"/>
      <c r="C70" s="20"/>
      <c r="E70" s="20"/>
      <c r="F70" s="20"/>
    </row>
  </sheetData>
  <mergeCells count="6">
    <mergeCell ref="M3:N3"/>
    <mergeCell ref="A21:F21"/>
    <mergeCell ref="A10:F10"/>
    <mergeCell ref="A52:F52"/>
    <mergeCell ref="B54:F54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2026-03-02T13:43:52Z</cp:lastPrinted>
  <dcterms:created xsi:type="dcterms:W3CDTF">2013-03-19T12:54:14Z</dcterms:created>
  <dcterms:modified xsi:type="dcterms:W3CDTF">2026-03-05T19:47:45Z</dcterms:modified>
</cp:coreProperties>
</file>