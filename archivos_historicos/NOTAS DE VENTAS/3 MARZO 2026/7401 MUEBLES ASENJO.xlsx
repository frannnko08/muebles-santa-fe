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909C6FFF-F5EF-4ECE-BAE8-F6C72D47A9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3" l="1"/>
  <c r="E48" i="3"/>
  <c r="F48" i="3"/>
  <c r="H21" i="4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H25" i="4"/>
  <c r="K21" i="3" l="1"/>
  <c r="D21" i="3"/>
  <c r="J14" i="3"/>
  <c r="D14" i="3" s="1"/>
  <c r="B21" i="3"/>
  <c r="F21" i="3"/>
  <c r="K14" i="3" l="1"/>
  <c r="E14" i="3" s="1"/>
  <c r="E21" i="3"/>
  <c r="H26" i="4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<sst xmlns="http://schemas.openxmlformats.org/spreadsheetml/2006/main" count="243" uniqueCount="140">
  <si>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</si>
  <si>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</si>
  <si>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</si>
  <si>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</si>
  <si>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</si>
  <si>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</si>
  <si>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</si>
  <si>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</si>
  <si>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</si>
  <si>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</si>
  <si>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</si>
  <si>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</si>
  <si>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</si>
  <si>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</si>
  <si>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</si>
  <si>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</si>
  <si>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</si>
  <si>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</si>
  <si>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</si>
  <si>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</si>
  <si>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</si>
  <si>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</si>
  <si>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</si>
  <si>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</si>
  <si>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</si>
  <si>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</si>
  <si>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</si>
  <si>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</si>
  <si>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</si>
  <si>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</si>
  <si>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</si>
  <si>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</si>
  <si>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</si>
  <si>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</si>
  <si>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</si>
  <si>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</si>
  <si>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</si>
  <si>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</si>
  <si>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</si>
  <si>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</si>
  <si>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</si>
  <si>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</si>
  <si>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</si>
  <si>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</si>
  <si>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</si>
  <si>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</si>
  <si>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</si>
  <si>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</si>
  <si>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</si>
  <si>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</si>
  <si>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</si>
  <si>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</si>
  <si>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</si>
  <si>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</si>
  <si>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</si>
  <si>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</si>
  <si>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</si>
  <si>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</si>
  <si>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</si>
  <si>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</si>
  <si>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</si>
  <si>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</si>
  <si>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</si>
  <si>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</si>
  <si>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</si>
  <si>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</si>
  <si>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</si>
  <si>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</si>
  <si>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</si>
  <si>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</si>
  <si>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</si>
  <si>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</si>
  <si>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</si>
  <si>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</si>
  <si>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</si>
  <si>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</si>
  <si>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</si>
  <si>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</si>
  <si>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</si>
  <si>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</si>
  <si>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</si>
  <si>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</si>
  <si>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</si>
  <si>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</si>
  <si>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</si>
  <si>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</si>
  <si>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</si>
  <si>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</si>
  <si>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</si>
  <si>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</si>
  <si>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</si>
  <si>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</si>
  <si>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</si>
  <si>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</si>
  <si>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</si>
  <si>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</si>
  <si>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</si>
  <si>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</si>
  <si>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</si>
  <si>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</si>
  <si>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</si>
  <si>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</si>
  <si>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</si>
  <si>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</si>
  <si>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</si>
  <si>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</si>
  <si>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</si>
  <si>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</si>
  <si>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</si>
  <si>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</si>
  <si>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</si>
  <si>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</si>
  <si>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</si>
  <si>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</si>
  <si>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</si>
  <si>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</si>
  <si>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</si>
  <si>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</si>
  <si>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</si>
  <si>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</si>
  <si>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</si>
  <si>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</si>
  <si>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</si>
  <si>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</si>
  <si>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</si>
  <si>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</si>
  <si>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</si>
  <si>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</si>
  <si>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</si>
  <si>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</si>
  <si>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</si>
  <si>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</si>
  <si>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</si>
  <si>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</si>
  <si>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</si>
  <si>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</si>
  <si>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</si>
  <si>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</si>
  <si>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</si>
  <si>
    <t>N° 12024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</si>
</sst>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556018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27</v>
      </c>
      <c r="G8" s="92">
        <v>7401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136</v>
      </c>
      <c r="D10" s="53"/>
      <c r="E10" s="53"/>
      <c r="F10" s="54" t="s">
        <v>28</v>
      </c>
      <c r="G10" s="55">
        <v>46090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/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8">
        <v>1</v>
      </c>
      <c r="C21" s="100" t="s">
        <v>137</v>
      </c>
      <c r="D21" s="102">
        <v>2100</v>
      </c>
      <c r="E21" s="102">
        <v>500</v>
      </c>
      <c r="F21" s="100" t="s">
        <v>138</v>
      </c>
      <c r="G21" s="101">
        <v>52480</v>
      </c>
      <c r="H21" s="109">
        <f t="shared" ref="H21" si="0">G21*B21</f>
        <v>52480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/>
      <c r="C22" s="106"/>
      <c r="D22" s="107"/>
      <c r="E22" s="107"/>
      <c r="F22" s="106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SUM(H21:H24)</f>
        <v>52480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9971.2000000000007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62451.199999999997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7" zoomScaleNormal="100" workbookViewId="0">
      <selection activeCell="A15" sqref="A15:XFD1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61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38" t="s">
        <v>27</v>
      </c>
      <c r="D4" s="14">
        <f>'4637'!G8</f>
        <v>7401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MUEBLES ASENJO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61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2180</v>
      </c>
      <c r="E14" s="35">
        <f t="shared" ref="E14" si="1">K14+$E$13</f>
        <v>470</v>
      </c>
      <c r="F14" s="97" t="str">
        <f>C27</f>
        <v>CUB C/R R8</v>
      </c>
      <c r="G14" s="1"/>
      <c r="I14" s="87">
        <f>I21</f>
        <v>1</v>
      </c>
      <c r="J14" s="4">
        <f>J21</f>
        <v>2100</v>
      </c>
      <c r="K14" s="4">
        <f>K21</f>
        <v>500</v>
      </c>
    </row>
    <row r="15" spans="1:14" ht="15.6" x14ac:dyDescent="0.3">
      <c r="A15" s="50"/>
      <c r="B15" s="6"/>
      <c r="C15" s="6"/>
      <c r="D15" s="6"/>
      <c r="E15" s="103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2" t="s">
        <v>14</v>
      </c>
      <c r="B17" s="112"/>
      <c r="C17" s="112"/>
      <c r="D17" s="112"/>
      <c r="E17" s="112"/>
      <c r="F17" s="112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2">I21</f>
        <v>1</v>
      </c>
      <c r="C21" s="16"/>
      <c r="D21" s="16">
        <f>J21+D$20</f>
        <v>2140</v>
      </c>
      <c r="E21" s="16">
        <f>K21+E$20</f>
        <v>630</v>
      </c>
      <c r="F21" s="98" t="str">
        <f>C27</f>
        <v>CUB C/R R8</v>
      </c>
      <c r="G21" s="1"/>
      <c r="I21" s="3">
        <f>B27</f>
        <v>1</v>
      </c>
      <c r="J21" s="4">
        <f>D27</f>
        <v>2100</v>
      </c>
      <c r="K21" s="4">
        <f t="shared" ref="K21" si="3">E27</f>
        <v>500</v>
      </c>
    </row>
    <row r="22" spans="1:11" ht="15.6" x14ac:dyDescent="0.3">
      <c r="A22" s="93"/>
      <c r="B22" s="6"/>
      <c r="C22" s="6"/>
      <c r="D22" s="6"/>
      <c r="E22" s="6"/>
      <c r="F22" s="105"/>
      <c r="G22" s="1"/>
      <c r="I22" s="87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135</v>
      </c>
      <c r="B27" s="25">
        <f>'4637'!B21</f>
        <v>1</v>
      </c>
      <c r="C27" s="97" t="str">
        <f>'4637'!C21</f>
        <v>CUB C/R R8</v>
      </c>
      <c r="D27" s="25">
        <f>'4637'!D21</f>
        <v>2100</v>
      </c>
      <c r="E27" s="25">
        <f>'4637'!E21</f>
        <v>500</v>
      </c>
      <c r="F27" s="25" t="str">
        <f>'4637'!F21</f>
        <v>GLACIAL WHITE 22191 SF</v>
      </c>
      <c r="G27" s="1"/>
    </row>
    <row r="28" spans="1:11" ht="15.6" x14ac:dyDescent="0.3">
      <c r="A28" s="93"/>
      <c r="B28" s="6"/>
      <c r="C28" s="105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8" t="s">
        <v>27</v>
      </c>
      <c r="D38" s="14">
        <f>'4637'!G8</f>
        <v>7401</v>
      </c>
      <c r="E38" s="1"/>
      <c r="F38" s="1"/>
      <c r="G38" s="1"/>
    </row>
    <row r="39" spans="1:7" ht="17.25" customHeight="1" x14ac:dyDescent="0.3">
      <c r="A39" s="1"/>
      <c r="B39" s="1"/>
      <c r="C39" s="39" t="s">
        <v>67</v>
      </c>
      <c r="D39" s="40" t="str">
        <f>'4637'!C10</f>
        <v>MUEBLES ASENJO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2" t="s">
        <v>68</v>
      </c>
      <c r="B44" s="112"/>
      <c r="C44" s="112"/>
      <c r="D44" s="112"/>
      <c r="E44" s="112"/>
      <c r="F44" s="112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3" t="s">
        <v>69</v>
      </c>
      <c r="C46" s="114"/>
      <c r="D46" s="115"/>
      <c r="E46" s="115"/>
      <c r="F46" s="116"/>
      <c r="G46" s="1"/>
    </row>
    <row r="47" spans="1:7" s="15" customFormat="1" ht="12.75" customHeight="1" x14ac:dyDescent="0.3">
      <c r="A47" s="1"/>
      <c r="B47" s="36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93" t="s">
        <v>135</v>
      </c>
      <c r="B48" s="110">
        <f>'4637'!B21</f>
        <v>1</v>
      </c>
      <c r="C48" s="96" t="str">
        <f>'4637'!C21</f>
        <v>CUB C/R R8</v>
      </c>
      <c r="D48" s="96">
        <f>'4637'!D21</f>
        <v>2100</v>
      </c>
      <c r="E48" s="96">
        <f>'4637'!E21</f>
        <v>500</v>
      </c>
      <c r="F48" s="96" t="str">
        <f>'4637'!F21</f>
        <v>GLACIAL WHITE 22191 SF</v>
      </c>
      <c r="G48" s="1"/>
    </row>
    <row r="49" spans="1:7" s="15" customFormat="1" ht="15" customHeight="1" x14ac:dyDescent="0.3">
      <c r="B49" s="50"/>
      <c r="C49" s="104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2026-03-04T19:55:41Z</cp:lastPrinted>
  <dcterms:created xsi:type="dcterms:W3CDTF">2013-03-19T12:54:14Z</dcterms:created>
  <dcterms:modified xsi:type="dcterms:W3CDTF">2026-03-09T15:51:21Z</dcterms:modified>
</cp:coreProperties>
</file>