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3 MARZO 2026\"/>
    </mc:Choice>
  </mc:AlternateContent>
  <xr:revisionPtr revIDLastSave="0" documentId="13_ncr:1_{29E82588-28D6-4A7A-9CEF-FAFB26096EE9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'4637'!$A$1:$H$33</definedName>
    <definedName name="_xlnm.Print_Area" localSheetId="2">CUBIERTA!$A$1:$F$36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4" i="4" l="1"/>
  <c r="B29" i="3"/>
  <c r="I23" i="3" s="1"/>
  <c r="B23" i="3" s="1"/>
  <c r="C29" i="3"/>
  <c r="F23" i="3" s="1"/>
  <c r="D29" i="3"/>
  <c r="J23" i="3" s="1"/>
  <c r="D23" i="3" s="1"/>
  <c r="E29" i="3"/>
  <c r="F29" i="3"/>
  <c r="B30" i="3"/>
  <c r="C30" i="3"/>
  <c r="D30" i="3"/>
  <c r="E30" i="3"/>
  <c r="F30" i="3"/>
  <c r="B51" i="3"/>
  <c r="C51" i="3"/>
  <c r="D51" i="3"/>
  <c r="E51" i="3"/>
  <c r="F51" i="3"/>
  <c r="B52" i="3"/>
  <c r="C52" i="3"/>
  <c r="D52" i="3"/>
  <c r="E52" i="3"/>
  <c r="F52" i="3"/>
  <c r="H23" i="4"/>
  <c r="H22" i="4"/>
  <c r="B28" i="3"/>
  <c r="I22" i="3" s="1"/>
  <c r="B22" i="3" s="1"/>
  <c r="C28" i="3"/>
  <c r="F22" i="3" s="1"/>
  <c r="D28" i="3"/>
  <c r="J22" i="3" s="1"/>
  <c r="D22" i="3" s="1"/>
  <c r="E28" i="3"/>
  <c r="K22" i="3" s="1"/>
  <c r="E22" i="3" s="1"/>
  <c r="F28" i="3"/>
  <c r="B50" i="3"/>
  <c r="C50" i="3"/>
  <c r="D50" i="3"/>
  <c r="E50" i="3"/>
  <c r="F50" i="3"/>
  <c r="I15" i="3" l="1"/>
  <c r="B15" i="3" s="1"/>
  <c r="F15" i="3"/>
  <c r="J15" i="3"/>
  <c r="D15" i="3" s="1"/>
  <c r="K23" i="3"/>
  <c r="E23" i="3" s="1"/>
  <c r="K15" i="3"/>
  <c r="E15" i="3" s="1"/>
  <c r="K14" i="3"/>
  <c r="E14" i="3" s="1"/>
  <c r="J14" i="3"/>
  <c r="D14" i="3" s="1"/>
  <c r="I14" i="3"/>
  <c r="B14" i="3" s="1"/>
  <c r="F14" i="3"/>
  <c r="H27" i="4" l="1"/>
  <c r="H28" i="4" l="1"/>
  <c r="H29" i="4" l="1"/>
  <c r="N5" i="3" l="1"/>
  <c r="M5" i="3" l="1"/>
  <c r="L5" i="3"/>
  <c r="K5" i="3"/>
  <c r="C43" i="3" l="1"/>
  <c r="C7" i="3"/>
  <c r="D41" i="3"/>
  <c r="D5" i="3"/>
  <c r="D43" i="3"/>
  <c r="D7" i="3"/>
  <c r="D40" i="3"/>
  <c r="D4" i="3"/>
</calcChain>
</file>

<file path=xl/sharedStrings.xml><?xml version="1.0" encoding="utf-8"?>
<sst xmlns="http://schemas.openxmlformats.org/spreadsheetml/2006/main" count="252" uniqueCount="145">
  <si>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</si>
  <si>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</si>
  <si>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</si>
  <si>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</si>
  <si>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</si>
  <si>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</si>
  <si>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</si>
  <si>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</si>
  <si>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</si>
  <si>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</si>
  <si>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</si>
  <si>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</si>
  <si>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</si>
  <si>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</si>
  <si>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</si>
  <si>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</si>
  <si>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</si>
  <si>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</si>
  <si>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</si>
  <si>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</si>
  <si>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</si>
  <si>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</si>
  <si>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</si>
  <si>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</si>
  <si>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</si>
  <si>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</si>
  <si>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</si>
  <si>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</si>
  <si>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</si>
  <si>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</si>
  <si>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</si>
  <si>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</si>
  <si>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</si>
  <si>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</si>
  <si>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</si>
  <si>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</si>
  <si>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</si>
  <si>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</si>
  <si>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</si>
  <si>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</si>
  <si>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</si>
  <si>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</si>
  <si>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</si>
  <si>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</si>
  <si>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</si>
  <si>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</si>
  <si>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</si>
  <si>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</si>
  <si>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</si>
  <si>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</si>
  <si>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</si>
  <si>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</si>
  <si>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</si>
  <si>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</si>
  <si>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</si>
  <si>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</si>
  <si>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</si>
  <si>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</si>
  <si>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</si>
  <si>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</si>
  <si>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</si>
  <si>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</si>
  <si>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</si>
  <si>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</si>
  <si>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</si>
  <si>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</si>
  <si>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</si>
  <si>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</si>
  <si>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</si>
  <si>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</si>
  <si>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</si>
  <si>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</si>
  <si>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</si>
  <si>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</si>
  <si>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</si>
  <si>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</si>
  <si>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</si>
  <si>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</si>
  <si>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</si>
  <si>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</si>
  <si>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</si>
  <si>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</si>
  <si>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</si>
  <si>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</si>
  <si>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</si>
  <si>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</si>
  <si>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</si>
  <si>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</si>
  <si>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</si>
  <si>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</si>
  <si>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</si>
  <si>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</si>
  <si>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</si>
  <si>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</si>
  <si>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</si>
  <si>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</si>
  <si>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</si>
  <si>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</si>
  <si>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</si>
  <si>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</si>
  <si>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</si>
  <si>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</si>
  <si>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</si>
  <si>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</si>
  <si>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</si>
  <si>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</si>
  <si>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</si>
  <si>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</si>
  <si>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</si>
  <si>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</si>
  <si>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</si>
  <si>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</si>
  <si>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</si>
  <si>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</si>
  <si>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</si>
  <si>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</si>
  <si>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</si>
  <si>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</si>
  <si>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</si>
  <si>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ENTREGA:</t>
  </si>
  <si>
    <t>NO BORRAR REGLAS!!!!! SI NO LAS SABEN USAR NO BORREN ESTO POR FAVOR!!!!!</t>
  </si>
  <si>
    <t>CUB C/R R6</t>
  </si>
  <si>
    <t>CONTACTO:</t>
  </si>
  <si>
    <t>CORREO:</t>
  </si>
  <si>
    <t>SANTIAGO</t>
  </si>
  <si>
    <t>NO</t>
  </si>
  <si>
    <t>NOMBRE:</t>
  </si>
  <si>
    <t>FECHA</t>
  </si>
  <si>
    <t>PLAZO ENTREGA</t>
  </si>
  <si>
    <t>GIRO:</t>
  </si>
  <si>
    <t>SERVICIO EXPRESS</t>
  </si>
  <si>
    <t>CORTADA A LA MEDIDA</t>
  </si>
  <si>
    <t>DESPACHO</t>
  </si>
  <si>
    <t>INSTALACIÓN</t>
  </si>
  <si>
    <t>FORMA DE PAGO:</t>
  </si>
  <si>
    <t>ABONO 50% SALDO C/ENTREGA</t>
  </si>
  <si>
    <t>Duración cotización 5 días hábiles</t>
  </si>
  <si>
    <t>Cotizado por: Franco Donoso</t>
  </si>
  <si>
    <t>MDF30MM</t>
  </si>
  <si>
    <t>MDF18MM</t>
  </si>
  <si>
    <t>GUTHIER</t>
  </si>
  <si>
    <t>N° 12008</t>
  </si>
  <si>
    <t>CUB SIN RESPALDO R8</t>
  </si>
  <si>
    <t>CORTE Z</t>
  </si>
  <si>
    <t>GRANITO KOMBI 0670 BR F6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</si>
</sst>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0.000"/>
    <numFmt numFmtId="166" formatCode="_-* #,##0_-;\-* #,##0_-;_-* &quot;-&quot;??_-;_-@_-"/>
  </numFmts>
  <fonts count="2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b/>
      <sz val="1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9"/>
      <color rgb="FF000000"/>
      <name val="Segoe UI"/>
      <family val="2"/>
    </font>
    <font>
      <sz val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134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9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1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30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166" fontId="1" fillId="0" borderId="0" xfId="1" applyNumberFormat="1" applyFont="1" applyFill="1" applyBorder="1"/>
    <xf numFmtId="0" fontId="16" fillId="0" borderId="18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15" fillId="0" borderId="2" xfId="0" applyFont="1" applyBorder="1" applyAlignment="1">
      <alignment horizontal="center" vertical="center"/>
    </xf>
    <xf numFmtId="166" fontId="3" fillId="0" borderId="2" xfId="1" applyNumberFormat="1" applyFont="1" applyFill="1" applyBorder="1" applyAlignment="1">
      <alignment horizontal="center" vertical="center"/>
    </xf>
    <xf numFmtId="1" fontId="15" fillId="0" borderId="2" xfId="0" applyNumberFormat="1" applyFont="1" applyBorder="1" applyAlignment="1">
      <alignment horizontal="center" vertical="center"/>
    </xf>
    <xf numFmtId="0" fontId="17" fillId="3" borderId="0" xfId="0" applyFont="1" applyFill="1"/>
    <xf numFmtId="0" fontId="6" fillId="3" borderId="0" xfId="2" applyFill="1"/>
    <xf numFmtId="0" fontId="19" fillId="0" borderId="9" xfId="2" applyFont="1" applyFill="1" applyBorder="1" applyAlignment="1">
      <alignment horizontal="left"/>
    </xf>
    <xf numFmtId="0" fontId="20" fillId="3" borderId="0" xfId="0" applyFont="1" applyFill="1"/>
    <xf numFmtId="0" fontId="16" fillId="3" borderId="4" xfId="0" applyFont="1" applyFill="1" applyBorder="1"/>
    <xf numFmtId="0" fontId="17" fillId="0" borderId="0" xfId="0" applyFont="1"/>
    <xf numFmtId="0" fontId="21" fillId="3" borderId="0" xfId="0" applyFont="1" applyFill="1"/>
    <xf numFmtId="0" fontId="18" fillId="0" borderId="0" xfId="0" quotePrefix="1" applyFont="1" applyAlignment="1">
      <alignment horizontal="left"/>
    </xf>
    <xf numFmtId="0" fontId="22" fillId="0" borderId="2" xfId="0" applyFont="1" applyBorder="1" applyAlignment="1">
      <alignment horizontal="center" vertical="center"/>
    </xf>
    <xf numFmtId="0" fontId="15" fillId="0" borderId="11" xfId="0" applyFont="1" applyBorder="1" applyAlignment="1">
      <alignment horizontal="center" vertical="center"/>
    </xf>
    <xf numFmtId="0" fontId="22" fillId="0" borderId="32" xfId="0" applyFont="1" applyBorder="1" applyAlignment="1">
      <alignment horizontal="center" vertical="center"/>
    </xf>
    <xf numFmtId="0" fontId="15" fillId="0" borderId="32" xfId="0" applyFont="1" applyBorder="1" applyAlignment="1">
      <alignment horizontal="center" vertical="center"/>
    </xf>
    <xf numFmtId="166" fontId="3" fillId="0" borderId="32" xfId="1" applyNumberFormat="1" applyFont="1" applyFill="1" applyBorder="1" applyAlignment="1">
      <alignment horizontal="center" vertical="center"/>
    </xf>
    <xf numFmtId="166" fontId="3" fillId="0" borderId="12" xfId="1" applyNumberFormat="1" applyFont="1" applyFill="1" applyBorder="1" applyAlignment="1">
      <alignment horizontal="center" vertical="center"/>
    </xf>
    <xf numFmtId="0" fontId="15" fillId="0" borderId="13" xfId="0" applyFont="1" applyBorder="1" applyAlignment="1">
      <alignment horizontal="center" vertical="center"/>
    </xf>
    <xf numFmtId="166" fontId="3" fillId="0" borderId="31" xfId="1" applyNumberFormat="1" applyFont="1" applyFill="1" applyBorder="1" applyAlignment="1">
      <alignment horizontal="center" vertical="center"/>
    </xf>
    <xf numFmtId="1" fontId="15" fillId="0" borderId="32" xfId="0" applyNumberFormat="1" applyFont="1" applyBorder="1" applyAlignment="1">
      <alignment horizontal="center" vertical="center"/>
    </xf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8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  <xf numFmtId="0" fontId="15" fillId="0" borderId="0" xfId="0" applyFont="1" applyBorder="1" applyAlignment="1">
      <alignment horizontal="center" vertical="center"/>
    </xf>
    <xf numFmtId="0" fontId="22" fillId="0" borderId="0" xfId="0" applyFont="1" applyBorder="1" applyAlignment="1">
      <alignment horizontal="center" vertical="center"/>
    </xf>
    <xf numFmtId="1" fontId="15" fillId="0" borderId="0" xfId="0" applyNumberFormat="1" applyFont="1" applyBorder="1" applyAlignment="1">
      <alignment horizontal="center" vertical="center"/>
    </xf>
  </cellXfs>
  <cellStyles count="3">
    <cellStyle name="Hipervínculo" xfId="2" builtinId="8"/>
    <cellStyle name="Millares" xfId="1" builtinId="3"/>
    <cellStyle name="Normal" xfId="0" builtinId="0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</xdr:colOff>
      <xdr:row>26</xdr:row>
      <xdr:rowOff>9525</xdr:rowOff>
    </xdr:from>
    <xdr:to>
      <xdr:col>5</xdr:col>
      <xdr:colOff>1390650</xdr:colOff>
      <xdr:row>30</xdr:row>
      <xdr:rowOff>47625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1930" y="5800725"/>
          <a:ext cx="5532120" cy="6477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 ABONO</a:t>
          </a:r>
          <a:r>
            <a:rPr lang="es-CL" sz="900" b="1" i="1" baseline="0"/>
            <a:t> $120.000-</a:t>
          </a:r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17145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16</xdr:row>
      <xdr:rowOff>76200</xdr:rowOff>
    </xdr:from>
    <xdr:to>
      <xdr:col>5</xdr:col>
      <xdr:colOff>1676399</xdr:colOff>
      <xdr:row>18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44</xdr:row>
      <xdr:rowOff>171450</xdr:rowOff>
    </xdr:from>
    <xdr:to>
      <xdr:col>5</xdr:col>
      <xdr:colOff>1685924</xdr:colOff>
      <xdr:row>46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42</xdr:row>
      <xdr:rowOff>0</xdr:rowOff>
    </xdr:from>
    <xdr:to>
      <xdr:col>6</xdr:col>
      <xdr:colOff>0</xdr:colOff>
      <xdr:row>43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40</xdr:row>
      <xdr:rowOff>38100</xdr:rowOff>
    </xdr:from>
    <xdr:to>
      <xdr:col>6</xdr:col>
      <xdr:colOff>0</xdr:colOff>
      <xdr:row>41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0</xdr:rowOff>
    </xdr:from>
    <xdr:to>
      <xdr:col>6</xdr:col>
      <xdr:colOff>0</xdr:colOff>
      <xdr:row>40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53</xdr:row>
      <xdr:rowOff>0</xdr:rowOff>
    </xdr:from>
    <xdr:to>
      <xdr:col>2</xdr:col>
      <xdr:colOff>38100</xdr:colOff>
      <xdr:row>54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53</xdr:row>
      <xdr:rowOff>0</xdr:rowOff>
    </xdr:from>
    <xdr:to>
      <xdr:col>2</xdr:col>
      <xdr:colOff>1019175</xdr:colOff>
      <xdr:row>53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53</xdr:row>
      <xdr:rowOff>0</xdr:rowOff>
    </xdr:from>
    <xdr:to>
      <xdr:col>3</xdr:col>
      <xdr:colOff>352425</xdr:colOff>
      <xdr:row>54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53</xdr:row>
      <xdr:rowOff>0</xdr:rowOff>
    </xdr:from>
    <xdr:to>
      <xdr:col>4</xdr:col>
      <xdr:colOff>257175</xdr:colOff>
      <xdr:row>54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53</xdr:row>
      <xdr:rowOff>0</xdr:rowOff>
    </xdr:from>
    <xdr:to>
      <xdr:col>5</xdr:col>
      <xdr:colOff>447675</xdr:colOff>
      <xdr:row>53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53</xdr:row>
      <xdr:rowOff>0</xdr:rowOff>
    </xdr:from>
    <xdr:to>
      <xdr:col>6</xdr:col>
      <xdr:colOff>0</xdr:colOff>
      <xdr:row>53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53</xdr:row>
      <xdr:rowOff>190500</xdr:rowOff>
    </xdr:from>
    <xdr:to>
      <xdr:col>2</xdr:col>
      <xdr:colOff>304800</xdr:colOff>
      <xdr:row>55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53</xdr:row>
      <xdr:rowOff>190500</xdr:rowOff>
    </xdr:from>
    <xdr:to>
      <xdr:col>2</xdr:col>
      <xdr:colOff>1276350</xdr:colOff>
      <xdr:row>55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53</xdr:row>
      <xdr:rowOff>190500</xdr:rowOff>
    </xdr:from>
    <xdr:to>
      <xdr:col>3</xdr:col>
      <xdr:colOff>619125</xdr:colOff>
      <xdr:row>55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53</xdr:row>
      <xdr:rowOff>190500</xdr:rowOff>
    </xdr:from>
    <xdr:to>
      <xdr:col>4</xdr:col>
      <xdr:colOff>523875</xdr:colOff>
      <xdr:row>55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53</xdr:row>
      <xdr:rowOff>190500</xdr:rowOff>
    </xdr:from>
    <xdr:to>
      <xdr:col>5</xdr:col>
      <xdr:colOff>723900</xdr:colOff>
      <xdr:row>55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53</xdr:row>
      <xdr:rowOff>190500</xdr:rowOff>
    </xdr:from>
    <xdr:to>
      <xdr:col>6</xdr:col>
      <xdr:colOff>0</xdr:colOff>
      <xdr:row>55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31</xdr:row>
      <xdr:rowOff>15239</xdr:rowOff>
    </xdr:from>
    <xdr:to>
      <xdr:col>6</xdr:col>
      <xdr:colOff>68580</xdr:colOff>
      <xdr:row>35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9"/>
          <a:ext cx="7820025" cy="84201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r>
            <a:rPr lang="es-ES" sz="105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LLEVA</a:t>
          </a:r>
          <a:r>
            <a:rPr lang="es-ES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CORTE Z</a:t>
          </a:r>
          <a:endParaRPr lang="es-CL" sz="1050">
            <a:effectLst/>
          </a:endParaRPr>
        </a:p>
      </xdr:txBody>
    </xdr:sp>
    <xdr:clientData/>
  </xdr:twoCellAnchor>
  <xdr:twoCellAnchor>
    <xdr:from>
      <xdr:col>0</xdr:col>
      <xdr:colOff>190500</xdr:colOff>
      <xdr:row>23</xdr:row>
      <xdr:rowOff>200025</xdr:rowOff>
    </xdr:from>
    <xdr:to>
      <xdr:col>6</xdr:col>
      <xdr:colOff>19049</xdr:colOff>
      <xdr:row>25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56</xdr:row>
      <xdr:rowOff>32385</xdr:rowOff>
    </xdr:from>
    <xdr:to>
      <xdr:col>6</xdr:col>
      <xdr:colOff>19050</xdr:colOff>
      <xdr:row>60</xdr:row>
      <xdr:rowOff>152400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1290935"/>
          <a:ext cx="7437120" cy="9105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 LLEVA CORTE Z</a:t>
          </a:r>
          <a:endParaRPr lang="es-CL">
            <a:effectLst/>
          </a:endParaRPr>
        </a:p>
      </xdr:txBody>
    </xdr:sp>
    <xdr:clientData/>
  </xdr:twoCellAnchor>
  <xdr:twoCellAnchor editAs="oneCell">
    <xdr:from>
      <xdr:col>0</xdr:col>
      <xdr:colOff>160020</xdr:colOff>
      <xdr:row>38</xdr:row>
      <xdr:rowOff>41910</xdr:rowOff>
    </xdr:from>
    <xdr:to>
      <xdr:col>1</xdr:col>
      <xdr:colOff>801763</xdr:colOff>
      <xdr:row>44</xdr:row>
      <xdr:rowOff>133350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7219950"/>
          <a:ext cx="1594243" cy="115443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1</xdr:col>
      <xdr:colOff>784618</xdr:colOff>
      <xdr:row>8</xdr:row>
      <xdr:rowOff>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6"/>
  <sheetViews>
    <sheetView topLeftCell="A11" workbookViewId="0">
      <selection activeCell="D23" sqref="D23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27.5546875" customWidth="1"/>
    <col min="4" max="5" width="9.109375" customWidth="1"/>
    <col min="6" max="6" width="32.44140625" customWidth="1"/>
    <col min="7" max="7" width="15.44140625" customWidth="1"/>
    <col min="8" max="8" width="13.21875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114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115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116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88" t="s">
        <v>16</v>
      </c>
      <c r="C8" s="89"/>
      <c r="D8" s="90" t="s">
        <v>141</v>
      </c>
      <c r="E8" s="1"/>
      <c r="F8" s="91" t="s">
        <v>26</v>
      </c>
      <c r="G8" s="92">
        <v>7416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53" t="s">
        <v>126</v>
      </c>
      <c r="C10" s="105" t="s">
        <v>140</v>
      </c>
      <c r="D10" s="54"/>
      <c r="E10" s="54"/>
      <c r="F10" s="55" t="s">
        <v>127</v>
      </c>
      <c r="G10" s="56">
        <v>46106</v>
      </c>
      <c r="H10" s="57"/>
      <c r="I10" s="1"/>
      <c r="J10" s="1"/>
      <c r="K10" s="1"/>
      <c r="L10" s="1"/>
      <c r="M10" s="1"/>
      <c r="N10" s="1"/>
      <c r="O10" s="1"/>
      <c r="P10" s="1"/>
      <c r="Q10" s="1"/>
    </row>
    <row r="11" spans="1:17" ht="17.399999999999999" thickBot="1" x14ac:dyDescent="0.45">
      <c r="A11" s="1"/>
      <c r="B11" s="58" t="s">
        <v>2</v>
      </c>
      <c r="C11" s="106"/>
      <c r="D11" s="59"/>
      <c r="E11" s="59"/>
      <c r="F11" s="59" t="s">
        <v>128</v>
      </c>
      <c r="G11" s="60"/>
      <c r="H11" s="61"/>
      <c r="I11" s="1"/>
    </row>
    <row r="12" spans="1:17" ht="15.6" x14ac:dyDescent="0.3">
      <c r="A12" s="1"/>
      <c r="B12" s="62" t="s">
        <v>129</v>
      </c>
      <c r="C12" s="107"/>
      <c r="D12" s="42"/>
      <c r="E12" s="42"/>
      <c r="F12" s="42" t="s">
        <v>130</v>
      </c>
      <c r="G12" s="63" t="s">
        <v>125</v>
      </c>
      <c r="H12" s="64"/>
      <c r="I12" s="1"/>
    </row>
    <row r="13" spans="1:17" ht="15.6" x14ac:dyDescent="0.3">
      <c r="A13" s="1"/>
      <c r="B13" s="62" t="s">
        <v>122</v>
      </c>
      <c r="D13" s="42"/>
      <c r="E13" s="42"/>
      <c r="F13" s="42" t="s">
        <v>131</v>
      </c>
      <c r="G13" s="63" t="s">
        <v>125</v>
      </c>
      <c r="H13" s="64"/>
      <c r="I13" s="1"/>
    </row>
    <row r="14" spans="1:17" ht="15.6" x14ac:dyDescent="0.3">
      <c r="A14" s="1"/>
      <c r="B14" s="62" t="s">
        <v>123</v>
      </c>
      <c r="C14" s="102"/>
      <c r="D14" s="42"/>
      <c r="E14" s="42"/>
      <c r="F14" s="42" t="s">
        <v>132</v>
      </c>
      <c r="G14" s="63" t="s">
        <v>125</v>
      </c>
      <c r="H14" s="64"/>
      <c r="I14" s="1"/>
    </row>
    <row r="15" spans="1:17" ht="15.6" x14ac:dyDescent="0.3">
      <c r="A15" s="1"/>
      <c r="B15" s="58" t="s">
        <v>17</v>
      </c>
      <c r="C15" s="108"/>
      <c r="D15" s="65"/>
      <c r="E15" s="59"/>
      <c r="F15" s="59" t="s">
        <v>133</v>
      </c>
      <c r="G15" s="59" t="s">
        <v>125</v>
      </c>
      <c r="H15" s="61"/>
      <c r="I15" s="1"/>
    </row>
    <row r="16" spans="1:17" ht="16.8" x14ac:dyDescent="0.4">
      <c r="A16" s="1"/>
      <c r="B16" s="62" t="s">
        <v>1</v>
      </c>
      <c r="C16" s="101"/>
      <c r="D16" s="42"/>
      <c r="E16" s="42"/>
      <c r="F16" s="66" t="s">
        <v>134</v>
      </c>
      <c r="G16" s="104" t="s">
        <v>135</v>
      </c>
      <c r="H16" s="64"/>
      <c r="I16" s="1"/>
    </row>
    <row r="17" spans="1:16" ht="16.2" thickBot="1" x14ac:dyDescent="0.35">
      <c r="A17" s="1"/>
      <c r="B17" s="67" t="s">
        <v>3</v>
      </c>
      <c r="C17" s="103" t="s">
        <v>124</v>
      </c>
      <c r="D17" s="68"/>
      <c r="E17" s="69"/>
      <c r="F17" s="118" t="s">
        <v>136</v>
      </c>
      <c r="G17" s="118" t="s">
        <v>137</v>
      </c>
      <c r="H17" s="119"/>
      <c r="I17" s="1"/>
    </row>
    <row r="18" spans="1:16" ht="15.6" x14ac:dyDescent="0.3">
      <c r="A18" s="1"/>
      <c r="B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"/>
      <c r="C19" s="1"/>
      <c r="D19" s="1"/>
      <c r="E19" s="1"/>
      <c r="F19" s="1"/>
      <c r="G19" s="1"/>
      <c r="H19" s="1"/>
      <c r="I19" s="1"/>
    </row>
    <row r="20" spans="1:16" ht="16.2" thickBot="1" x14ac:dyDescent="0.35">
      <c r="A20" s="1"/>
      <c r="B20" s="120" t="s">
        <v>18</v>
      </c>
      <c r="C20" s="121"/>
      <c r="D20" s="121"/>
      <c r="E20" s="121"/>
      <c r="F20" s="121"/>
      <c r="G20" s="121"/>
      <c r="H20" s="122"/>
      <c r="I20" s="1"/>
    </row>
    <row r="21" spans="1:16" ht="16.2" thickBot="1" x14ac:dyDescent="0.35">
      <c r="A21" s="1"/>
      <c r="B21" s="70" t="s">
        <v>19</v>
      </c>
      <c r="C21" s="71" t="s">
        <v>20</v>
      </c>
      <c r="D21" s="71" t="s">
        <v>21</v>
      </c>
      <c r="E21" s="71" t="s">
        <v>8</v>
      </c>
      <c r="F21" s="72" t="s">
        <v>22</v>
      </c>
      <c r="G21" s="70" t="s">
        <v>23</v>
      </c>
      <c r="H21" s="72" t="s">
        <v>4</v>
      </c>
      <c r="I21" s="1"/>
    </row>
    <row r="22" spans="1:16" ht="18" customHeight="1" thickBot="1" x14ac:dyDescent="0.35">
      <c r="A22" s="1"/>
      <c r="B22" s="110">
        <v>1</v>
      </c>
      <c r="C22" s="111" t="s">
        <v>142</v>
      </c>
      <c r="D22" s="117">
        <v>1550</v>
      </c>
      <c r="E22" s="117">
        <v>600</v>
      </c>
      <c r="F22" s="112" t="s">
        <v>144</v>
      </c>
      <c r="G22" s="113">
        <v>72398</v>
      </c>
      <c r="H22" s="114">
        <f>G22*B22</f>
        <v>72398</v>
      </c>
      <c r="I22" s="1"/>
      <c r="K22" s="17"/>
      <c r="L22" s="26"/>
      <c r="M22" s="17"/>
      <c r="N22" s="17"/>
      <c r="O22" s="26"/>
      <c r="P22" s="33"/>
    </row>
    <row r="23" spans="1:16" ht="18" customHeight="1" x14ac:dyDescent="0.3">
      <c r="A23" s="1"/>
      <c r="B23" s="115">
        <v>1</v>
      </c>
      <c r="C23" s="111" t="s">
        <v>142</v>
      </c>
      <c r="D23" s="100">
        <v>2500</v>
      </c>
      <c r="E23" s="100">
        <v>600</v>
      </c>
      <c r="F23" s="112" t="s">
        <v>144</v>
      </c>
      <c r="G23" s="99">
        <v>115013</v>
      </c>
      <c r="H23" s="116">
        <f>G23*B23</f>
        <v>115013</v>
      </c>
      <c r="I23" s="1"/>
      <c r="K23" s="17"/>
      <c r="L23" s="26"/>
      <c r="M23" s="17"/>
      <c r="N23" s="17"/>
      <c r="O23" s="26"/>
      <c r="P23" s="33"/>
    </row>
    <row r="24" spans="1:16" ht="18" customHeight="1" x14ac:dyDescent="0.3">
      <c r="A24" s="1"/>
      <c r="B24" s="98">
        <v>1</v>
      </c>
      <c r="C24" s="109" t="s">
        <v>143</v>
      </c>
      <c r="D24" s="100"/>
      <c r="E24" s="100"/>
      <c r="F24" s="98"/>
      <c r="G24" s="99">
        <v>20000</v>
      </c>
      <c r="H24" s="116">
        <f>G24*B24</f>
        <v>20000</v>
      </c>
      <c r="I24" s="1"/>
      <c r="K24" s="17"/>
      <c r="L24" s="26"/>
      <c r="M24" s="17"/>
      <c r="N24" s="17"/>
      <c r="O24" s="26"/>
      <c r="P24" s="33"/>
    </row>
    <row r="25" spans="1:16" ht="18" customHeight="1" x14ac:dyDescent="0.3">
      <c r="A25" s="1"/>
      <c r="B25" s="131"/>
      <c r="C25" s="132"/>
      <c r="D25" s="133"/>
      <c r="E25" s="133"/>
      <c r="F25" s="131"/>
      <c r="G25" s="74"/>
      <c r="H25" s="74"/>
      <c r="I25" s="1"/>
      <c r="K25" s="17"/>
      <c r="L25" s="26"/>
      <c r="M25" s="17"/>
      <c r="N25" s="17"/>
      <c r="O25" s="26"/>
      <c r="P25" s="33"/>
    </row>
    <row r="26" spans="1:16" ht="15" customHeight="1" thickBot="1" x14ac:dyDescent="0.35">
      <c r="A26" s="1"/>
      <c r="B26" s="73"/>
      <c r="C26" s="73"/>
      <c r="D26" s="73"/>
      <c r="E26" s="73"/>
      <c r="F26" s="73"/>
      <c r="G26" s="74"/>
      <c r="H26" s="74"/>
      <c r="I26" s="1"/>
    </row>
    <row r="27" spans="1:16" ht="15.6" x14ac:dyDescent="0.3">
      <c r="A27" s="1"/>
      <c r="B27" s="1"/>
      <c r="C27" s="1"/>
      <c r="D27" s="1"/>
      <c r="E27" s="1"/>
      <c r="F27" s="1"/>
      <c r="G27" s="75" t="s">
        <v>5</v>
      </c>
      <c r="H27" s="76">
        <f>SUM(H22:H26)</f>
        <v>207411</v>
      </c>
      <c r="I27" s="1"/>
    </row>
    <row r="28" spans="1:16" ht="15.6" x14ac:dyDescent="0.3">
      <c r="A28" s="1"/>
      <c r="B28" s="1"/>
      <c r="C28" s="1"/>
      <c r="D28" s="1"/>
      <c r="E28" s="1"/>
      <c r="F28" s="1"/>
      <c r="G28" s="77" t="s">
        <v>6</v>
      </c>
      <c r="H28" s="78">
        <f>H27*19%</f>
        <v>39408.090000000004</v>
      </c>
      <c r="I28" s="1"/>
    </row>
    <row r="29" spans="1:16" ht="16.2" thickBot="1" x14ac:dyDescent="0.35">
      <c r="A29" s="1"/>
      <c r="B29" s="1"/>
      <c r="C29" s="1"/>
      <c r="D29" s="1"/>
      <c r="E29" s="1"/>
      <c r="F29" s="1"/>
      <c r="G29" s="79" t="s">
        <v>4</v>
      </c>
      <c r="H29" s="80">
        <f>H27+H28</f>
        <v>246819.09</v>
      </c>
      <c r="I29" s="1"/>
    </row>
    <row r="30" spans="1:16" ht="15.6" x14ac:dyDescent="0.3">
      <c r="A30" s="1"/>
      <c r="B30" s="1"/>
      <c r="C30" s="1"/>
      <c r="D30" s="1"/>
      <c r="E30" s="1"/>
      <c r="F30" s="1"/>
      <c r="G30" s="51"/>
      <c r="H30" s="94"/>
      <c r="I30" s="1"/>
    </row>
    <row r="31" spans="1:16" ht="15.6" x14ac:dyDescent="0.3">
      <c r="A31" s="1"/>
      <c r="B31" s="1"/>
      <c r="C31" s="1"/>
      <c r="D31" s="1"/>
      <c r="E31" s="1"/>
      <c r="F31" s="1"/>
      <c r="G31" s="1"/>
      <c r="H31" s="1"/>
      <c r="I31" s="1"/>
    </row>
    <row r="32" spans="1:16" ht="15.6" x14ac:dyDescent="0.3">
      <c r="A32" s="1"/>
      <c r="B32" s="81" t="s">
        <v>118</v>
      </c>
      <c r="C32" s="82"/>
      <c r="D32" s="83"/>
      <c r="E32" s="83"/>
      <c r="F32" s="73"/>
      <c r="G32" s="1"/>
      <c r="H32" s="1"/>
      <c r="I32" s="1"/>
    </row>
    <row r="33" spans="1:9" ht="15.6" x14ac:dyDescent="0.3">
      <c r="A33" s="1"/>
      <c r="B33" s="81" t="s">
        <v>117</v>
      </c>
      <c r="C33" s="82"/>
      <c r="D33" s="83"/>
      <c r="E33" s="83"/>
      <c r="F33" s="73"/>
      <c r="G33" s="1"/>
      <c r="H33" s="1"/>
      <c r="I33" s="1"/>
    </row>
    <row r="34" spans="1:9" ht="15.6" x14ac:dyDescent="0.3">
      <c r="A34" s="1"/>
      <c r="B34" s="1" t="s">
        <v>24</v>
      </c>
      <c r="C34" s="1"/>
      <c r="D34" s="1"/>
      <c r="E34" s="84" t="s">
        <v>25</v>
      </c>
      <c r="F34" s="1"/>
      <c r="G34" s="1"/>
      <c r="H34" s="1"/>
      <c r="I34" s="1"/>
    </row>
    <row r="35" spans="1:9" ht="15.6" x14ac:dyDescent="0.3">
      <c r="A35" s="1"/>
      <c r="B35" s="1"/>
      <c r="C35" s="1"/>
      <c r="D35" s="1"/>
      <c r="E35" s="1"/>
      <c r="F35" s="1"/>
      <c r="G35" s="1"/>
      <c r="H35" s="1"/>
      <c r="I35" s="1"/>
    </row>
    <row r="36" spans="1:9" ht="15.6" x14ac:dyDescent="0.3">
      <c r="A36" s="1"/>
      <c r="B36" s="1"/>
      <c r="C36" s="1"/>
      <c r="D36" s="1"/>
      <c r="E36" s="1"/>
      <c r="F36" s="1"/>
      <c r="G36" s="1"/>
      <c r="H36" s="1"/>
      <c r="I36" s="1"/>
    </row>
  </sheetData>
  <sortState xmlns:xlrd2="http://schemas.microsoft.com/office/spreadsheetml/2017/richdata2" ref="B38">
    <sortCondition sortBy="fontColor" ref="B38" dxfId="2"/>
  </sortState>
  <mergeCells count="2">
    <mergeCell ref="F17:H17"/>
    <mergeCell ref="B20:H20"/>
  </mergeCells>
  <phoneticPr fontId="10" type="noConversion"/>
  <hyperlinks>
    <hyperlink ref="E34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6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topLeftCell="A3" workbookViewId="0">
      <selection activeCell="E6" sqref="E6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23" t="s">
        <v>27</v>
      </c>
      <c r="C2" s="123"/>
      <c r="D2" s="123"/>
      <c r="E2" s="18"/>
      <c r="G2" s="123" t="s">
        <v>66</v>
      </c>
      <c r="H2" s="123"/>
      <c r="I2" s="123"/>
      <c r="P2" s="124" t="s">
        <v>54</v>
      </c>
      <c r="Q2" s="124"/>
      <c r="R2" s="124"/>
    </row>
    <row r="3" spans="2:18" x14ac:dyDescent="0.3">
      <c r="B3" s="11" t="s">
        <v>7</v>
      </c>
      <c r="C3" s="11" t="s">
        <v>8</v>
      </c>
      <c r="D3" s="11" t="s">
        <v>20</v>
      </c>
      <c r="E3" s="19"/>
      <c r="G3" s="11" t="s">
        <v>7</v>
      </c>
      <c r="H3" s="11" t="s">
        <v>8</v>
      </c>
      <c r="I3" s="11" t="s">
        <v>20</v>
      </c>
      <c r="P3" s="11" t="s">
        <v>7</v>
      </c>
      <c r="Q3" s="11" t="s">
        <v>8</v>
      </c>
      <c r="R3" s="11" t="s">
        <v>20</v>
      </c>
    </row>
    <row r="4" spans="2:18" x14ac:dyDescent="0.3">
      <c r="B4" s="9">
        <v>40</v>
      </c>
      <c r="C4" s="9">
        <v>60</v>
      </c>
      <c r="D4" s="10" t="s">
        <v>108</v>
      </c>
      <c r="E4" s="8" t="s">
        <v>96</v>
      </c>
      <c r="G4" s="29">
        <v>50</v>
      </c>
      <c r="H4" s="29">
        <v>100</v>
      </c>
      <c r="I4" s="30" t="s">
        <v>108</v>
      </c>
      <c r="J4" s="31" t="s">
        <v>104</v>
      </c>
      <c r="K4" s="31"/>
      <c r="L4" s="31"/>
      <c r="M4" s="31"/>
      <c r="P4">
        <v>50</v>
      </c>
      <c r="Q4">
        <v>-30</v>
      </c>
      <c r="R4" t="s">
        <v>28</v>
      </c>
    </row>
    <row r="5" spans="2:18" x14ac:dyDescent="0.3">
      <c r="B5" s="9">
        <v>40</v>
      </c>
      <c r="C5" s="9">
        <v>90</v>
      </c>
      <c r="D5" s="10" t="s">
        <v>109</v>
      </c>
      <c r="E5" s="8" t="s">
        <v>97</v>
      </c>
      <c r="G5" s="29">
        <v>50</v>
      </c>
      <c r="H5" s="29"/>
      <c r="I5" s="30" t="s">
        <v>110</v>
      </c>
      <c r="J5" s="31" t="s">
        <v>112</v>
      </c>
      <c r="K5" s="31"/>
      <c r="L5" s="31"/>
      <c r="M5" s="31"/>
      <c r="P5">
        <v>50</v>
      </c>
      <c r="Q5">
        <v>-30</v>
      </c>
      <c r="R5" t="s">
        <v>28</v>
      </c>
    </row>
    <row r="6" spans="2:18" x14ac:dyDescent="0.3">
      <c r="B6" s="9">
        <v>40</v>
      </c>
      <c r="C6" s="9">
        <v>100</v>
      </c>
      <c r="D6" s="10" t="s">
        <v>52</v>
      </c>
      <c r="E6" s="8" t="s">
        <v>98</v>
      </c>
      <c r="G6" s="9">
        <v>50</v>
      </c>
      <c r="H6" s="9">
        <v>100</v>
      </c>
      <c r="I6" s="10" t="s">
        <v>52</v>
      </c>
      <c r="P6">
        <v>50</v>
      </c>
      <c r="Q6">
        <v>-30</v>
      </c>
      <c r="R6" t="s">
        <v>30</v>
      </c>
    </row>
    <row r="7" spans="2:18" x14ac:dyDescent="0.3">
      <c r="B7" s="9">
        <v>40</v>
      </c>
      <c r="C7" s="9">
        <v>150</v>
      </c>
      <c r="D7" s="10" t="s">
        <v>53</v>
      </c>
      <c r="E7" s="8" t="s">
        <v>99</v>
      </c>
      <c r="G7" s="9">
        <v>50</v>
      </c>
      <c r="H7" s="9"/>
      <c r="I7" s="10" t="s">
        <v>53</v>
      </c>
      <c r="P7">
        <v>50</v>
      </c>
      <c r="Q7">
        <v>-30</v>
      </c>
      <c r="R7" t="s">
        <v>40</v>
      </c>
    </row>
    <row r="8" spans="2:18" x14ac:dyDescent="0.3">
      <c r="B8" s="9">
        <v>40</v>
      </c>
      <c r="C8" s="9">
        <v>100</v>
      </c>
      <c r="D8" s="10" t="s">
        <v>36</v>
      </c>
      <c r="E8" s="8" t="s">
        <v>100</v>
      </c>
      <c r="G8" s="9">
        <v>50</v>
      </c>
      <c r="H8" s="9">
        <v>100</v>
      </c>
      <c r="I8" s="10" t="s">
        <v>36</v>
      </c>
      <c r="L8" s="124" t="s">
        <v>54</v>
      </c>
      <c r="M8" s="124"/>
      <c r="N8" s="124"/>
      <c r="P8">
        <v>50</v>
      </c>
      <c r="Q8">
        <v>-30</v>
      </c>
      <c r="R8" t="s">
        <v>46</v>
      </c>
    </row>
    <row r="9" spans="2:18" x14ac:dyDescent="0.3">
      <c r="B9" s="9">
        <v>40</v>
      </c>
      <c r="C9" s="9">
        <v>50</v>
      </c>
      <c r="D9" s="10" t="s">
        <v>50</v>
      </c>
      <c r="E9" s="8" t="s">
        <v>71</v>
      </c>
      <c r="G9" s="9">
        <v>50</v>
      </c>
      <c r="H9" s="9">
        <v>100</v>
      </c>
      <c r="I9" s="10" t="s">
        <v>35</v>
      </c>
      <c r="L9" s="11" t="s">
        <v>7</v>
      </c>
      <c r="M9" s="11" t="s">
        <v>8</v>
      </c>
      <c r="N9" s="11" t="s">
        <v>20</v>
      </c>
      <c r="P9">
        <v>50</v>
      </c>
      <c r="Q9">
        <v>0</v>
      </c>
      <c r="R9" t="s">
        <v>41</v>
      </c>
    </row>
    <row r="10" spans="2:18" x14ac:dyDescent="0.3">
      <c r="B10" s="9">
        <v>40</v>
      </c>
      <c r="C10" s="9">
        <v>80</v>
      </c>
      <c r="D10" s="10" t="s">
        <v>51</v>
      </c>
      <c r="E10" s="8" t="s">
        <v>72</v>
      </c>
      <c r="G10" s="9">
        <v>50</v>
      </c>
      <c r="H10" s="9"/>
      <c r="I10" s="10" t="s">
        <v>37</v>
      </c>
      <c r="L10" s="9">
        <v>50</v>
      </c>
      <c r="M10" s="9">
        <v>-30</v>
      </c>
      <c r="N10" s="10" t="s">
        <v>28</v>
      </c>
      <c r="P10">
        <v>50</v>
      </c>
      <c r="Q10">
        <v>0</v>
      </c>
      <c r="R10" t="s">
        <v>29</v>
      </c>
    </row>
    <row r="11" spans="2:18" x14ac:dyDescent="0.3">
      <c r="B11" s="9">
        <v>40</v>
      </c>
      <c r="C11" s="9">
        <v>60</v>
      </c>
      <c r="D11" s="10" t="s">
        <v>67</v>
      </c>
      <c r="E11" s="8" t="s">
        <v>73</v>
      </c>
      <c r="G11" s="9">
        <v>50</v>
      </c>
      <c r="H11" s="9">
        <v>100</v>
      </c>
      <c r="I11" s="10" t="s">
        <v>50</v>
      </c>
      <c r="L11" s="9">
        <v>50</v>
      </c>
      <c r="M11" s="9">
        <v>0</v>
      </c>
      <c r="N11" s="10" t="s">
        <v>55</v>
      </c>
      <c r="P11">
        <v>50</v>
      </c>
      <c r="Q11">
        <v>0</v>
      </c>
      <c r="R11" t="s">
        <v>32</v>
      </c>
    </row>
    <row r="12" spans="2:18" x14ac:dyDescent="0.3">
      <c r="B12" s="9">
        <v>40</v>
      </c>
      <c r="C12" s="9">
        <v>100</v>
      </c>
      <c r="D12" s="10" t="s">
        <v>68</v>
      </c>
      <c r="E12" s="8" t="s">
        <v>74</v>
      </c>
      <c r="G12" s="9">
        <v>50</v>
      </c>
      <c r="H12" s="9"/>
      <c r="I12" s="10" t="s">
        <v>51</v>
      </c>
      <c r="L12" s="9">
        <v>50</v>
      </c>
      <c r="M12" s="9">
        <v>-2</v>
      </c>
      <c r="N12" s="10" t="s">
        <v>56</v>
      </c>
      <c r="P12">
        <v>50</v>
      </c>
      <c r="Q12">
        <v>0</v>
      </c>
      <c r="R12" t="s">
        <v>33</v>
      </c>
    </row>
    <row r="13" spans="2:18" x14ac:dyDescent="0.3">
      <c r="B13" s="9">
        <v>40</v>
      </c>
      <c r="C13" s="9">
        <v>130</v>
      </c>
      <c r="D13" s="10" t="s">
        <v>121</v>
      </c>
      <c r="E13" s="8" t="s">
        <v>75</v>
      </c>
      <c r="G13" s="9">
        <v>50</v>
      </c>
      <c r="H13" s="9">
        <v>-30</v>
      </c>
      <c r="I13" s="10" t="s">
        <v>28</v>
      </c>
      <c r="P13">
        <v>50</v>
      </c>
      <c r="Q13">
        <v>0</v>
      </c>
      <c r="R13" t="s">
        <v>34</v>
      </c>
    </row>
    <row r="14" spans="2:18" x14ac:dyDescent="0.3">
      <c r="B14" s="9">
        <v>40</v>
      </c>
      <c r="C14" s="9">
        <v>150</v>
      </c>
      <c r="D14" s="10" t="s">
        <v>30</v>
      </c>
      <c r="E14" s="8"/>
      <c r="G14" s="9">
        <v>50</v>
      </c>
      <c r="H14" s="9">
        <v>-30</v>
      </c>
      <c r="I14" s="10" t="s">
        <v>30</v>
      </c>
    </row>
    <row r="15" spans="2:18" x14ac:dyDescent="0.3">
      <c r="B15" s="9">
        <v>40</v>
      </c>
      <c r="C15" s="9">
        <v>150</v>
      </c>
      <c r="D15" s="10" t="s">
        <v>111</v>
      </c>
      <c r="E15" s="8" t="s">
        <v>76</v>
      </c>
      <c r="G15" s="9">
        <v>50</v>
      </c>
      <c r="H15" s="9">
        <v>-30</v>
      </c>
      <c r="I15" s="10" t="s">
        <v>40</v>
      </c>
      <c r="P15">
        <v>50</v>
      </c>
      <c r="Q15">
        <v>0</v>
      </c>
      <c r="R15" t="s">
        <v>31</v>
      </c>
    </row>
    <row r="16" spans="2:18" x14ac:dyDescent="0.3">
      <c r="B16" s="9">
        <v>40</v>
      </c>
      <c r="C16" s="9">
        <v>130</v>
      </c>
      <c r="D16" s="10" t="s">
        <v>101</v>
      </c>
      <c r="E16" s="8" t="s">
        <v>77</v>
      </c>
      <c r="G16" s="9">
        <v>50</v>
      </c>
      <c r="H16" s="9">
        <v>-30</v>
      </c>
      <c r="I16" s="10" t="s">
        <v>70</v>
      </c>
      <c r="P16">
        <v>50</v>
      </c>
      <c r="Q16">
        <v>0</v>
      </c>
      <c r="R16" t="s">
        <v>42</v>
      </c>
    </row>
    <row r="17" spans="2:18" x14ac:dyDescent="0.3">
      <c r="B17" s="9">
        <v>40</v>
      </c>
      <c r="C17" s="9">
        <v>150</v>
      </c>
      <c r="D17" s="10" t="s">
        <v>32</v>
      </c>
      <c r="E17" s="8" t="s">
        <v>78</v>
      </c>
      <c r="G17" s="9">
        <v>50</v>
      </c>
      <c r="H17" s="9"/>
      <c r="I17" s="10" t="s">
        <v>32</v>
      </c>
      <c r="P17">
        <v>50</v>
      </c>
      <c r="Q17">
        <v>0</v>
      </c>
      <c r="R17" t="s">
        <v>43</v>
      </c>
    </row>
    <row r="18" spans="2:18" x14ac:dyDescent="0.3">
      <c r="B18" s="9">
        <v>140</v>
      </c>
      <c r="C18" s="9">
        <v>150</v>
      </c>
      <c r="D18" s="10" t="s">
        <v>33</v>
      </c>
      <c r="E18" s="8" t="s">
        <v>79</v>
      </c>
      <c r="G18" s="9">
        <v>50</v>
      </c>
      <c r="H18" s="9"/>
      <c r="I18" s="10" t="s">
        <v>33</v>
      </c>
      <c r="P18">
        <v>50</v>
      </c>
      <c r="Q18">
        <v>0</v>
      </c>
      <c r="R18" t="s">
        <v>44</v>
      </c>
    </row>
    <row r="19" spans="2:18" x14ac:dyDescent="0.3">
      <c r="B19" s="9">
        <v>150</v>
      </c>
      <c r="C19" s="9">
        <v>150</v>
      </c>
      <c r="D19" s="10" t="s">
        <v>34</v>
      </c>
      <c r="E19" s="8" t="s">
        <v>80</v>
      </c>
      <c r="G19" s="9">
        <v>50</v>
      </c>
      <c r="H19" s="9"/>
      <c r="I19" s="10" t="s">
        <v>34</v>
      </c>
      <c r="P19">
        <v>50</v>
      </c>
      <c r="Q19">
        <v>0</v>
      </c>
      <c r="R19" t="s">
        <v>47</v>
      </c>
    </row>
    <row r="20" spans="2:18" x14ac:dyDescent="0.3">
      <c r="B20" s="9">
        <v>40</v>
      </c>
      <c r="C20" s="9">
        <v>100</v>
      </c>
      <c r="D20" s="10" t="s">
        <v>113</v>
      </c>
      <c r="E20" s="8" t="s">
        <v>81</v>
      </c>
      <c r="G20" s="9">
        <v>50</v>
      </c>
      <c r="H20" s="9">
        <v>0</v>
      </c>
      <c r="I20" s="10" t="s">
        <v>113</v>
      </c>
      <c r="J20" s="31" t="s">
        <v>106</v>
      </c>
      <c r="K20" s="31"/>
      <c r="L20" s="31"/>
      <c r="M20" s="31"/>
      <c r="P20">
        <v>50</v>
      </c>
      <c r="Q20">
        <v>0</v>
      </c>
      <c r="R20" t="s">
        <v>48</v>
      </c>
    </row>
    <row r="21" spans="2:18" x14ac:dyDescent="0.3">
      <c r="B21" s="9">
        <v>100</v>
      </c>
      <c r="C21" s="9">
        <v>100</v>
      </c>
      <c r="D21" s="10" t="s">
        <v>107</v>
      </c>
      <c r="E21" s="8" t="s">
        <v>82</v>
      </c>
      <c r="G21" s="9">
        <v>50</v>
      </c>
      <c r="H21" s="9">
        <v>0</v>
      </c>
      <c r="I21" s="10" t="s">
        <v>107</v>
      </c>
      <c r="P21">
        <v>50</v>
      </c>
      <c r="Q21">
        <v>0</v>
      </c>
      <c r="R21" t="s">
        <v>49</v>
      </c>
    </row>
    <row r="22" spans="2:18" x14ac:dyDescent="0.3">
      <c r="B22" s="9">
        <v>100</v>
      </c>
      <c r="C22" s="9">
        <v>100</v>
      </c>
      <c r="D22" s="10" t="s">
        <v>31</v>
      </c>
      <c r="E22" s="8" t="s">
        <v>83</v>
      </c>
      <c r="G22" s="29"/>
      <c r="H22" s="29"/>
      <c r="I22" s="30" t="s">
        <v>31</v>
      </c>
      <c r="P22">
        <v>50</v>
      </c>
      <c r="Q22">
        <v>0</v>
      </c>
      <c r="R22" t="s">
        <v>45</v>
      </c>
    </row>
    <row r="23" spans="2:18" x14ac:dyDescent="0.3">
      <c r="B23" s="9">
        <v>40</v>
      </c>
      <c r="C23" s="9">
        <v>150</v>
      </c>
      <c r="D23" s="10" t="s">
        <v>42</v>
      </c>
      <c r="E23" s="8" t="s">
        <v>84</v>
      </c>
      <c r="G23" s="9">
        <v>50</v>
      </c>
      <c r="H23" s="9"/>
      <c r="I23" s="10" t="s">
        <v>42</v>
      </c>
      <c r="R23" t="s">
        <v>38</v>
      </c>
    </row>
    <row r="24" spans="2:18" x14ac:dyDescent="0.3">
      <c r="B24" s="9">
        <v>140</v>
      </c>
      <c r="C24" s="9">
        <v>150</v>
      </c>
      <c r="D24" s="10" t="s">
        <v>43</v>
      </c>
      <c r="E24" s="8" t="s">
        <v>85</v>
      </c>
      <c r="G24" s="9">
        <v>50</v>
      </c>
      <c r="H24" s="9"/>
      <c r="I24" s="10" t="s">
        <v>43</v>
      </c>
      <c r="R24" t="s">
        <v>39</v>
      </c>
    </row>
    <row r="25" spans="2:18" x14ac:dyDescent="0.3">
      <c r="B25" s="9">
        <v>150</v>
      </c>
      <c r="C25" s="9">
        <v>150</v>
      </c>
      <c r="D25" s="10" t="s">
        <v>44</v>
      </c>
      <c r="E25" s="8" t="s">
        <v>86</v>
      </c>
      <c r="G25" s="9">
        <v>50</v>
      </c>
      <c r="H25" s="9"/>
      <c r="I25" s="10" t="s">
        <v>44</v>
      </c>
      <c r="R25" t="s">
        <v>52</v>
      </c>
    </row>
    <row r="26" spans="2:18" x14ac:dyDescent="0.3">
      <c r="B26" s="9">
        <v>40</v>
      </c>
      <c r="C26" s="9">
        <v>77</v>
      </c>
      <c r="D26" s="10" t="s">
        <v>47</v>
      </c>
      <c r="E26" s="8" t="s">
        <v>87</v>
      </c>
      <c r="G26" s="9">
        <v>50</v>
      </c>
      <c r="H26" s="9"/>
      <c r="I26" s="10" t="s">
        <v>47</v>
      </c>
      <c r="R26" t="s">
        <v>53</v>
      </c>
    </row>
    <row r="27" spans="2:18" x14ac:dyDescent="0.3">
      <c r="B27" s="9">
        <v>110</v>
      </c>
      <c r="C27" s="9">
        <v>77</v>
      </c>
      <c r="D27" s="10" t="s">
        <v>48</v>
      </c>
      <c r="E27" s="8" t="s">
        <v>88</v>
      </c>
      <c r="G27" s="9">
        <v>50</v>
      </c>
      <c r="H27" s="9"/>
      <c r="I27" s="10" t="s">
        <v>48</v>
      </c>
      <c r="R27" t="s">
        <v>36</v>
      </c>
    </row>
    <row r="28" spans="2:18" x14ac:dyDescent="0.3">
      <c r="B28" s="9">
        <v>120</v>
      </c>
      <c r="C28" s="9">
        <v>77</v>
      </c>
      <c r="D28" s="10" t="s">
        <v>49</v>
      </c>
      <c r="E28" s="8" t="s">
        <v>89</v>
      </c>
      <c r="G28" s="9">
        <v>50</v>
      </c>
      <c r="H28" s="9"/>
      <c r="I28" s="10" t="s">
        <v>49</v>
      </c>
      <c r="R28" t="s">
        <v>35</v>
      </c>
    </row>
    <row r="29" spans="2:18" x14ac:dyDescent="0.3">
      <c r="B29" s="9">
        <v>40</v>
      </c>
      <c r="C29" s="9">
        <v>50</v>
      </c>
      <c r="D29" s="10" t="s">
        <v>45</v>
      </c>
      <c r="E29" s="8" t="s">
        <v>90</v>
      </c>
      <c r="G29" s="9">
        <v>50</v>
      </c>
      <c r="H29" s="9"/>
      <c r="I29" s="10" t="s">
        <v>45</v>
      </c>
      <c r="R29" t="s">
        <v>37</v>
      </c>
    </row>
    <row r="30" spans="2:18" x14ac:dyDescent="0.3">
      <c r="B30" s="9">
        <v>40</v>
      </c>
      <c r="C30" s="9">
        <v>60</v>
      </c>
      <c r="D30" s="10" t="s">
        <v>69</v>
      </c>
      <c r="E30" s="8" t="s">
        <v>91</v>
      </c>
      <c r="G30" s="9">
        <v>50</v>
      </c>
      <c r="H30" s="9"/>
      <c r="I30" s="10" t="s">
        <v>29</v>
      </c>
      <c r="R30" t="s">
        <v>50</v>
      </c>
    </row>
    <row r="31" spans="2:18" x14ac:dyDescent="0.3">
      <c r="B31" s="9">
        <v>40</v>
      </c>
      <c r="C31" s="9">
        <v>100</v>
      </c>
      <c r="D31" s="10" t="s">
        <v>41</v>
      </c>
      <c r="E31" s="8" t="s">
        <v>92</v>
      </c>
      <c r="G31" s="9">
        <v>50</v>
      </c>
      <c r="H31" s="9"/>
      <c r="I31" s="10" t="s">
        <v>41</v>
      </c>
      <c r="R31" t="s">
        <v>51</v>
      </c>
    </row>
    <row r="32" spans="2:18" x14ac:dyDescent="0.3">
      <c r="B32" s="9">
        <v>40</v>
      </c>
      <c r="C32" s="9">
        <v>60</v>
      </c>
      <c r="D32" s="10" t="s">
        <v>103</v>
      </c>
      <c r="E32" s="8" t="s">
        <v>93</v>
      </c>
      <c r="G32" s="9">
        <v>50</v>
      </c>
      <c r="H32" s="9"/>
      <c r="I32" s="10" t="s">
        <v>103</v>
      </c>
      <c r="R32" t="s">
        <v>58</v>
      </c>
    </row>
    <row r="33" spans="2:18" x14ac:dyDescent="0.3">
      <c r="B33" s="9">
        <v>40</v>
      </c>
      <c r="C33" s="9">
        <v>90</v>
      </c>
      <c r="D33" s="10" t="s">
        <v>61</v>
      </c>
      <c r="E33" s="8" t="s">
        <v>94</v>
      </c>
      <c r="G33" s="9">
        <v>50</v>
      </c>
      <c r="H33" s="9">
        <v>-2</v>
      </c>
      <c r="I33" s="10" t="s">
        <v>61</v>
      </c>
      <c r="R33" t="s">
        <v>59</v>
      </c>
    </row>
    <row r="34" spans="2:18" x14ac:dyDescent="0.3">
      <c r="B34" s="9">
        <v>40</v>
      </c>
      <c r="C34" s="9">
        <v>90</v>
      </c>
      <c r="D34" s="10" t="s">
        <v>62</v>
      </c>
      <c r="E34" s="8"/>
      <c r="G34" s="9">
        <v>50</v>
      </c>
      <c r="H34" s="9">
        <v>-2</v>
      </c>
      <c r="I34" s="10" t="s">
        <v>62</v>
      </c>
    </row>
    <row r="35" spans="2:18" x14ac:dyDescent="0.3">
      <c r="B35" s="9">
        <v>40</v>
      </c>
      <c r="C35" s="9">
        <v>90</v>
      </c>
      <c r="D35" s="10" t="s">
        <v>58</v>
      </c>
      <c r="E35" s="8" t="s">
        <v>95</v>
      </c>
      <c r="G35" s="9">
        <v>50</v>
      </c>
      <c r="H35" s="9">
        <v>-2</v>
      </c>
      <c r="I35" s="10" t="s">
        <v>58</v>
      </c>
      <c r="R35" t="s">
        <v>60</v>
      </c>
    </row>
    <row r="36" spans="2:18" x14ac:dyDescent="0.3">
      <c r="B36" s="27">
        <v>40</v>
      </c>
      <c r="C36" s="27">
        <v>90</v>
      </c>
      <c r="D36" s="28" t="s">
        <v>59</v>
      </c>
      <c r="G36" s="9">
        <v>50</v>
      </c>
      <c r="H36" s="9">
        <v>-2</v>
      </c>
      <c r="I36" s="10" t="s">
        <v>59</v>
      </c>
      <c r="R36" t="s">
        <v>61</v>
      </c>
    </row>
    <row r="37" spans="2:18" x14ac:dyDescent="0.3">
      <c r="B37" s="27">
        <v>40</v>
      </c>
      <c r="C37" s="27">
        <v>90</v>
      </c>
      <c r="D37" s="28" t="s">
        <v>60</v>
      </c>
      <c r="G37" s="9">
        <v>50</v>
      </c>
      <c r="H37" s="9">
        <v>-2</v>
      </c>
      <c r="I37" s="10" t="s">
        <v>60</v>
      </c>
      <c r="R37" t="s">
        <v>62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64"/>
  <sheetViews>
    <sheetView tabSelected="1" zoomScaleNormal="100" workbookViewId="0">
      <selection activeCell="K57" sqref="K57"/>
    </sheetView>
  </sheetViews>
  <sheetFormatPr baseColWidth="10" defaultRowHeight="14.4" x14ac:dyDescent="0.3"/>
  <cols>
    <col min="1" max="1" width="13.88671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120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25" t="s">
        <v>57</v>
      </c>
      <c r="L3" s="125"/>
      <c r="M3" s="125" t="s">
        <v>14</v>
      </c>
      <c r="N3" s="125"/>
    </row>
    <row r="4" spans="1:14" ht="15.75" customHeight="1" x14ac:dyDescent="0.3">
      <c r="A4" s="1"/>
      <c r="B4" s="1"/>
      <c r="C4" s="39" t="s">
        <v>26</v>
      </c>
      <c r="D4" s="14">
        <f>'4637'!G8</f>
        <v>7416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40" t="s">
        <v>63</v>
      </c>
      <c r="D5" s="41" t="str">
        <f>'4637'!C10</f>
        <v>GUTHIER</v>
      </c>
      <c r="E5" s="42"/>
      <c r="F5" s="42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43"/>
      <c r="D6" s="44"/>
      <c r="E6" s="1"/>
      <c r="F6" s="1"/>
      <c r="G6" s="1"/>
    </row>
    <row r="7" spans="1:14" ht="15.6" x14ac:dyDescent="0.3">
      <c r="A7" s="1"/>
      <c r="B7" s="1"/>
      <c r="C7" s="85" t="str">
        <f>'4637'!F11</f>
        <v>PLAZO ENTREGA</v>
      </c>
      <c r="D7" s="13">
        <f>'4637'!G11</f>
        <v>0</v>
      </c>
      <c r="E7" s="1"/>
      <c r="F7" s="1"/>
      <c r="G7" s="1"/>
    </row>
    <row r="8" spans="1:14" ht="15.6" x14ac:dyDescent="0.3">
      <c r="A8" s="1"/>
      <c r="B8" s="1"/>
      <c r="C8" s="52" t="s">
        <v>119</v>
      </c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26" t="s">
        <v>57</v>
      </c>
      <c r="B10" s="126"/>
      <c r="C10" s="126"/>
      <c r="D10" s="126"/>
      <c r="E10" s="126"/>
      <c r="F10" s="126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1" t="s">
        <v>7</v>
      </c>
      <c r="E12" s="51" t="s">
        <v>8</v>
      </c>
      <c r="F12" s="1"/>
      <c r="G12" s="1"/>
    </row>
    <row r="13" spans="1:14" ht="15.6" x14ac:dyDescent="0.3">
      <c r="A13" s="51" t="s">
        <v>9</v>
      </c>
      <c r="B13" s="36" t="s">
        <v>10</v>
      </c>
      <c r="C13" s="36" t="s">
        <v>11</v>
      </c>
      <c r="D13" s="32">
        <v>80</v>
      </c>
      <c r="E13" s="32"/>
      <c r="F13" s="36" t="s">
        <v>105</v>
      </c>
      <c r="G13" s="1"/>
      <c r="J13" s="5" t="s">
        <v>7</v>
      </c>
      <c r="K13" s="5" t="s">
        <v>8</v>
      </c>
    </row>
    <row r="14" spans="1:14" ht="15.6" x14ac:dyDescent="0.3">
      <c r="A14" s="93" t="s">
        <v>138</v>
      </c>
      <c r="B14" s="25">
        <f t="shared" ref="B14" si="0">I14</f>
        <v>1</v>
      </c>
      <c r="C14" s="25"/>
      <c r="D14" s="25">
        <f>J14+D$13</f>
        <v>1630</v>
      </c>
      <c r="E14" s="25">
        <f>K14+E$13</f>
        <v>600</v>
      </c>
      <c r="F14" s="96" t="str">
        <f t="shared" ref="F14" si="1">C28</f>
        <v>CUB SIN RESPALDO R8</v>
      </c>
      <c r="G14" s="1"/>
      <c r="I14" s="3">
        <f t="shared" ref="I14:J15" si="2">I22</f>
        <v>1</v>
      </c>
      <c r="J14" s="4">
        <f t="shared" si="2"/>
        <v>1550</v>
      </c>
      <c r="K14" s="4">
        <f t="shared" ref="K14" si="3">E28</f>
        <v>600</v>
      </c>
    </row>
    <row r="15" spans="1:14" ht="15.6" x14ac:dyDescent="0.3">
      <c r="A15" s="93"/>
      <c r="B15" s="25">
        <f t="shared" ref="B15" si="4">I15</f>
        <v>1</v>
      </c>
      <c r="C15" s="25"/>
      <c r="D15" s="25">
        <f>J15+D$13</f>
        <v>2580</v>
      </c>
      <c r="E15" s="25">
        <f>K15+E$13</f>
        <v>600</v>
      </c>
      <c r="F15" s="96" t="str">
        <f t="shared" ref="F15" si="5">C29</f>
        <v>CUB SIN RESPALDO R8</v>
      </c>
      <c r="G15" s="1"/>
      <c r="I15" s="3">
        <f t="shared" si="2"/>
        <v>1</v>
      </c>
      <c r="J15" s="4">
        <f t="shared" si="2"/>
        <v>2500</v>
      </c>
      <c r="K15" s="4">
        <f t="shared" ref="K15" si="6">E29</f>
        <v>600</v>
      </c>
    </row>
    <row r="16" spans="1:14" ht="15.6" x14ac:dyDescent="0.3">
      <c r="A16" s="51"/>
      <c r="B16" s="6"/>
      <c r="C16" s="6"/>
      <c r="D16" s="6"/>
      <c r="E16" s="6"/>
      <c r="F16" s="6"/>
      <c r="G16" s="1"/>
      <c r="I16" s="87"/>
      <c r="J16" s="2"/>
      <c r="K16" s="2"/>
    </row>
    <row r="17" spans="1:11" ht="6.75" customHeight="1" x14ac:dyDescent="0.3">
      <c r="A17" s="1"/>
      <c r="B17" s="1"/>
      <c r="C17" s="1"/>
      <c r="D17" s="1"/>
      <c r="E17" s="1"/>
      <c r="F17" s="1"/>
      <c r="G17" s="1"/>
    </row>
    <row r="18" spans="1:11" ht="15.6" x14ac:dyDescent="0.3">
      <c r="A18" s="126" t="s">
        <v>14</v>
      </c>
      <c r="B18" s="126"/>
      <c r="C18" s="126"/>
      <c r="D18" s="126"/>
      <c r="E18" s="126"/>
      <c r="F18" s="126"/>
      <c r="G18" s="1"/>
    </row>
    <row r="19" spans="1:11" ht="10.5" customHeight="1" x14ac:dyDescent="0.3">
      <c r="A19" s="1"/>
      <c r="B19" s="1"/>
      <c r="C19" s="12"/>
      <c r="D19" s="1"/>
      <c r="E19" s="1"/>
      <c r="F19" s="1"/>
      <c r="G19" s="1"/>
    </row>
    <row r="20" spans="1:11" ht="15.6" x14ac:dyDescent="0.3">
      <c r="A20" s="1"/>
      <c r="B20" s="1"/>
      <c r="C20" s="1"/>
      <c r="D20" s="51" t="s">
        <v>7</v>
      </c>
      <c r="E20" s="51" t="s">
        <v>8</v>
      </c>
      <c r="F20" s="1"/>
      <c r="G20" s="1"/>
    </row>
    <row r="21" spans="1:11" ht="15.6" x14ac:dyDescent="0.3">
      <c r="A21" s="51" t="s">
        <v>9</v>
      </c>
      <c r="B21" s="35" t="s">
        <v>10</v>
      </c>
      <c r="C21" s="35" t="s">
        <v>11</v>
      </c>
      <c r="D21" s="21">
        <v>40</v>
      </c>
      <c r="E21" s="21">
        <v>60</v>
      </c>
      <c r="F21" s="35" t="s">
        <v>105</v>
      </c>
      <c r="G21" s="1"/>
      <c r="J21" s="5" t="s">
        <v>7</v>
      </c>
      <c r="K21" s="5" t="s">
        <v>8</v>
      </c>
    </row>
    <row r="22" spans="1:11" ht="15.6" x14ac:dyDescent="0.3">
      <c r="A22" s="93"/>
      <c r="B22" s="16">
        <f t="shared" ref="B22" si="7">I22</f>
        <v>1</v>
      </c>
      <c r="C22" s="16"/>
      <c r="D22" s="16">
        <f>J22+D$21</f>
        <v>1590</v>
      </c>
      <c r="E22" s="16">
        <f>K22+E$21</f>
        <v>660</v>
      </c>
      <c r="F22" s="97" t="str">
        <f t="shared" ref="F22" si="8">C28</f>
        <v>CUB SIN RESPALDO R8</v>
      </c>
      <c r="G22" s="1"/>
      <c r="I22" s="3">
        <f t="shared" ref="I22" si="9">B28</f>
        <v>1</v>
      </c>
      <c r="J22" s="4">
        <f>D28</f>
        <v>1550</v>
      </c>
      <c r="K22" s="4">
        <f>E28</f>
        <v>600</v>
      </c>
    </row>
    <row r="23" spans="1:11" ht="15.6" x14ac:dyDescent="0.3">
      <c r="A23" s="93"/>
      <c r="B23" s="16">
        <f t="shared" ref="B23" si="10">I23</f>
        <v>1</v>
      </c>
      <c r="C23" s="16"/>
      <c r="D23" s="16">
        <f>J23+D$21</f>
        <v>2540</v>
      </c>
      <c r="E23" s="16">
        <f>K23+E$21</f>
        <v>660</v>
      </c>
      <c r="F23" s="97" t="str">
        <f>C29</f>
        <v>CUB SIN RESPALDO R8</v>
      </c>
      <c r="G23" s="1"/>
      <c r="I23" s="3">
        <f t="shared" ref="I23" si="11">B29</f>
        <v>1</v>
      </c>
      <c r="J23" s="4">
        <f t="shared" ref="J23:K23" si="12">D29</f>
        <v>2500</v>
      </c>
      <c r="K23" s="4">
        <f t="shared" si="12"/>
        <v>600</v>
      </c>
    </row>
    <row r="24" spans="1:11" ht="16.2" thickBot="1" x14ac:dyDescent="0.35">
      <c r="A24" s="51"/>
      <c r="B24" s="6"/>
      <c r="C24" s="6"/>
      <c r="D24" s="6"/>
      <c r="E24" s="6"/>
      <c r="F24" s="6"/>
      <c r="G24" s="1"/>
      <c r="I24" s="2"/>
      <c r="J24" s="2"/>
      <c r="K24" s="2"/>
    </row>
    <row r="25" spans="1:11" ht="16.2" thickBot="1" x14ac:dyDescent="0.35">
      <c r="A25" s="51"/>
      <c r="B25" s="22" t="s">
        <v>102</v>
      </c>
      <c r="C25" s="23"/>
      <c r="D25" s="23"/>
      <c r="E25" s="23"/>
      <c r="F25" s="24"/>
      <c r="G25" s="1"/>
      <c r="I25" s="2"/>
      <c r="J25" s="2"/>
      <c r="K25" s="2"/>
    </row>
    <row r="26" spans="1:11" ht="10.5" customHeight="1" x14ac:dyDescent="0.3">
      <c r="A26" s="1"/>
      <c r="B26" s="1"/>
      <c r="C26" s="1"/>
      <c r="D26" s="1"/>
      <c r="E26" s="1"/>
      <c r="F26" s="1"/>
      <c r="G26" s="1"/>
    </row>
    <row r="27" spans="1:11" ht="15.6" x14ac:dyDescent="0.3">
      <c r="A27" s="51" t="s">
        <v>9</v>
      </c>
      <c r="B27" s="86" t="s">
        <v>10</v>
      </c>
      <c r="C27" s="86" t="s">
        <v>105</v>
      </c>
      <c r="D27" s="86" t="s">
        <v>7</v>
      </c>
      <c r="E27" s="86" t="s">
        <v>8</v>
      </c>
      <c r="F27" s="86" t="s">
        <v>22</v>
      </c>
      <c r="G27" s="1"/>
    </row>
    <row r="28" spans="1:11" ht="15.6" x14ac:dyDescent="0.3">
      <c r="A28" s="93" t="s">
        <v>139</v>
      </c>
      <c r="B28" s="25">
        <f>'4637'!B22</f>
        <v>1</v>
      </c>
      <c r="C28" s="96" t="str">
        <f>'4637'!C22</f>
        <v>CUB SIN RESPALDO R8</v>
      </c>
      <c r="D28" s="25">
        <f>'4637'!D22</f>
        <v>1550</v>
      </c>
      <c r="E28" s="25">
        <f>'4637'!E22</f>
        <v>600</v>
      </c>
      <c r="F28" s="25" t="str">
        <f>'4637'!F22</f>
        <v>GRANITO KOMBI 0670 BR F6</v>
      </c>
      <c r="G28" s="1"/>
    </row>
    <row r="29" spans="1:11" ht="15.6" x14ac:dyDescent="0.3">
      <c r="A29" s="93"/>
      <c r="B29" s="25">
        <f>'4637'!B23</f>
        <v>1</v>
      </c>
      <c r="C29" s="96" t="str">
        <f>'4637'!C23</f>
        <v>CUB SIN RESPALDO R8</v>
      </c>
      <c r="D29" s="25">
        <f>'4637'!D23</f>
        <v>2500</v>
      </c>
      <c r="E29" s="25">
        <f>'4637'!E23</f>
        <v>600</v>
      </c>
      <c r="F29" s="25" t="str">
        <f>'4637'!F23</f>
        <v>GRANITO KOMBI 0670 BR F6</v>
      </c>
      <c r="G29" s="1"/>
    </row>
    <row r="30" spans="1:11" ht="15.6" x14ac:dyDescent="0.3">
      <c r="A30" s="93"/>
      <c r="B30" s="25">
        <f>'4637'!B24</f>
        <v>1</v>
      </c>
      <c r="C30" s="96" t="str">
        <f>'4637'!C24</f>
        <v>CORTE Z</v>
      </c>
      <c r="D30" s="25">
        <f>'4637'!D24</f>
        <v>0</v>
      </c>
      <c r="E30" s="25">
        <f>'4637'!E24</f>
        <v>0</v>
      </c>
      <c r="F30" s="25">
        <f>'4637'!F24</f>
        <v>0</v>
      </c>
      <c r="G30" s="1"/>
    </row>
    <row r="31" spans="1:11" ht="15.6" x14ac:dyDescent="0.3">
      <c r="A31" s="1"/>
      <c r="B31" s="6"/>
      <c r="C31" s="6"/>
      <c r="D31" s="6"/>
      <c r="E31" s="6"/>
      <c r="F31" s="6"/>
      <c r="G31" s="1"/>
    </row>
    <row r="32" spans="1:11" ht="15.6" x14ac:dyDescent="0.3">
      <c r="A32" s="1"/>
      <c r="B32" s="6"/>
      <c r="C32" s="6"/>
      <c r="D32" s="6"/>
      <c r="E32" s="6"/>
      <c r="F32" s="6"/>
      <c r="G32" s="1"/>
    </row>
    <row r="33" spans="1:7" ht="15.6" x14ac:dyDescent="0.3">
      <c r="A33" s="1"/>
      <c r="B33" s="6"/>
      <c r="C33" s="6"/>
      <c r="D33" s="6"/>
      <c r="E33" s="6"/>
      <c r="F33" s="6"/>
      <c r="G33" s="1"/>
    </row>
    <row r="34" spans="1:7" ht="15.6" x14ac:dyDescent="0.3">
      <c r="A34" s="1"/>
      <c r="B34" s="6"/>
      <c r="C34" s="6"/>
      <c r="D34" s="6"/>
      <c r="E34" s="6"/>
      <c r="F34" s="6"/>
      <c r="G34" s="1"/>
    </row>
    <row r="35" spans="1:7" ht="15.6" x14ac:dyDescent="0.3">
      <c r="A35" s="1"/>
      <c r="B35" s="6"/>
      <c r="C35" s="6"/>
      <c r="D35" s="6"/>
      <c r="E35" s="6"/>
      <c r="F35" s="6"/>
      <c r="G35" s="1"/>
    </row>
    <row r="36" spans="1:7" ht="15.6" x14ac:dyDescent="0.3">
      <c r="A36" s="1"/>
      <c r="B36" s="6"/>
      <c r="C36" s="6"/>
      <c r="D36" s="6"/>
      <c r="E36" s="6"/>
      <c r="F36" s="6"/>
      <c r="G36" s="1"/>
    </row>
    <row r="37" spans="1:7" ht="15.6" x14ac:dyDescent="0.3">
      <c r="A37" s="1"/>
      <c r="B37" s="6"/>
      <c r="C37" s="6"/>
      <c r="D37" s="6"/>
      <c r="E37" s="6"/>
      <c r="F37" s="6"/>
      <c r="G37" s="1"/>
    </row>
    <row r="38" spans="1:7" ht="15.6" x14ac:dyDescent="0.3">
      <c r="A38" s="1"/>
      <c r="B38" s="6"/>
      <c r="C38" s="6"/>
      <c r="D38" s="6"/>
      <c r="E38" s="6"/>
      <c r="F38" s="6"/>
      <c r="G38" s="1"/>
    </row>
    <row r="39" spans="1:7" ht="15.6" x14ac:dyDescent="0.3">
      <c r="A39" s="1"/>
      <c r="B39" s="1"/>
      <c r="C39" s="1"/>
      <c r="D39" s="1"/>
      <c r="E39" s="1"/>
      <c r="F39" s="1"/>
      <c r="G39" s="1"/>
    </row>
    <row r="40" spans="1:7" ht="15.6" x14ac:dyDescent="0.3">
      <c r="A40" s="1"/>
      <c r="B40" s="1"/>
      <c r="C40" s="39" t="s">
        <v>26</v>
      </c>
      <c r="D40" s="14">
        <f>'4637'!G8</f>
        <v>7416</v>
      </c>
      <c r="E40" s="1"/>
      <c r="F40" s="1"/>
      <c r="G40" s="1"/>
    </row>
    <row r="41" spans="1:7" ht="17.25" customHeight="1" x14ac:dyDescent="0.3">
      <c r="A41" s="1"/>
      <c r="B41" s="1"/>
      <c r="C41" s="40" t="s">
        <v>63</v>
      </c>
      <c r="D41" s="41" t="str">
        <f>'4637'!C10</f>
        <v>GUTHIER</v>
      </c>
      <c r="E41" s="42"/>
      <c r="F41" s="42"/>
      <c r="G41" s="1"/>
    </row>
    <row r="42" spans="1:7" ht="4.5" customHeight="1" x14ac:dyDescent="0.3">
      <c r="A42" s="1"/>
      <c r="B42" s="1"/>
      <c r="C42" s="43"/>
      <c r="D42" s="44"/>
      <c r="E42" s="1"/>
      <c r="F42" s="1"/>
      <c r="G42" s="1"/>
    </row>
    <row r="43" spans="1:7" ht="15.6" x14ac:dyDescent="0.3">
      <c r="A43" s="1"/>
      <c r="B43" s="1"/>
      <c r="C43" s="45" t="str">
        <f>'4637'!F11</f>
        <v>PLAZO ENTREGA</v>
      </c>
      <c r="D43" s="13">
        <f>'4637'!G11</f>
        <v>0</v>
      </c>
      <c r="E43" s="1"/>
      <c r="F43" s="1"/>
      <c r="G43" s="1"/>
    </row>
    <row r="44" spans="1:7" ht="15.6" x14ac:dyDescent="0.3">
      <c r="A44" s="1"/>
      <c r="B44" s="1"/>
      <c r="C44" s="1"/>
      <c r="D44" s="1"/>
      <c r="E44" s="1"/>
      <c r="F44" s="1"/>
      <c r="G44" s="1"/>
    </row>
    <row r="45" spans="1:7" ht="15.6" x14ac:dyDescent="0.3">
      <c r="A45" s="1"/>
      <c r="B45" s="1"/>
      <c r="C45" s="1"/>
      <c r="D45" s="1"/>
      <c r="E45" s="1"/>
      <c r="F45" s="1"/>
      <c r="G45" s="1"/>
    </row>
    <row r="46" spans="1:7" ht="15.6" x14ac:dyDescent="0.3">
      <c r="A46" s="126" t="s">
        <v>64</v>
      </c>
      <c r="B46" s="126"/>
      <c r="C46" s="126"/>
      <c r="D46" s="126"/>
      <c r="E46" s="126"/>
      <c r="F46" s="126"/>
      <c r="G46" s="1"/>
    </row>
    <row r="47" spans="1:7" ht="15.6" x14ac:dyDescent="0.3">
      <c r="A47" s="1"/>
      <c r="B47" s="1"/>
      <c r="C47" s="1"/>
      <c r="D47" s="1"/>
      <c r="E47" s="1"/>
      <c r="F47" s="1"/>
      <c r="G47" s="1"/>
    </row>
    <row r="48" spans="1:7" ht="15.75" customHeight="1" x14ac:dyDescent="0.3">
      <c r="A48" s="1"/>
      <c r="B48" s="127" t="s">
        <v>65</v>
      </c>
      <c r="C48" s="128"/>
      <c r="D48" s="129"/>
      <c r="E48" s="129"/>
      <c r="F48" s="130"/>
      <c r="G48" s="1"/>
    </row>
    <row r="49" spans="1:7" s="15" customFormat="1" ht="12.75" customHeight="1" x14ac:dyDescent="0.3">
      <c r="A49" s="1"/>
      <c r="B49" s="35" t="s">
        <v>10</v>
      </c>
      <c r="C49" s="46" t="s">
        <v>11</v>
      </c>
      <c r="D49" s="47" t="s">
        <v>7</v>
      </c>
      <c r="E49" s="47" t="s">
        <v>8</v>
      </c>
      <c r="F49" s="48" t="s">
        <v>12</v>
      </c>
      <c r="G49" s="1"/>
    </row>
    <row r="50" spans="1:7" s="15" customFormat="1" ht="15" customHeight="1" x14ac:dyDescent="0.3">
      <c r="A50" s="93" t="s">
        <v>139</v>
      </c>
      <c r="B50" s="37">
        <f>'4637'!B22</f>
        <v>1</v>
      </c>
      <c r="C50" s="95" t="str">
        <f>'4637'!C22</f>
        <v>CUB SIN RESPALDO R8</v>
      </c>
      <c r="D50" s="38">
        <f>'4637'!D22</f>
        <v>1550</v>
      </c>
      <c r="E50" s="38">
        <f>'4637'!E22</f>
        <v>600</v>
      </c>
      <c r="F50" s="37" t="str">
        <f>'4637'!F22</f>
        <v>GRANITO KOMBI 0670 BR F6</v>
      </c>
      <c r="G50" s="1"/>
    </row>
    <row r="51" spans="1:7" s="15" customFormat="1" ht="15" customHeight="1" x14ac:dyDescent="0.3">
      <c r="A51" s="93"/>
      <c r="B51" s="37">
        <f>'4637'!B23</f>
        <v>1</v>
      </c>
      <c r="C51" s="95" t="str">
        <f>'4637'!C23</f>
        <v>CUB SIN RESPALDO R8</v>
      </c>
      <c r="D51" s="38">
        <f>'4637'!D23</f>
        <v>2500</v>
      </c>
      <c r="E51" s="38">
        <f>'4637'!E23</f>
        <v>600</v>
      </c>
      <c r="F51" s="37" t="str">
        <f>'4637'!F23</f>
        <v>GRANITO KOMBI 0670 BR F6</v>
      </c>
      <c r="G51" s="1"/>
    </row>
    <row r="52" spans="1:7" s="15" customFormat="1" ht="15" customHeight="1" x14ac:dyDescent="0.3">
      <c r="A52" s="93"/>
      <c r="B52" s="37">
        <f>'4637'!B24</f>
        <v>1</v>
      </c>
      <c r="C52" s="95" t="str">
        <f>'4637'!C24</f>
        <v>CORTE Z</v>
      </c>
      <c r="D52" s="38">
        <f>'4637'!D24</f>
        <v>0</v>
      </c>
      <c r="E52" s="38">
        <f>'4637'!E24</f>
        <v>0</v>
      </c>
      <c r="F52" s="37">
        <f>'4637'!F24</f>
        <v>0</v>
      </c>
      <c r="G52" s="1"/>
    </row>
    <row r="53" spans="1:7" s="15" customFormat="1" ht="15" customHeight="1" x14ac:dyDescent="0.3">
      <c r="A53" s="49"/>
      <c r="B53" s="51"/>
      <c r="C53" s="51"/>
      <c r="D53" s="51"/>
      <c r="E53" s="51"/>
      <c r="F53" s="51"/>
      <c r="G53" s="1"/>
    </row>
    <row r="54" spans="1:7" ht="15.6" x14ac:dyDescent="0.3">
      <c r="A54" s="6"/>
      <c r="B54" s="6"/>
      <c r="C54" s="1"/>
      <c r="D54" s="6"/>
      <c r="E54" s="6"/>
      <c r="F54" s="43"/>
      <c r="G54" s="1"/>
    </row>
    <row r="55" spans="1:7" ht="15.6" x14ac:dyDescent="0.3">
      <c r="A55" s="6"/>
      <c r="B55" s="6"/>
      <c r="C55" s="1"/>
      <c r="D55" s="6"/>
      <c r="E55" s="6"/>
      <c r="F55" s="6"/>
      <c r="G55" s="1"/>
    </row>
    <row r="56" spans="1:7" ht="15.6" x14ac:dyDescent="0.3">
      <c r="A56" s="1"/>
      <c r="B56" s="1"/>
      <c r="C56" s="1"/>
      <c r="D56" s="1"/>
      <c r="E56" s="1"/>
      <c r="F56" s="1"/>
      <c r="G56" s="1"/>
    </row>
    <row r="57" spans="1:7" ht="15.6" x14ac:dyDescent="0.3">
      <c r="A57" s="1"/>
      <c r="B57" s="1"/>
      <c r="C57" s="1"/>
      <c r="D57" s="1"/>
      <c r="E57" s="1"/>
      <c r="F57" s="1"/>
      <c r="G57" s="1"/>
    </row>
    <row r="58" spans="1:7" ht="15.6" x14ac:dyDescent="0.3">
      <c r="A58" s="1"/>
      <c r="B58" s="1"/>
      <c r="C58" s="1"/>
      <c r="D58" s="1"/>
      <c r="E58" s="1"/>
      <c r="F58" s="1"/>
      <c r="G58" s="1"/>
    </row>
    <row r="59" spans="1:7" ht="15" customHeight="1" x14ac:dyDescent="0.3">
      <c r="A59" s="1"/>
      <c r="B59" s="1"/>
      <c r="C59" s="1"/>
      <c r="D59" s="1"/>
      <c r="E59" s="1"/>
      <c r="F59" s="1"/>
      <c r="G59" s="1"/>
    </row>
    <row r="60" spans="1:7" ht="15.6" x14ac:dyDescent="0.3">
      <c r="A60" s="1"/>
      <c r="B60" s="1"/>
      <c r="C60" s="1"/>
      <c r="D60" s="1"/>
      <c r="E60" s="1"/>
      <c r="F60" s="1"/>
      <c r="G60" s="1"/>
    </row>
    <row r="61" spans="1:7" ht="15.6" x14ac:dyDescent="0.3">
      <c r="A61" s="6"/>
      <c r="B61" s="50"/>
      <c r="C61" s="1"/>
      <c r="D61" s="1"/>
      <c r="E61" s="1"/>
      <c r="F61" s="1"/>
      <c r="G61" s="1"/>
    </row>
    <row r="62" spans="1:7" ht="15.6" x14ac:dyDescent="0.3">
      <c r="A62" s="1"/>
      <c r="B62" s="1"/>
      <c r="C62" s="1"/>
      <c r="D62" s="1"/>
      <c r="E62" s="1"/>
      <c r="F62" s="1"/>
      <c r="G62" s="1"/>
    </row>
    <row r="63" spans="1:7" x14ac:dyDescent="0.3">
      <c r="B63" s="20"/>
      <c r="C63" s="20"/>
      <c r="D63" s="20"/>
      <c r="E63" s="20"/>
      <c r="F63" s="20"/>
    </row>
    <row r="64" spans="1:7" x14ac:dyDescent="0.3">
      <c r="B64" s="20"/>
      <c r="C64" s="20"/>
      <c r="E64" s="20"/>
      <c r="F64" s="20"/>
    </row>
  </sheetData>
  <mergeCells count="6">
    <mergeCell ref="M3:N3"/>
    <mergeCell ref="A18:F18"/>
    <mergeCell ref="A10:F10"/>
    <mergeCell ref="A46:F46"/>
    <mergeCell ref="B48:F48"/>
    <mergeCell ref="K3:L3"/>
  </mergeCells>
  <phoneticPr fontId="10" type="noConversion"/>
  <pageMargins left="0.70866141732283472" right="0.70866141732283472" top="0.74803149606299213" bottom="0.74803149606299213" header="0.31496062992125984" footer="0.31496062992125984"/>
  <pageSetup scale="72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2026-03-23T19:56:52Z</cp:lastPrinted>
  <dcterms:created xsi:type="dcterms:W3CDTF">2013-03-19T12:54:14Z</dcterms:created>
  <dcterms:modified xsi:type="dcterms:W3CDTF">2026-03-25T12:42:55Z</dcterms:modified>
</cp:coreProperties>
</file>