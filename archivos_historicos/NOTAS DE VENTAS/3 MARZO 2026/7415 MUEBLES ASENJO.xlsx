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AD5160A7-EE69-4F7C-95CC-8514BD0A2DE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CUBIERTA!$A$37:$F$61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3" l="1"/>
  <c r="E49" i="3"/>
  <c r="F49" i="3"/>
  <c r="H21" i="4"/>
  <c r="H24" i="4" s="1"/>
  <c r="B28" i="3" l="1"/>
  <c r="I22" i="3" s="1"/>
  <c r="I14" i="3" s="1"/>
  <c r="B14" i="3" s="1"/>
  <c r="C28" i="3"/>
  <c r="F14" i="3" s="1"/>
  <c r="D28" i="3"/>
  <c r="J22" i="3" s="1"/>
  <c r="E28" i="3"/>
  <c r="F28" i="3"/>
  <c r="B49" i="3"/>
  <c r="C49" i="3"/>
  <c r="K22" i="3" l="1"/>
  <c r="D22" i="3"/>
  <c r="J14" i="3"/>
  <c r="D14" i="3" s="1"/>
  <c r="B22" i="3"/>
  <c r="F22" i="3"/>
  <c r="K14" i="3" l="1"/>
  <c r="E14" i="3" s="1"/>
  <c r="E22" i="3"/>
  <c r="H25" i="4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<sst xmlns="http://schemas.openxmlformats.org/spreadsheetml/2006/main" count="244" uniqueCount="141">
  <si>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</si>
  <si>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</si>
  <si>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</si>
  <si>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</si>
  <si>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</si>
  <si>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</si>
  <si>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</si>
  <si>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</si>
  <si>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</si>
  <si>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</si>
  <si>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</si>
  <si>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</si>
  <si>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</si>
  <si>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</si>
  <si>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</si>
  <si>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</si>
  <si>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</si>
  <si>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</si>
  <si>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</si>
  <si>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</si>
  <si>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</si>
  <si>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</si>
  <si>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</si>
  <si>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</si>
  <si>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</si>
  <si>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</si>
  <si>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</si>
  <si>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</si>
  <si>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</si>
  <si>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</si>
  <si>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</si>
  <si>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</si>
  <si>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</si>
  <si>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</si>
  <si>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</si>
  <si>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</si>
  <si>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</si>
  <si>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</si>
  <si>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</si>
  <si>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</si>
  <si>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</si>
  <si>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</si>
  <si>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</si>
  <si>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</si>
  <si>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</si>
  <si>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</si>
  <si>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</si>
  <si>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</si>
  <si>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</si>
  <si>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</si>
  <si>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</si>
  <si>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</si>
  <si>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</si>
  <si>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</si>
  <si>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</si>
  <si>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</si>
  <si>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</si>
  <si>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</si>
  <si>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</si>
  <si>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</si>
  <si>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</si>
  <si>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</si>
  <si>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</si>
  <si>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</si>
  <si>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</si>
  <si>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</si>
  <si>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</si>
  <si>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</si>
  <si>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</si>
  <si>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</si>
  <si>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</si>
  <si>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</si>
  <si>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</si>
  <si>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</si>
  <si>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</si>
  <si>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</si>
  <si>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</si>
  <si>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</si>
  <si>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</si>
  <si>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</si>
  <si>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</si>
  <si>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</si>
  <si>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</si>
  <si>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</si>
  <si>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</si>
  <si>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</si>
  <si>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</si>
  <si>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</si>
  <si>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</si>
  <si>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</si>
  <si>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</si>
  <si>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</si>
  <si>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</si>
  <si>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</si>
  <si>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</si>
  <si>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</si>
  <si>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</si>
  <si>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</si>
  <si>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</si>
  <si>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</si>
  <si>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</si>
  <si>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</si>
  <si>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</si>
  <si>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</si>
  <si>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</si>
  <si>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</si>
  <si>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</si>
  <si>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</si>
  <si>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</si>
  <si>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</si>
  <si>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</si>
  <si>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</si>
  <si>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</si>
  <si>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</si>
  <si>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</si>
  <si>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</si>
  <si>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</si>
  <si>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</si>
  <si>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</si>
  <si>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</si>
  <si>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</si>
  <si>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</si>
  <si>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</si>
  <si>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</si>
  <si>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</si>
  <si>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</si>
  <si>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</si>
  <si>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</si>
  <si>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</si>
  <si>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</si>
  <si>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</si>
  <si>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</si>
  <si>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</si>
  <si>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</si>
  <si>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</si>
  <si>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</si>
  <si>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</si>
  <si>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C/R R8</t>
  </si>
  <si>
    <t>GLACIAL WHITE 22191 SF</t>
  </si>
  <si>
    <t>N° 12061</t>
  </si>
  <si>
    <t>NV 28295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</si>
</sst>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7" xfId="0" applyFont="1" applyFill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21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5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3" fontId="1" fillId="3" borderId="12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4" xfId="0" applyFont="1" applyBorder="1" applyAlignment="1">
      <alignment horizontal="left" indent="1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7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166" fontId="3" fillId="0" borderId="2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29" xfId="1" applyNumberFormat="1" applyFont="1" applyFill="1" applyBorder="1"/>
    <xf numFmtId="166" fontId="3" fillId="0" borderId="28" xfId="1" applyNumberFormat="1" applyFont="1" applyFill="1" applyBorder="1"/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19" xfId="0" applyFont="1" applyFill="1" applyBorder="1" applyAlignment="1">
      <alignment horizontal="left" vertical="top" indent="28"/>
    </xf>
    <xf numFmtId="0" fontId="9" fillId="3" borderId="20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8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23</xdr:row>
      <xdr:rowOff>11430</xdr:rowOff>
    </xdr:from>
    <xdr:to>
      <xdr:col>5</xdr:col>
      <xdr:colOff>1386840</xdr:colOff>
      <xdr:row>26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OBSERVACIONES:LA CUBIERTA LLEVA UNION A CUALQUIER LADO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COLOCAR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NV DESTRAS DE LAS CUBIERTAS SEGUN INDICACIONES, LA CUBIERTA LLEVA UNION A CUALQUIER LADO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556018</xdr:colOff>
      <xdr:row>43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5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139</v>
      </c>
      <c r="E8" s="1"/>
      <c r="F8" s="89" t="s">
        <v>27</v>
      </c>
      <c r="G8" s="90">
        <v>7415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2" t="s">
        <v>136</v>
      </c>
      <c r="D10" s="54"/>
      <c r="E10" s="54"/>
      <c r="F10" s="55" t="s">
        <v>28</v>
      </c>
      <c r="G10" s="56">
        <v>46105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132</v>
      </c>
      <c r="C13" s="82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97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3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2">
        <v>1</v>
      </c>
      <c r="C21" s="102" t="s">
        <v>137</v>
      </c>
      <c r="D21" s="103">
        <v>3300</v>
      </c>
      <c r="E21" s="103">
        <v>600</v>
      </c>
      <c r="F21" s="102" t="s">
        <v>138</v>
      </c>
      <c r="G21" s="98">
        <v>104822</v>
      </c>
      <c r="H21" s="98">
        <f t="shared" ref="H21" si="0">G21*B21</f>
        <v>104822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/>
      <c r="C22" s="106"/>
      <c r="D22" s="107"/>
      <c r="E22" s="107"/>
      <c r="F22" s="106"/>
      <c r="G22" s="74"/>
      <c r="H22" s="74"/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73"/>
      <c r="C23" s="73"/>
      <c r="D23" s="73"/>
      <c r="E23" s="73"/>
      <c r="F23" s="73"/>
      <c r="G23" s="74"/>
      <c r="H23" s="74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98">
        <f>SUM(H21:H23)</f>
        <v>104822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6</v>
      </c>
      <c r="H25" s="104">
        <f>H24*19%</f>
        <v>19916.18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7" t="s">
        <v>4</v>
      </c>
      <c r="H26" s="105">
        <f>H24+H25</f>
        <v>124738.18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1"/>
      <c r="H27" s="92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78" t="s">
        <v>123</v>
      </c>
      <c r="C29" s="79"/>
      <c r="D29" s="80"/>
      <c r="E29" s="80"/>
      <c r="F29" s="73"/>
      <c r="G29" s="1"/>
      <c r="H29" s="1"/>
      <c r="I29" s="1"/>
    </row>
    <row r="30" spans="1:16" ht="15.6" x14ac:dyDescent="0.3">
      <c r="A30" s="1"/>
      <c r="B30" s="78" t="s">
        <v>122</v>
      </c>
      <c r="C30" s="79"/>
      <c r="D30" s="80"/>
      <c r="E30" s="80"/>
      <c r="F30" s="73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1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3" zoomScaleNormal="100" workbookViewId="0">
      <selection activeCell="I35" sqref="I35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8" t="s">
        <v>61</v>
      </c>
      <c r="L3" s="108"/>
      <c r="M3" s="108" t="s">
        <v>14</v>
      </c>
      <c r="N3" s="108"/>
    </row>
    <row r="4" spans="1:14" ht="15.75" customHeight="1" x14ac:dyDescent="0.3">
      <c r="A4" s="1"/>
      <c r="B4" s="1"/>
      <c r="C4" s="39" t="s">
        <v>27</v>
      </c>
      <c r="D4" s="14">
        <f>'4637'!G8</f>
        <v>7415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09" t="s">
        <v>61</v>
      </c>
      <c r="B10" s="109"/>
      <c r="C10" s="109"/>
      <c r="D10" s="109"/>
      <c r="E10" s="109"/>
      <c r="F10" s="10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135</v>
      </c>
      <c r="B14" s="25">
        <f t="shared" ref="B14" si="0">I14</f>
        <v>1</v>
      </c>
      <c r="C14" s="16" t="s">
        <v>140</v>
      </c>
      <c r="D14" s="25">
        <f>J14+$D$13</f>
        <v>3380</v>
      </c>
      <c r="E14" s="35">
        <f t="shared" ref="E14" si="1">K14+$E$13</f>
        <v>570</v>
      </c>
      <c r="F14" s="95" t="str">
        <f>C28</f>
        <v>CUB C/R R8</v>
      </c>
      <c r="G14" s="1"/>
      <c r="I14" s="85">
        <f>I22</f>
        <v>1</v>
      </c>
      <c r="J14" s="4">
        <f>J22</f>
        <v>3300</v>
      </c>
      <c r="K14" s="4">
        <f>K22</f>
        <v>600</v>
      </c>
    </row>
    <row r="15" spans="1:14" ht="15.6" x14ac:dyDescent="0.3">
      <c r="A15" s="91"/>
      <c r="B15" s="6"/>
      <c r="C15" s="6"/>
      <c r="D15" s="6"/>
      <c r="E15" s="99"/>
      <c r="F15" s="101"/>
      <c r="G15" s="1"/>
      <c r="I15" s="85"/>
      <c r="J15" s="2"/>
      <c r="K15" s="2"/>
    </row>
    <row r="16" spans="1:14" ht="15.6" x14ac:dyDescent="0.3">
      <c r="A16" s="51"/>
      <c r="B16" s="6"/>
      <c r="C16" s="6"/>
      <c r="D16" s="6"/>
      <c r="E16" s="99"/>
      <c r="F16" s="6"/>
      <c r="G16" s="1"/>
      <c r="I16" s="85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09" t="s">
        <v>14</v>
      </c>
      <c r="B18" s="109"/>
      <c r="C18" s="109"/>
      <c r="D18" s="109"/>
      <c r="E18" s="109"/>
      <c r="F18" s="10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1"/>
      <c r="B22" s="16">
        <f t="shared" ref="B22" si="2">I22</f>
        <v>1</v>
      </c>
      <c r="C22" s="16"/>
      <c r="D22" s="16">
        <f>J22+D$21</f>
        <v>3340</v>
      </c>
      <c r="E22" s="16">
        <f>K22+E$21</f>
        <v>730</v>
      </c>
      <c r="F22" s="96" t="str">
        <f>C28</f>
        <v>CUB C/R R8</v>
      </c>
      <c r="G22" s="1"/>
      <c r="I22" s="3">
        <f>B28</f>
        <v>1</v>
      </c>
      <c r="J22" s="4">
        <f>D28</f>
        <v>3300</v>
      </c>
      <c r="K22" s="4">
        <f t="shared" ref="K22" si="3">E28</f>
        <v>600</v>
      </c>
    </row>
    <row r="23" spans="1:11" ht="15.6" x14ac:dyDescent="0.3">
      <c r="A23" s="91"/>
      <c r="B23" s="6"/>
      <c r="C23" s="6"/>
      <c r="D23" s="6"/>
      <c r="E23" s="6"/>
      <c r="F23" s="101"/>
      <c r="G23" s="1"/>
      <c r="I23" s="85"/>
      <c r="J23" s="2"/>
      <c r="K23" s="2"/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4" t="s">
        <v>10</v>
      </c>
      <c r="C27" s="84" t="s">
        <v>110</v>
      </c>
      <c r="D27" s="84" t="s">
        <v>7</v>
      </c>
      <c r="E27" s="84" t="s">
        <v>8</v>
      </c>
      <c r="F27" s="84" t="s">
        <v>23</v>
      </c>
      <c r="G27" s="1"/>
    </row>
    <row r="28" spans="1:11" ht="15.6" x14ac:dyDescent="0.3">
      <c r="A28" s="91" t="s">
        <v>135</v>
      </c>
      <c r="B28" s="25">
        <f>'4637'!B21</f>
        <v>1</v>
      </c>
      <c r="C28" s="95" t="str">
        <f>'4637'!C21</f>
        <v>CUB C/R R8</v>
      </c>
      <c r="D28" s="25">
        <f>'4637'!D21</f>
        <v>3300</v>
      </c>
      <c r="E28" s="25">
        <f>'4637'!E21</f>
        <v>600</v>
      </c>
      <c r="F28" s="25" t="str">
        <f>'4637'!F21</f>
        <v>GLACIAL WHITE 22191 SF</v>
      </c>
      <c r="G28" s="1"/>
    </row>
    <row r="29" spans="1:11" ht="15.6" x14ac:dyDescent="0.3">
      <c r="A29" s="91"/>
      <c r="B29" s="6"/>
      <c r="C29" s="101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9" t="s">
        <v>27</v>
      </c>
      <c r="D39" s="14">
        <f>'4637'!G8</f>
        <v>7415</v>
      </c>
      <c r="E39" s="1"/>
      <c r="F39" s="1"/>
      <c r="G39" s="1"/>
    </row>
    <row r="40" spans="1:7" ht="17.25" customHeight="1" x14ac:dyDescent="0.3">
      <c r="A40" s="1"/>
      <c r="B40" s="1"/>
      <c r="C40" s="40" t="s">
        <v>67</v>
      </c>
      <c r="D40" s="41" t="str">
        <f>'4637'!C10</f>
        <v>MUEBLES ASENJO</v>
      </c>
      <c r="E40" s="42"/>
      <c r="F40" s="42"/>
      <c r="G40" s="1"/>
    </row>
    <row r="41" spans="1:7" ht="4.5" customHeight="1" x14ac:dyDescent="0.3">
      <c r="A41" s="1"/>
      <c r="B41" s="1"/>
      <c r="C41" s="43"/>
      <c r="D41" s="44"/>
      <c r="E41" s="1"/>
      <c r="F41" s="1"/>
      <c r="G41" s="1"/>
    </row>
    <row r="42" spans="1:7" ht="15.6" x14ac:dyDescent="0.3">
      <c r="A42" s="1"/>
      <c r="B42" s="1"/>
      <c r="C42" s="45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09" t="s">
        <v>68</v>
      </c>
      <c r="B45" s="109"/>
      <c r="C45" s="109"/>
      <c r="D45" s="109"/>
      <c r="E45" s="109"/>
      <c r="F45" s="109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0" t="s">
        <v>69</v>
      </c>
      <c r="C47" s="111"/>
      <c r="D47" s="112"/>
      <c r="E47" s="112"/>
      <c r="F47" s="113"/>
      <c r="G47" s="1"/>
    </row>
    <row r="48" spans="1:7" s="15" customFormat="1" ht="12.75" customHeight="1" x14ac:dyDescent="0.3">
      <c r="A48" s="1"/>
      <c r="B48" s="36" t="s">
        <v>10</v>
      </c>
      <c r="C48" s="46" t="s">
        <v>11</v>
      </c>
      <c r="D48" s="47" t="s">
        <v>7</v>
      </c>
      <c r="E48" s="47" t="s">
        <v>8</v>
      </c>
      <c r="F48" s="48" t="s">
        <v>12</v>
      </c>
      <c r="G48" s="1"/>
    </row>
    <row r="49" spans="1:7" s="15" customFormat="1" ht="15" customHeight="1" x14ac:dyDescent="0.3">
      <c r="A49" s="91" t="s">
        <v>135</v>
      </c>
      <c r="B49" s="38">
        <f>'4637'!B21</f>
        <v>1</v>
      </c>
      <c r="C49" s="94" t="str">
        <f>'4637'!C21</f>
        <v>CUB C/R R8</v>
      </c>
      <c r="D49" s="94">
        <f>'4637'!D21</f>
        <v>3300</v>
      </c>
      <c r="E49" s="94">
        <f>'4637'!E21</f>
        <v>600</v>
      </c>
      <c r="F49" s="94" t="str">
        <f>'4637'!F21</f>
        <v>GLACIAL WHITE 22191 SF</v>
      </c>
      <c r="G49" s="1"/>
    </row>
    <row r="50" spans="1:7" s="15" customFormat="1" ht="15" customHeight="1" x14ac:dyDescent="0.3">
      <c r="B50" s="51"/>
      <c r="C50" s="100"/>
      <c r="D50" s="51"/>
      <c r="E50" s="51"/>
      <c r="F50" s="51"/>
      <c r="G50" s="1"/>
    </row>
    <row r="51" spans="1:7" s="15" customFormat="1" ht="15" customHeight="1" x14ac:dyDescent="0.3">
      <c r="A51" s="49"/>
      <c r="B51" s="51"/>
      <c r="C51" s="51"/>
      <c r="D51" s="51"/>
      <c r="E51" s="51"/>
      <c r="F51" s="51"/>
      <c r="G51" s="1"/>
    </row>
    <row r="52" spans="1:7" ht="15.6" x14ac:dyDescent="0.3">
      <c r="A52" s="6"/>
      <c r="B52" s="6"/>
      <c r="C52" s="1"/>
      <c r="D52" s="6"/>
      <c r="E52" s="6"/>
      <c r="F52" s="43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0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2026-02-04T12:27:43Z</cp:lastPrinted>
  <dcterms:created xsi:type="dcterms:W3CDTF">2013-03-19T12:54:14Z</dcterms:created>
  <dcterms:modified xsi:type="dcterms:W3CDTF">2026-03-24T17:04:48Z</dcterms:modified>
</cp:coreProperties>
</file>