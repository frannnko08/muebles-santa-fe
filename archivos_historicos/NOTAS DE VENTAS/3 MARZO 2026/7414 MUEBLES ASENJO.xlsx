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6\"/>
    </mc:Choice>
  </mc:AlternateContent>
  <xr:revisionPtr revIDLastSave="0" documentId="13_ncr:1_{8C5DFF7A-6EB4-4928-908E-FAA85E76F83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'4637'!$A$1:$H$35</definedName>
    <definedName name="_xlnm.Print_Area" localSheetId="2">CUBIERTA!$A$52:$F$81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F16" i="3"/>
  <c r="I16" i="3"/>
  <c r="B16" i="3" s="1"/>
  <c r="J16" i="3"/>
  <c r="D16" i="3" s="1"/>
  <c r="K16" i="3"/>
  <c r="F17" i="3"/>
  <c r="I17" i="3"/>
  <c r="B17" i="3" s="1"/>
  <c r="J17" i="3"/>
  <c r="D17" i="3" s="1"/>
  <c r="K17" i="3"/>
  <c r="E17" i="3" s="1"/>
  <c r="F18" i="3"/>
  <c r="I18" i="3"/>
  <c r="B18" i="3" s="1"/>
  <c r="J18" i="3"/>
  <c r="D18" i="3" s="1"/>
  <c r="K18" i="3"/>
  <c r="E18" i="3" s="1"/>
  <c r="F19" i="3"/>
  <c r="I19" i="3"/>
  <c r="B19" i="3" s="1"/>
  <c r="J19" i="3"/>
  <c r="D19" i="3" s="1"/>
  <c r="K19" i="3"/>
  <c r="E19" i="3" s="1"/>
  <c r="B40" i="3"/>
  <c r="I29" i="3" s="1"/>
  <c r="B29" i="3" s="1"/>
  <c r="C40" i="3"/>
  <c r="F29" i="3" s="1"/>
  <c r="D40" i="3"/>
  <c r="J29" i="3" s="1"/>
  <c r="D29" i="3" s="1"/>
  <c r="E40" i="3"/>
  <c r="K29" i="3" s="1"/>
  <c r="F40" i="3"/>
  <c r="B41" i="3"/>
  <c r="I30" i="3" s="1"/>
  <c r="B30" i="3" s="1"/>
  <c r="C41" i="3"/>
  <c r="F30" i="3" s="1"/>
  <c r="D41" i="3"/>
  <c r="J30" i="3" s="1"/>
  <c r="D30" i="3" s="1"/>
  <c r="E41" i="3"/>
  <c r="K30" i="3" s="1"/>
  <c r="E30" i="3" s="1"/>
  <c r="F41" i="3"/>
  <c r="B42" i="3"/>
  <c r="I31" i="3" s="1"/>
  <c r="B31" i="3" s="1"/>
  <c r="C42" i="3"/>
  <c r="F31" i="3" s="1"/>
  <c r="D42" i="3"/>
  <c r="J31" i="3" s="1"/>
  <c r="D31" i="3" s="1"/>
  <c r="E42" i="3"/>
  <c r="K31" i="3" s="1"/>
  <c r="E31" i="3" s="1"/>
  <c r="F42" i="3"/>
  <c r="B43" i="3"/>
  <c r="I32" i="3" s="1"/>
  <c r="B32" i="3" s="1"/>
  <c r="C43" i="3"/>
  <c r="F32" i="3" s="1"/>
  <c r="D43" i="3"/>
  <c r="J32" i="3" s="1"/>
  <c r="D32" i="3" s="1"/>
  <c r="E43" i="3"/>
  <c r="K32" i="3" s="1"/>
  <c r="E32" i="3" s="1"/>
  <c r="F43" i="3"/>
  <c r="B66" i="3"/>
  <c r="C66" i="3"/>
  <c r="D66" i="3"/>
  <c r="E66" i="3"/>
  <c r="F66" i="3"/>
  <c r="B67" i="3"/>
  <c r="C67" i="3"/>
  <c r="D67" i="3"/>
  <c r="E67" i="3"/>
  <c r="F67" i="3"/>
  <c r="B68" i="3"/>
  <c r="C68" i="3"/>
  <c r="D68" i="3"/>
  <c r="E68" i="3"/>
  <c r="F68" i="3"/>
  <c r="B69" i="3"/>
  <c r="C69" i="3"/>
  <c r="D69" i="3"/>
  <c r="E69" i="3"/>
  <c r="F69" i="3"/>
  <c r="H23" i="4"/>
  <c r="H24" i="4"/>
  <c r="H25" i="4"/>
  <c r="H26" i="4"/>
  <c r="B39" i="3"/>
  <c r="C39" i="3"/>
  <c r="D39" i="3"/>
  <c r="E39" i="3"/>
  <c r="F39" i="3"/>
  <c r="B65" i="3"/>
  <c r="C65" i="3"/>
  <c r="D65" i="3"/>
  <c r="E65" i="3"/>
  <c r="F65" i="3"/>
  <c r="H22" i="4"/>
  <c r="I28" i="3" l="1"/>
  <c r="F28" i="3"/>
  <c r="J28" i="3"/>
  <c r="K28" i="3"/>
  <c r="D64" i="3"/>
  <c r="E64" i="3"/>
  <c r="F64" i="3"/>
  <c r="H21" i="4"/>
  <c r="H29" i="4" s="1"/>
  <c r="J15" i="3" l="1"/>
  <c r="D15" i="3" s="1"/>
  <c r="D28" i="3"/>
  <c r="I15" i="3"/>
  <c r="B15" i="3" s="1"/>
  <c r="B28" i="3"/>
  <c r="K15" i="3"/>
  <c r="E15" i="3" s="1"/>
  <c r="E28" i="3"/>
  <c r="F15" i="3"/>
  <c r="B38" i="3"/>
  <c r="I27" i="3" s="1"/>
  <c r="I14" i="3" s="1"/>
  <c r="B14" i="3" s="1"/>
  <c r="C38" i="3"/>
  <c r="F14" i="3" s="1"/>
  <c r="D38" i="3"/>
  <c r="J27" i="3" s="1"/>
  <c r="E38" i="3"/>
  <c r="F38" i="3"/>
  <c r="B64" i="3"/>
  <c r="C64" i="3"/>
  <c r="K27" i="3" l="1"/>
  <c r="D27" i="3"/>
  <c r="J14" i="3"/>
  <c r="D14" i="3" s="1"/>
  <c r="B27" i="3"/>
  <c r="F27" i="3"/>
  <c r="K14" i="3" l="1"/>
  <c r="E14" i="3" s="1"/>
  <c r="E27" i="3"/>
  <c r="H30" i="4"/>
  <c r="H31" i="4" l="1"/>
  <c r="N5" i="3" l="1"/>
  <c r="M5" i="3" l="1"/>
  <c r="L5" i="3"/>
  <c r="K5" i="3"/>
  <c r="C57" i="3" l="1"/>
  <c r="C7" i="3"/>
  <c r="D55" i="3"/>
  <c r="D5" i="3"/>
  <c r="D57" i="3"/>
  <c r="D7" i="3"/>
  <c r="D54" i="3"/>
  <c r="D4" i="3"/>
</calcChain>
</file>

<file path=xl/sharedStrings.xml><?xml version="1.0" encoding="utf-8"?>
<sst xmlns="http://schemas.openxmlformats.org/spreadsheetml/2006/main" count="259" uniqueCount="144">
  <si>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</si>
  <si>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</si>
  <si>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</si>
  <si>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</si>
  <si>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</si>
  <si>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</si>
  <si>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</si>
  <si>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</si>
  <si>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</si>
  <si>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</si>
  <si>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</si>
  <si>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</si>
  <si>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</si>
  <si>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</si>
  <si>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</si>
  <si>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</si>
  <si>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</si>
  <si>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</si>
  <si>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</si>
  <si>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</si>
  <si>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</si>
  <si>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</si>
  <si>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</si>
  <si>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</si>
  <si>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</si>
  <si>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</si>
  <si>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</si>
  <si>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</si>
  <si>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</si>
  <si>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</si>
  <si>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</si>
  <si>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</si>
  <si>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</si>
  <si>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</si>
  <si>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</si>
  <si>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</si>
  <si>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</si>
  <si>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</si>
  <si>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</si>
  <si>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</si>
  <si>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</si>
  <si>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</si>
  <si>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</si>
  <si>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</si>
  <si>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</si>
  <si>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</si>
  <si>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</si>
  <si>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</si>
  <si>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</si>
  <si>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</si>
  <si>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</si>
  <si>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</si>
  <si>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</si>
  <si>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</si>
  <si>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</si>
  <si>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</si>
  <si>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</si>
  <si>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</si>
  <si>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</si>
  <si>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</si>
  <si>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</si>
  <si>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</si>
  <si>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</si>
  <si>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</si>
  <si>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</si>
  <si>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</si>
  <si>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</si>
  <si>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</si>
  <si>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</si>
  <si>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</si>
  <si>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</si>
  <si>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</si>
  <si>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</si>
  <si>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</si>
  <si>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</si>
  <si>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</si>
  <si>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</si>
  <si>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</si>
  <si>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</si>
  <si>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</si>
  <si>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</si>
  <si>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</si>
  <si>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</si>
  <si>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</si>
  <si>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</si>
  <si>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</si>
  <si>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</si>
  <si>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</si>
  <si>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</si>
  <si>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</si>
  <si>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</si>
  <si>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</si>
  <si>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</si>
  <si>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</si>
  <si>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</si>
  <si>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</si>
  <si>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</si>
  <si>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</si>
  <si>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</si>
  <si>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</si>
  <si>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</si>
  <si>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</si>
  <si>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</si>
  <si>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</si>
  <si>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</si>
  <si>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</si>
  <si>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</si>
  <si>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</si>
  <si>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</si>
  <si>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</si>
  <si>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</si>
  <si>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</si>
  <si>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</si>
  <si>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</si>
  <si>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</si>
  <si>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</si>
  <si>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</si>
  <si>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</si>
  <si>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</si>
  <si>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</si>
  <si>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</si>
  <si>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</si>
  <si>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</si>
  <si>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</si>
  <si>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</si>
  <si>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</si>
  <si>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</si>
  <si>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</si>
  <si>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</si>
  <si>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</si>
  <si>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</si>
  <si>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</si>
  <si>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</si>
  <si>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</si>
  <si>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</si>
  <si>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</si>
  <si>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MUEBLES ASENJO</t>
  </si>
  <si>
    <t>CUB C/R R8</t>
  </si>
  <si>
    <t>GLACIAL WHITE 22191 SF</t>
  </si>
  <si>
    <t>CUB S/R R8</t>
  </si>
  <si>
    <t>N° 12061</t>
  </si>
  <si>
    <t>NV 28212</t>
  </si>
  <si>
    <t>NV 28211</t>
  </si>
  <si>
    <t>NV 28294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</si>
</sst>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1" fontId="4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7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7" xfId="0" applyFont="1" applyFill="1" applyBorder="1" applyAlignment="1">
      <alignment horizontal="center"/>
    </xf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1" xfId="0" applyFill="1" applyBorder="1" applyAlignment="1">
      <alignment horizontal="center"/>
    </xf>
    <xf numFmtId="0" fontId="0" fillId="3" borderId="21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5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7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2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3" fontId="1" fillId="3" borderId="12" xfId="0" applyNumberFormat="1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4" xfId="0" applyFont="1" applyBorder="1" applyAlignment="1">
      <alignment horizontal="left" indent="1"/>
    </xf>
    <xf numFmtId="0" fontId="1" fillId="0" borderId="15" xfId="0" applyFont="1" applyBorder="1"/>
    <xf numFmtId="0" fontId="1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7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166" fontId="3" fillId="0" borderId="2" xfId="1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66" fontId="3" fillId="0" borderId="29" xfId="1" applyNumberFormat="1" applyFont="1" applyFill="1" applyBorder="1"/>
    <xf numFmtId="166" fontId="3" fillId="0" borderId="28" xfId="1" applyNumberFormat="1" applyFont="1" applyFill="1" applyBorder="1"/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19" xfId="0" applyFont="1" applyFill="1" applyBorder="1" applyAlignment="1">
      <alignment horizontal="left" vertical="top" indent="28"/>
    </xf>
    <xf numFmtId="0" fontId="9" fillId="3" borderId="20" xfId="0" applyFont="1" applyFill="1" applyBorder="1" applyAlignment="1">
      <alignment horizontal="left" vertical="top" indent="28"/>
    </xf>
    <xf numFmtId="0" fontId="9" fillId="3" borderId="26" xfId="0" applyFont="1" applyFill="1" applyBorder="1" applyAlignment="1">
      <alignment horizontal="left" vertical="top" indent="28"/>
    </xf>
    <xf numFmtId="0" fontId="9" fillId="3" borderId="18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41" fontId="3" fillId="0" borderId="2" xfId="3" applyFont="1" applyBorder="1"/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3" borderId="0" xfId="0" applyFont="1" applyFill="1" applyBorder="1" applyAlignment="1">
      <alignment horizontal="center"/>
    </xf>
  </cellXfs>
  <cellStyles count="4">
    <cellStyle name="Hipervínculo" xfId="2" builtinId="8"/>
    <cellStyle name="Millares" xfId="1" builtinId="3"/>
    <cellStyle name="Millares [0]" xfId="3" builtinId="6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28</xdr:row>
      <xdr:rowOff>11430</xdr:rowOff>
    </xdr:from>
    <xdr:to>
      <xdr:col>5</xdr:col>
      <xdr:colOff>1386840</xdr:colOff>
      <xdr:row>31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21</xdr:row>
      <xdr:rowOff>76200</xdr:rowOff>
    </xdr:from>
    <xdr:to>
      <xdr:col>5</xdr:col>
      <xdr:colOff>1676399</xdr:colOff>
      <xdr:row>23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58</xdr:row>
      <xdr:rowOff>171450</xdr:rowOff>
    </xdr:from>
    <xdr:to>
      <xdr:col>5</xdr:col>
      <xdr:colOff>1685924</xdr:colOff>
      <xdr:row>60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56</xdr:row>
      <xdr:rowOff>0</xdr:rowOff>
    </xdr:from>
    <xdr:to>
      <xdr:col>6</xdr:col>
      <xdr:colOff>0</xdr:colOff>
      <xdr:row>57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54</xdr:row>
      <xdr:rowOff>38100</xdr:rowOff>
    </xdr:from>
    <xdr:to>
      <xdr:col>6</xdr:col>
      <xdr:colOff>0</xdr:colOff>
      <xdr:row>55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53</xdr:row>
      <xdr:rowOff>0</xdr:rowOff>
    </xdr:from>
    <xdr:to>
      <xdr:col>6</xdr:col>
      <xdr:colOff>0</xdr:colOff>
      <xdr:row>54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71</xdr:row>
      <xdr:rowOff>0</xdr:rowOff>
    </xdr:from>
    <xdr:to>
      <xdr:col>2</xdr:col>
      <xdr:colOff>38100</xdr:colOff>
      <xdr:row>72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71</xdr:row>
      <xdr:rowOff>0</xdr:rowOff>
    </xdr:from>
    <xdr:to>
      <xdr:col>2</xdr:col>
      <xdr:colOff>1019175</xdr:colOff>
      <xdr:row>71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71</xdr:row>
      <xdr:rowOff>0</xdr:rowOff>
    </xdr:from>
    <xdr:to>
      <xdr:col>3</xdr:col>
      <xdr:colOff>352425</xdr:colOff>
      <xdr:row>72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71</xdr:row>
      <xdr:rowOff>0</xdr:rowOff>
    </xdr:from>
    <xdr:to>
      <xdr:col>4</xdr:col>
      <xdr:colOff>257175</xdr:colOff>
      <xdr:row>72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71</xdr:row>
      <xdr:rowOff>0</xdr:rowOff>
    </xdr:from>
    <xdr:to>
      <xdr:col>5</xdr:col>
      <xdr:colOff>447675</xdr:colOff>
      <xdr:row>71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71</xdr:row>
      <xdr:rowOff>0</xdr:rowOff>
    </xdr:from>
    <xdr:to>
      <xdr:col>6</xdr:col>
      <xdr:colOff>0</xdr:colOff>
      <xdr:row>71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71</xdr:row>
      <xdr:rowOff>190500</xdr:rowOff>
    </xdr:from>
    <xdr:to>
      <xdr:col>2</xdr:col>
      <xdr:colOff>304800</xdr:colOff>
      <xdr:row>73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71</xdr:row>
      <xdr:rowOff>190500</xdr:rowOff>
    </xdr:from>
    <xdr:to>
      <xdr:col>2</xdr:col>
      <xdr:colOff>1276350</xdr:colOff>
      <xdr:row>73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71</xdr:row>
      <xdr:rowOff>190500</xdr:rowOff>
    </xdr:from>
    <xdr:to>
      <xdr:col>3</xdr:col>
      <xdr:colOff>619125</xdr:colOff>
      <xdr:row>73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71</xdr:row>
      <xdr:rowOff>190500</xdr:rowOff>
    </xdr:from>
    <xdr:to>
      <xdr:col>4</xdr:col>
      <xdr:colOff>523875</xdr:colOff>
      <xdr:row>73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71</xdr:row>
      <xdr:rowOff>190500</xdr:rowOff>
    </xdr:from>
    <xdr:to>
      <xdr:col>5</xdr:col>
      <xdr:colOff>723900</xdr:colOff>
      <xdr:row>73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71</xdr:row>
      <xdr:rowOff>190500</xdr:rowOff>
    </xdr:from>
    <xdr:to>
      <xdr:col>6</xdr:col>
      <xdr:colOff>0</xdr:colOff>
      <xdr:row>73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45</xdr:row>
      <xdr:rowOff>15239</xdr:rowOff>
    </xdr:from>
    <xdr:to>
      <xdr:col>6</xdr:col>
      <xdr:colOff>68580</xdr:colOff>
      <xdr:row>49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33</xdr:row>
      <xdr:rowOff>200025</xdr:rowOff>
    </xdr:from>
    <xdr:to>
      <xdr:col>6</xdr:col>
      <xdr:colOff>19049</xdr:colOff>
      <xdr:row>35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74</xdr:row>
      <xdr:rowOff>32385</xdr:rowOff>
    </xdr:from>
    <xdr:to>
      <xdr:col>6</xdr:col>
      <xdr:colOff>19050</xdr:colOff>
      <xdr:row>78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COLOCAR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NV DESTRAS DE LAS CUBIERTAS SEGUN INDICACIONES, LA CUBIERTA DE 3500 UNION A CUALQUIER LADO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52</xdr:row>
      <xdr:rowOff>41910</xdr:rowOff>
    </xdr:from>
    <xdr:to>
      <xdr:col>1</xdr:col>
      <xdr:colOff>556018</xdr:colOff>
      <xdr:row>58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8"/>
  <sheetViews>
    <sheetView topLeftCell="A14" workbookViewId="0">
      <selection activeCell="I16" sqref="I1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6" t="s">
        <v>16</v>
      </c>
      <c r="C8" s="87"/>
      <c r="D8" s="88" t="s">
        <v>140</v>
      </c>
      <c r="E8" s="1"/>
      <c r="F8" s="89" t="s">
        <v>27</v>
      </c>
      <c r="G8" s="90">
        <v>7414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82" t="s">
        <v>136</v>
      </c>
      <c r="D10" s="54"/>
      <c r="E10" s="54"/>
      <c r="F10" s="55" t="s">
        <v>28</v>
      </c>
      <c r="G10" s="56">
        <v>46105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/>
      <c r="D11" s="59"/>
      <c r="E11" s="59"/>
      <c r="F11" s="59" t="s">
        <v>124</v>
      </c>
      <c r="G11" s="60"/>
      <c r="H11" s="61"/>
      <c r="I11" s="1"/>
    </row>
    <row r="12" spans="1:17" ht="16.2" thickBot="1" x14ac:dyDescent="0.35">
      <c r="A12" s="1"/>
      <c r="B12" s="62" t="s">
        <v>130</v>
      </c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132</v>
      </c>
      <c r="C13" s="82"/>
      <c r="D13" s="42"/>
      <c r="E13" s="42"/>
      <c r="F13" s="42" t="s">
        <v>128</v>
      </c>
      <c r="G13" s="63"/>
      <c r="H13" s="64"/>
      <c r="I13" s="1"/>
    </row>
    <row r="14" spans="1:17" ht="15.6" x14ac:dyDescent="0.3">
      <c r="A14" s="1"/>
      <c r="B14" s="58" t="s">
        <v>17</v>
      </c>
      <c r="C14" s="97"/>
      <c r="D14" s="65"/>
      <c r="E14" s="59"/>
      <c r="F14" s="59" t="s">
        <v>29</v>
      </c>
      <c r="G14" s="59" t="s">
        <v>134</v>
      </c>
      <c r="H14" s="61"/>
      <c r="I14" s="1"/>
    </row>
    <row r="15" spans="1:17" ht="15.6" x14ac:dyDescent="0.3">
      <c r="A15" s="1"/>
      <c r="B15" s="62" t="s">
        <v>1</v>
      </c>
      <c r="C15" s="93"/>
      <c r="D15" s="42"/>
      <c r="E15" s="42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131</v>
      </c>
      <c r="D16" s="68"/>
      <c r="E16" s="69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5.6" x14ac:dyDescent="0.3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2">
        <v>1</v>
      </c>
      <c r="C21" s="102" t="s">
        <v>137</v>
      </c>
      <c r="D21" s="103">
        <v>3000</v>
      </c>
      <c r="E21" s="103">
        <v>710</v>
      </c>
      <c r="F21" s="102" t="s">
        <v>138</v>
      </c>
      <c r="G21" s="98">
        <v>125325</v>
      </c>
      <c r="H21" s="98">
        <f t="shared" ref="H21:H26" si="0">G21*B21</f>
        <v>125325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2">
        <v>1</v>
      </c>
      <c r="C22" s="102" t="s">
        <v>137</v>
      </c>
      <c r="D22" s="103">
        <v>1000</v>
      </c>
      <c r="E22" s="103">
        <v>710</v>
      </c>
      <c r="F22" s="102" t="s">
        <v>138</v>
      </c>
      <c r="G22" s="98">
        <v>43945</v>
      </c>
      <c r="H22" s="98">
        <f t="shared" si="0"/>
        <v>43945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2">
        <v>1</v>
      </c>
      <c r="C23" s="102" t="s">
        <v>139</v>
      </c>
      <c r="D23" s="103">
        <v>3500</v>
      </c>
      <c r="E23" s="103">
        <v>500</v>
      </c>
      <c r="F23" s="102" t="s">
        <v>138</v>
      </c>
      <c r="G23" s="98">
        <v>102585</v>
      </c>
      <c r="H23" s="98">
        <f t="shared" si="0"/>
        <v>102585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2">
        <v>1</v>
      </c>
      <c r="C24" s="102" t="s">
        <v>137</v>
      </c>
      <c r="D24" s="103">
        <v>2100</v>
      </c>
      <c r="E24" s="103">
        <v>600</v>
      </c>
      <c r="F24" s="102" t="s">
        <v>138</v>
      </c>
      <c r="G24" s="98">
        <v>74961</v>
      </c>
      <c r="H24" s="98">
        <f t="shared" si="0"/>
        <v>74961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2">
        <v>1</v>
      </c>
      <c r="C25" s="102" t="s">
        <v>137</v>
      </c>
      <c r="D25" s="103">
        <v>2250</v>
      </c>
      <c r="E25" s="103">
        <v>600</v>
      </c>
      <c r="F25" s="102" t="s">
        <v>138</v>
      </c>
      <c r="G25" s="98">
        <v>80119</v>
      </c>
      <c r="H25" s="98">
        <f t="shared" si="0"/>
        <v>80119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2">
        <v>1</v>
      </c>
      <c r="C26" s="102" t="s">
        <v>137</v>
      </c>
      <c r="D26" s="103">
        <v>2800</v>
      </c>
      <c r="E26" s="103">
        <v>600</v>
      </c>
      <c r="F26" s="102" t="s">
        <v>138</v>
      </c>
      <c r="G26" s="121">
        <v>99032</v>
      </c>
      <c r="H26" s="98">
        <f t="shared" si="0"/>
        <v>99032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06"/>
      <c r="C27" s="106"/>
      <c r="D27" s="107"/>
      <c r="E27" s="107"/>
      <c r="F27" s="106"/>
      <c r="G27" s="74"/>
      <c r="H27" s="74"/>
      <c r="I27" s="1"/>
      <c r="K27" s="17"/>
      <c r="L27" s="26"/>
      <c r="M27" s="17"/>
      <c r="N27" s="17"/>
      <c r="O27" s="26"/>
      <c r="P27" s="33"/>
    </row>
    <row r="28" spans="1:16" ht="18" customHeight="1" thickBot="1" x14ac:dyDescent="0.35">
      <c r="A28" s="1"/>
      <c r="B28" s="73"/>
      <c r="C28" s="73"/>
      <c r="D28" s="73"/>
      <c r="E28" s="73"/>
      <c r="F28" s="73"/>
      <c r="G28" s="74"/>
      <c r="H28" s="74"/>
      <c r="I28" s="1"/>
    </row>
    <row r="29" spans="1:16" ht="15.6" x14ac:dyDescent="0.3">
      <c r="A29" s="1"/>
      <c r="B29" s="1"/>
      <c r="C29" s="1"/>
      <c r="D29" s="1"/>
      <c r="E29" s="1"/>
      <c r="F29" s="1"/>
      <c r="G29" s="75" t="s">
        <v>5</v>
      </c>
      <c r="H29" s="98">
        <f>SUM(H21:H28)</f>
        <v>525967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76" t="s">
        <v>6</v>
      </c>
      <c r="H30" s="104">
        <f>H29*19%</f>
        <v>99933.73</v>
      </c>
      <c r="I30" s="1"/>
    </row>
    <row r="31" spans="1:16" ht="16.2" thickBot="1" x14ac:dyDescent="0.35">
      <c r="A31" s="1"/>
      <c r="B31" s="1"/>
      <c r="C31" s="1"/>
      <c r="D31" s="1"/>
      <c r="E31" s="1"/>
      <c r="F31" s="1"/>
      <c r="G31" s="77" t="s">
        <v>4</v>
      </c>
      <c r="H31" s="105">
        <f>H29+H30</f>
        <v>625900.73</v>
      </c>
      <c r="I31" s="1"/>
    </row>
    <row r="32" spans="1:16" ht="15.6" x14ac:dyDescent="0.3">
      <c r="A32" s="1"/>
      <c r="B32" s="1"/>
      <c r="C32" s="1"/>
      <c r="D32" s="1"/>
      <c r="E32" s="1"/>
      <c r="F32" s="1"/>
      <c r="G32" s="51"/>
      <c r="H32" s="92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78" t="s">
        <v>123</v>
      </c>
      <c r="C34" s="79"/>
      <c r="D34" s="80"/>
      <c r="E34" s="80"/>
      <c r="F34" s="73"/>
      <c r="G34" s="1"/>
      <c r="H34" s="1"/>
      <c r="I34" s="1"/>
    </row>
    <row r="35" spans="1:9" ht="15.6" x14ac:dyDescent="0.3">
      <c r="A35" s="1"/>
      <c r="B35" s="78" t="s">
        <v>122</v>
      </c>
      <c r="C35" s="79"/>
      <c r="D35" s="80"/>
      <c r="E35" s="80"/>
      <c r="F35" s="73"/>
      <c r="G35" s="1"/>
      <c r="H35" s="1"/>
      <c r="I35" s="1"/>
    </row>
    <row r="36" spans="1:9" ht="15.6" x14ac:dyDescent="0.3">
      <c r="A36" s="1"/>
      <c r="B36" s="1" t="s">
        <v>25</v>
      </c>
      <c r="C36" s="1"/>
      <c r="D36" s="1"/>
      <c r="E36" s="81" t="s">
        <v>26</v>
      </c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</sheetData>
  <sortState xmlns:xlrd2="http://schemas.microsoft.com/office/spreadsheetml/2017/richdata2" ref="B40">
    <sortCondition sortBy="fontColor" ref="B40" dxfId="4"/>
  </sortState>
  <mergeCells count="2">
    <mergeCell ref="F16:H16"/>
    <mergeCell ref="B19:H19"/>
  </mergeCells>
  <phoneticPr fontId="10" type="noConversion"/>
  <hyperlinks>
    <hyperlink ref="E3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2"/>
  <sheetViews>
    <sheetView tabSelected="1" zoomScaleNormal="100" workbookViewId="0">
      <selection activeCell="C27" sqref="C27:C32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08" t="s">
        <v>61</v>
      </c>
      <c r="L3" s="108"/>
      <c r="M3" s="108" t="s">
        <v>14</v>
      </c>
      <c r="N3" s="108"/>
    </row>
    <row r="4" spans="1:14" ht="15.75" customHeight="1" x14ac:dyDescent="0.3">
      <c r="A4" s="1"/>
      <c r="B4" s="1"/>
      <c r="C4" s="39" t="s">
        <v>27</v>
      </c>
      <c r="D4" s="14">
        <f>'4637'!G8</f>
        <v>7414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MUEBLES ASENJO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3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09" t="s">
        <v>61</v>
      </c>
      <c r="B10" s="109"/>
      <c r="C10" s="109"/>
      <c r="D10" s="109"/>
      <c r="E10" s="109"/>
      <c r="F10" s="10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1" t="s">
        <v>135</v>
      </c>
      <c r="B14" s="25">
        <f t="shared" ref="B14" si="0">I14</f>
        <v>1</v>
      </c>
      <c r="C14" s="16" t="s">
        <v>141</v>
      </c>
      <c r="D14" s="25">
        <f>J14+$D$13</f>
        <v>3080</v>
      </c>
      <c r="E14" s="35">
        <f t="shared" ref="E14:E15" si="1">K14+$E$13</f>
        <v>680</v>
      </c>
      <c r="F14" s="95" t="str">
        <f>C38</f>
        <v>CUB C/R R8</v>
      </c>
      <c r="G14" s="1"/>
      <c r="I14" s="85">
        <f>I27</f>
        <v>1</v>
      </c>
      <c r="J14" s="4">
        <f>J27</f>
        <v>3000</v>
      </c>
      <c r="K14" s="4">
        <f>K27</f>
        <v>710</v>
      </c>
    </row>
    <row r="15" spans="1:14" ht="15.6" x14ac:dyDescent="0.3">
      <c r="A15" s="91"/>
      <c r="B15" s="25">
        <f t="shared" ref="B15" si="2">I15</f>
        <v>1</v>
      </c>
      <c r="C15" s="16" t="s">
        <v>141</v>
      </c>
      <c r="D15" s="25">
        <f t="shared" ref="D15" si="3">J15+$D$13</f>
        <v>1080</v>
      </c>
      <c r="E15" s="35">
        <f t="shared" si="1"/>
        <v>680</v>
      </c>
      <c r="F15" s="95" t="str">
        <f t="shared" ref="F15" si="4">C39</f>
        <v>CUB C/R R8</v>
      </c>
      <c r="G15" s="1"/>
      <c r="I15" s="85">
        <f t="shared" ref="I15:K15" si="5">I28</f>
        <v>1</v>
      </c>
      <c r="J15" s="4">
        <f t="shared" si="5"/>
        <v>1000</v>
      </c>
      <c r="K15" s="4">
        <f t="shared" si="5"/>
        <v>710</v>
      </c>
    </row>
    <row r="16" spans="1:14" ht="15.6" x14ac:dyDescent="0.3">
      <c r="A16" s="91"/>
      <c r="B16" s="25">
        <f t="shared" ref="B16:B19" si="6">I16</f>
        <v>1</v>
      </c>
      <c r="C16" s="16" t="s">
        <v>141</v>
      </c>
      <c r="D16" s="25">
        <f t="shared" ref="D16:D19" si="7">J16+$D$13</f>
        <v>3580</v>
      </c>
      <c r="E16" s="35">
        <f>K16</f>
        <v>500</v>
      </c>
      <c r="F16" s="95" t="str">
        <f t="shared" ref="F16:F19" si="8">C40</f>
        <v>CUB S/R R8</v>
      </c>
      <c r="G16" s="1"/>
      <c r="I16" s="85">
        <f t="shared" ref="I16:K16" si="9">I29</f>
        <v>1</v>
      </c>
      <c r="J16" s="4">
        <f t="shared" si="9"/>
        <v>3500</v>
      </c>
      <c r="K16" s="4">
        <f t="shared" si="9"/>
        <v>500</v>
      </c>
    </row>
    <row r="17" spans="1:11" ht="15.6" x14ac:dyDescent="0.3">
      <c r="A17" s="91"/>
      <c r="B17" s="25">
        <f t="shared" si="6"/>
        <v>1</v>
      </c>
      <c r="C17" s="16" t="s">
        <v>142</v>
      </c>
      <c r="D17" s="25">
        <f t="shared" si="7"/>
        <v>2180</v>
      </c>
      <c r="E17" s="35">
        <f t="shared" ref="E16:E19" si="10">K17+$E$13</f>
        <v>570</v>
      </c>
      <c r="F17" s="95" t="str">
        <f t="shared" si="8"/>
        <v>CUB C/R R8</v>
      </c>
      <c r="G17" s="1"/>
      <c r="I17" s="85">
        <f t="shared" ref="I17:K17" si="11">I30</f>
        <v>1</v>
      </c>
      <c r="J17" s="4">
        <f t="shared" si="11"/>
        <v>2100</v>
      </c>
      <c r="K17" s="4">
        <f t="shared" si="11"/>
        <v>600</v>
      </c>
    </row>
    <row r="18" spans="1:11" ht="15.6" x14ac:dyDescent="0.3">
      <c r="A18" s="91"/>
      <c r="B18" s="25">
        <f t="shared" si="6"/>
        <v>1</v>
      </c>
      <c r="C18" s="16" t="s">
        <v>143</v>
      </c>
      <c r="D18" s="25">
        <f t="shared" si="7"/>
        <v>2330</v>
      </c>
      <c r="E18" s="35">
        <f t="shared" si="10"/>
        <v>570</v>
      </c>
      <c r="F18" s="95" t="str">
        <f t="shared" si="8"/>
        <v>CUB C/R R8</v>
      </c>
      <c r="G18" s="1"/>
      <c r="I18" s="85">
        <f t="shared" ref="I18:K18" si="12">I31</f>
        <v>1</v>
      </c>
      <c r="J18" s="4">
        <f t="shared" si="12"/>
        <v>2250</v>
      </c>
      <c r="K18" s="4">
        <f t="shared" si="12"/>
        <v>600</v>
      </c>
    </row>
    <row r="19" spans="1:11" ht="15.6" x14ac:dyDescent="0.3">
      <c r="A19" s="91"/>
      <c r="B19" s="25">
        <f t="shared" si="6"/>
        <v>1</v>
      </c>
      <c r="C19" s="16" t="s">
        <v>143</v>
      </c>
      <c r="D19" s="25">
        <f t="shared" si="7"/>
        <v>2880</v>
      </c>
      <c r="E19" s="35">
        <f t="shared" si="10"/>
        <v>570</v>
      </c>
      <c r="F19" s="95" t="str">
        <f t="shared" si="8"/>
        <v>CUB C/R R8</v>
      </c>
      <c r="G19" s="1"/>
      <c r="I19" s="85">
        <f t="shared" ref="I19:K19" si="13">I32</f>
        <v>1</v>
      </c>
      <c r="J19" s="4">
        <f t="shared" si="13"/>
        <v>2800</v>
      </c>
      <c r="K19" s="4">
        <f t="shared" si="13"/>
        <v>600</v>
      </c>
    </row>
    <row r="20" spans="1:11" ht="15.6" x14ac:dyDescent="0.3">
      <c r="A20" s="91"/>
      <c r="B20" s="122"/>
      <c r="C20" s="122"/>
      <c r="D20" s="122"/>
      <c r="E20" s="125"/>
      <c r="F20" s="123"/>
      <c r="G20" s="1"/>
      <c r="I20" s="85"/>
      <c r="J20" s="124"/>
      <c r="K20" s="124"/>
    </row>
    <row r="21" spans="1:11" ht="15.6" x14ac:dyDescent="0.3">
      <c r="A21" s="51"/>
      <c r="B21" s="6"/>
      <c r="C21" s="6"/>
      <c r="D21" s="6"/>
      <c r="E21" s="99"/>
      <c r="F21" s="6"/>
      <c r="G21" s="1"/>
      <c r="I21" s="85"/>
      <c r="J21" s="2"/>
      <c r="K21" s="2"/>
    </row>
    <row r="22" spans="1:11" ht="6.75" customHeight="1" x14ac:dyDescent="0.3">
      <c r="A22" s="1"/>
      <c r="B22" s="1"/>
      <c r="C22" s="1"/>
      <c r="D22" s="1"/>
      <c r="E22" s="1"/>
      <c r="F22" s="1"/>
      <c r="G22" s="1"/>
    </row>
    <row r="23" spans="1:11" ht="15.6" x14ac:dyDescent="0.3">
      <c r="A23" s="109" t="s">
        <v>14</v>
      </c>
      <c r="B23" s="109"/>
      <c r="C23" s="109"/>
      <c r="D23" s="109"/>
      <c r="E23" s="109"/>
      <c r="F23" s="109"/>
      <c r="G23" s="1"/>
    </row>
    <row r="24" spans="1:11" ht="10.5" customHeight="1" x14ac:dyDescent="0.3">
      <c r="A24" s="1"/>
      <c r="B24" s="1"/>
      <c r="C24" s="12"/>
      <c r="D24" s="1"/>
      <c r="E24" s="1"/>
      <c r="F24" s="1"/>
      <c r="G24" s="1"/>
    </row>
    <row r="25" spans="1:11" ht="15.6" x14ac:dyDescent="0.3">
      <c r="A25" s="1"/>
      <c r="B25" s="1"/>
      <c r="C25" s="1"/>
      <c r="D25" s="51" t="s">
        <v>7</v>
      </c>
      <c r="E25" s="51" t="s">
        <v>8</v>
      </c>
      <c r="F25" s="1"/>
      <c r="G25" s="1"/>
    </row>
    <row r="26" spans="1:11" ht="15.6" x14ac:dyDescent="0.3">
      <c r="A26" s="51" t="s">
        <v>9</v>
      </c>
      <c r="B26" s="36" t="s">
        <v>10</v>
      </c>
      <c r="C26" s="36" t="s">
        <v>11</v>
      </c>
      <c r="D26" s="21">
        <v>40</v>
      </c>
      <c r="E26" s="21">
        <v>130</v>
      </c>
      <c r="F26" s="36" t="s">
        <v>110</v>
      </c>
      <c r="G26" s="1"/>
      <c r="J26" s="5" t="s">
        <v>7</v>
      </c>
      <c r="K26" s="5" t="s">
        <v>8</v>
      </c>
    </row>
    <row r="27" spans="1:11" ht="15.6" x14ac:dyDescent="0.3">
      <c r="A27" s="91"/>
      <c r="B27" s="16">
        <f t="shared" ref="B27" si="14">I27</f>
        <v>1</v>
      </c>
      <c r="C27" s="16"/>
      <c r="D27" s="16">
        <f>J27+D$26</f>
        <v>3040</v>
      </c>
      <c r="E27" s="16">
        <f>K27+E$26</f>
        <v>840</v>
      </c>
      <c r="F27" s="96" t="str">
        <f>C38</f>
        <v>CUB C/R R8</v>
      </c>
      <c r="G27" s="1"/>
      <c r="I27" s="3">
        <f>B38</f>
        <v>1</v>
      </c>
      <c r="J27" s="4">
        <f>D38</f>
        <v>3000</v>
      </c>
      <c r="K27" s="4">
        <f t="shared" ref="K27" si="15">E38</f>
        <v>710</v>
      </c>
    </row>
    <row r="28" spans="1:11" ht="15.6" x14ac:dyDescent="0.3">
      <c r="A28" s="91"/>
      <c r="B28" s="16">
        <f t="shared" ref="B28" si="16">I28</f>
        <v>1</v>
      </c>
      <c r="C28" s="16"/>
      <c r="D28" s="16">
        <f>J28+D$26</f>
        <v>1040</v>
      </c>
      <c r="E28" s="16">
        <f>K28+E$26</f>
        <v>840</v>
      </c>
      <c r="F28" s="96" t="str">
        <f t="shared" ref="F28" si="17">C39</f>
        <v>CUB C/R R8</v>
      </c>
      <c r="G28" s="1"/>
      <c r="I28" s="3">
        <f t="shared" ref="I28" si="18">B39</f>
        <v>1</v>
      </c>
      <c r="J28" s="4">
        <f t="shared" ref="J28" si="19">D39</f>
        <v>1000</v>
      </c>
      <c r="K28" s="4">
        <f t="shared" ref="K28" si="20">E39</f>
        <v>710</v>
      </c>
    </row>
    <row r="29" spans="1:11" ht="15.6" x14ac:dyDescent="0.3">
      <c r="A29" s="91"/>
      <c r="B29" s="16">
        <f t="shared" ref="B29:B32" si="21">I29</f>
        <v>1</v>
      </c>
      <c r="C29" s="16"/>
      <c r="D29" s="16">
        <f t="shared" ref="D29:D32" si="22">J29+D$26</f>
        <v>3540</v>
      </c>
      <c r="E29" s="16">
        <v>560</v>
      </c>
      <c r="F29" s="96" t="str">
        <f t="shared" ref="F29:F32" si="23">C40</f>
        <v>CUB S/R R8</v>
      </c>
      <c r="G29" s="1"/>
      <c r="I29" s="3">
        <f t="shared" ref="I29:I32" si="24">B40</f>
        <v>1</v>
      </c>
      <c r="J29" s="4">
        <f t="shared" ref="J29:J32" si="25">D40</f>
        <v>3500</v>
      </c>
      <c r="K29" s="4">
        <f t="shared" ref="K29:K32" si="26">E40</f>
        <v>500</v>
      </c>
    </row>
    <row r="30" spans="1:11" ht="15.6" x14ac:dyDescent="0.3">
      <c r="A30" s="91"/>
      <c r="B30" s="16">
        <f t="shared" si="21"/>
        <v>1</v>
      </c>
      <c r="C30" s="16"/>
      <c r="D30" s="16">
        <f t="shared" si="22"/>
        <v>2140</v>
      </c>
      <c r="E30" s="16">
        <f>K30+E$26</f>
        <v>730</v>
      </c>
      <c r="F30" s="96" t="str">
        <f t="shared" si="23"/>
        <v>CUB C/R R8</v>
      </c>
      <c r="G30" s="1"/>
      <c r="I30" s="3">
        <f t="shared" si="24"/>
        <v>1</v>
      </c>
      <c r="J30" s="4">
        <f t="shared" si="25"/>
        <v>2100</v>
      </c>
      <c r="K30" s="4">
        <f t="shared" si="26"/>
        <v>600</v>
      </c>
    </row>
    <row r="31" spans="1:11" ht="15.6" x14ac:dyDescent="0.3">
      <c r="A31" s="91"/>
      <c r="B31" s="16">
        <f t="shared" si="21"/>
        <v>1</v>
      </c>
      <c r="C31" s="16"/>
      <c r="D31" s="16">
        <f t="shared" si="22"/>
        <v>2290</v>
      </c>
      <c r="E31" s="16">
        <f>K31+E$26</f>
        <v>730</v>
      </c>
      <c r="F31" s="96" t="str">
        <f t="shared" si="23"/>
        <v>CUB C/R R8</v>
      </c>
      <c r="G31" s="1"/>
      <c r="I31" s="3">
        <f t="shared" si="24"/>
        <v>1</v>
      </c>
      <c r="J31" s="4">
        <f t="shared" si="25"/>
        <v>2250</v>
      </c>
      <c r="K31" s="4">
        <f t="shared" si="26"/>
        <v>600</v>
      </c>
    </row>
    <row r="32" spans="1:11" ht="15.6" x14ac:dyDescent="0.3">
      <c r="A32" s="91"/>
      <c r="B32" s="16">
        <f t="shared" si="21"/>
        <v>1</v>
      </c>
      <c r="C32" s="16"/>
      <c r="D32" s="16">
        <f t="shared" si="22"/>
        <v>2840</v>
      </c>
      <c r="E32" s="16">
        <f>K32+E$26</f>
        <v>730</v>
      </c>
      <c r="F32" s="96" t="str">
        <f t="shared" si="23"/>
        <v>CUB C/R R8</v>
      </c>
      <c r="G32" s="1"/>
      <c r="I32" s="3">
        <f t="shared" si="24"/>
        <v>1</v>
      </c>
      <c r="J32" s="4">
        <f t="shared" si="25"/>
        <v>2800</v>
      </c>
      <c r="K32" s="4">
        <f t="shared" si="26"/>
        <v>600</v>
      </c>
    </row>
    <row r="33" spans="1:11" ht="15.6" x14ac:dyDescent="0.3">
      <c r="A33" s="91"/>
      <c r="B33" s="6"/>
      <c r="C33" s="6"/>
      <c r="D33" s="6"/>
      <c r="E33" s="6"/>
      <c r="F33" s="101"/>
      <c r="G33" s="1"/>
      <c r="I33" s="85"/>
      <c r="J33" s="2"/>
      <c r="K33" s="2"/>
    </row>
    <row r="34" spans="1:11" ht="16.2" thickBot="1" x14ac:dyDescent="0.35">
      <c r="A34" s="51"/>
      <c r="B34" s="6"/>
      <c r="C34" s="6"/>
      <c r="D34" s="6"/>
      <c r="E34" s="6"/>
      <c r="F34" s="6"/>
      <c r="G34" s="1"/>
      <c r="I34" s="2"/>
      <c r="J34" s="2"/>
      <c r="K34" s="2"/>
    </row>
    <row r="35" spans="1:11" ht="16.2" thickBot="1" x14ac:dyDescent="0.35">
      <c r="A35" s="51"/>
      <c r="B35" s="22" t="s">
        <v>107</v>
      </c>
      <c r="C35" s="23"/>
      <c r="D35" s="23"/>
      <c r="E35" s="23"/>
      <c r="F35" s="24"/>
      <c r="G35" s="1"/>
      <c r="I35" s="2"/>
      <c r="J35" s="2"/>
      <c r="K35" s="2"/>
    </row>
    <row r="36" spans="1:11" ht="10.5" customHeight="1" x14ac:dyDescent="0.3">
      <c r="A36" s="1"/>
      <c r="B36" s="1"/>
      <c r="C36" s="1"/>
      <c r="D36" s="1"/>
      <c r="E36" s="1"/>
      <c r="F36" s="1"/>
      <c r="G36" s="1"/>
    </row>
    <row r="37" spans="1:11" ht="15.6" x14ac:dyDescent="0.3">
      <c r="A37" s="51" t="s">
        <v>9</v>
      </c>
      <c r="B37" s="84" t="s">
        <v>10</v>
      </c>
      <c r="C37" s="84" t="s">
        <v>110</v>
      </c>
      <c r="D37" s="84" t="s">
        <v>7</v>
      </c>
      <c r="E37" s="84" t="s">
        <v>8</v>
      </c>
      <c r="F37" s="84" t="s">
        <v>23</v>
      </c>
      <c r="G37" s="1"/>
    </row>
    <row r="38" spans="1:11" ht="15.6" x14ac:dyDescent="0.3">
      <c r="A38" s="91" t="s">
        <v>135</v>
      </c>
      <c r="B38" s="25">
        <f>'4637'!B21</f>
        <v>1</v>
      </c>
      <c r="C38" s="95" t="str">
        <f>'4637'!C21</f>
        <v>CUB C/R R8</v>
      </c>
      <c r="D38" s="25">
        <f>'4637'!D21</f>
        <v>3000</v>
      </c>
      <c r="E38" s="25">
        <f>'4637'!E21</f>
        <v>710</v>
      </c>
      <c r="F38" s="25" t="str">
        <f>'4637'!F21</f>
        <v>GLACIAL WHITE 22191 SF</v>
      </c>
      <c r="G38" s="1"/>
    </row>
    <row r="39" spans="1:11" ht="15.6" x14ac:dyDescent="0.3">
      <c r="A39" s="91"/>
      <c r="B39" s="25">
        <f>'4637'!B22</f>
        <v>1</v>
      </c>
      <c r="C39" s="95" t="str">
        <f>'4637'!C22</f>
        <v>CUB C/R R8</v>
      </c>
      <c r="D39" s="25">
        <f>'4637'!D22</f>
        <v>1000</v>
      </c>
      <c r="E39" s="25">
        <f>'4637'!E22</f>
        <v>710</v>
      </c>
      <c r="F39" s="25" t="str">
        <f>'4637'!F22</f>
        <v>GLACIAL WHITE 22191 SF</v>
      </c>
      <c r="G39" s="1"/>
    </row>
    <row r="40" spans="1:11" ht="15.6" x14ac:dyDescent="0.3">
      <c r="A40" s="91"/>
      <c r="B40" s="25">
        <f>'4637'!B23</f>
        <v>1</v>
      </c>
      <c r="C40" s="95" t="str">
        <f>'4637'!C23</f>
        <v>CUB S/R R8</v>
      </c>
      <c r="D40" s="25">
        <f>'4637'!D23</f>
        <v>3500</v>
      </c>
      <c r="E40" s="25">
        <f>'4637'!E23</f>
        <v>500</v>
      </c>
      <c r="F40" s="25" t="str">
        <f>'4637'!F23</f>
        <v>GLACIAL WHITE 22191 SF</v>
      </c>
      <c r="G40" s="1"/>
    </row>
    <row r="41" spans="1:11" ht="15.6" x14ac:dyDescent="0.3">
      <c r="A41" s="91"/>
      <c r="B41" s="25">
        <f>'4637'!B24</f>
        <v>1</v>
      </c>
      <c r="C41" s="95" t="str">
        <f>'4637'!C24</f>
        <v>CUB C/R R8</v>
      </c>
      <c r="D41" s="25">
        <f>'4637'!D24</f>
        <v>2100</v>
      </c>
      <c r="E41" s="25">
        <f>'4637'!E24</f>
        <v>600</v>
      </c>
      <c r="F41" s="25" t="str">
        <f>'4637'!F24</f>
        <v>GLACIAL WHITE 22191 SF</v>
      </c>
      <c r="G41" s="1"/>
    </row>
    <row r="42" spans="1:11" ht="15.6" x14ac:dyDescent="0.3">
      <c r="A42" s="91"/>
      <c r="B42" s="25">
        <f>'4637'!B25</f>
        <v>1</v>
      </c>
      <c r="C42" s="95" t="str">
        <f>'4637'!C25</f>
        <v>CUB C/R R8</v>
      </c>
      <c r="D42" s="25">
        <f>'4637'!D25</f>
        <v>2250</v>
      </c>
      <c r="E42" s="25">
        <f>'4637'!E25</f>
        <v>600</v>
      </c>
      <c r="F42" s="25" t="str">
        <f>'4637'!F25</f>
        <v>GLACIAL WHITE 22191 SF</v>
      </c>
      <c r="G42" s="1"/>
    </row>
    <row r="43" spans="1:11" ht="15.6" x14ac:dyDescent="0.3">
      <c r="A43" s="91"/>
      <c r="B43" s="25">
        <f>'4637'!B26</f>
        <v>1</v>
      </c>
      <c r="C43" s="95" t="str">
        <f>'4637'!C26</f>
        <v>CUB C/R R8</v>
      </c>
      <c r="D43" s="25">
        <f>'4637'!D26</f>
        <v>2800</v>
      </c>
      <c r="E43" s="25">
        <f>'4637'!E26</f>
        <v>600</v>
      </c>
      <c r="F43" s="25" t="str">
        <f>'4637'!F26</f>
        <v>GLACIAL WHITE 22191 SF</v>
      </c>
      <c r="G43" s="1"/>
    </row>
    <row r="44" spans="1:11" ht="15.6" x14ac:dyDescent="0.3">
      <c r="A44" s="91"/>
      <c r="B44" s="6"/>
      <c r="C44" s="101"/>
      <c r="D44" s="6"/>
      <c r="E44" s="6"/>
      <c r="F44" s="6"/>
      <c r="G44" s="1"/>
    </row>
    <row r="45" spans="1:11" ht="15.6" x14ac:dyDescent="0.3">
      <c r="A45" s="1"/>
      <c r="B45" s="6"/>
      <c r="C45" s="6"/>
      <c r="D45" s="6"/>
      <c r="E45" s="6"/>
      <c r="F45" s="6"/>
      <c r="G45" s="1"/>
    </row>
    <row r="46" spans="1:11" ht="15.6" x14ac:dyDescent="0.3">
      <c r="A46" s="1"/>
      <c r="B46" s="6"/>
      <c r="C46" s="6"/>
      <c r="D46" s="6"/>
      <c r="E46" s="6"/>
      <c r="F46" s="6"/>
      <c r="G46" s="1"/>
    </row>
    <row r="47" spans="1:11" ht="15.6" x14ac:dyDescent="0.3">
      <c r="A47" s="1"/>
      <c r="B47" s="6"/>
      <c r="C47" s="6"/>
      <c r="D47" s="6"/>
      <c r="E47" s="6"/>
      <c r="F47" s="6"/>
      <c r="G47" s="1"/>
    </row>
    <row r="48" spans="1:11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6"/>
      <c r="C49" s="6"/>
      <c r="D49" s="6"/>
      <c r="E49" s="6"/>
      <c r="F49" s="6"/>
      <c r="G49" s="1"/>
    </row>
    <row r="50" spans="1:7" ht="15.6" x14ac:dyDescent="0.3">
      <c r="A50" s="1"/>
      <c r="B50" s="6"/>
      <c r="C50" s="6"/>
      <c r="D50" s="6"/>
      <c r="E50" s="6"/>
      <c r="F50" s="6"/>
      <c r="G50" s="1"/>
    </row>
    <row r="51" spans="1:7" ht="15.6" x14ac:dyDescent="0.3">
      <c r="A51" s="1"/>
      <c r="B51" s="6"/>
      <c r="C51" s="6"/>
      <c r="D51" s="6"/>
      <c r="E51" s="6"/>
      <c r="F51" s="6"/>
      <c r="G51" s="1"/>
    </row>
    <row r="52" spans="1:7" ht="15.6" x14ac:dyDescent="0.3">
      <c r="A52" s="1"/>
      <c r="B52" s="6"/>
      <c r="C52" s="6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39" t="s">
        <v>27</v>
      </c>
      <c r="D54" s="14">
        <f>'4637'!G8</f>
        <v>7414</v>
      </c>
      <c r="E54" s="1"/>
      <c r="F54" s="1"/>
      <c r="G54" s="1"/>
    </row>
    <row r="55" spans="1:7" ht="17.25" customHeight="1" x14ac:dyDescent="0.3">
      <c r="A55" s="1"/>
      <c r="B55" s="1"/>
      <c r="C55" s="40" t="s">
        <v>67</v>
      </c>
      <c r="D55" s="41" t="str">
        <f>'4637'!C10</f>
        <v>MUEBLES ASENJO</v>
      </c>
      <c r="E55" s="42"/>
      <c r="F55" s="42"/>
      <c r="G55" s="1"/>
    </row>
    <row r="56" spans="1:7" ht="4.5" customHeight="1" x14ac:dyDescent="0.3">
      <c r="A56" s="1"/>
      <c r="B56" s="1"/>
      <c r="C56" s="43"/>
      <c r="D56" s="44"/>
      <c r="E56" s="1"/>
      <c r="F56" s="1"/>
      <c r="G56" s="1"/>
    </row>
    <row r="57" spans="1:7" ht="15.6" x14ac:dyDescent="0.3">
      <c r="A57" s="1"/>
      <c r="B57" s="1"/>
      <c r="C57" s="45" t="str">
        <f>'4637'!F11</f>
        <v>FECHA LIMITE :</v>
      </c>
      <c r="D57" s="13">
        <f>'4637'!G11</f>
        <v>0</v>
      </c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09" t="s">
        <v>68</v>
      </c>
      <c r="B60" s="109"/>
      <c r="C60" s="109"/>
      <c r="D60" s="109"/>
      <c r="E60" s="109"/>
      <c r="F60" s="109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75" customHeight="1" x14ac:dyDescent="0.3">
      <c r="A62" s="1"/>
      <c r="B62" s="110" t="s">
        <v>69</v>
      </c>
      <c r="C62" s="111"/>
      <c r="D62" s="112"/>
      <c r="E62" s="112"/>
      <c r="F62" s="113"/>
      <c r="G62" s="1"/>
    </row>
    <row r="63" spans="1:7" s="15" customFormat="1" ht="12.75" customHeight="1" x14ac:dyDescent="0.3">
      <c r="A63" s="1"/>
      <c r="B63" s="36" t="s">
        <v>10</v>
      </c>
      <c r="C63" s="46" t="s">
        <v>11</v>
      </c>
      <c r="D63" s="47" t="s">
        <v>7</v>
      </c>
      <c r="E63" s="47" t="s">
        <v>8</v>
      </c>
      <c r="F63" s="48" t="s">
        <v>12</v>
      </c>
      <c r="G63" s="1"/>
    </row>
    <row r="64" spans="1:7" s="15" customFormat="1" ht="15" customHeight="1" x14ac:dyDescent="0.3">
      <c r="A64" s="91" t="s">
        <v>135</v>
      </c>
      <c r="B64" s="38">
        <f>'4637'!B21</f>
        <v>1</v>
      </c>
      <c r="C64" s="94" t="str">
        <f>'4637'!C21</f>
        <v>CUB C/R R8</v>
      </c>
      <c r="D64" s="94">
        <f>'4637'!D21</f>
        <v>3000</v>
      </c>
      <c r="E64" s="94">
        <f>'4637'!E21</f>
        <v>710</v>
      </c>
      <c r="F64" s="94" t="str">
        <f>'4637'!F21</f>
        <v>GLACIAL WHITE 22191 SF</v>
      </c>
      <c r="G64" s="1"/>
    </row>
    <row r="65" spans="1:7" s="15" customFormat="1" ht="15" customHeight="1" x14ac:dyDescent="0.3">
      <c r="A65" s="91"/>
      <c r="B65" s="38">
        <f>'4637'!B22</f>
        <v>1</v>
      </c>
      <c r="C65" s="94" t="str">
        <f>'4637'!C22</f>
        <v>CUB C/R R8</v>
      </c>
      <c r="D65" s="94">
        <f>'4637'!D22</f>
        <v>1000</v>
      </c>
      <c r="E65" s="94">
        <f>'4637'!E22</f>
        <v>710</v>
      </c>
      <c r="F65" s="94" t="str">
        <f>'4637'!F22</f>
        <v>GLACIAL WHITE 22191 SF</v>
      </c>
      <c r="G65" s="1"/>
    </row>
    <row r="66" spans="1:7" s="15" customFormat="1" ht="15" customHeight="1" x14ac:dyDescent="0.3">
      <c r="A66" s="91"/>
      <c r="B66" s="38">
        <f>'4637'!B23</f>
        <v>1</v>
      </c>
      <c r="C66" s="94" t="str">
        <f>'4637'!C23</f>
        <v>CUB S/R R8</v>
      </c>
      <c r="D66" s="94">
        <f>'4637'!D23</f>
        <v>3500</v>
      </c>
      <c r="E66" s="94">
        <f>'4637'!E23</f>
        <v>500</v>
      </c>
      <c r="F66" s="94" t="str">
        <f>'4637'!F23</f>
        <v>GLACIAL WHITE 22191 SF</v>
      </c>
      <c r="G66" s="1"/>
    </row>
    <row r="67" spans="1:7" s="15" customFormat="1" ht="15" customHeight="1" x14ac:dyDescent="0.3">
      <c r="A67" s="91"/>
      <c r="B67" s="38">
        <f>'4637'!B24</f>
        <v>1</v>
      </c>
      <c r="C67" s="94" t="str">
        <f>'4637'!C24</f>
        <v>CUB C/R R8</v>
      </c>
      <c r="D67" s="94">
        <f>'4637'!D24</f>
        <v>2100</v>
      </c>
      <c r="E67" s="94">
        <f>'4637'!E24</f>
        <v>600</v>
      </c>
      <c r="F67" s="94" t="str">
        <f>'4637'!F24</f>
        <v>GLACIAL WHITE 22191 SF</v>
      </c>
      <c r="G67" s="1"/>
    </row>
    <row r="68" spans="1:7" s="15" customFormat="1" ht="15" customHeight="1" x14ac:dyDescent="0.3">
      <c r="A68" s="91"/>
      <c r="B68" s="38">
        <f>'4637'!B25</f>
        <v>1</v>
      </c>
      <c r="C68" s="94" t="str">
        <f>'4637'!C25</f>
        <v>CUB C/R R8</v>
      </c>
      <c r="D68" s="94">
        <f>'4637'!D25</f>
        <v>2250</v>
      </c>
      <c r="E68" s="94">
        <f>'4637'!E25</f>
        <v>600</v>
      </c>
      <c r="F68" s="94" t="str">
        <f>'4637'!F25</f>
        <v>GLACIAL WHITE 22191 SF</v>
      </c>
      <c r="G68" s="1"/>
    </row>
    <row r="69" spans="1:7" s="15" customFormat="1" ht="15" customHeight="1" x14ac:dyDescent="0.3">
      <c r="A69" s="91"/>
      <c r="B69" s="38">
        <f>'4637'!B26</f>
        <v>1</v>
      </c>
      <c r="C69" s="94" t="str">
        <f>'4637'!C26</f>
        <v>CUB C/R R8</v>
      </c>
      <c r="D69" s="94">
        <f>'4637'!D26</f>
        <v>2800</v>
      </c>
      <c r="E69" s="94">
        <f>'4637'!E26</f>
        <v>600</v>
      </c>
      <c r="F69" s="94" t="str">
        <f>'4637'!F26</f>
        <v>GLACIAL WHITE 22191 SF</v>
      </c>
      <c r="G69" s="1"/>
    </row>
    <row r="70" spans="1:7" s="15" customFormat="1" ht="15" customHeight="1" x14ac:dyDescent="0.3">
      <c r="B70" s="51"/>
      <c r="C70" s="100"/>
      <c r="D70" s="51"/>
      <c r="E70" s="51"/>
      <c r="F70" s="51"/>
      <c r="G70" s="1"/>
    </row>
    <row r="71" spans="1:7" s="15" customFormat="1" ht="15" customHeight="1" x14ac:dyDescent="0.3">
      <c r="A71" s="49"/>
      <c r="B71" s="51"/>
      <c r="C71" s="51"/>
      <c r="D71" s="51"/>
      <c r="E71" s="51"/>
      <c r="F71" s="51"/>
      <c r="G71" s="1"/>
    </row>
    <row r="72" spans="1:7" ht="15.6" x14ac:dyDescent="0.3">
      <c r="A72" s="6"/>
      <c r="B72" s="6"/>
      <c r="C72" s="1"/>
      <c r="D72" s="6"/>
      <c r="E72" s="6"/>
      <c r="F72" s="43"/>
      <c r="G72" s="1"/>
    </row>
    <row r="73" spans="1:7" ht="15.6" x14ac:dyDescent="0.3">
      <c r="A73" s="6"/>
      <c r="B73" s="6"/>
      <c r="C73" s="1"/>
      <c r="D73" s="6"/>
      <c r="E73" s="6"/>
      <c r="F73" s="6"/>
      <c r="G73" s="1"/>
    </row>
    <row r="74" spans="1:7" ht="15.6" x14ac:dyDescent="0.3">
      <c r="A74" s="1"/>
      <c r="B74" s="1"/>
      <c r="C74" s="1"/>
      <c r="D74" s="1"/>
      <c r="E74" s="1"/>
      <c r="F74" s="1"/>
      <c r="G74" s="1"/>
    </row>
    <row r="75" spans="1:7" ht="15.6" x14ac:dyDescent="0.3">
      <c r="A75" s="1"/>
      <c r="B75" s="1"/>
      <c r="C75" s="1"/>
      <c r="D75" s="1"/>
      <c r="E75" s="1"/>
      <c r="F75" s="1"/>
      <c r="G75" s="1"/>
    </row>
    <row r="76" spans="1:7" ht="15.6" x14ac:dyDescent="0.3">
      <c r="A76" s="1"/>
      <c r="B76" s="1"/>
      <c r="C76" s="1"/>
      <c r="D76" s="1"/>
      <c r="E76" s="1"/>
      <c r="F76" s="1"/>
      <c r="G76" s="1"/>
    </row>
    <row r="77" spans="1:7" ht="15" customHeight="1" x14ac:dyDescent="0.3">
      <c r="A77" s="1"/>
      <c r="B77" s="1"/>
      <c r="C77" s="1"/>
      <c r="D77" s="1"/>
      <c r="E77" s="1"/>
      <c r="F77" s="1"/>
      <c r="G77" s="1"/>
    </row>
    <row r="78" spans="1:7" ht="15.6" x14ac:dyDescent="0.3">
      <c r="A78" s="1"/>
      <c r="B78" s="1"/>
      <c r="C78" s="1"/>
      <c r="D78" s="1"/>
      <c r="E78" s="1"/>
      <c r="F78" s="1"/>
      <c r="G78" s="1"/>
    </row>
    <row r="79" spans="1:7" ht="15.6" x14ac:dyDescent="0.3">
      <c r="A79" s="6"/>
      <c r="B79" s="50"/>
      <c r="C79" s="1"/>
      <c r="D79" s="1"/>
      <c r="E79" s="1"/>
      <c r="F79" s="1"/>
      <c r="G79" s="1"/>
    </row>
    <row r="80" spans="1:7" ht="15.6" x14ac:dyDescent="0.3">
      <c r="A80" s="1"/>
      <c r="B80" s="1"/>
      <c r="C80" s="1"/>
      <c r="D80" s="1"/>
      <c r="E80" s="1"/>
      <c r="F80" s="1"/>
      <c r="G80" s="1"/>
    </row>
    <row r="81" spans="2:6" x14ac:dyDescent="0.3">
      <c r="B81" s="20"/>
      <c r="C81" s="20"/>
      <c r="D81" s="20"/>
      <c r="E81" s="20"/>
      <c r="F81" s="20"/>
    </row>
    <row r="82" spans="2:6" x14ac:dyDescent="0.3">
      <c r="B82" s="20"/>
      <c r="C82" s="20"/>
      <c r="E82" s="20"/>
      <c r="F82" s="20"/>
    </row>
  </sheetData>
  <mergeCells count="6">
    <mergeCell ref="M3:N3"/>
    <mergeCell ref="A23:F23"/>
    <mergeCell ref="A10:F10"/>
    <mergeCell ref="A60:F60"/>
    <mergeCell ref="B62:F62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2026-02-04T12:27:43Z</cp:lastPrinted>
  <dcterms:created xsi:type="dcterms:W3CDTF">2013-03-19T12:54:14Z</dcterms:created>
  <dcterms:modified xsi:type="dcterms:W3CDTF">2026-03-24T14:24:42Z</dcterms:modified>
</cp:coreProperties>
</file>