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3B9AAE62-0E89-4009-9CB7-B90D49FE9CDF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'4637'!$B$1:$I$34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4" l="1"/>
  <c r="B26" i="4" l="1"/>
  <c r="B38" i="3" l="1"/>
  <c r="I28" i="3" s="1"/>
  <c r="C38" i="3"/>
  <c r="F28" i="3" s="1"/>
  <c r="D38" i="3"/>
  <c r="J28" i="3" s="1"/>
  <c r="D28" i="3" s="1"/>
  <c r="E38" i="3"/>
  <c r="K28" i="3" s="1"/>
  <c r="E28" i="3" s="1"/>
  <c r="F38" i="3"/>
  <c r="B39" i="3"/>
  <c r="I29" i="3" s="1"/>
  <c r="C39" i="3"/>
  <c r="F29" i="3" s="1"/>
  <c r="D39" i="3"/>
  <c r="J29" i="3" s="1"/>
  <c r="D29" i="3" s="1"/>
  <c r="E39" i="3"/>
  <c r="K29" i="3" s="1"/>
  <c r="E29" i="3" s="1"/>
  <c r="F39" i="3"/>
  <c r="B40" i="3"/>
  <c r="I30" i="3" s="1"/>
  <c r="C40" i="3"/>
  <c r="F30" i="3" s="1"/>
  <c r="D40" i="3"/>
  <c r="J30" i="3" s="1"/>
  <c r="D30" i="3" s="1"/>
  <c r="E40" i="3"/>
  <c r="K30" i="3" s="1"/>
  <c r="E30" i="3" s="1"/>
  <c r="F40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I25" i="4"/>
  <c r="I24" i="4"/>
  <c r="I23" i="4"/>
  <c r="I22" i="4"/>
  <c r="B37" i="3"/>
  <c r="C37" i="3"/>
  <c r="F27" i="3" s="1"/>
  <c r="D37" i="3"/>
  <c r="J27" i="3" s="1"/>
  <c r="D27" i="3" s="1"/>
  <c r="E37" i="3"/>
  <c r="K27" i="3" s="1"/>
  <c r="E27" i="3" s="1"/>
  <c r="F37" i="3"/>
  <c r="B61" i="3"/>
  <c r="C61" i="3"/>
  <c r="D61" i="3"/>
  <c r="E61" i="3"/>
  <c r="F61" i="3"/>
  <c r="B30" i="3" l="1"/>
  <c r="I17" i="3"/>
  <c r="B17" i="3" s="1"/>
  <c r="B29" i="3"/>
  <c r="I16" i="3"/>
  <c r="B16" i="3" s="1"/>
  <c r="B28" i="3"/>
  <c r="I15" i="3"/>
  <c r="B15" i="3" s="1"/>
  <c r="B65" i="3"/>
  <c r="I27" i="3"/>
  <c r="B41" i="3"/>
  <c r="K17" i="3"/>
  <c r="E17" i="3" s="1"/>
  <c r="F15" i="3"/>
  <c r="F17" i="3"/>
  <c r="F16" i="3"/>
  <c r="K16" i="3"/>
  <c r="E16" i="3" s="1"/>
  <c r="K15" i="3"/>
  <c r="E15" i="3" s="1"/>
  <c r="J17" i="3"/>
  <c r="D17" i="3" s="1"/>
  <c r="J16" i="3"/>
  <c r="D16" i="3" s="1"/>
  <c r="J15" i="3"/>
  <c r="D15" i="3" s="1"/>
  <c r="K14" i="3"/>
  <c r="E14" i="3" s="1"/>
  <c r="J14" i="3"/>
  <c r="D14" i="3" s="1"/>
  <c r="F14" i="3"/>
  <c r="B27" i="3" l="1"/>
  <c r="B31" i="3" s="1"/>
  <c r="I14" i="3"/>
  <c r="B14" i="3" s="1"/>
  <c r="B18" i="3" s="1"/>
  <c r="I28" i="4"/>
  <c r="I29" i="4" l="1"/>
  <c r="N5" i="3" l="1"/>
  <c r="M5" i="3" l="1"/>
  <c r="L5" i="3"/>
  <c r="K5" i="3"/>
  <c r="C54" i="3" l="1"/>
  <c r="C7" i="3"/>
  <c r="D52" i="3"/>
  <c r="D5" i="3"/>
  <c r="D54" i="3"/>
  <c r="D7" i="3"/>
  <c r="D51" i="3"/>
  <c r="D4" i="3"/>
</calcChain>
</file>

<file path=xl/sharedStrings.xml><?xml version="1.0" encoding="utf-8"?>
<sst xmlns="http://schemas.openxmlformats.org/spreadsheetml/2006/main" count="257" uniqueCount="146">
  <si>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</si>
  <si>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</si>
  <si>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</si>
  <si>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</si>
  <si>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</si>
  <si>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</si>
  <si>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</si>
  <si>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</si>
  <si>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</si>
  <si>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</si>
  <si>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</si>
  <si>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</si>
  <si>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</si>
  <si>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</si>
  <si>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</si>
  <si>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</si>
  <si>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</si>
  <si>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</si>
  <si>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</si>
  <si>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</si>
  <si>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</si>
  <si>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</si>
  <si>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</si>
  <si>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</si>
  <si>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</si>
  <si>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</si>
  <si>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</si>
  <si>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</si>
  <si>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</si>
  <si>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</si>
  <si>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</si>
  <si>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</si>
  <si>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</si>
  <si>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</si>
  <si>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</si>
  <si>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</si>
  <si>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</si>
  <si>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</si>
  <si>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</si>
  <si>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</si>
  <si>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</si>
  <si>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</si>
  <si>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</si>
  <si>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</si>
  <si>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</si>
  <si>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</si>
  <si>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</si>
  <si>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</si>
  <si>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</si>
  <si>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</si>
  <si>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</si>
  <si>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</si>
  <si>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</si>
  <si>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</si>
  <si>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</si>
  <si>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</si>
  <si>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</si>
  <si>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</si>
  <si>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</si>
  <si>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</si>
  <si>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</si>
  <si>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</si>
  <si>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</si>
  <si>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</si>
  <si>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</si>
  <si>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</si>
  <si>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</si>
  <si>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</si>
  <si>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</si>
  <si>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</si>
  <si>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</si>
  <si>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</si>
  <si>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</si>
  <si>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</si>
  <si>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</si>
  <si>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</si>
  <si>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</si>
  <si>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</si>
  <si>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</si>
  <si>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</si>
  <si>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</si>
  <si>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</si>
  <si>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</si>
  <si>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</si>
  <si>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</si>
  <si>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</si>
  <si>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</si>
  <si>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</si>
  <si>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</si>
  <si>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</si>
  <si>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</si>
  <si>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</si>
  <si>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</si>
  <si>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</si>
  <si>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</si>
  <si>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</si>
  <si>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</si>
  <si>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</si>
  <si>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</si>
  <si>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</si>
  <si>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</si>
  <si>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</si>
  <si>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</si>
  <si>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</si>
  <si>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</si>
  <si>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</si>
  <si>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</si>
  <si>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</si>
  <si>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</si>
  <si>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</si>
  <si>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</si>
  <si>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</si>
  <si>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</si>
  <si>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</si>
  <si>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</si>
  <si>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</si>
  <si>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</si>
  <si>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</si>
  <si>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</si>
  <si>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</si>
  <si>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</si>
  <si>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</si>
  <si>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</si>
  <si>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</si>
  <si>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</si>
  <si>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</si>
  <si>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</si>
  <si>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</si>
  <si>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</si>
  <si>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</si>
  <si>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</si>
  <si>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</si>
  <si>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CONTADO</t>
  </si>
  <si>
    <t>FCA DE MUEBLES</t>
  </si>
  <si>
    <t>N° 11821</t>
  </si>
  <si>
    <t>NO</t>
  </si>
  <si>
    <t>MOBILINARES SPA</t>
  </si>
  <si>
    <t>77.099.452-7</t>
  </si>
  <si>
    <t>GONZALO PEÑA</t>
  </si>
  <si>
    <t>LINARES</t>
  </si>
  <si>
    <t>E/R 1 CARA</t>
  </si>
  <si>
    <t>SHELL WHITE 22011 SF</t>
  </si>
  <si>
    <t>TAPACANTO</t>
  </si>
  <si>
    <t>4L</t>
  </si>
  <si>
    <t>MELAMIL 18MM</t>
  </si>
  <si>
    <t>E/R 1 CARA REPOSICION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</si>
</sst>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4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3" fillId="0" borderId="2" xfId="0" applyNumberFormat="1" applyFont="1" applyBorder="1" applyAlignment="1">
      <alignment horizontal="center" vertical="center"/>
    </xf>
    <xf numFmtId="0" fontId="15" fillId="3" borderId="0" xfId="0" applyFont="1" applyFill="1"/>
    <xf numFmtId="0" fontId="6" fillId="3" borderId="0" xfId="2" applyFill="1"/>
    <xf numFmtId="0" fontId="17" fillId="0" borderId="9" xfId="2" applyFont="1" applyFill="1" applyBorder="1" applyAlignment="1">
      <alignment horizontal="left"/>
    </xf>
    <xf numFmtId="0" fontId="18" fillId="3" borderId="0" xfId="0" applyFont="1" applyFill="1"/>
    <xf numFmtId="0" fontId="14" fillId="3" borderId="4" xfId="0" applyFont="1" applyFill="1" applyBorder="1"/>
    <xf numFmtId="0" fontId="15" fillId="0" borderId="0" xfId="0" applyFont="1"/>
    <xf numFmtId="0" fontId="19" fillId="3" borderId="0" xfId="0" applyFont="1" applyFill="1"/>
    <xf numFmtId="0" fontId="16" fillId="0" borderId="0" xfId="0" quotePrefix="1" applyFont="1" applyAlignment="1">
      <alignment horizontal="left"/>
    </xf>
    <xf numFmtId="0" fontId="18" fillId="8" borderId="32" xfId="0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</xdr:colOff>
      <xdr:row>27</xdr:row>
      <xdr:rowOff>169545</xdr:rowOff>
    </xdr:from>
    <xdr:to>
      <xdr:col>6</xdr:col>
      <xdr:colOff>1337310</xdr:colOff>
      <xdr:row>32</xdr:row>
      <xdr:rowOff>78105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6210" y="10974705"/>
          <a:ext cx="592074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21</xdr:row>
      <xdr:rowOff>76200</xdr:rowOff>
    </xdr:from>
    <xdr:to>
      <xdr:col>5</xdr:col>
      <xdr:colOff>1676399</xdr:colOff>
      <xdr:row>23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55</xdr:row>
      <xdr:rowOff>171450</xdr:rowOff>
    </xdr:from>
    <xdr:to>
      <xdr:col>5</xdr:col>
      <xdr:colOff>1685924</xdr:colOff>
      <xdr:row>57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38100</xdr:rowOff>
    </xdr:from>
    <xdr:to>
      <xdr:col>6</xdr:col>
      <xdr:colOff>0</xdr:colOff>
      <xdr:row>52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1019175</xdr:colOff>
      <xdr:row>66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0</xdr:rowOff>
    </xdr:from>
    <xdr:to>
      <xdr:col>3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447675</xdr:colOff>
      <xdr:row>66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66</xdr:row>
      <xdr:rowOff>190500</xdr:rowOff>
    </xdr:from>
    <xdr:to>
      <xdr:col>2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66</xdr:row>
      <xdr:rowOff>190500</xdr:rowOff>
    </xdr:from>
    <xdr:to>
      <xdr:col>2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190500</xdr:rowOff>
    </xdr:from>
    <xdr:to>
      <xdr:col>3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190500</xdr:rowOff>
    </xdr:from>
    <xdr:to>
      <xdr:col>4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190500</xdr:rowOff>
    </xdr:from>
    <xdr:to>
      <xdr:col>5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190500</xdr:rowOff>
    </xdr:from>
    <xdr:to>
      <xdr:col>6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42</xdr:row>
      <xdr:rowOff>15239</xdr:rowOff>
    </xdr:from>
    <xdr:to>
      <xdr:col>6</xdr:col>
      <xdr:colOff>68580</xdr:colOff>
      <xdr:row>46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TERMINADAS ,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INCLUYE EL TAPACANTO DE PVC DE 1,5MM ES DECIR HAY QUE DESCONTAR LOS 3MM EN EL CORTE , DUDAS ME CONSUNTAN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32</xdr:row>
      <xdr:rowOff>200025</xdr:rowOff>
    </xdr:from>
    <xdr:to>
      <xdr:col>6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69</xdr:row>
      <xdr:rowOff>32385</xdr:rowOff>
    </xdr:from>
    <xdr:to>
      <xdr:col>6</xdr:col>
      <xdr:colOff>19050</xdr:colOff>
      <xdr:row>73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TERMINADAS CON PACANTO PVC 1,5MM, 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MEDIDA INCUYE EL TAPACANTO DE 1,5MM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49</xdr:row>
      <xdr:rowOff>41910</xdr:rowOff>
    </xdr:from>
    <xdr:to>
      <xdr:col>1</xdr:col>
      <xdr:colOff>801763</xdr:colOff>
      <xdr:row>55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topLeftCell="A15" workbookViewId="0">
      <selection activeCell="J33" sqref="J3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6" width="9.109375" customWidth="1"/>
    <col min="7" max="7" width="27.44140625" customWidth="1"/>
    <col min="8" max="8" width="12.88671875" customWidth="1"/>
    <col min="9" max="9" width="11.88671875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83" t="s">
        <v>16</v>
      </c>
      <c r="C8" s="84"/>
      <c r="D8" s="85" t="s">
        <v>134</v>
      </c>
      <c r="E8" s="1"/>
      <c r="F8" s="1"/>
      <c r="G8" s="86" t="s">
        <v>27</v>
      </c>
      <c r="H8" s="87">
        <v>7396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3" t="s">
        <v>127</v>
      </c>
      <c r="C10" s="100" t="s">
        <v>136</v>
      </c>
      <c r="D10" s="54"/>
      <c r="E10" s="54"/>
      <c r="F10" s="54"/>
      <c r="G10" s="55" t="s">
        <v>28</v>
      </c>
      <c r="H10" s="56">
        <v>46028</v>
      </c>
      <c r="I10" s="57"/>
      <c r="J10" s="1"/>
      <c r="K10" s="1"/>
      <c r="L10" s="1"/>
      <c r="M10" s="1"/>
      <c r="N10" s="1"/>
      <c r="O10" s="1"/>
      <c r="P10" s="1"/>
      <c r="Q10" s="1"/>
      <c r="R10" s="1"/>
    </row>
    <row r="11" spans="1:18" ht="17.399999999999999" thickBot="1" x14ac:dyDescent="0.45">
      <c r="A11" s="1"/>
      <c r="B11" s="58" t="s">
        <v>2</v>
      </c>
      <c r="C11" s="101" t="s">
        <v>137</v>
      </c>
      <c r="D11" s="59"/>
      <c r="E11" s="59"/>
      <c r="F11" s="59"/>
      <c r="G11" s="59" t="s">
        <v>122</v>
      </c>
      <c r="H11" s="60"/>
      <c r="I11" s="61"/>
      <c r="J11" s="1"/>
    </row>
    <row r="12" spans="1:18" ht="15.6" x14ac:dyDescent="0.3">
      <c r="A12" s="1"/>
      <c r="B12" s="62" t="s">
        <v>128</v>
      </c>
      <c r="C12" s="102" t="s">
        <v>133</v>
      </c>
      <c r="D12" s="42"/>
      <c r="E12" s="42"/>
      <c r="F12" s="42"/>
      <c r="G12" s="42" t="s">
        <v>30</v>
      </c>
      <c r="H12" s="63"/>
      <c r="I12" s="64"/>
      <c r="J12" s="1"/>
    </row>
    <row r="13" spans="1:18" ht="15.6" x14ac:dyDescent="0.3">
      <c r="A13" s="1"/>
      <c r="B13" s="62" t="s">
        <v>129</v>
      </c>
      <c r="C13" t="s">
        <v>138</v>
      </c>
      <c r="D13" s="42"/>
      <c r="E13" s="42"/>
      <c r="F13" s="42"/>
      <c r="G13" s="42" t="s">
        <v>126</v>
      </c>
      <c r="H13" s="63" t="s">
        <v>131</v>
      </c>
      <c r="I13" s="64"/>
      <c r="J13" s="1"/>
    </row>
    <row r="14" spans="1:18" ht="15.6" x14ac:dyDescent="0.3">
      <c r="A14" s="1"/>
      <c r="B14" s="62" t="s">
        <v>130</v>
      </c>
      <c r="C14" s="97"/>
      <c r="D14" s="42"/>
      <c r="E14" s="42"/>
      <c r="F14" s="42"/>
      <c r="G14" s="42"/>
      <c r="H14" s="63"/>
      <c r="I14" s="64"/>
      <c r="J14" s="1"/>
    </row>
    <row r="15" spans="1:18" ht="15.6" x14ac:dyDescent="0.3">
      <c r="A15" s="1"/>
      <c r="B15" s="58" t="s">
        <v>17</v>
      </c>
      <c r="C15" s="103">
        <v>56972128641</v>
      </c>
      <c r="D15" s="65"/>
      <c r="E15" s="59"/>
      <c r="F15" s="59"/>
      <c r="G15" s="59" t="s">
        <v>29</v>
      </c>
      <c r="H15" s="59" t="s">
        <v>135</v>
      </c>
      <c r="I15" s="61"/>
      <c r="J15" s="1"/>
    </row>
    <row r="16" spans="1:18" ht="16.8" x14ac:dyDescent="0.4">
      <c r="A16" s="1"/>
      <c r="B16" s="62" t="s">
        <v>1</v>
      </c>
      <c r="C16" s="96"/>
      <c r="D16" s="42"/>
      <c r="E16" s="42"/>
      <c r="F16" s="42"/>
      <c r="G16" s="66" t="s">
        <v>75</v>
      </c>
      <c r="H16" s="99" t="s">
        <v>132</v>
      </c>
      <c r="I16" s="64"/>
      <c r="J16" s="1"/>
    </row>
    <row r="17" spans="1:17" ht="16.2" thickBot="1" x14ac:dyDescent="0.35">
      <c r="A17" s="1"/>
      <c r="B17" s="67" t="s">
        <v>3</v>
      </c>
      <c r="C17" s="98" t="s">
        <v>139</v>
      </c>
      <c r="D17" s="68"/>
      <c r="E17" s="69"/>
      <c r="F17" s="69"/>
      <c r="G17" s="107" t="s">
        <v>18</v>
      </c>
      <c r="H17" s="107"/>
      <c r="I17" s="108"/>
      <c r="J17" s="1"/>
    </row>
    <row r="18" spans="1:17" ht="15.6" x14ac:dyDescent="0.3">
      <c r="A18" s="1"/>
      <c r="B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7" ht="16.2" thickBot="1" x14ac:dyDescent="0.35">
      <c r="A20" s="1"/>
      <c r="B20" s="109" t="s">
        <v>19</v>
      </c>
      <c r="C20" s="110"/>
      <c r="D20" s="110"/>
      <c r="E20" s="110"/>
      <c r="F20" s="110"/>
      <c r="G20" s="110"/>
      <c r="H20" s="110"/>
      <c r="I20" s="111"/>
      <c r="J20" s="1"/>
    </row>
    <row r="21" spans="1:17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104" t="s">
        <v>142</v>
      </c>
      <c r="G21" s="72" t="s">
        <v>23</v>
      </c>
      <c r="H21" s="70" t="s">
        <v>24</v>
      </c>
      <c r="I21" s="72" t="s">
        <v>4</v>
      </c>
      <c r="J21" s="1"/>
    </row>
    <row r="22" spans="1:17" ht="18" customHeight="1" x14ac:dyDescent="0.3">
      <c r="A22" s="1"/>
      <c r="B22" s="92">
        <v>4</v>
      </c>
      <c r="C22" s="92" t="s">
        <v>145</v>
      </c>
      <c r="D22" s="95">
        <v>660</v>
      </c>
      <c r="E22" s="95">
        <v>355</v>
      </c>
      <c r="F22" s="105" t="s">
        <v>143</v>
      </c>
      <c r="G22" s="92" t="s">
        <v>141</v>
      </c>
      <c r="H22" s="106">
        <v>11920</v>
      </c>
      <c r="I22" s="93">
        <f>H22*B22</f>
        <v>47680</v>
      </c>
      <c r="J22" s="1"/>
      <c r="L22" s="17"/>
      <c r="M22" s="26"/>
      <c r="N22" s="17"/>
      <c r="O22" s="17"/>
      <c r="P22" s="26"/>
      <c r="Q22" s="33"/>
    </row>
    <row r="23" spans="1:17" ht="18" customHeight="1" x14ac:dyDescent="0.3">
      <c r="A23" s="1"/>
      <c r="B23" s="92">
        <v>3</v>
      </c>
      <c r="C23" s="92" t="s">
        <v>145</v>
      </c>
      <c r="D23" s="95">
        <v>690</v>
      </c>
      <c r="E23" s="95">
        <v>595</v>
      </c>
      <c r="F23" s="105" t="s">
        <v>143</v>
      </c>
      <c r="G23" s="92" t="s">
        <v>141</v>
      </c>
      <c r="H23" s="106">
        <v>20410</v>
      </c>
      <c r="I23" s="93">
        <f t="shared" ref="I23:I25" si="0">H23*B23</f>
        <v>61230</v>
      </c>
      <c r="J23" s="1"/>
      <c r="L23" s="17"/>
      <c r="M23" s="26"/>
      <c r="N23" s="17"/>
      <c r="O23" s="17"/>
      <c r="P23" s="26"/>
      <c r="Q23" s="33"/>
    </row>
    <row r="24" spans="1:17" ht="18" customHeight="1" x14ac:dyDescent="0.3">
      <c r="A24" s="1"/>
      <c r="B24" s="92">
        <v>1</v>
      </c>
      <c r="C24" s="92" t="s">
        <v>140</v>
      </c>
      <c r="D24" s="95">
        <v>690</v>
      </c>
      <c r="E24" s="95">
        <v>395</v>
      </c>
      <c r="F24" s="105" t="s">
        <v>143</v>
      </c>
      <c r="G24" s="92" t="s">
        <v>141</v>
      </c>
      <c r="H24" s="106">
        <v>13739</v>
      </c>
      <c r="I24" s="93">
        <f t="shared" si="0"/>
        <v>13739</v>
      </c>
      <c r="J24" s="1"/>
      <c r="L24" s="17"/>
      <c r="M24" s="26"/>
      <c r="N24" s="17"/>
      <c r="O24" s="17"/>
      <c r="P24" s="26"/>
      <c r="Q24" s="33"/>
    </row>
    <row r="25" spans="1:17" ht="18" customHeight="1" x14ac:dyDescent="0.3">
      <c r="A25" s="1"/>
      <c r="B25" s="92">
        <v>1</v>
      </c>
      <c r="C25" s="92" t="s">
        <v>140</v>
      </c>
      <c r="D25" s="95">
        <v>500</v>
      </c>
      <c r="E25" s="95">
        <v>515</v>
      </c>
      <c r="F25" s="105" t="s">
        <v>143</v>
      </c>
      <c r="G25" s="92" t="s">
        <v>141</v>
      </c>
      <c r="H25" s="106">
        <v>13036</v>
      </c>
      <c r="I25" s="93">
        <f t="shared" si="0"/>
        <v>13036</v>
      </c>
      <c r="J25" s="1"/>
      <c r="L25" s="17"/>
      <c r="M25" s="26"/>
      <c r="N25" s="17"/>
      <c r="O25" s="17"/>
      <c r="P25" s="26"/>
      <c r="Q25" s="33"/>
    </row>
    <row r="26" spans="1:17" ht="16.2" thickBot="1" x14ac:dyDescent="0.35">
      <c r="A26" s="1"/>
      <c r="B26" s="2">
        <f>SUM(B22:B25)</f>
        <v>9</v>
      </c>
      <c r="G26" s="1"/>
      <c r="H26" s="1"/>
      <c r="I26" s="1"/>
      <c r="J26" s="1"/>
    </row>
    <row r="27" spans="1:17" ht="15.6" x14ac:dyDescent="0.3">
      <c r="A27" s="1"/>
      <c r="B27" s="1"/>
      <c r="C27" s="1"/>
      <c r="D27" s="1"/>
      <c r="E27" s="1"/>
      <c r="F27" s="1"/>
      <c r="G27" s="1"/>
      <c r="H27" s="73" t="s">
        <v>5</v>
      </c>
      <c r="I27" s="74">
        <f>SUM(I22:I25)</f>
        <v>135685</v>
      </c>
      <c r="J27" s="1"/>
    </row>
    <row r="28" spans="1:17" ht="15.6" x14ac:dyDescent="0.3">
      <c r="A28" s="1"/>
      <c r="B28" s="1"/>
      <c r="C28" s="1"/>
      <c r="D28" s="1"/>
      <c r="E28" s="1"/>
      <c r="F28" s="1"/>
      <c r="G28" s="1"/>
      <c r="H28" s="75" t="s">
        <v>6</v>
      </c>
      <c r="I28" s="76">
        <f>I27*19%</f>
        <v>25780.15</v>
      </c>
      <c r="J28" s="1"/>
    </row>
    <row r="29" spans="1:17" ht="16.2" thickBot="1" x14ac:dyDescent="0.35">
      <c r="H29" s="77" t="s">
        <v>4</v>
      </c>
      <c r="I29" s="78">
        <f>I27+I28</f>
        <v>161465.15</v>
      </c>
    </row>
    <row r="35" spans="2:6" ht="15.6" x14ac:dyDescent="0.3">
      <c r="B35" s="1" t="s">
        <v>25</v>
      </c>
      <c r="C35" s="1"/>
      <c r="D35" s="1"/>
      <c r="E35" s="79" t="s">
        <v>26</v>
      </c>
      <c r="F35" s="79"/>
    </row>
  </sheetData>
  <sortState xmlns:xlrd2="http://schemas.microsoft.com/office/spreadsheetml/2017/richdata2" ref="B30">
    <sortCondition sortBy="fontColor" ref="B30" dxfId="0"/>
  </sortState>
  <mergeCells count="2">
    <mergeCell ref="G17:I17"/>
    <mergeCell ref="B20:I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7"/>
  <sheetViews>
    <sheetView tabSelected="1" topLeftCell="A58" zoomScaleNormal="100" workbookViewId="0">
      <selection activeCell="G49" sqref="A49:G7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>
        <f>'4637'!H8</f>
        <v>7396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MOBILINARES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0" t="str">
        <f>'4637'!G11</f>
        <v>FECHA LIMITE :</v>
      </c>
      <c r="D7" s="13">
        <f>'4637'!H11</f>
        <v>0</v>
      </c>
      <c r="E7" s="1"/>
      <c r="F7" s="1"/>
      <c r="G7" s="1"/>
    </row>
    <row r="8" spans="1:14" ht="15.6" x14ac:dyDescent="0.3">
      <c r="A8" s="1"/>
      <c r="B8" s="1"/>
      <c r="C8" s="52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20</v>
      </c>
      <c r="E13" s="32">
        <v>20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88" t="s">
        <v>144</v>
      </c>
      <c r="B14" s="25">
        <f t="shared" ref="B14" si="0">I14</f>
        <v>4</v>
      </c>
      <c r="C14" s="25"/>
      <c r="D14" s="25">
        <f t="shared" ref="D14:D17" si="1">J14+D$13</f>
        <v>680</v>
      </c>
      <c r="E14" s="25">
        <f t="shared" ref="E14:E17" si="2">K14+E$13</f>
        <v>375</v>
      </c>
      <c r="F14" s="90" t="str">
        <f>C37</f>
        <v>E/R 1 CARA REPOSICION</v>
      </c>
      <c r="G14" s="1"/>
      <c r="I14" s="3">
        <f t="shared" ref="I14:J17" si="3">I27</f>
        <v>4</v>
      </c>
      <c r="J14" s="4">
        <f t="shared" si="3"/>
        <v>660</v>
      </c>
      <c r="K14" s="4">
        <f>E37</f>
        <v>355</v>
      </c>
    </row>
    <row r="15" spans="1:14" ht="15.6" x14ac:dyDescent="0.3">
      <c r="A15" s="88"/>
      <c r="B15" s="25">
        <f t="shared" ref="B15:B17" si="4">I15</f>
        <v>3</v>
      </c>
      <c r="C15" s="25"/>
      <c r="D15" s="25">
        <f t="shared" si="1"/>
        <v>710</v>
      </c>
      <c r="E15" s="25">
        <f t="shared" si="2"/>
        <v>615</v>
      </c>
      <c r="F15" s="90" t="str">
        <f>C38</f>
        <v>E/R 1 CARA REPOSICION</v>
      </c>
      <c r="G15" s="1"/>
      <c r="I15" s="3">
        <f t="shared" si="3"/>
        <v>3</v>
      </c>
      <c r="J15" s="4">
        <f t="shared" si="3"/>
        <v>690</v>
      </c>
      <c r="K15" s="4">
        <f>E38</f>
        <v>595</v>
      </c>
    </row>
    <row r="16" spans="1:14" ht="15.6" x14ac:dyDescent="0.3">
      <c r="A16" s="88"/>
      <c r="B16" s="25">
        <f t="shared" si="4"/>
        <v>1</v>
      </c>
      <c r="C16" s="25"/>
      <c r="D16" s="25">
        <f t="shared" si="1"/>
        <v>710</v>
      </c>
      <c r="E16" s="25">
        <f t="shared" si="2"/>
        <v>415</v>
      </c>
      <c r="F16" s="90" t="str">
        <f>C39</f>
        <v>E/R 1 CARA</v>
      </c>
      <c r="G16" s="1"/>
      <c r="I16" s="3">
        <f t="shared" si="3"/>
        <v>1</v>
      </c>
      <c r="J16" s="4">
        <f t="shared" si="3"/>
        <v>690</v>
      </c>
      <c r="K16" s="4">
        <f>E39</f>
        <v>395</v>
      </c>
    </row>
    <row r="17" spans="1:11" ht="15.6" x14ac:dyDescent="0.3">
      <c r="A17" s="88"/>
      <c r="B17" s="25">
        <f t="shared" si="4"/>
        <v>1</v>
      </c>
      <c r="C17" s="25"/>
      <c r="D17" s="25">
        <f t="shared" si="1"/>
        <v>520</v>
      </c>
      <c r="E17" s="25">
        <f t="shared" si="2"/>
        <v>535</v>
      </c>
      <c r="F17" s="90" t="str">
        <f>C40</f>
        <v>E/R 1 CARA</v>
      </c>
      <c r="G17" s="1"/>
      <c r="I17" s="3">
        <f t="shared" si="3"/>
        <v>1</v>
      </c>
      <c r="J17" s="4">
        <f t="shared" si="3"/>
        <v>500</v>
      </c>
      <c r="K17" s="4">
        <f>E40</f>
        <v>515</v>
      </c>
    </row>
    <row r="18" spans="1:11" ht="15.6" x14ac:dyDescent="0.3">
      <c r="A18" s="88"/>
      <c r="B18" s="6">
        <f>SUM(B14:B17)</f>
        <v>9</v>
      </c>
      <c r="C18" s="6"/>
      <c r="D18" s="6"/>
      <c r="E18" s="6"/>
      <c r="F18" s="94"/>
      <c r="G18" s="1"/>
      <c r="I18" s="82"/>
      <c r="J18" s="2"/>
      <c r="K18" s="2"/>
    </row>
    <row r="19" spans="1:11" ht="15.6" x14ac:dyDescent="0.3">
      <c r="A19" s="88"/>
      <c r="B19" s="6"/>
      <c r="C19" s="6"/>
      <c r="D19" s="6"/>
      <c r="E19" s="6"/>
      <c r="F19" s="94"/>
      <c r="G19" s="1"/>
      <c r="I19" s="82"/>
      <c r="J19" s="2"/>
      <c r="K19" s="2"/>
    </row>
    <row r="20" spans="1:11" ht="15.6" x14ac:dyDescent="0.3">
      <c r="A20" s="88"/>
      <c r="B20" s="6"/>
      <c r="C20" s="6"/>
      <c r="D20" s="6"/>
      <c r="E20" s="6"/>
      <c r="F20" s="94"/>
      <c r="G20" s="1"/>
      <c r="I20" s="82"/>
      <c r="J20" s="2"/>
      <c r="K20" s="2"/>
    </row>
    <row r="21" spans="1:11" ht="15.6" x14ac:dyDescent="0.3">
      <c r="A21" s="51"/>
      <c r="B21" s="6"/>
      <c r="C21" s="6"/>
      <c r="D21" s="6"/>
      <c r="E21" s="6"/>
      <c r="F21" s="6"/>
      <c r="G21" s="1"/>
      <c r="I21" s="82"/>
      <c r="J21" s="2"/>
      <c r="K21" s="2"/>
    </row>
    <row r="22" spans="1:11" ht="6.75" customHeight="1" x14ac:dyDescent="0.3">
      <c r="A22" s="1"/>
      <c r="B22" s="1"/>
      <c r="C22" s="1"/>
      <c r="D22" s="1"/>
      <c r="E22" s="1"/>
      <c r="F22" s="1"/>
      <c r="G22" s="1"/>
    </row>
    <row r="23" spans="1:11" ht="15.6" x14ac:dyDescent="0.3">
      <c r="A23" s="115" t="s">
        <v>14</v>
      </c>
      <c r="B23" s="115"/>
      <c r="C23" s="115"/>
      <c r="D23" s="115"/>
      <c r="E23" s="115"/>
      <c r="F23" s="115"/>
      <c r="G23" s="1"/>
    </row>
    <row r="24" spans="1:11" ht="10.5" customHeight="1" x14ac:dyDescent="0.3">
      <c r="A24" s="1"/>
      <c r="B24" s="1"/>
      <c r="C24" s="12"/>
      <c r="D24" s="1"/>
      <c r="E24" s="1"/>
      <c r="F24" s="1"/>
      <c r="G24" s="1"/>
    </row>
    <row r="25" spans="1:11" ht="15.6" x14ac:dyDescent="0.3">
      <c r="A25" s="1"/>
      <c r="B25" s="1"/>
      <c r="C25" s="1"/>
      <c r="D25" s="51" t="s">
        <v>7</v>
      </c>
      <c r="E25" s="51" t="s">
        <v>8</v>
      </c>
      <c r="F25" s="1"/>
      <c r="G25" s="1"/>
    </row>
    <row r="26" spans="1:11" ht="15.6" x14ac:dyDescent="0.3">
      <c r="A26" s="51" t="s">
        <v>9</v>
      </c>
      <c r="B26" s="35" t="s">
        <v>10</v>
      </c>
      <c r="C26" s="35" t="s">
        <v>11</v>
      </c>
      <c r="D26" s="21">
        <v>20</v>
      </c>
      <c r="E26" s="21">
        <v>20</v>
      </c>
      <c r="F26" s="35" t="s">
        <v>110</v>
      </c>
      <c r="G26" s="1"/>
      <c r="J26" s="5" t="s">
        <v>7</v>
      </c>
      <c r="K26" s="5" t="s">
        <v>8</v>
      </c>
    </row>
    <row r="27" spans="1:11" ht="15.6" x14ac:dyDescent="0.3">
      <c r="A27" s="88"/>
      <c r="B27" s="16">
        <f t="shared" ref="B27" si="5">I27</f>
        <v>4</v>
      </c>
      <c r="C27" s="16"/>
      <c r="D27" s="16">
        <f>J27+D$26</f>
        <v>680</v>
      </c>
      <c r="E27" s="16">
        <f>K27+E$26</f>
        <v>375</v>
      </c>
      <c r="F27" s="91" t="str">
        <f>C37</f>
        <v>E/R 1 CARA REPOSICION</v>
      </c>
      <c r="G27" s="1"/>
      <c r="I27" s="3">
        <f>B37</f>
        <v>4</v>
      </c>
      <c r="J27" s="4">
        <f>D37</f>
        <v>660</v>
      </c>
      <c r="K27" s="4">
        <f>E37</f>
        <v>355</v>
      </c>
    </row>
    <row r="28" spans="1:11" ht="15.6" x14ac:dyDescent="0.3">
      <c r="A28" s="88"/>
      <c r="B28" s="16">
        <f t="shared" ref="B28:B30" si="6">I28</f>
        <v>3</v>
      </c>
      <c r="C28" s="16"/>
      <c r="D28" s="16">
        <f t="shared" ref="D28:D30" si="7">J28+D$26</f>
        <v>710</v>
      </c>
      <c r="E28" s="16">
        <f t="shared" ref="E28:E30" si="8">K28+E$26</f>
        <v>615</v>
      </c>
      <c r="F28" s="91" t="str">
        <f>C38</f>
        <v>E/R 1 CARA REPOSICION</v>
      </c>
      <c r="G28" s="1"/>
      <c r="I28" s="3">
        <f>B38</f>
        <v>3</v>
      </c>
      <c r="J28" s="4">
        <f t="shared" ref="J28:K28" si="9">D38</f>
        <v>690</v>
      </c>
      <c r="K28" s="4">
        <f t="shared" si="9"/>
        <v>595</v>
      </c>
    </row>
    <row r="29" spans="1:11" ht="15.6" x14ac:dyDescent="0.3">
      <c r="A29" s="88"/>
      <c r="B29" s="16">
        <f t="shared" si="6"/>
        <v>1</v>
      </c>
      <c r="C29" s="16"/>
      <c r="D29" s="16">
        <f t="shared" si="7"/>
        <v>710</v>
      </c>
      <c r="E29" s="16">
        <f t="shared" si="8"/>
        <v>415</v>
      </c>
      <c r="F29" s="91" t="str">
        <f>C39</f>
        <v>E/R 1 CARA</v>
      </c>
      <c r="G29" s="1"/>
      <c r="I29" s="3">
        <f>B39</f>
        <v>1</v>
      </c>
      <c r="J29" s="4">
        <f t="shared" ref="J29:K29" si="10">D39</f>
        <v>690</v>
      </c>
      <c r="K29" s="4">
        <f t="shared" si="10"/>
        <v>395</v>
      </c>
    </row>
    <row r="30" spans="1:11" ht="15.6" x14ac:dyDescent="0.3">
      <c r="A30" s="88"/>
      <c r="B30" s="16">
        <f t="shared" si="6"/>
        <v>1</v>
      </c>
      <c r="C30" s="16"/>
      <c r="D30" s="16">
        <f t="shared" si="7"/>
        <v>520</v>
      </c>
      <c r="E30" s="16">
        <f t="shared" si="8"/>
        <v>535</v>
      </c>
      <c r="F30" s="91" t="str">
        <f>C40</f>
        <v>E/R 1 CARA</v>
      </c>
      <c r="G30" s="1"/>
      <c r="I30" s="3">
        <f>B40</f>
        <v>1</v>
      </c>
      <c r="J30" s="4">
        <f t="shared" ref="J30:K30" si="11">D40</f>
        <v>500</v>
      </c>
      <c r="K30" s="4">
        <f t="shared" si="11"/>
        <v>515</v>
      </c>
    </row>
    <row r="31" spans="1:11" ht="15.6" x14ac:dyDescent="0.3">
      <c r="A31" s="88"/>
      <c r="B31" s="6">
        <f>SUM(B27:B30)</f>
        <v>9</v>
      </c>
      <c r="C31" s="6"/>
      <c r="D31" s="6"/>
      <c r="E31" s="6"/>
      <c r="F31" s="94"/>
      <c r="G31" s="1"/>
      <c r="I31" s="2"/>
      <c r="J31" s="2"/>
      <c r="K31" s="2"/>
    </row>
    <row r="32" spans="1:11" ht="15.6" x14ac:dyDescent="0.3">
      <c r="A32" s="88"/>
      <c r="B32" s="6"/>
      <c r="C32" s="6"/>
      <c r="D32" s="6"/>
      <c r="E32" s="6"/>
      <c r="F32" s="94"/>
      <c r="G32" s="1"/>
      <c r="I32" s="2"/>
      <c r="J32" s="2"/>
      <c r="K32" s="2"/>
    </row>
    <row r="33" spans="1:11" ht="16.2" thickBot="1" x14ac:dyDescent="0.35">
      <c r="A33" s="51"/>
      <c r="B33" s="6"/>
      <c r="C33" s="6"/>
      <c r="D33" s="6"/>
      <c r="E33" s="6"/>
      <c r="F33" s="6"/>
      <c r="G33" s="1"/>
      <c r="I33" s="2"/>
      <c r="J33" s="2"/>
      <c r="K33" s="2"/>
    </row>
    <row r="34" spans="1:11" ht="16.2" thickBot="1" x14ac:dyDescent="0.35">
      <c r="A34" s="51"/>
      <c r="B34" s="22" t="s">
        <v>107</v>
      </c>
      <c r="C34" s="23"/>
      <c r="D34" s="23"/>
      <c r="E34" s="23"/>
      <c r="F34" s="24"/>
      <c r="G34" s="1"/>
      <c r="I34" s="2"/>
      <c r="J34" s="2"/>
      <c r="K34" s="2"/>
    </row>
    <row r="35" spans="1:11" ht="10.5" customHeight="1" x14ac:dyDescent="0.3">
      <c r="A35" s="1"/>
      <c r="B35" s="1"/>
      <c r="C35" s="1"/>
      <c r="D35" s="1"/>
      <c r="E35" s="1"/>
      <c r="F35" s="1"/>
      <c r="G35" s="1"/>
    </row>
    <row r="36" spans="1:11" ht="15.6" x14ac:dyDescent="0.3">
      <c r="A36" s="51" t="s">
        <v>9</v>
      </c>
      <c r="B36" s="81" t="s">
        <v>10</v>
      </c>
      <c r="C36" s="81" t="s">
        <v>110</v>
      </c>
      <c r="D36" s="81" t="s">
        <v>7</v>
      </c>
      <c r="E36" s="81" t="s">
        <v>8</v>
      </c>
      <c r="F36" s="81" t="s">
        <v>23</v>
      </c>
      <c r="G36" s="1"/>
    </row>
    <row r="37" spans="1:11" ht="15.6" x14ac:dyDescent="0.3">
      <c r="A37" s="88" t="s">
        <v>144</v>
      </c>
      <c r="B37" s="25">
        <f>'4637'!B22</f>
        <v>4</v>
      </c>
      <c r="C37" s="90" t="str">
        <f>'4637'!C22</f>
        <v>E/R 1 CARA REPOSICION</v>
      </c>
      <c r="D37" s="25">
        <f>'4637'!D22</f>
        <v>660</v>
      </c>
      <c r="E37" s="25">
        <f>'4637'!E22</f>
        <v>355</v>
      </c>
      <c r="F37" s="25" t="str">
        <f>'4637'!G22</f>
        <v>SHELL WHITE 22011 SF</v>
      </c>
      <c r="G37" s="1"/>
    </row>
    <row r="38" spans="1:11" ht="15.6" x14ac:dyDescent="0.3">
      <c r="A38" s="88"/>
      <c r="B38" s="25">
        <f>'4637'!B23</f>
        <v>3</v>
      </c>
      <c r="C38" s="90" t="str">
        <f>'4637'!C23</f>
        <v>E/R 1 CARA REPOSICION</v>
      </c>
      <c r="D38" s="25">
        <f>'4637'!D23</f>
        <v>690</v>
      </c>
      <c r="E38" s="25">
        <f>'4637'!E23</f>
        <v>595</v>
      </c>
      <c r="F38" s="25" t="str">
        <f>'4637'!G23</f>
        <v>SHELL WHITE 22011 SF</v>
      </c>
      <c r="G38" s="1"/>
    </row>
    <row r="39" spans="1:11" ht="15.6" x14ac:dyDescent="0.3">
      <c r="A39" s="88"/>
      <c r="B39" s="25">
        <f>'4637'!B24</f>
        <v>1</v>
      </c>
      <c r="C39" s="90" t="str">
        <f>'4637'!C24</f>
        <v>E/R 1 CARA</v>
      </c>
      <c r="D39" s="25">
        <f>'4637'!D24</f>
        <v>690</v>
      </c>
      <c r="E39" s="25">
        <f>'4637'!E24</f>
        <v>395</v>
      </c>
      <c r="F39" s="25" t="str">
        <f>'4637'!G24</f>
        <v>SHELL WHITE 22011 SF</v>
      </c>
      <c r="G39" s="1"/>
    </row>
    <row r="40" spans="1:11" ht="15.6" x14ac:dyDescent="0.3">
      <c r="A40" s="88"/>
      <c r="B40" s="25">
        <f>'4637'!B25</f>
        <v>1</v>
      </c>
      <c r="C40" s="90" t="str">
        <f>'4637'!C25</f>
        <v>E/R 1 CARA</v>
      </c>
      <c r="D40" s="25">
        <f>'4637'!D25</f>
        <v>500</v>
      </c>
      <c r="E40" s="25">
        <f>'4637'!E25</f>
        <v>515</v>
      </c>
      <c r="F40" s="25" t="str">
        <f>'4637'!G25</f>
        <v>SHELL WHITE 22011 SF</v>
      </c>
      <c r="G40" s="1"/>
    </row>
    <row r="41" spans="1:11" ht="15.6" x14ac:dyDescent="0.3">
      <c r="A41" s="88"/>
      <c r="B41" s="6">
        <f>SUM(B37:B40)</f>
        <v>9</v>
      </c>
      <c r="C41" s="94"/>
      <c r="D41" s="6"/>
      <c r="E41" s="6"/>
      <c r="F41" s="6"/>
      <c r="G41" s="1"/>
    </row>
    <row r="42" spans="1:11" ht="15.6" x14ac:dyDescent="0.3">
      <c r="A42" s="1"/>
      <c r="B42" s="6"/>
      <c r="C42" s="6"/>
      <c r="D42" s="6"/>
      <c r="E42" s="6"/>
      <c r="F42" s="6"/>
      <c r="G42" s="1"/>
    </row>
    <row r="43" spans="1:11" ht="15.6" x14ac:dyDescent="0.3">
      <c r="A43" s="1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39" t="s">
        <v>27</v>
      </c>
      <c r="D51" s="14">
        <f>'4637'!H8</f>
        <v>7396</v>
      </c>
      <c r="E51" s="1"/>
      <c r="F51" s="1"/>
      <c r="G51" s="1"/>
    </row>
    <row r="52" spans="1:7" ht="17.25" customHeight="1" x14ac:dyDescent="0.3">
      <c r="A52" s="1"/>
      <c r="B52" s="1"/>
      <c r="C52" s="40" t="s">
        <v>67</v>
      </c>
      <c r="D52" s="41" t="str">
        <f>'4637'!C10</f>
        <v>MOBILINARES SPA</v>
      </c>
      <c r="E52" s="42"/>
      <c r="F52" s="42"/>
      <c r="G52" s="1"/>
    </row>
    <row r="53" spans="1:7" ht="4.5" customHeight="1" x14ac:dyDescent="0.3">
      <c r="A53" s="1"/>
      <c r="B53" s="1"/>
      <c r="C53" s="43"/>
      <c r="D53" s="44"/>
      <c r="E53" s="1"/>
      <c r="F53" s="1"/>
      <c r="G53" s="1"/>
    </row>
    <row r="54" spans="1:7" ht="15.6" x14ac:dyDescent="0.3">
      <c r="A54" s="1"/>
      <c r="B54" s="1"/>
      <c r="C54" s="45" t="str">
        <f>'4637'!G11</f>
        <v>FECHA LIMITE :</v>
      </c>
      <c r="D54" s="13">
        <f>'4637'!H11</f>
        <v>0</v>
      </c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15" t="s">
        <v>68</v>
      </c>
      <c r="B57" s="115"/>
      <c r="C57" s="115"/>
      <c r="D57" s="115"/>
      <c r="E57" s="115"/>
      <c r="F57" s="115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75" customHeight="1" x14ac:dyDescent="0.3">
      <c r="A59" s="1"/>
      <c r="B59" s="116" t="s">
        <v>69</v>
      </c>
      <c r="C59" s="117"/>
      <c r="D59" s="118"/>
      <c r="E59" s="118"/>
      <c r="F59" s="119"/>
      <c r="G59" s="1"/>
    </row>
    <row r="60" spans="1:7" s="15" customFormat="1" ht="12.75" customHeight="1" x14ac:dyDescent="0.3">
      <c r="A60" s="1"/>
      <c r="B60" s="35" t="s">
        <v>10</v>
      </c>
      <c r="C60" s="46" t="s">
        <v>11</v>
      </c>
      <c r="D60" s="47" t="s">
        <v>7</v>
      </c>
      <c r="E60" s="47" t="s">
        <v>8</v>
      </c>
      <c r="F60" s="48" t="s">
        <v>12</v>
      </c>
      <c r="G60" s="1"/>
    </row>
    <row r="61" spans="1:7" s="15" customFormat="1" ht="15" customHeight="1" x14ac:dyDescent="0.3">
      <c r="A61" s="88" t="s">
        <v>144</v>
      </c>
      <c r="B61" s="37">
        <f>'4637'!B22</f>
        <v>4</v>
      </c>
      <c r="C61" s="89" t="str">
        <f>'4637'!C22</f>
        <v>E/R 1 CARA REPOSICION</v>
      </c>
      <c r="D61" s="38">
        <f>'4637'!D22</f>
        <v>660</v>
      </c>
      <c r="E61" s="38">
        <f>'4637'!E22</f>
        <v>355</v>
      </c>
      <c r="F61" s="37" t="str">
        <f>'4637'!G22</f>
        <v>SHELL WHITE 22011 SF</v>
      </c>
      <c r="G61" s="1"/>
    </row>
    <row r="62" spans="1:7" s="15" customFormat="1" ht="15" customHeight="1" x14ac:dyDescent="0.3">
      <c r="A62" s="88"/>
      <c r="B62" s="37">
        <f>'4637'!B23</f>
        <v>3</v>
      </c>
      <c r="C62" s="89" t="str">
        <f>'4637'!C23</f>
        <v>E/R 1 CARA REPOSICION</v>
      </c>
      <c r="D62" s="38">
        <f>'4637'!D23</f>
        <v>690</v>
      </c>
      <c r="E62" s="38">
        <f>'4637'!E23</f>
        <v>595</v>
      </c>
      <c r="F62" s="37" t="str">
        <f>'4637'!G23</f>
        <v>SHELL WHITE 22011 SF</v>
      </c>
      <c r="G62" s="1"/>
    </row>
    <row r="63" spans="1:7" s="15" customFormat="1" ht="15" customHeight="1" x14ac:dyDescent="0.3">
      <c r="A63" s="88"/>
      <c r="B63" s="37">
        <f>'4637'!B24</f>
        <v>1</v>
      </c>
      <c r="C63" s="89" t="str">
        <f>'4637'!C24</f>
        <v>E/R 1 CARA</v>
      </c>
      <c r="D63" s="38">
        <f>'4637'!D24</f>
        <v>690</v>
      </c>
      <c r="E63" s="38">
        <f>'4637'!E24</f>
        <v>395</v>
      </c>
      <c r="F63" s="37" t="str">
        <f>'4637'!G24</f>
        <v>SHELL WHITE 22011 SF</v>
      </c>
      <c r="G63" s="1"/>
    </row>
    <row r="64" spans="1:7" s="15" customFormat="1" ht="15" customHeight="1" x14ac:dyDescent="0.3">
      <c r="A64" s="88"/>
      <c r="B64" s="37">
        <f>'4637'!B25</f>
        <v>1</v>
      </c>
      <c r="C64" s="89" t="str">
        <f>'4637'!C25</f>
        <v>E/R 1 CARA</v>
      </c>
      <c r="D64" s="38">
        <f>'4637'!D25</f>
        <v>500</v>
      </c>
      <c r="E64" s="38">
        <f>'4637'!E25</f>
        <v>515</v>
      </c>
      <c r="F64" s="37" t="str">
        <f>'4637'!G25</f>
        <v>SHELL WHITE 22011 SF</v>
      </c>
      <c r="G64" s="1"/>
    </row>
    <row r="65" spans="1:7" s="15" customFormat="1" ht="15" customHeight="1" x14ac:dyDescent="0.3">
      <c r="A65" s="49"/>
      <c r="B65" s="51">
        <f>SUM(B61:B64)</f>
        <v>9</v>
      </c>
      <c r="C65" s="51"/>
      <c r="D65" s="51"/>
      <c r="E65" s="51"/>
      <c r="F65" s="51"/>
      <c r="G65" s="1"/>
    </row>
    <row r="66" spans="1:7" s="15" customFormat="1" ht="15" customHeight="1" x14ac:dyDescent="0.3">
      <c r="A66" s="49"/>
      <c r="B66" s="51"/>
      <c r="C66" s="51"/>
      <c r="D66" s="51"/>
      <c r="E66" s="51"/>
      <c r="F66" s="51"/>
      <c r="G66" s="1"/>
    </row>
    <row r="67" spans="1:7" ht="15.6" x14ac:dyDescent="0.3">
      <c r="A67" s="6"/>
      <c r="B67" s="6"/>
      <c r="C67" s="1"/>
      <c r="D67" s="6"/>
      <c r="E67" s="6"/>
      <c r="F67" s="43"/>
      <c r="G67" s="1"/>
    </row>
    <row r="68" spans="1:7" ht="15.6" x14ac:dyDescent="0.3">
      <c r="A68" s="6"/>
      <c r="B68" s="6"/>
      <c r="C68" s="1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" customHeight="1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6"/>
      <c r="B74" s="50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x14ac:dyDescent="0.3">
      <c r="B76" s="20"/>
      <c r="C76" s="20"/>
      <c r="D76" s="20"/>
      <c r="E76" s="20"/>
      <c r="F76" s="20"/>
    </row>
    <row r="77" spans="1:7" x14ac:dyDescent="0.3">
      <c r="B77" s="20"/>
      <c r="C77" s="20"/>
      <c r="E77" s="20"/>
      <c r="F77" s="20"/>
    </row>
  </sheetData>
  <mergeCells count="6">
    <mergeCell ref="M3:N3"/>
    <mergeCell ref="A23:F23"/>
    <mergeCell ref="A10:F10"/>
    <mergeCell ref="A57:F57"/>
    <mergeCell ref="B59:F5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2026-03-02T13:43:52Z</cp:lastPrinted>
  <dcterms:created xsi:type="dcterms:W3CDTF">2013-03-19T12:54:14Z</dcterms:created>
  <dcterms:modified xsi:type="dcterms:W3CDTF">2026-03-02T13:44:09Z</dcterms:modified>
</cp:coreProperties>
</file>