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8C175D40-E735-4BD1-A979-2B379CEA1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B16" i="3" s="1"/>
  <c r="I25" i="3"/>
  <c r="B25" i="3" s="1"/>
  <c r="B33" i="3"/>
  <c r="C33" i="3"/>
  <c r="F25" i="3" s="1"/>
  <c r="E33" i="3"/>
  <c r="K25" i="3" s="1"/>
  <c r="F33" i="3"/>
  <c r="B56" i="3"/>
  <c r="C56" i="3"/>
  <c r="D56" i="3"/>
  <c r="D33" i="3" s="1"/>
  <c r="E56" i="3"/>
  <c r="F56" i="3"/>
  <c r="H23" i="4"/>
  <c r="H22" i="4"/>
  <c r="H21" i="4"/>
  <c r="K16" i="3" l="1"/>
  <c r="E16" i="3" s="1"/>
  <c r="J16" i="3"/>
  <c r="D16" i="3" s="1"/>
  <c r="J25" i="3"/>
  <c r="D25" i="3" s="1"/>
  <c r="F16" i="3"/>
  <c r="D55" i="3"/>
  <c r="D32" i="3" s="1"/>
  <c r="J24" i="3" s="1"/>
  <c r="D24" i="3" s="1"/>
  <c r="B32" i="3"/>
  <c r="I24" i="3" s="1"/>
  <c r="B24" i="3" s="1"/>
  <c r="C32" i="3"/>
  <c r="F24" i="3" s="1"/>
  <c r="E32" i="3"/>
  <c r="K24" i="3" s="1"/>
  <c r="E24" i="3" s="1"/>
  <c r="F32" i="3"/>
  <c r="B55" i="3"/>
  <c r="C55" i="3"/>
  <c r="E55" i="3"/>
  <c r="F55" i="3"/>
  <c r="K15" i="3" l="1"/>
  <c r="E15" i="3" s="1"/>
  <c r="J15" i="3"/>
  <c r="D15" i="3" s="1"/>
  <c r="I15" i="3"/>
  <c r="B15" i="3" s="1"/>
  <c r="F15" i="3"/>
  <c r="H27" i="4" l="1"/>
  <c r="B54" i="3"/>
  <c r="C54" i="3"/>
  <c r="D54" i="3"/>
  <c r="E54" i="3"/>
  <c r="F54" i="3"/>
  <c r="B31" i="3"/>
  <c r="C31" i="3"/>
  <c r="F23" i="3" s="1"/>
  <c r="D31" i="3"/>
  <c r="J14" i="3" s="1"/>
  <c r="D14" i="3" s="1"/>
  <c r="E31" i="3"/>
  <c r="K14" i="3" s="1"/>
  <c r="E14" i="3" s="1"/>
  <c r="F31" i="3"/>
  <c r="H28" i="4" l="1"/>
  <c r="I23" i="3"/>
  <c r="F14" i="3"/>
  <c r="K23" i="3"/>
  <c r="E23" i="3" s="1"/>
  <c r="J23" i="3"/>
  <c r="D23" i="3" s="1"/>
  <c r="B23" i="3" l="1"/>
  <c r="I14" i="3"/>
  <c r="B14" i="3" s="1"/>
  <c r="H29" i="4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<sst xmlns="http://schemas.openxmlformats.org/spreadsheetml/2006/main" count="250" uniqueCount="145">
  <si>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</si>
  <si>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</si>
  <si>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</si>
  <si>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</si>
  <si>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</si>
  <si>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</si>
  <si>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</si>
  <si>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</si>
  <si>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</si>
  <si>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</si>
  <si>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</si>
  <si>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</si>
  <si>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</si>
  <si>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</si>
  <si>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</si>
  <si>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</si>
  <si>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</si>
  <si>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</si>
  <si>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</si>
  <si>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</si>
  <si>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</si>
  <si>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</si>
  <si>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</si>
  <si>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</si>
  <si>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</si>
  <si>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</si>
  <si>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</si>
  <si>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</si>
  <si>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</si>
  <si>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</si>
  <si>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</si>
  <si>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</si>
  <si>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</si>
  <si>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</si>
  <si>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</si>
  <si>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</si>
  <si>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</si>
  <si>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</si>
  <si>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</si>
  <si>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</si>
  <si>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</si>
  <si>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</si>
  <si>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</si>
  <si>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</si>
  <si>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</si>
  <si>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</si>
  <si>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</si>
  <si>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</si>
  <si>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</si>
  <si>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</si>
  <si>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</si>
  <si>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</si>
  <si>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</si>
  <si>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</si>
  <si>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</si>
  <si>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</si>
  <si>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</si>
  <si>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</si>
  <si>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</si>
  <si>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</si>
  <si>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</si>
  <si>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</si>
  <si>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</si>
  <si>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</si>
  <si>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</si>
  <si>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</si>
  <si>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</si>
  <si>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</si>
  <si>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</si>
  <si>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</si>
  <si>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</si>
  <si>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</si>
  <si>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</si>
  <si>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</si>
  <si>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</si>
  <si>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</si>
  <si>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</si>
  <si>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</si>
  <si>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</si>
  <si>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</si>
  <si>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</si>
  <si>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</si>
  <si>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</si>
  <si>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</si>
  <si>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</si>
  <si>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</si>
  <si>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</si>
  <si>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</si>
  <si>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</si>
  <si>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</si>
  <si>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</si>
  <si>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</si>
  <si>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</si>
  <si>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</si>
  <si>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</si>
  <si>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</si>
  <si>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</si>
  <si>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</si>
  <si>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</si>
  <si>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</si>
  <si>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</si>
  <si>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</si>
  <si>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</si>
  <si>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</si>
  <si>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</si>
  <si>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</si>
  <si>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</si>
  <si>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</si>
  <si>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</si>
  <si>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</si>
  <si>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</si>
  <si>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</si>
  <si>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</si>
  <si>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</si>
  <si>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</si>
  <si>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</si>
  <si>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</si>
  <si>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</si>
  <si>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</si>
  <si>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</si>
  <si>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</si>
  <si>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</si>
  <si>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</si>
  <si>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</si>
  <si>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</si>
  <si>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</si>
  <si>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</si>
  <si>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</si>
  <si>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</si>
  <si>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</si>
  <si>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</si>
  <si>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</si>
  <si>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</si>
  <si>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CONTACTO:</t>
  </si>
  <si>
    <t>NO</t>
  </si>
  <si>
    <t>N° 11172</t>
  </si>
  <si>
    <t>ESTRUCTURAS VINET SPA</t>
  </si>
  <si>
    <t>76.982.425-1</t>
  </si>
  <si>
    <t>ROBERTO BUSTOS</t>
  </si>
  <si>
    <t>+569 3094 4033</t>
  </si>
  <si>
    <t>CHILLAN</t>
  </si>
  <si>
    <t>CUB MESA PT 2 LADOS</t>
  </si>
  <si>
    <t>CUB PT 1 LADO</t>
  </si>
  <si>
    <t>GRIS NUBE 2189 MT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</si>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</sst>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 TIENE ABONO POR PROYECTO TOTAL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CON CARTON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CON CARTON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194310</xdr:rowOff>
    </xdr:from>
    <xdr:to>
      <xdr:col>2</xdr:col>
      <xdr:colOff>100723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9" workbookViewId="0">
      <selection activeCell="D22" sqref="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135</v>
      </c>
      <c r="E8" s="1"/>
      <c r="F8" s="89" t="s">
        <v>27</v>
      </c>
      <c r="G8" s="90">
        <v>7131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136</v>
      </c>
      <c r="D10" s="54"/>
      <c r="E10" s="54"/>
      <c r="F10" s="55" t="s">
        <v>28</v>
      </c>
      <c r="G10" s="56">
        <v>45625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2" t="s">
        <v>137</v>
      </c>
      <c r="D11" s="59"/>
      <c r="E11" s="59"/>
      <c r="F11" s="59" t="s">
        <v>124</v>
      </c>
      <c r="G11" s="60">
        <v>45630</v>
      </c>
      <c r="H11" s="61"/>
      <c r="I11" s="1"/>
    </row>
    <row r="12" spans="1:17" ht="16.8" x14ac:dyDescent="0.4">
      <c r="A12" s="1"/>
      <c r="B12" s="62" t="s">
        <v>132</v>
      </c>
      <c r="C12" s="103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t="s">
        <v>138</v>
      </c>
      <c r="D13" s="42"/>
      <c r="E13" s="42"/>
      <c r="F13" s="42" t="s">
        <v>129</v>
      </c>
      <c r="G13" s="63" t="s">
        <v>131</v>
      </c>
      <c r="H13" s="64"/>
      <c r="I13" s="1"/>
    </row>
    <row r="14" spans="1:17" ht="15.6" x14ac:dyDescent="0.3">
      <c r="A14" s="1"/>
      <c r="B14" s="58" t="s">
        <v>17</v>
      </c>
      <c r="C14" s="113" t="s">
        <v>139</v>
      </c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140</v>
      </c>
      <c r="D16" s="68"/>
      <c r="E16" s="69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105" t="s">
        <v>20</v>
      </c>
      <c r="C20" s="106" t="s">
        <v>21</v>
      </c>
      <c r="D20" s="106" t="s">
        <v>22</v>
      </c>
      <c r="E20" s="106" t="s">
        <v>8</v>
      </c>
      <c r="F20" s="107" t="s">
        <v>23</v>
      </c>
      <c r="G20" s="105" t="s">
        <v>24</v>
      </c>
      <c r="H20" s="107" t="s">
        <v>4</v>
      </c>
      <c r="I20" s="1"/>
    </row>
    <row r="21" spans="1:16" ht="18" customHeight="1" thickBot="1" x14ac:dyDescent="0.35">
      <c r="A21" s="1"/>
      <c r="B21" s="114">
        <v>1</v>
      </c>
      <c r="C21" s="115" t="s">
        <v>141</v>
      </c>
      <c r="D21" s="118">
        <v>3000</v>
      </c>
      <c r="E21" s="118">
        <v>1200</v>
      </c>
      <c r="F21" s="115" t="s">
        <v>143</v>
      </c>
      <c r="G21" s="116">
        <v>244736</v>
      </c>
      <c r="H21" s="117">
        <f>G21*B21</f>
        <v>244736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4">
        <v>1</v>
      </c>
      <c r="C22" s="115" t="s">
        <v>141</v>
      </c>
      <c r="D22" s="118">
        <v>2000</v>
      </c>
      <c r="E22" s="118">
        <v>1200</v>
      </c>
      <c r="F22" s="115" t="s">
        <v>143</v>
      </c>
      <c r="G22" s="116">
        <v>162636</v>
      </c>
      <c r="H22" s="117">
        <f t="shared" ref="H22:H23" si="0">G22*B22</f>
        <v>162636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4">
        <v>1</v>
      </c>
      <c r="C23" s="115" t="s">
        <v>142</v>
      </c>
      <c r="D23" s="118">
        <v>1150</v>
      </c>
      <c r="E23" s="118">
        <v>560</v>
      </c>
      <c r="F23" s="115" t="s">
        <v>143</v>
      </c>
      <c r="G23" s="116">
        <v>65175</v>
      </c>
      <c r="H23" s="117">
        <f t="shared" si="0"/>
        <v>65175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2"/>
      <c r="C24" s="92"/>
      <c r="D24" s="101"/>
      <c r="E24" s="101"/>
      <c r="F24" s="92"/>
      <c r="G24" s="71"/>
      <c r="H24" s="94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2"/>
      <c r="C25" s="92"/>
      <c r="D25" s="92"/>
      <c r="E25" s="92"/>
      <c r="F25" s="93"/>
      <c r="G25" s="94"/>
      <c r="H25" s="94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0"/>
      <c r="C26" s="70"/>
      <c r="D26" s="70"/>
      <c r="E26" s="70"/>
      <c r="F26" s="70"/>
      <c r="G26" s="71"/>
      <c r="H26" s="71"/>
      <c r="I26" s="1"/>
    </row>
    <row r="27" spans="1:16" ht="15.6" x14ac:dyDescent="0.3">
      <c r="A27" s="1"/>
      <c r="B27" s="1"/>
      <c r="C27" s="1"/>
      <c r="D27" s="1"/>
      <c r="E27" s="1"/>
      <c r="F27" s="1"/>
      <c r="G27" s="72" t="s">
        <v>5</v>
      </c>
      <c r="H27" s="73">
        <f>SUM(H21:H26)</f>
        <v>472547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4" t="s">
        <v>6</v>
      </c>
      <c r="H28" s="75">
        <f>H27*19%</f>
        <v>89783.930000000008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6" t="s">
        <v>4</v>
      </c>
      <c r="H29" s="77">
        <f>H27+H28</f>
        <v>562330.93000000005</v>
      </c>
      <c r="I29" s="100"/>
    </row>
    <row r="30" spans="1:16" ht="15.6" x14ac:dyDescent="0.3">
      <c r="A30" s="1"/>
      <c r="B30" s="1"/>
      <c r="C30" s="1"/>
      <c r="D30" s="1"/>
      <c r="E30" s="1"/>
      <c r="F30" s="1"/>
      <c r="G30" s="51"/>
      <c r="H30" s="95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78" t="s">
        <v>123</v>
      </c>
      <c r="C32" s="79"/>
      <c r="D32" s="80"/>
      <c r="E32" s="80"/>
      <c r="F32" s="70"/>
      <c r="G32" s="1"/>
      <c r="H32" s="1"/>
      <c r="I32" s="1"/>
    </row>
    <row r="33" spans="1:9" ht="15.6" x14ac:dyDescent="0.3">
      <c r="A33" s="1"/>
      <c r="B33" s="78" t="s">
        <v>122</v>
      </c>
      <c r="C33" s="79"/>
      <c r="D33" s="80"/>
      <c r="E33" s="80"/>
      <c r="F33" s="70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1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zoomScaleNormal="100" workbookViewId="0">
      <selection sqref="A1:F4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39" t="s">
        <v>27</v>
      </c>
      <c r="D4" s="14">
        <f>'4637'!G8</f>
        <v>7131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ESTRUCTURAS VINET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45630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144</v>
      </c>
      <c r="B14" s="25">
        <f t="shared" ref="B14" si="0">I14</f>
        <v>1</v>
      </c>
      <c r="C14" s="25"/>
      <c r="D14" s="25">
        <f>J14+D$13</f>
        <v>3080</v>
      </c>
      <c r="E14" s="35">
        <f>K14</f>
        <v>1200</v>
      </c>
      <c r="F14" s="97" t="str">
        <f t="shared" ref="F14" si="1">C31</f>
        <v>CUB MESA PT 2 LADOS</v>
      </c>
      <c r="G14" s="1"/>
      <c r="I14" s="3">
        <f>I23</f>
        <v>1</v>
      </c>
      <c r="J14" s="4">
        <f t="shared" ref="J14:K14" si="2">D31</f>
        <v>3000</v>
      </c>
      <c r="K14" s="4">
        <f t="shared" si="2"/>
        <v>1200</v>
      </c>
    </row>
    <row r="15" spans="1:14" ht="15.6" x14ac:dyDescent="0.3">
      <c r="A15" s="111"/>
      <c r="B15" s="25">
        <f t="shared" ref="B15" si="3">I15</f>
        <v>1</v>
      </c>
      <c r="C15" s="25"/>
      <c r="D15" s="25">
        <f t="shared" ref="D15:D16" si="4">J15+D$13</f>
        <v>2080</v>
      </c>
      <c r="E15" s="35">
        <f t="shared" ref="E15:E16" si="5">K15</f>
        <v>1200</v>
      </c>
      <c r="F15" s="97" t="str">
        <f>C32</f>
        <v>CUB MESA PT 2 LADOS</v>
      </c>
      <c r="G15" s="1"/>
      <c r="I15" s="3">
        <f>I24</f>
        <v>1</v>
      </c>
      <c r="J15" s="4">
        <f>D32</f>
        <v>2000</v>
      </c>
      <c r="K15" s="4">
        <f>E32</f>
        <v>1200</v>
      </c>
    </row>
    <row r="16" spans="1:14" ht="15.6" x14ac:dyDescent="0.3">
      <c r="A16" s="91"/>
      <c r="B16" s="25">
        <f t="shared" ref="B16" si="6">I16</f>
        <v>1</v>
      </c>
      <c r="C16" s="25"/>
      <c r="D16" s="25">
        <f t="shared" si="4"/>
        <v>1230</v>
      </c>
      <c r="E16" s="35">
        <f t="shared" si="5"/>
        <v>560</v>
      </c>
      <c r="F16" s="97" t="str">
        <f>C33</f>
        <v>CUB PT 1 LADO</v>
      </c>
      <c r="G16" s="1"/>
      <c r="I16" s="3">
        <f>I25</f>
        <v>1</v>
      </c>
      <c r="J16" s="4">
        <f>D33</f>
        <v>1150</v>
      </c>
      <c r="K16" s="4">
        <f>E33</f>
        <v>560</v>
      </c>
    </row>
    <row r="17" spans="1:11" ht="15.6" x14ac:dyDescent="0.3">
      <c r="A17" s="91"/>
      <c r="B17" s="6"/>
      <c r="C17" s="6"/>
      <c r="D17" s="6"/>
      <c r="E17" s="112"/>
      <c r="F17" s="99"/>
      <c r="G17" s="1"/>
      <c r="I17" s="85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7" t="s">
        <v>14</v>
      </c>
      <c r="B19" s="127"/>
      <c r="C19" s="127"/>
      <c r="D19" s="127"/>
      <c r="E19" s="127"/>
      <c r="F19" s="127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50</v>
      </c>
      <c r="E22" s="21">
        <v>70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1"/>
      <c r="B23" s="16">
        <f t="shared" ref="B23" si="7">I23</f>
        <v>1</v>
      </c>
      <c r="C23" s="16"/>
      <c r="D23" s="16">
        <f>J23+D$22</f>
        <v>3050</v>
      </c>
      <c r="E23" s="16">
        <f>K23+E$22</f>
        <v>1270</v>
      </c>
      <c r="F23" s="98" t="str">
        <f t="shared" ref="F23" si="8">C31</f>
        <v>CUB MESA PT 2 LADOS</v>
      </c>
      <c r="G23" s="1"/>
      <c r="I23" s="3">
        <f t="shared" ref="I23" si="9">B31</f>
        <v>1</v>
      </c>
      <c r="J23" s="4">
        <f>D31</f>
        <v>3000</v>
      </c>
      <c r="K23" s="4">
        <f>E31</f>
        <v>1200</v>
      </c>
    </row>
    <row r="24" spans="1:11" ht="15.6" x14ac:dyDescent="0.3">
      <c r="A24" s="111"/>
      <c r="B24" s="16">
        <f t="shared" ref="B24" si="10">I24</f>
        <v>1</v>
      </c>
      <c r="C24" s="16"/>
      <c r="D24" s="16">
        <f t="shared" ref="D24:D25" si="11">J24+D$22</f>
        <v>2050</v>
      </c>
      <c r="E24" s="16">
        <f t="shared" ref="E24:E25" si="12">K24+E$22</f>
        <v>1270</v>
      </c>
      <c r="F24" s="98" t="str">
        <f>C32</f>
        <v>CUB MESA PT 2 LADOS</v>
      </c>
      <c r="G24" s="1"/>
      <c r="I24" s="3">
        <f>B32</f>
        <v>1</v>
      </c>
      <c r="J24" s="4">
        <f t="shared" ref="J24:K24" si="13">D32</f>
        <v>2000</v>
      </c>
      <c r="K24" s="4">
        <f t="shared" si="13"/>
        <v>1200</v>
      </c>
    </row>
    <row r="25" spans="1:11" ht="15.6" x14ac:dyDescent="0.3">
      <c r="A25" s="111"/>
      <c r="B25" s="16">
        <f t="shared" ref="B25" si="14">I25</f>
        <v>1</v>
      </c>
      <c r="C25" s="16"/>
      <c r="D25" s="16">
        <f t="shared" si="11"/>
        <v>1200</v>
      </c>
      <c r="E25" s="16">
        <v>620</v>
      </c>
      <c r="F25" s="98" t="str">
        <f>C33</f>
        <v>CUB PT 1 LADO</v>
      </c>
      <c r="G25" s="1"/>
      <c r="I25" s="3">
        <f>B33</f>
        <v>1</v>
      </c>
      <c r="J25" s="4">
        <f t="shared" ref="J25" si="15">D33</f>
        <v>1150</v>
      </c>
      <c r="K25" s="4">
        <f t="shared" ref="K25" si="16">E33</f>
        <v>560</v>
      </c>
    </row>
    <row r="26" spans="1:11" ht="15.6" x14ac:dyDescent="0.3">
      <c r="A26" s="91"/>
      <c r="B26" s="6"/>
      <c r="C26" s="6"/>
      <c r="D26" s="6"/>
      <c r="E26" s="6"/>
      <c r="F26" s="99"/>
      <c r="G26" s="1"/>
      <c r="I26" s="85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4" t="s">
        <v>10</v>
      </c>
      <c r="C30" s="84" t="s">
        <v>110</v>
      </c>
      <c r="D30" s="84" t="s">
        <v>7</v>
      </c>
      <c r="E30" s="84" t="s">
        <v>8</v>
      </c>
      <c r="F30" s="84" t="s">
        <v>23</v>
      </c>
      <c r="G30" s="1"/>
    </row>
    <row r="31" spans="1:11" ht="15.6" x14ac:dyDescent="0.3">
      <c r="A31" s="91"/>
      <c r="B31" s="25">
        <f>'4637'!B21</f>
        <v>1</v>
      </c>
      <c r="C31" s="97" t="str">
        <f>'4637'!C21</f>
        <v>CUB MESA PT 2 LADOS</v>
      </c>
      <c r="D31" s="25">
        <f>'4637'!D21</f>
        <v>3000</v>
      </c>
      <c r="E31" s="25">
        <f>'4637'!E21</f>
        <v>1200</v>
      </c>
      <c r="F31" s="25" t="str">
        <f>'4637'!F21</f>
        <v>GRIS NUBE 2189 MT</v>
      </c>
      <c r="G31" s="1"/>
    </row>
    <row r="32" spans="1:11" ht="15.6" x14ac:dyDescent="0.3">
      <c r="A32" s="111"/>
      <c r="B32" s="25">
        <f>'4637'!B22</f>
        <v>1</v>
      </c>
      <c r="C32" s="97" t="str">
        <f>'4637'!C22</f>
        <v>CUB MESA PT 2 LADOS</v>
      </c>
      <c r="D32" s="110">
        <f>D55</f>
        <v>2000</v>
      </c>
      <c r="E32" s="25">
        <f>'4637'!E22</f>
        <v>1200</v>
      </c>
      <c r="F32" s="25" t="str">
        <f>'4637'!F22</f>
        <v>GRIS NUBE 2189 MT</v>
      </c>
      <c r="G32" s="1"/>
    </row>
    <row r="33" spans="1:7" ht="15.6" x14ac:dyDescent="0.3">
      <c r="A33" s="111"/>
      <c r="B33" s="25">
        <f>'4637'!B23</f>
        <v>1</v>
      </c>
      <c r="C33" s="97" t="str">
        <f>'4637'!C23</f>
        <v>CUB PT 1 LADO</v>
      </c>
      <c r="D33" s="110">
        <f>D56</f>
        <v>1150</v>
      </c>
      <c r="E33" s="25">
        <f>'4637'!E23</f>
        <v>560</v>
      </c>
      <c r="F33" s="25" t="str">
        <f>'4637'!F23</f>
        <v>GRIS NUBE 2189 MT</v>
      </c>
      <c r="G33" s="1"/>
    </row>
    <row r="34" spans="1:7" ht="15.6" x14ac:dyDescent="0.3">
      <c r="A34" s="5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27</v>
      </c>
      <c r="D44" s="14">
        <f>'4637'!G8</f>
        <v>7131</v>
      </c>
      <c r="E44" s="1"/>
      <c r="F44" s="1"/>
      <c r="G44" s="1"/>
    </row>
    <row r="45" spans="1:7" ht="17.25" customHeight="1" x14ac:dyDescent="0.3">
      <c r="A45" s="1"/>
      <c r="B45" s="1"/>
      <c r="C45" s="40" t="s">
        <v>67</v>
      </c>
      <c r="D45" s="41" t="str">
        <f>'4637'!C10</f>
        <v>ESTRUCTURAS VINET SPA</v>
      </c>
      <c r="E45" s="42"/>
      <c r="F45" s="42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45" t="str">
        <f>'4637'!F11</f>
        <v>FECHA LIMITE :</v>
      </c>
      <c r="D47" s="13">
        <f>'4637'!G11</f>
        <v>45630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7" t="s">
        <v>68</v>
      </c>
      <c r="B50" s="127"/>
      <c r="C50" s="127"/>
      <c r="D50" s="127"/>
      <c r="E50" s="127"/>
      <c r="F50" s="127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8" t="s">
        <v>69</v>
      </c>
      <c r="C52" s="129"/>
      <c r="D52" s="130"/>
      <c r="E52" s="130"/>
      <c r="F52" s="131"/>
      <c r="G52" s="1"/>
    </row>
    <row r="53" spans="1:7" s="15" customFormat="1" ht="12.75" customHeight="1" x14ac:dyDescent="0.3">
      <c r="A53" s="1"/>
      <c r="B53" s="36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5">
      <c r="A54" s="91" t="s">
        <v>144</v>
      </c>
      <c r="B54" s="38">
        <f>'4637'!B21</f>
        <v>1</v>
      </c>
      <c r="C54" s="96" t="str">
        <f>'4637'!C21</f>
        <v>CUB MESA PT 2 LADOS</v>
      </c>
      <c r="D54" s="108">
        <f>'4637'!D21</f>
        <v>3000</v>
      </c>
      <c r="E54" s="108">
        <f>'4637'!E21</f>
        <v>1200</v>
      </c>
      <c r="F54" s="38" t="str">
        <f>'4637'!F21</f>
        <v>GRIS NUBE 2189 MT</v>
      </c>
      <c r="G54" s="1"/>
    </row>
    <row r="55" spans="1:7" s="15" customFormat="1" ht="15" customHeight="1" x14ac:dyDescent="0.35">
      <c r="A55" s="91"/>
      <c r="B55" s="38">
        <f>'4637'!B22</f>
        <v>1</v>
      </c>
      <c r="C55" s="96" t="str">
        <f>'4637'!C22</f>
        <v>CUB MESA PT 2 LADOS</v>
      </c>
      <c r="D55" s="109">
        <f>'4637'!D22</f>
        <v>2000</v>
      </c>
      <c r="E55" s="108">
        <f>'4637'!E22</f>
        <v>1200</v>
      </c>
      <c r="F55" s="38" t="str">
        <f>'4637'!F22</f>
        <v>GRIS NUBE 2189 MT</v>
      </c>
      <c r="G55" s="1"/>
    </row>
    <row r="56" spans="1:7" s="15" customFormat="1" ht="15" customHeight="1" x14ac:dyDescent="0.35">
      <c r="A56" s="91"/>
      <c r="B56" s="38">
        <f>'4637'!B23</f>
        <v>1</v>
      </c>
      <c r="C56" s="96" t="str">
        <f>'4637'!C23</f>
        <v>CUB PT 1 LADO</v>
      </c>
      <c r="D56" s="109">
        <f>'4637'!D23</f>
        <v>1150</v>
      </c>
      <c r="E56" s="108">
        <f>'4637'!E23</f>
        <v>560</v>
      </c>
      <c r="F56" s="38" t="str">
        <f>'4637'!F23</f>
        <v>GRIS NUBE 2189 MT</v>
      </c>
      <c r="G56" s="1"/>
    </row>
    <row r="57" spans="1:7" s="15" customFormat="1" ht="15" customHeight="1" x14ac:dyDescent="0.3">
      <c r="A57" s="91"/>
      <c r="B57" s="51"/>
      <c r="C57" s="104"/>
      <c r="D57" s="51"/>
      <c r="E57" s="51"/>
      <c r="F57" s="51"/>
      <c r="G57" s="1"/>
    </row>
    <row r="58" spans="1:7" s="15" customFormat="1" ht="15" customHeight="1" x14ac:dyDescent="0.3">
      <c r="A58" s="49"/>
      <c r="B58" s="51"/>
      <c r="C58" s="51"/>
      <c r="D58" s="51"/>
      <c r="E58" s="51"/>
      <c r="F58" s="51"/>
      <c r="G58" s="1"/>
    </row>
    <row r="59" spans="1:7" ht="15.6" x14ac:dyDescent="0.3">
      <c r="A59" s="6"/>
      <c r="B59" s="6"/>
      <c r="C59" s="1"/>
      <c r="D59" s="6"/>
      <c r="E59" s="6"/>
      <c r="F59" s="43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0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2024-11-29T13:19:48Z</cp:lastPrinted>
  <dcterms:created xsi:type="dcterms:W3CDTF">2013-03-19T12:54:14Z</dcterms:created>
  <dcterms:modified xsi:type="dcterms:W3CDTF">2024-11-29T13:33:44Z</dcterms:modified>
</cp:coreProperties>
</file>