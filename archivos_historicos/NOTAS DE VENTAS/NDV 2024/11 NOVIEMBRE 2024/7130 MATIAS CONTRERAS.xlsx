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1 NOVIEMBRE 2024\"/>
    </mc:Choice>
  </mc:AlternateContent>
  <xr:revisionPtr revIDLastSave="0" documentId="13_ncr:1_{3C7E8A38-FA27-4F71-88D1-1C40731908D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CUBIERTA!$A$40:$F$68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3" l="1"/>
  <c r="D16" i="3"/>
  <c r="D14" i="3"/>
  <c r="E15" i="3"/>
  <c r="E16" i="3"/>
  <c r="E14" i="3"/>
  <c r="F16" i="3"/>
  <c r="I16" i="3"/>
  <c r="B16" i="3" s="1"/>
  <c r="J16" i="3"/>
  <c r="K16" i="3"/>
  <c r="D24" i="3"/>
  <c r="D25" i="3"/>
  <c r="D23" i="3"/>
  <c r="E24" i="3"/>
  <c r="E25" i="3"/>
  <c r="E23" i="3"/>
  <c r="F25" i="3"/>
  <c r="I25" i="3"/>
  <c r="B25" i="3" s="1"/>
  <c r="J25" i="3"/>
  <c r="K25" i="3"/>
  <c r="B33" i="3"/>
  <c r="C33" i="3"/>
  <c r="D33" i="3"/>
  <c r="E33" i="3"/>
  <c r="F33" i="3"/>
  <c r="B56" i="3"/>
  <c r="C56" i="3"/>
  <c r="D56" i="3"/>
  <c r="E56" i="3"/>
  <c r="F56" i="3"/>
  <c r="H23" i="4"/>
  <c r="H22" i="4"/>
  <c r="H21" i="4"/>
  <c r="D55" i="3" l="1"/>
  <c r="D32" i="3" s="1"/>
  <c r="J24" i="3" s="1"/>
  <c r="B32" i="3"/>
  <c r="I24" i="3" s="1"/>
  <c r="B24" i="3" s="1"/>
  <c r="C32" i="3"/>
  <c r="F24" i="3" s="1"/>
  <c r="E32" i="3"/>
  <c r="K24" i="3" s="1"/>
  <c r="F32" i="3"/>
  <c r="B55" i="3"/>
  <c r="C55" i="3"/>
  <c r="E55" i="3"/>
  <c r="F55" i="3"/>
  <c r="K15" i="3" l="1"/>
  <c r="J15" i="3"/>
  <c r="I15" i="3"/>
  <c r="B15" i="3" s="1"/>
  <c r="F15" i="3"/>
  <c r="H27" i="4" l="1"/>
  <c r="B54" i="3"/>
  <c r="C54" i="3"/>
  <c r="D54" i="3"/>
  <c r="E54" i="3"/>
  <c r="F54" i="3"/>
  <c r="B31" i="3"/>
  <c r="C31" i="3"/>
  <c r="F23" i="3" s="1"/>
  <c r="D31" i="3"/>
  <c r="J14" i="3" s="1"/>
  <c r="E31" i="3"/>
  <c r="K14" i="3" s="1"/>
  <c r="F31" i="3"/>
  <c r="H28" i="4" l="1"/>
  <c r="I23" i="3"/>
  <c r="F14" i="3"/>
  <c r="K23" i="3"/>
  <c r="J23" i="3"/>
  <c r="B23" i="3" l="1"/>
  <c r="I14" i="3"/>
  <c r="B14" i="3" s="1"/>
  <c r="H29" i="4"/>
  <c r="N5" i="3" l="1"/>
  <c r="M5" i="3" l="1"/>
  <c r="L5" i="3"/>
  <c r="K5" i="3"/>
  <c r="C47" i="3" l="1"/>
  <c r="C7" i="3"/>
  <c r="D45" i="3"/>
  <c r="D5" i="3"/>
  <c r="D47" i="3"/>
  <c r="D7" i="3"/>
  <c r="D44" i="3"/>
  <c r="D4" i="3"/>
</calcChain>
</file>

<file path=xl/sharedStrings.xml><?xml version="1.0" encoding="utf-8"?>
<sst xmlns="http://schemas.openxmlformats.org/spreadsheetml/2006/main" count="249" uniqueCount="143">
  <si>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</si>
  <si>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</si>
  <si>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</si>
  <si>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</si>
  <si>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</si>
  <si>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</si>
  <si>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</si>
  <si>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</si>
  <si>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</si>
  <si>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</si>
  <si>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</si>
  <si>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</si>
  <si>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</si>
  <si>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</si>
  <si>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</si>
  <si>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</si>
  <si>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</si>
  <si>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</si>
  <si>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</si>
  <si>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</si>
  <si>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</si>
  <si>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</si>
  <si>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</si>
  <si>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</si>
  <si>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</si>
  <si>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</si>
  <si>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</si>
  <si>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</si>
  <si>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</si>
  <si>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</si>
  <si>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</si>
  <si>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</si>
  <si>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</si>
  <si>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</si>
  <si>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</si>
  <si>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</si>
  <si>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</si>
  <si>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</si>
  <si>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</si>
  <si>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</si>
  <si>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</si>
  <si>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</si>
  <si>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</si>
  <si>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</si>
  <si>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</si>
  <si>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</si>
  <si>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</si>
  <si>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</si>
  <si>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</si>
  <si>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</si>
  <si>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</si>
  <si>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</si>
  <si>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</si>
  <si>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</si>
  <si>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</si>
  <si>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</si>
  <si>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</si>
  <si>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</si>
  <si>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</si>
  <si>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</si>
  <si>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</si>
  <si>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</si>
  <si>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</si>
  <si>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</si>
  <si>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</si>
  <si>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</si>
  <si>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</si>
  <si>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</si>
  <si>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</si>
  <si>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</si>
  <si>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</si>
  <si>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</si>
  <si>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</si>
  <si>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</si>
  <si>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</si>
  <si>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</si>
  <si>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</si>
  <si>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</si>
  <si>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</si>
  <si>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</si>
  <si>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</si>
  <si>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</si>
  <si>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</si>
  <si>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</si>
  <si>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</si>
  <si>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</si>
  <si>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</si>
  <si>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</si>
  <si>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</si>
  <si>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</si>
  <si>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</si>
  <si>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</si>
  <si>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</si>
  <si>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</si>
  <si>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</si>
  <si>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</si>
  <si>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</si>
  <si>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</si>
  <si>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</si>
  <si>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</si>
  <si>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</si>
  <si>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</si>
  <si>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</si>
  <si>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</si>
  <si>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</si>
  <si>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</si>
  <si>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</si>
  <si>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</si>
  <si>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</si>
  <si>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</si>
  <si>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</si>
  <si>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</si>
  <si>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</si>
  <si>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</si>
  <si>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</si>
  <si>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</si>
  <si>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</si>
  <si>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</si>
  <si>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</si>
  <si>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</si>
  <si>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</si>
  <si>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</si>
  <si>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</si>
  <si>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</si>
  <si>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</si>
  <si>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</si>
  <si>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</si>
  <si>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</si>
  <si>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</si>
  <si>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</si>
  <si>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</si>
  <si>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</si>
  <si>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</si>
  <si>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</si>
  <si>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</si>
  <si>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</si>
  <si>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</si>
  <si>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NO</t>
  </si>
  <si>
    <t>N° 11169</t>
  </si>
  <si>
    <t>MATIAS CONTRERAS</t>
  </si>
  <si>
    <t>+569 8207 6592</t>
  </si>
  <si>
    <t>BLANCO 2112 MT</t>
  </si>
  <si>
    <t>CENEFA 1V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</si>
</sst>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3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6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8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7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0" xfId="0" applyFont="1" applyAlignment="1">
      <alignment horizontal="center"/>
    </xf>
    <xf numFmtId="166" fontId="3" fillId="0" borderId="0" xfId="0" applyNumberFormat="1" applyFont="1"/>
    <xf numFmtId="1" fontId="15" fillId="0" borderId="0" xfId="0" applyNumberFormat="1" applyFont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7" fillId="0" borderId="0" xfId="0" applyFont="1" applyAlignment="1">
      <alignment horizontal="center"/>
    </xf>
    <xf numFmtId="0" fontId="1" fillId="8" borderId="11" xfId="0" applyFont="1" applyFill="1" applyBorder="1" applyAlignment="1">
      <alignment horizontal="center" vertical="center"/>
    </xf>
    <xf numFmtId="0" fontId="1" fillId="8" borderId="29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9" fillId="0" borderId="24" xfId="0" applyFont="1" applyBorder="1" applyAlignment="1">
      <alignment horizontal="center"/>
    </xf>
    <xf numFmtId="1" fontId="19" fillId="0" borderId="24" xfId="0" applyNumberFormat="1" applyFont="1" applyBorder="1" applyAlignment="1">
      <alignment horizontal="center"/>
    </xf>
    <xf numFmtId="1" fontId="3" fillId="0" borderId="2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0" fontId="3" fillId="3" borderId="0" xfId="0" applyFont="1" applyFill="1" applyAlignment="1">
      <alignment horizontal="center"/>
    </xf>
    <xf numFmtId="0" fontId="21" fillId="0" borderId="0" xfId="0" quotePrefix="1" applyFont="1"/>
    <xf numFmtId="0" fontId="15" fillId="0" borderId="11" xfId="0" applyFont="1" applyBorder="1" applyAlignment="1">
      <alignment horizontal="center" vertical="center"/>
    </xf>
    <xf numFmtId="0" fontId="15" fillId="0" borderId="29" xfId="0" applyFont="1" applyBorder="1" applyAlignment="1">
      <alignment horizontal="center" vertical="center"/>
    </xf>
    <xf numFmtId="166" fontId="3" fillId="0" borderId="29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5" fillId="0" borderId="29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5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26</xdr:row>
      <xdr:rowOff>9525</xdr:rowOff>
    </xdr:from>
    <xdr:to>
      <xdr:col>5</xdr:col>
      <xdr:colOff>1390650</xdr:colOff>
      <xdr:row>30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084445"/>
          <a:ext cx="56007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900" b="1" i="1"/>
            <a:t>OBSERVACIONES: ABONO $ 22.500.-</a:t>
          </a:r>
          <a:endParaRPr lang="es-CL" sz="900">
            <a:effectLst/>
          </a:endParaRP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48</xdr:row>
      <xdr:rowOff>171450</xdr:rowOff>
    </xdr:from>
    <xdr:to>
      <xdr:col>5</xdr:col>
      <xdr:colOff>1685924</xdr:colOff>
      <xdr:row>50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46</xdr:row>
      <xdr:rowOff>0</xdr:rowOff>
    </xdr:from>
    <xdr:to>
      <xdr:col>6</xdr:col>
      <xdr:colOff>0</xdr:colOff>
      <xdr:row>47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38100</xdr:rowOff>
    </xdr:from>
    <xdr:to>
      <xdr:col>6</xdr:col>
      <xdr:colOff>0</xdr:colOff>
      <xdr:row>45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58</xdr:row>
      <xdr:rowOff>0</xdr:rowOff>
    </xdr:from>
    <xdr:to>
      <xdr:col>2</xdr:col>
      <xdr:colOff>38100</xdr:colOff>
      <xdr:row>59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58</xdr:row>
      <xdr:rowOff>0</xdr:rowOff>
    </xdr:from>
    <xdr:to>
      <xdr:col>2</xdr:col>
      <xdr:colOff>1019175</xdr:colOff>
      <xdr:row>58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0</xdr:rowOff>
    </xdr:from>
    <xdr:to>
      <xdr:col>3</xdr:col>
      <xdr:colOff>352425</xdr:colOff>
      <xdr:row>59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0</xdr:rowOff>
    </xdr:from>
    <xdr:to>
      <xdr:col>4</xdr:col>
      <xdr:colOff>257175</xdr:colOff>
      <xdr:row>59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0</xdr:rowOff>
    </xdr:from>
    <xdr:to>
      <xdr:col>5</xdr:col>
      <xdr:colOff>447675</xdr:colOff>
      <xdr:row>58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0</xdr:rowOff>
    </xdr:from>
    <xdr:to>
      <xdr:col>6</xdr:col>
      <xdr:colOff>0</xdr:colOff>
      <xdr:row>58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58</xdr:row>
      <xdr:rowOff>190500</xdr:rowOff>
    </xdr:from>
    <xdr:to>
      <xdr:col>2</xdr:col>
      <xdr:colOff>304800</xdr:colOff>
      <xdr:row>60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58</xdr:row>
      <xdr:rowOff>190500</xdr:rowOff>
    </xdr:from>
    <xdr:to>
      <xdr:col>2</xdr:col>
      <xdr:colOff>1276350</xdr:colOff>
      <xdr:row>60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58</xdr:row>
      <xdr:rowOff>190500</xdr:rowOff>
    </xdr:from>
    <xdr:to>
      <xdr:col>3</xdr:col>
      <xdr:colOff>619125</xdr:colOff>
      <xdr:row>60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58</xdr:row>
      <xdr:rowOff>190500</xdr:rowOff>
    </xdr:from>
    <xdr:to>
      <xdr:col>4</xdr:col>
      <xdr:colOff>523875</xdr:colOff>
      <xdr:row>60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58</xdr:row>
      <xdr:rowOff>190500</xdr:rowOff>
    </xdr:from>
    <xdr:to>
      <xdr:col>5</xdr:col>
      <xdr:colOff>723900</xdr:colOff>
      <xdr:row>60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58</xdr:row>
      <xdr:rowOff>190500</xdr:rowOff>
    </xdr:from>
    <xdr:to>
      <xdr:col>6</xdr:col>
      <xdr:colOff>0</xdr:colOff>
      <xdr:row>60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35</xdr:row>
      <xdr:rowOff>15239</xdr:rowOff>
    </xdr:from>
    <xdr:to>
      <xdr:col>6</xdr:col>
      <xdr:colOff>68580</xdr:colOff>
      <xdr:row>39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26</xdr:row>
      <xdr:rowOff>200025</xdr:rowOff>
    </xdr:from>
    <xdr:to>
      <xdr:col>6</xdr:col>
      <xdr:colOff>19049</xdr:colOff>
      <xdr:row>28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61</xdr:row>
      <xdr:rowOff>32385</xdr:rowOff>
    </xdr:from>
    <xdr:to>
      <xdr:col>6</xdr:col>
      <xdr:colOff>19050</xdr:colOff>
      <xdr:row>65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44855" y="1097470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194310</xdr:rowOff>
    </xdr:from>
    <xdr:to>
      <xdr:col>2</xdr:col>
      <xdr:colOff>100723</xdr:colOff>
      <xdr:row>47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6"/>
  <sheetViews>
    <sheetView topLeftCell="A7" workbookViewId="0">
      <selection activeCell="J15" sqref="J15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2" customWidth="1"/>
    <col min="4" max="5" width="9.109375" customWidth="1"/>
    <col min="6" max="6" width="38.332031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6" t="s">
        <v>16</v>
      </c>
      <c r="C8" s="87"/>
      <c r="D8" s="88" t="s">
        <v>138</v>
      </c>
      <c r="E8" s="1"/>
      <c r="F8" s="89" t="s">
        <v>27</v>
      </c>
      <c r="G8" s="90">
        <v>7130</v>
      </c>
      <c r="H8" s="1"/>
      <c r="I8" s="1"/>
    </row>
    <row r="9" spans="1:17" ht="16.2" thickBot="1" x14ac:dyDescent="0.35">
      <c r="A9" s="1"/>
      <c r="B9" s="1"/>
      <c r="C9" s="1"/>
      <c r="D9" s="7"/>
      <c r="E9" s="1"/>
      <c r="F9" s="1"/>
      <c r="G9" s="1"/>
      <c r="H9" s="1"/>
      <c r="I9" s="1"/>
    </row>
    <row r="10" spans="1:17" ht="16.2" thickBot="1" x14ac:dyDescent="0.35">
      <c r="A10" s="1"/>
      <c r="B10" s="53" t="s">
        <v>130</v>
      </c>
      <c r="C10" s="82" t="s">
        <v>139</v>
      </c>
      <c r="D10" s="54"/>
      <c r="E10" s="54"/>
      <c r="F10" s="55" t="s">
        <v>28</v>
      </c>
      <c r="G10" s="56">
        <v>45621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2"/>
      <c r="D11" s="59"/>
      <c r="E11" s="59"/>
      <c r="F11" s="59" t="s">
        <v>124</v>
      </c>
      <c r="G11" s="60">
        <v>45623</v>
      </c>
      <c r="H11" s="61"/>
      <c r="I11" s="1"/>
    </row>
    <row r="12" spans="1:17" ht="16.8" x14ac:dyDescent="0.4">
      <c r="A12" s="1"/>
      <c r="B12" s="62" t="s">
        <v>133</v>
      </c>
      <c r="C12" s="103"/>
      <c r="D12" s="42"/>
      <c r="E12" s="42"/>
      <c r="F12" s="42" t="s">
        <v>30</v>
      </c>
      <c r="G12" s="63"/>
      <c r="H12" s="64"/>
      <c r="I12" s="1"/>
    </row>
    <row r="13" spans="1:17" ht="15.6" x14ac:dyDescent="0.3">
      <c r="A13" s="1"/>
      <c r="B13" s="62" t="s">
        <v>135</v>
      </c>
      <c r="D13" s="42"/>
      <c r="E13" s="42"/>
      <c r="F13" s="42" t="s">
        <v>129</v>
      </c>
      <c r="G13" s="63" t="s">
        <v>132</v>
      </c>
      <c r="H13" s="64"/>
      <c r="I13" s="1"/>
    </row>
    <row r="14" spans="1:17" ht="15.6" x14ac:dyDescent="0.3">
      <c r="A14" s="1"/>
      <c r="B14" s="58" t="s">
        <v>17</v>
      </c>
      <c r="C14" s="113" t="s">
        <v>140</v>
      </c>
      <c r="D14" s="65"/>
      <c r="E14" s="59"/>
      <c r="F14" s="59" t="s">
        <v>29</v>
      </c>
      <c r="G14" s="59" t="s">
        <v>137</v>
      </c>
      <c r="H14" s="61"/>
      <c r="I14" s="1"/>
    </row>
    <row r="15" spans="1:17" ht="15.6" x14ac:dyDescent="0.3">
      <c r="A15" s="1"/>
      <c r="B15" s="62" t="s">
        <v>1</v>
      </c>
      <c r="D15" s="42"/>
      <c r="E15" s="42"/>
      <c r="F15" s="66" t="s">
        <v>75</v>
      </c>
      <c r="G15" s="66" t="s">
        <v>127</v>
      </c>
      <c r="H15" s="64"/>
      <c r="I15" s="1"/>
    </row>
    <row r="16" spans="1:17" ht="16.2" thickBot="1" x14ac:dyDescent="0.35">
      <c r="A16" s="1"/>
      <c r="B16" s="67" t="s">
        <v>3</v>
      </c>
      <c r="C16" s="68" t="s">
        <v>134</v>
      </c>
      <c r="D16" s="68"/>
      <c r="E16" s="69"/>
      <c r="F16" s="119" t="s">
        <v>18</v>
      </c>
      <c r="G16" s="119"/>
      <c r="H16" s="120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1" t="s">
        <v>19</v>
      </c>
      <c r="C19" s="122"/>
      <c r="D19" s="122"/>
      <c r="E19" s="122"/>
      <c r="F19" s="122"/>
      <c r="G19" s="122"/>
      <c r="H19" s="123"/>
      <c r="I19" s="1"/>
    </row>
    <row r="20" spans="1:16" ht="16.2" thickBot="1" x14ac:dyDescent="0.35">
      <c r="A20" s="1"/>
      <c r="B20" s="105" t="s">
        <v>20</v>
      </c>
      <c r="C20" s="106" t="s">
        <v>21</v>
      </c>
      <c r="D20" s="106" t="s">
        <v>22</v>
      </c>
      <c r="E20" s="106" t="s">
        <v>8</v>
      </c>
      <c r="F20" s="107" t="s">
        <v>23</v>
      </c>
      <c r="G20" s="105" t="s">
        <v>24</v>
      </c>
      <c r="H20" s="107" t="s">
        <v>4</v>
      </c>
      <c r="I20" s="1"/>
    </row>
    <row r="21" spans="1:16" ht="18" customHeight="1" thickBot="1" x14ac:dyDescent="0.35">
      <c r="A21" s="1"/>
      <c r="B21" s="114">
        <v>1</v>
      </c>
      <c r="C21" s="115" t="s">
        <v>142</v>
      </c>
      <c r="D21" s="118">
        <v>560</v>
      </c>
      <c r="E21" s="118">
        <v>100</v>
      </c>
      <c r="F21" s="115" t="s">
        <v>141</v>
      </c>
      <c r="G21" s="116">
        <v>7833</v>
      </c>
      <c r="H21" s="117">
        <f>G21*B21</f>
        <v>7833</v>
      </c>
      <c r="I21" s="1"/>
      <c r="K21" s="17"/>
      <c r="L21" s="26"/>
      <c r="M21" s="17"/>
      <c r="N21" s="17"/>
      <c r="O21" s="26"/>
      <c r="P21" s="33"/>
    </row>
    <row r="22" spans="1:16" ht="18" customHeight="1" thickBot="1" x14ac:dyDescent="0.35">
      <c r="A22" s="1"/>
      <c r="B22" s="114">
        <v>1</v>
      </c>
      <c r="C22" s="115" t="s">
        <v>142</v>
      </c>
      <c r="D22" s="118">
        <v>1540</v>
      </c>
      <c r="E22" s="118">
        <v>100</v>
      </c>
      <c r="F22" s="115" t="s">
        <v>141</v>
      </c>
      <c r="G22" s="116">
        <v>15235</v>
      </c>
      <c r="H22" s="117">
        <f t="shared" ref="H22:H23" si="0">G22*B22</f>
        <v>15235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4">
        <v>1</v>
      </c>
      <c r="C23" s="115" t="s">
        <v>142</v>
      </c>
      <c r="D23" s="118">
        <v>1560</v>
      </c>
      <c r="E23" s="118">
        <v>100</v>
      </c>
      <c r="F23" s="115" t="s">
        <v>141</v>
      </c>
      <c r="G23" s="116">
        <v>15386</v>
      </c>
      <c r="H23" s="117">
        <f t="shared" si="0"/>
        <v>15386</v>
      </c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2"/>
      <c r="C24" s="92"/>
      <c r="D24" s="101"/>
      <c r="E24" s="101"/>
      <c r="F24" s="92"/>
      <c r="G24" s="71"/>
      <c r="H24" s="94"/>
      <c r="I24" s="1"/>
      <c r="K24" s="17"/>
      <c r="L24" s="26"/>
      <c r="M24" s="17"/>
      <c r="N24" s="17"/>
      <c r="O24" s="26"/>
      <c r="P24" s="33"/>
    </row>
    <row r="25" spans="1:16" ht="18" customHeight="1" x14ac:dyDescent="0.3">
      <c r="A25" s="1"/>
      <c r="B25" s="92"/>
      <c r="C25" s="92"/>
      <c r="D25" s="92"/>
      <c r="E25" s="92"/>
      <c r="F25" s="93"/>
      <c r="G25" s="94"/>
      <c r="H25" s="94"/>
      <c r="I25" s="1"/>
      <c r="K25" s="17"/>
      <c r="L25" s="26"/>
      <c r="M25" s="17"/>
      <c r="N25" s="17"/>
      <c r="O25" s="26"/>
      <c r="P25" s="33"/>
    </row>
    <row r="26" spans="1:16" ht="8.25" customHeight="1" thickBot="1" x14ac:dyDescent="0.35">
      <c r="A26" s="1"/>
      <c r="B26" s="70"/>
      <c r="C26" s="70"/>
      <c r="D26" s="70"/>
      <c r="E26" s="70"/>
      <c r="F26" s="70"/>
      <c r="G26" s="71"/>
      <c r="H26" s="71"/>
      <c r="I26" s="1"/>
    </row>
    <row r="27" spans="1:16" ht="15.6" x14ac:dyDescent="0.3">
      <c r="A27" s="1"/>
      <c r="B27" s="1"/>
      <c r="C27" s="1"/>
      <c r="D27" s="1"/>
      <c r="E27" s="1"/>
      <c r="F27" s="1"/>
      <c r="G27" s="72" t="s">
        <v>5</v>
      </c>
      <c r="H27" s="73">
        <f>SUM(H21:H26)</f>
        <v>38454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74" t="s">
        <v>6</v>
      </c>
      <c r="H28" s="75">
        <f>H27*19%</f>
        <v>7306.26</v>
      </c>
      <c r="I28" s="1"/>
    </row>
    <row r="29" spans="1:16" ht="16.2" thickBot="1" x14ac:dyDescent="0.35">
      <c r="A29" s="1"/>
      <c r="B29" s="1"/>
      <c r="C29" s="1"/>
      <c r="D29" s="1"/>
      <c r="E29" s="1"/>
      <c r="F29" s="1"/>
      <c r="G29" s="76" t="s">
        <v>4</v>
      </c>
      <c r="H29" s="77">
        <f>H27+H28</f>
        <v>45760.26</v>
      </c>
      <c r="I29" s="100"/>
    </row>
    <row r="30" spans="1:16" ht="15.6" x14ac:dyDescent="0.3">
      <c r="A30" s="1"/>
      <c r="B30" s="1"/>
      <c r="C30" s="1"/>
      <c r="D30" s="1"/>
      <c r="E30" s="1"/>
      <c r="F30" s="1"/>
      <c r="G30" s="51"/>
      <c r="H30" s="95"/>
      <c r="I30" s="1"/>
    </row>
    <row r="31" spans="1:16" ht="15.6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16" ht="15.6" x14ac:dyDescent="0.3">
      <c r="A32" s="1"/>
      <c r="B32" s="78" t="s">
        <v>123</v>
      </c>
      <c r="C32" s="79"/>
      <c r="D32" s="80"/>
      <c r="E32" s="80"/>
      <c r="F32" s="70"/>
      <c r="G32" s="1"/>
      <c r="H32" s="1"/>
      <c r="I32" s="1"/>
    </row>
    <row r="33" spans="1:9" ht="15.6" x14ac:dyDescent="0.3">
      <c r="A33" s="1"/>
      <c r="B33" s="78" t="s">
        <v>122</v>
      </c>
      <c r="C33" s="79"/>
      <c r="D33" s="80"/>
      <c r="E33" s="80"/>
      <c r="F33" s="70"/>
      <c r="G33" s="1"/>
      <c r="H33" s="1"/>
      <c r="I33" s="1"/>
    </row>
    <row r="34" spans="1:9" ht="15.6" x14ac:dyDescent="0.3">
      <c r="A34" s="1"/>
      <c r="B34" s="1" t="s">
        <v>25</v>
      </c>
      <c r="C34" s="1"/>
      <c r="D34" s="1"/>
      <c r="E34" s="81" t="s">
        <v>26</v>
      </c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ht="15.6" x14ac:dyDescent="0.3">
      <c r="A36" s="1"/>
      <c r="B36" s="1"/>
      <c r="C36" s="1"/>
      <c r="D36" s="1"/>
      <c r="E36" s="1"/>
      <c r="F36" s="1"/>
      <c r="G36" s="1"/>
      <c r="H36" s="1"/>
      <c r="I36" s="1"/>
    </row>
  </sheetData>
  <sortState xmlns:xlrd2="http://schemas.microsoft.com/office/spreadsheetml/2017/richdata2" ref="B38">
    <sortCondition sortBy="fontColor" ref="B38" dxfId="0"/>
  </sortState>
  <mergeCells count="2">
    <mergeCell ref="F16:H16"/>
    <mergeCell ref="B19:H19"/>
  </mergeCells>
  <phoneticPr fontId="10" type="noConversion"/>
  <hyperlinks>
    <hyperlink ref="E34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4" t="s">
        <v>31</v>
      </c>
      <c r="C2" s="124"/>
      <c r="D2" s="124"/>
      <c r="E2" s="18"/>
      <c r="G2" s="124" t="s">
        <v>70</v>
      </c>
      <c r="H2" s="124"/>
      <c r="I2" s="124"/>
      <c r="P2" s="125" t="s">
        <v>58</v>
      </c>
      <c r="Q2" s="125"/>
      <c r="R2" s="125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5" t="s">
        <v>58</v>
      </c>
      <c r="M8" s="125"/>
      <c r="N8" s="125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9"/>
  <sheetViews>
    <sheetView tabSelected="1" topLeftCell="A28" zoomScaleNormal="100" workbookViewId="0">
      <selection activeCell="A40" sqref="A40:F68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6" t="s">
        <v>61</v>
      </c>
      <c r="L3" s="126"/>
      <c r="M3" s="126" t="s">
        <v>14</v>
      </c>
      <c r="N3" s="126"/>
    </row>
    <row r="4" spans="1:14" ht="15.75" customHeight="1" x14ac:dyDescent="0.3">
      <c r="A4" s="1"/>
      <c r="B4" s="1"/>
      <c r="C4" s="39" t="s">
        <v>27</v>
      </c>
      <c r="D4" s="14">
        <f>'4637'!G8</f>
        <v>7130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MATIAS CONTRERAS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3" t="str">
        <f>'4637'!F11</f>
        <v>FECHA LIMITE :</v>
      </c>
      <c r="D7" s="13">
        <f>'4637'!G11</f>
        <v>45623</v>
      </c>
      <c r="E7" s="1"/>
      <c r="F7" s="1"/>
      <c r="G7" s="1"/>
    </row>
    <row r="8" spans="1:14" ht="15.6" x14ac:dyDescent="0.3">
      <c r="A8" s="1"/>
      <c r="B8" s="1"/>
      <c r="C8" s="52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7" t="s">
        <v>61</v>
      </c>
      <c r="B10" s="127"/>
      <c r="C10" s="127"/>
      <c r="D10" s="127"/>
      <c r="E10" s="127"/>
      <c r="F10" s="127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/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1" t="s">
        <v>131</v>
      </c>
      <c r="B14" s="25">
        <f t="shared" ref="B14" si="0">I14</f>
        <v>1</v>
      </c>
      <c r="C14" s="25"/>
      <c r="D14" s="25">
        <f>J14+D$13</f>
        <v>640</v>
      </c>
      <c r="E14" s="35">
        <f>K14</f>
        <v>100</v>
      </c>
      <c r="F14" s="97" t="str">
        <f t="shared" ref="F14" si="1">C31</f>
        <v>CENEFA 1V R8</v>
      </c>
      <c r="G14" s="1"/>
      <c r="I14" s="3">
        <f>I23</f>
        <v>1</v>
      </c>
      <c r="J14" s="4">
        <f t="shared" ref="J14:K14" si="2">D31</f>
        <v>560</v>
      </c>
      <c r="K14" s="4">
        <f t="shared" si="2"/>
        <v>100</v>
      </c>
    </row>
    <row r="15" spans="1:14" ht="15.6" x14ac:dyDescent="0.3">
      <c r="A15" s="111"/>
      <c r="B15" s="25">
        <f t="shared" ref="B15" si="3">I15</f>
        <v>1</v>
      </c>
      <c r="C15" s="25"/>
      <c r="D15" s="25">
        <f t="shared" ref="D15:D16" si="4">J15+D$13</f>
        <v>1620</v>
      </c>
      <c r="E15" s="35">
        <f t="shared" ref="E15:E16" si="5">K15</f>
        <v>100</v>
      </c>
      <c r="F15" s="97" t="str">
        <f>C32</f>
        <v>CENEFA 1V R8</v>
      </c>
      <c r="G15" s="1"/>
      <c r="I15" s="3">
        <f>I24</f>
        <v>1</v>
      </c>
      <c r="J15" s="4">
        <f>D32</f>
        <v>1540</v>
      </c>
      <c r="K15" s="4">
        <f>E32</f>
        <v>100</v>
      </c>
    </row>
    <row r="16" spans="1:14" ht="15.6" x14ac:dyDescent="0.3">
      <c r="A16" s="91"/>
      <c r="B16" s="25">
        <f t="shared" ref="B16" si="6">I16</f>
        <v>1</v>
      </c>
      <c r="C16" s="25"/>
      <c r="D16" s="25">
        <f t="shared" si="4"/>
        <v>1640</v>
      </c>
      <c r="E16" s="35">
        <f t="shared" si="5"/>
        <v>100</v>
      </c>
      <c r="F16" s="97" t="str">
        <f>C33</f>
        <v>CENEFA 1V R8</v>
      </c>
      <c r="G16" s="1"/>
      <c r="I16" s="3">
        <f>I25</f>
        <v>1</v>
      </c>
      <c r="J16" s="4">
        <f>D33</f>
        <v>1560</v>
      </c>
      <c r="K16" s="4">
        <f>E33</f>
        <v>100</v>
      </c>
    </row>
    <row r="17" spans="1:11" ht="15.6" x14ac:dyDescent="0.3">
      <c r="A17" s="91"/>
      <c r="B17" s="6"/>
      <c r="C17" s="6"/>
      <c r="D17" s="6"/>
      <c r="E17" s="112"/>
      <c r="F17" s="99"/>
      <c r="G17" s="1"/>
      <c r="I17" s="85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27" t="s">
        <v>14</v>
      </c>
      <c r="B19" s="127"/>
      <c r="C19" s="127"/>
      <c r="D19" s="127"/>
      <c r="E19" s="127"/>
      <c r="F19" s="127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1" t="s">
        <v>7</v>
      </c>
      <c r="E21" s="51" t="s">
        <v>8</v>
      </c>
      <c r="F21" s="1"/>
      <c r="G21" s="1"/>
    </row>
    <row r="22" spans="1:11" ht="15.6" x14ac:dyDescent="0.3">
      <c r="A22" s="51" t="s">
        <v>9</v>
      </c>
      <c r="B22" s="36" t="s">
        <v>10</v>
      </c>
      <c r="C22" s="36" t="s">
        <v>11</v>
      </c>
      <c r="D22" s="21">
        <v>40</v>
      </c>
      <c r="E22" s="21">
        <v>60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1" t="s">
        <v>131</v>
      </c>
      <c r="B23" s="16">
        <f t="shared" ref="B23" si="7">I23</f>
        <v>1</v>
      </c>
      <c r="C23" s="16"/>
      <c r="D23" s="16">
        <f>J23+D$22</f>
        <v>600</v>
      </c>
      <c r="E23" s="16">
        <f>K23+E$22</f>
        <v>160</v>
      </c>
      <c r="F23" s="98" t="str">
        <f t="shared" ref="F23" si="8">C31</f>
        <v>CENEFA 1V R8</v>
      </c>
      <c r="G23" s="1"/>
      <c r="I23" s="3">
        <f t="shared" ref="I23" si="9">B31</f>
        <v>1</v>
      </c>
      <c r="J23" s="4">
        <f>D31</f>
        <v>560</v>
      </c>
      <c r="K23" s="4">
        <f>E31</f>
        <v>100</v>
      </c>
    </row>
    <row r="24" spans="1:11" ht="15.6" x14ac:dyDescent="0.3">
      <c r="A24" s="111"/>
      <c r="B24" s="16">
        <f t="shared" ref="B24" si="10">I24</f>
        <v>1</v>
      </c>
      <c r="C24" s="16"/>
      <c r="D24" s="16">
        <f t="shared" ref="D24:D25" si="11">J24+D$22</f>
        <v>1580</v>
      </c>
      <c r="E24" s="16">
        <f t="shared" ref="E24:E25" si="12">K24+E$22</f>
        <v>160</v>
      </c>
      <c r="F24" s="98" t="str">
        <f>C32</f>
        <v>CENEFA 1V R8</v>
      </c>
      <c r="G24" s="1"/>
      <c r="I24" s="3">
        <f>B32</f>
        <v>1</v>
      </c>
      <c r="J24" s="4">
        <f t="shared" ref="J24:K24" si="13">D32</f>
        <v>1540</v>
      </c>
      <c r="K24" s="4">
        <f t="shared" si="13"/>
        <v>100</v>
      </c>
    </row>
    <row r="25" spans="1:11" ht="15.6" x14ac:dyDescent="0.3">
      <c r="A25" s="111"/>
      <c r="B25" s="16">
        <f t="shared" ref="B25" si="14">I25</f>
        <v>1</v>
      </c>
      <c r="C25" s="16"/>
      <c r="D25" s="16">
        <f t="shared" si="11"/>
        <v>1600</v>
      </c>
      <c r="E25" s="16">
        <f t="shared" si="12"/>
        <v>160</v>
      </c>
      <c r="F25" s="98" t="str">
        <f>C33</f>
        <v>CENEFA 1V R8</v>
      </c>
      <c r="G25" s="1"/>
      <c r="I25" s="3">
        <f>B33</f>
        <v>1</v>
      </c>
      <c r="J25" s="4">
        <f t="shared" ref="J25" si="15">D33</f>
        <v>1560</v>
      </c>
      <c r="K25" s="4">
        <f t="shared" ref="K25" si="16">E33</f>
        <v>100</v>
      </c>
    </row>
    <row r="26" spans="1:11" ht="15.6" x14ac:dyDescent="0.3">
      <c r="A26" s="91"/>
      <c r="B26" s="6"/>
      <c r="C26" s="6"/>
      <c r="D26" s="6"/>
      <c r="E26" s="6"/>
      <c r="F26" s="99"/>
      <c r="G26" s="1"/>
      <c r="I26" s="85"/>
      <c r="J26" s="2"/>
      <c r="K26" s="2"/>
    </row>
    <row r="27" spans="1:11" ht="16.2" thickBot="1" x14ac:dyDescent="0.35">
      <c r="A27" s="51"/>
      <c r="B27" s="6"/>
      <c r="C27" s="6"/>
      <c r="D27" s="6"/>
      <c r="E27" s="6"/>
      <c r="F27" s="6"/>
      <c r="G27" s="1"/>
      <c r="I27" s="2"/>
      <c r="J27" s="2"/>
      <c r="K27" s="2"/>
    </row>
    <row r="28" spans="1:11" ht="16.2" thickBot="1" x14ac:dyDescent="0.35">
      <c r="A28" s="51"/>
      <c r="B28" s="22" t="s">
        <v>107</v>
      </c>
      <c r="C28" s="23"/>
      <c r="D28" s="23"/>
      <c r="E28" s="23"/>
      <c r="F28" s="24"/>
      <c r="G28" s="1"/>
      <c r="I28" s="2"/>
      <c r="J28" s="2"/>
      <c r="K28" s="2"/>
    </row>
    <row r="29" spans="1:11" ht="10.5" customHeight="1" x14ac:dyDescent="0.3">
      <c r="A29" s="1"/>
      <c r="B29" s="1"/>
      <c r="C29" s="1"/>
      <c r="D29" s="1"/>
      <c r="E29" s="1"/>
      <c r="F29" s="1"/>
      <c r="G29" s="1"/>
    </row>
    <row r="30" spans="1:11" ht="15.6" x14ac:dyDescent="0.3">
      <c r="A30" s="51" t="s">
        <v>9</v>
      </c>
      <c r="B30" s="84" t="s">
        <v>10</v>
      </c>
      <c r="C30" s="84" t="s">
        <v>110</v>
      </c>
      <c r="D30" s="84" t="s">
        <v>7</v>
      </c>
      <c r="E30" s="84" t="s">
        <v>8</v>
      </c>
      <c r="F30" s="84" t="s">
        <v>23</v>
      </c>
      <c r="G30" s="1"/>
    </row>
    <row r="31" spans="1:11" ht="15.6" x14ac:dyDescent="0.3">
      <c r="A31" s="91" t="s">
        <v>136</v>
      </c>
      <c r="B31" s="25">
        <f>'4637'!B21</f>
        <v>1</v>
      </c>
      <c r="C31" s="97" t="str">
        <f>'4637'!C21</f>
        <v>CENEFA 1V R8</v>
      </c>
      <c r="D31" s="25">
        <f>'4637'!D21</f>
        <v>560</v>
      </c>
      <c r="E31" s="25">
        <f>'4637'!E21</f>
        <v>100</v>
      </c>
      <c r="F31" s="25" t="str">
        <f>'4637'!F21</f>
        <v>BLANCO 2112 MT</v>
      </c>
      <c r="G31" s="1"/>
    </row>
    <row r="32" spans="1:11" ht="15.6" x14ac:dyDescent="0.3">
      <c r="A32" s="111"/>
      <c r="B32" s="25">
        <f>'4637'!B22</f>
        <v>1</v>
      </c>
      <c r="C32" s="97" t="str">
        <f>'4637'!C22</f>
        <v>CENEFA 1V R8</v>
      </c>
      <c r="D32" s="110">
        <f>D55</f>
        <v>1540</v>
      </c>
      <c r="E32" s="25">
        <f>'4637'!E22</f>
        <v>100</v>
      </c>
      <c r="F32" s="25" t="str">
        <f>'4637'!F22</f>
        <v>BLANCO 2112 MT</v>
      </c>
      <c r="G32" s="1"/>
    </row>
    <row r="33" spans="1:7" ht="15.6" x14ac:dyDescent="0.3">
      <c r="A33" s="111"/>
      <c r="B33" s="25">
        <f>'4637'!B23</f>
        <v>1</v>
      </c>
      <c r="C33" s="97" t="str">
        <f>'4637'!C23</f>
        <v>CENEFA 1V R8</v>
      </c>
      <c r="D33" s="110">
        <f>D56</f>
        <v>1560</v>
      </c>
      <c r="E33" s="25">
        <f>'4637'!E23</f>
        <v>100</v>
      </c>
      <c r="F33" s="25" t="str">
        <f>'4637'!F23</f>
        <v>BLANCO 2112 MT</v>
      </c>
      <c r="G33" s="1"/>
    </row>
    <row r="34" spans="1:7" ht="15.6" x14ac:dyDescent="0.3">
      <c r="A34" s="5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6"/>
      <c r="C41" s="6"/>
      <c r="D41" s="6"/>
      <c r="E41" s="6"/>
      <c r="F41" s="6"/>
      <c r="G41" s="1"/>
    </row>
    <row r="42" spans="1:7" ht="15.6" x14ac:dyDescent="0.3">
      <c r="A42" s="1"/>
      <c r="B42" s="6"/>
      <c r="C42" s="6"/>
      <c r="D42" s="6"/>
      <c r="E42" s="6"/>
      <c r="F42" s="6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"/>
      <c r="B44" s="1"/>
      <c r="C44" s="39" t="s">
        <v>27</v>
      </c>
      <c r="D44" s="14">
        <f>'4637'!G8</f>
        <v>7130</v>
      </c>
      <c r="E44" s="1"/>
      <c r="F44" s="1"/>
      <c r="G44" s="1"/>
    </row>
    <row r="45" spans="1:7" ht="17.25" customHeight="1" x14ac:dyDescent="0.3">
      <c r="A45" s="1"/>
      <c r="B45" s="1"/>
      <c r="C45" s="40" t="s">
        <v>67</v>
      </c>
      <c r="D45" s="41" t="str">
        <f>'4637'!C10</f>
        <v>MATIAS CONTRERAS</v>
      </c>
      <c r="E45" s="42"/>
      <c r="F45" s="42"/>
      <c r="G45" s="1"/>
    </row>
    <row r="46" spans="1:7" ht="4.5" customHeight="1" x14ac:dyDescent="0.3">
      <c r="A46" s="1"/>
      <c r="B46" s="1"/>
      <c r="C46" s="43"/>
      <c r="D46" s="44"/>
      <c r="E46" s="1"/>
      <c r="F46" s="1"/>
      <c r="G46" s="1"/>
    </row>
    <row r="47" spans="1:7" ht="15.6" x14ac:dyDescent="0.3">
      <c r="A47" s="1"/>
      <c r="B47" s="1"/>
      <c r="C47" s="45" t="str">
        <f>'4637'!F11</f>
        <v>FECHA LIMITE :</v>
      </c>
      <c r="D47" s="13">
        <f>'4637'!G11</f>
        <v>45623</v>
      </c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6" x14ac:dyDescent="0.3">
      <c r="A50" s="127" t="s">
        <v>68</v>
      </c>
      <c r="B50" s="127"/>
      <c r="C50" s="127"/>
      <c r="D50" s="127"/>
      <c r="E50" s="127"/>
      <c r="F50" s="127"/>
      <c r="G50" s="1"/>
    </row>
    <row r="51" spans="1:7" ht="15.6" x14ac:dyDescent="0.3">
      <c r="A51" s="1"/>
      <c r="B51" s="1"/>
      <c r="C51" s="1"/>
      <c r="D51" s="1"/>
      <c r="E51" s="1"/>
      <c r="F51" s="1"/>
      <c r="G51" s="1"/>
    </row>
    <row r="52" spans="1:7" ht="15.75" customHeight="1" x14ac:dyDescent="0.3">
      <c r="A52" s="1"/>
      <c r="B52" s="128" t="s">
        <v>69</v>
      </c>
      <c r="C52" s="129"/>
      <c r="D52" s="130"/>
      <c r="E52" s="130"/>
      <c r="F52" s="131"/>
      <c r="G52" s="1"/>
    </row>
    <row r="53" spans="1:7" s="15" customFormat="1" ht="12.75" customHeight="1" x14ac:dyDescent="0.3">
      <c r="A53" s="1"/>
      <c r="B53" s="36" t="s">
        <v>10</v>
      </c>
      <c r="C53" s="46" t="s">
        <v>11</v>
      </c>
      <c r="D53" s="47" t="s">
        <v>7</v>
      </c>
      <c r="E53" s="47" t="s">
        <v>8</v>
      </c>
      <c r="F53" s="48" t="s">
        <v>12</v>
      </c>
      <c r="G53" s="1"/>
    </row>
    <row r="54" spans="1:7" s="15" customFormat="1" ht="15" customHeight="1" x14ac:dyDescent="0.35">
      <c r="A54" s="91"/>
      <c r="B54" s="38">
        <f>'4637'!B21</f>
        <v>1</v>
      </c>
      <c r="C54" s="96" t="str">
        <f>'4637'!C21</f>
        <v>CENEFA 1V R8</v>
      </c>
      <c r="D54" s="108">
        <f>'4637'!D21</f>
        <v>560</v>
      </c>
      <c r="E54" s="108">
        <f>'4637'!E21</f>
        <v>100</v>
      </c>
      <c r="F54" s="38" t="str">
        <f>'4637'!F21</f>
        <v>BLANCO 2112 MT</v>
      </c>
      <c r="G54" s="1"/>
    </row>
    <row r="55" spans="1:7" s="15" customFormat="1" ht="15" customHeight="1" x14ac:dyDescent="0.35">
      <c r="A55" s="91"/>
      <c r="B55" s="38">
        <f>'4637'!B22</f>
        <v>1</v>
      </c>
      <c r="C55" s="96" t="str">
        <f>'4637'!C22</f>
        <v>CENEFA 1V R8</v>
      </c>
      <c r="D55" s="109">
        <f>'4637'!D22</f>
        <v>1540</v>
      </c>
      <c r="E55" s="108">
        <f>'4637'!E22</f>
        <v>100</v>
      </c>
      <c r="F55" s="38" t="str">
        <f>'4637'!F22</f>
        <v>BLANCO 2112 MT</v>
      </c>
      <c r="G55" s="1"/>
    </row>
    <row r="56" spans="1:7" s="15" customFormat="1" ht="15" customHeight="1" x14ac:dyDescent="0.35">
      <c r="A56" s="91"/>
      <c r="B56" s="38">
        <f>'4637'!B23</f>
        <v>1</v>
      </c>
      <c r="C56" s="96" t="str">
        <f>'4637'!C23</f>
        <v>CENEFA 1V R8</v>
      </c>
      <c r="D56" s="109">
        <f>'4637'!D23</f>
        <v>1560</v>
      </c>
      <c r="E56" s="108">
        <f>'4637'!E23</f>
        <v>100</v>
      </c>
      <c r="F56" s="38" t="str">
        <f>'4637'!F23</f>
        <v>BLANCO 2112 MT</v>
      </c>
      <c r="G56" s="1"/>
    </row>
    <row r="57" spans="1:7" s="15" customFormat="1" ht="15" customHeight="1" x14ac:dyDescent="0.3">
      <c r="A57" s="91"/>
      <c r="B57" s="51"/>
      <c r="C57" s="104"/>
      <c r="D57" s="51"/>
      <c r="E57" s="51"/>
      <c r="F57" s="51"/>
      <c r="G57" s="1"/>
    </row>
    <row r="58" spans="1:7" s="15" customFormat="1" ht="15" customHeight="1" x14ac:dyDescent="0.3">
      <c r="A58" s="49"/>
      <c r="B58" s="51"/>
      <c r="C58" s="51"/>
      <c r="D58" s="51"/>
      <c r="E58" s="51"/>
      <c r="F58" s="51"/>
      <c r="G58" s="1"/>
    </row>
    <row r="59" spans="1:7" ht="15.6" x14ac:dyDescent="0.3">
      <c r="A59" s="6"/>
      <c r="B59" s="6"/>
      <c r="C59" s="1"/>
      <c r="D59" s="6"/>
      <c r="E59" s="6"/>
      <c r="F59" s="43"/>
      <c r="G59" s="1"/>
    </row>
    <row r="60" spans="1:7" ht="15.6" x14ac:dyDescent="0.3">
      <c r="A60" s="6"/>
      <c r="B60" s="6"/>
      <c r="C60" s="1"/>
      <c r="D60" s="6"/>
      <c r="E60" s="6"/>
      <c r="F60" s="6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" customHeight="1" x14ac:dyDescent="0.3">
      <c r="A64" s="1"/>
      <c r="B64" s="1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ht="15.6" x14ac:dyDescent="0.3">
      <c r="A66" s="6"/>
      <c r="B66" s="50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x14ac:dyDescent="0.3">
      <c r="B68" s="20"/>
      <c r="C68" s="20"/>
      <c r="D68" s="20"/>
      <c r="E68" s="20"/>
      <c r="F68" s="20"/>
    </row>
    <row r="69" spans="1:7" x14ac:dyDescent="0.3">
      <c r="B69" s="20"/>
      <c r="C69" s="20"/>
      <c r="E69" s="20"/>
      <c r="F69" s="20"/>
    </row>
  </sheetData>
  <mergeCells count="6">
    <mergeCell ref="M3:N3"/>
    <mergeCell ref="A19:F19"/>
    <mergeCell ref="A10:F10"/>
    <mergeCell ref="A50:F50"/>
    <mergeCell ref="B52:F52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2024-11-25T14:50:09Z</cp:lastPrinted>
  <dcterms:created xsi:type="dcterms:W3CDTF">2013-03-19T12:54:14Z</dcterms:created>
  <dcterms:modified xsi:type="dcterms:W3CDTF">2024-11-25T14:50:51Z</dcterms:modified>
</cp:coreProperties>
</file>