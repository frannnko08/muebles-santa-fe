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1 NOVIEMBRE 2024\"/>
    </mc:Choice>
  </mc:AlternateContent>
  <xr:revisionPtr revIDLastSave="0" documentId="13_ncr:1_{FA4C8933-5C06-4A60-B0CC-201A3B7548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'4637'!$A$1:$H$36</definedName>
    <definedName name="_xlnm.Print_Area" localSheetId="2">CUBIERTA!$A$1:$F$44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3" l="1"/>
  <c r="H25" i="4"/>
  <c r="B34" i="3"/>
  <c r="I26" i="3" s="1"/>
  <c r="B26" i="3" s="1"/>
  <c r="C34" i="3"/>
  <c r="F26" i="3" s="1"/>
  <c r="D34" i="3"/>
  <c r="J26" i="3" s="1"/>
  <c r="D26" i="3" s="1"/>
  <c r="E34" i="3"/>
  <c r="K26" i="3" s="1"/>
  <c r="F34" i="3"/>
  <c r="B35" i="3"/>
  <c r="I27" i="3" s="1"/>
  <c r="B27" i="3" s="1"/>
  <c r="C35" i="3"/>
  <c r="F27" i="3" s="1"/>
  <c r="D35" i="3"/>
  <c r="J27" i="3" s="1"/>
  <c r="E35" i="3"/>
  <c r="K27" i="3" s="1"/>
  <c r="F35" i="3"/>
  <c r="B36" i="3"/>
  <c r="C36" i="3"/>
  <c r="D36" i="3"/>
  <c r="E36" i="3"/>
  <c r="F36" i="3"/>
  <c r="B58" i="3"/>
  <c r="C58" i="3"/>
  <c r="D58" i="3"/>
  <c r="E58" i="3"/>
  <c r="F58" i="3"/>
  <c r="B59" i="3"/>
  <c r="C59" i="3"/>
  <c r="D59" i="3"/>
  <c r="E59" i="3"/>
  <c r="F59" i="3"/>
  <c r="B60" i="3"/>
  <c r="C60" i="3"/>
  <c r="D60" i="3"/>
  <c r="E60" i="3"/>
  <c r="F60" i="3"/>
  <c r="H22" i="4"/>
  <c r="H23" i="4"/>
  <c r="H24" i="4"/>
  <c r="K16" i="3" l="1"/>
  <c r="E16" i="3" s="1"/>
  <c r="K15" i="3"/>
  <c r="E15" i="3" s="1"/>
  <c r="J16" i="3"/>
  <c r="D16" i="3" s="1"/>
  <c r="J15" i="3"/>
  <c r="D15" i="3" s="1"/>
  <c r="I16" i="3"/>
  <c r="B16" i="3" s="1"/>
  <c r="I15" i="3"/>
  <c r="B15" i="3" s="1"/>
  <c r="F16" i="3"/>
  <c r="F15" i="3"/>
  <c r="H21" i="4"/>
  <c r="H30" i="4" l="1"/>
  <c r="B57" i="3"/>
  <c r="C57" i="3"/>
  <c r="D57" i="3"/>
  <c r="E57" i="3"/>
  <c r="F57" i="3"/>
  <c r="B33" i="3"/>
  <c r="C33" i="3"/>
  <c r="F25" i="3" s="1"/>
  <c r="D33" i="3"/>
  <c r="J14" i="3" s="1"/>
  <c r="D14" i="3" s="1"/>
  <c r="E33" i="3"/>
  <c r="K14" i="3" s="1"/>
  <c r="E14" i="3" s="1"/>
  <c r="F33" i="3"/>
  <c r="H31" i="4" l="1"/>
  <c r="I25" i="3"/>
  <c r="F14" i="3"/>
  <c r="K25" i="3"/>
  <c r="J25" i="3"/>
  <c r="D25" i="3" s="1"/>
  <c r="B25" i="3" l="1"/>
  <c r="I14" i="3"/>
  <c r="B14" i="3" s="1"/>
  <c r="H32" i="4"/>
  <c r="N5" i="3" l="1"/>
  <c r="M5" i="3" l="1"/>
  <c r="L5" i="3"/>
  <c r="K5" i="3"/>
  <c r="C50" i="3" l="1"/>
  <c r="C7" i="3"/>
  <c r="D48" i="3"/>
  <c r="D5" i="3"/>
  <c r="D50" i="3"/>
  <c r="D7" i="3"/>
  <c r="D47" i="3"/>
  <c r="D4" i="3"/>
</calcChain>
</file>

<file path=xl/sharedStrings.xml><?xml version="1.0" encoding="utf-8"?>
<sst xmlns="http://schemas.openxmlformats.org/spreadsheetml/2006/main" count="255" uniqueCount="149">
  <si>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</si>
  <si>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</si>
  <si>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</si>
  <si>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</si>
  <si>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</si>
  <si>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</si>
  <si>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</si>
  <si>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</si>
  <si>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</si>
  <si>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</si>
  <si>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</si>
  <si>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</si>
  <si>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</si>
  <si>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</si>
  <si>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</si>
  <si>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</si>
  <si>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</si>
  <si>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</si>
  <si>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</si>
  <si>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</si>
  <si>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</si>
  <si>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</si>
  <si>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</si>
  <si>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</si>
  <si>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</si>
  <si>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</si>
  <si>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</si>
  <si>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</si>
  <si>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</si>
  <si>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</si>
  <si>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</si>
  <si>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</si>
  <si>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</si>
  <si>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</si>
  <si>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</si>
  <si>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</si>
  <si>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</si>
  <si>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</si>
  <si>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</si>
  <si>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</si>
  <si>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</si>
  <si>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</si>
  <si>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</si>
  <si>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</si>
  <si>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</si>
  <si>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</si>
  <si>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</si>
  <si>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</si>
  <si>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</si>
  <si>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</si>
  <si>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</si>
  <si>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</si>
  <si>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</si>
  <si>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</si>
  <si>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</si>
  <si>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</si>
  <si>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</si>
  <si>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</si>
  <si>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</si>
  <si>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</si>
  <si>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</si>
  <si>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</si>
  <si>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</si>
  <si>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</si>
  <si>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</si>
  <si>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</si>
  <si>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</si>
  <si>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</si>
  <si>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</si>
  <si>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</si>
  <si>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</si>
  <si>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</si>
  <si>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</si>
  <si>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</si>
  <si>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</si>
  <si>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</si>
  <si>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</si>
  <si>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</si>
  <si>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</si>
  <si>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</si>
  <si>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</si>
  <si>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</si>
  <si>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</si>
  <si>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</si>
  <si>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</si>
  <si>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</si>
  <si>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</si>
  <si>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</si>
  <si>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</si>
  <si>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</si>
  <si>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</si>
  <si>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</si>
  <si>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</si>
  <si>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</si>
  <si>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</si>
  <si>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</si>
  <si>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</si>
  <si>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</si>
  <si>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</si>
  <si>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</si>
  <si>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</si>
  <si>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</si>
  <si>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</si>
  <si>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</si>
  <si>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</si>
  <si>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</si>
  <si>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</si>
  <si>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</si>
  <si>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</si>
  <si>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</si>
  <si>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</si>
  <si>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</si>
  <si>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</si>
  <si>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</si>
  <si>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</si>
  <si>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</si>
  <si>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</si>
  <si>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</si>
  <si>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</si>
  <si>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</si>
  <si>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</si>
  <si>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</si>
  <si>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</si>
  <si>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</si>
  <si>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</si>
  <si>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</si>
  <si>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</si>
  <si>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</si>
  <si>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</si>
  <si>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</si>
  <si>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</si>
  <si>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</si>
  <si>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</si>
  <si>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</si>
  <si>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</si>
  <si>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</si>
  <si>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</si>
  <si>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NO</t>
  </si>
  <si>
    <t>N° 11144</t>
  </si>
  <si>
    <t>HALCON DEN</t>
  </si>
  <si>
    <t>+569 7819 5747</t>
  </si>
  <si>
    <t>RUBY 2135 BRILLANTE</t>
  </si>
  <si>
    <t>CORTE 45°</t>
  </si>
  <si>
    <t>DESPACHO A DOMICILIO</t>
  </si>
  <si>
    <t>CUB S/R R6</t>
  </si>
  <si>
    <t>ALMA IMPRESORES SPA</t>
  </si>
  <si>
    <t>77.820.901-2</t>
  </si>
  <si>
    <t>SERVICIOS DE PUBLICIDAD</t>
  </si>
  <si>
    <t>SAN DIEGO 666 LOCAL 16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</si>
</sst>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sz val="12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6" fontId="3" fillId="0" borderId="29" xfId="1" applyNumberFormat="1" applyFont="1" applyFill="1" applyBorder="1" applyAlignment="1">
      <alignment horizontal="center" vertical="center"/>
    </xf>
    <xf numFmtId="166" fontId="3" fillId="0" borderId="0" xfId="0" applyNumberFormat="1" applyFont="1"/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7" fillId="0" borderId="0" xfId="0" applyFont="1" applyAlignment="1">
      <alignment horizontal="center"/>
    </xf>
    <xf numFmtId="0" fontId="19" fillId="0" borderId="0" xfId="0" quotePrefix="1" applyFont="1" applyAlignment="1">
      <alignment horizontal="left"/>
    </xf>
    <xf numFmtId="0" fontId="15" fillId="0" borderId="29" xfId="0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5" fontId="15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" fontId="15" fillId="0" borderId="29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29</xdr:row>
      <xdr:rowOff>9525</xdr:rowOff>
    </xdr:from>
    <xdr:to>
      <xdr:col>5</xdr:col>
      <xdr:colOff>1390650</xdr:colOff>
      <xdr:row>33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</a:t>
          </a:r>
          <a:r>
            <a:rPr lang="es-CL" sz="900" b="1" i="1" baseline="0"/>
            <a:t> 170.000.-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51</xdr:row>
      <xdr:rowOff>171450</xdr:rowOff>
    </xdr:from>
    <xdr:to>
      <xdr:col>5</xdr:col>
      <xdr:colOff>1685924</xdr:colOff>
      <xdr:row>53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38100</xdr:rowOff>
    </xdr:from>
    <xdr:to>
      <xdr:col>6</xdr:col>
      <xdr:colOff>0</xdr:colOff>
      <xdr:row>48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2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62</xdr:row>
      <xdr:rowOff>0</xdr:rowOff>
    </xdr:from>
    <xdr:to>
      <xdr:col>2</xdr:col>
      <xdr:colOff>1019175</xdr:colOff>
      <xdr:row>62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0</xdr:rowOff>
    </xdr:from>
    <xdr:to>
      <xdr:col>3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0</xdr:rowOff>
    </xdr:from>
    <xdr:to>
      <xdr:col>4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0</xdr:rowOff>
    </xdr:from>
    <xdr:to>
      <xdr:col>5</xdr:col>
      <xdr:colOff>447675</xdr:colOff>
      <xdr:row>62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0</xdr:rowOff>
    </xdr:from>
    <xdr:to>
      <xdr:col>6</xdr:col>
      <xdr:colOff>0</xdr:colOff>
      <xdr:row>62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62</xdr:row>
      <xdr:rowOff>190500</xdr:rowOff>
    </xdr:from>
    <xdr:to>
      <xdr:col>2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62</xdr:row>
      <xdr:rowOff>190500</xdr:rowOff>
    </xdr:from>
    <xdr:to>
      <xdr:col>2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190500</xdr:rowOff>
    </xdr:from>
    <xdr:to>
      <xdr:col>3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190500</xdr:rowOff>
    </xdr:from>
    <xdr:to>
      <xdr:col>4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190500</xdr:rowOff>
    </xdr:from>
    <xdr:to>
      <xdr:col>5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190500</xdr:rowOff>
    </xdr:from>
    <xdr:to>
      <xdr:col>6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38</xdr:row>
      <xdr:rowOff>15239</xdr:rowOff>
    </xdr:from>
    <xdr:to>
      <xdr:col>6</xdr:col>
      <xdr:colOff>68580</xdr:colOff>
      <xdr:row>42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OBSERVACIONES:LLEVAN CORTE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45 Y SERVICIO DE ENCHAPE SEGUN DETALLE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200025</xdr:rowOff>
    </xdr:from>
    <xdr:to>
      <xdr:col>6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65</xdr:row>
      <xdr:rowOff>32385</xdr:rowOff>
    </xdr:from>
    <xdr:to>
      <xdr:col>6</xdr:col>
      <xdr:colOff>19050</xdr:colOff>
      <xdr:row>69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CUBIERTA DE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530 X 560 CORTAR A LA MEDIDA  Y ENCHAPAR AMBOS  CANTOS SIN REGRUESO, CUBIERTA DE 1200 X 560 LLEVA CORTE DE 45 LADOS DERECHO CORTAR A LA MEDIA Y ENCHAPAR SIN REGRUESO LA IZQUIERDO, LA CUBIERTA DE 255O LLEVA CORTE DE DE 45 LADO IZQUIERDO, VA CON SOBRE MEDIDA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43</xdr:row>
      <xdr:rowOff>194310</xdr:rowOff>
    </xdr:from>
    <xdr:to>
      <xdr:col>2</xdr:col>
      <xdr:colOff>100723</xdr:colOff>
      <xdr:row>50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tabSelected="1" topLeftCell="A7" workbookViewId="0">
      <selection activeCell="C16" sqref="C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138</v>
      </c>
      <c r="E8" s="1"/>
      <c r="F8" s="91" t="s">
        <v>27</v>
      </c>
      <c r="G8" s="92">
        <v>7125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3" t="s">
        <v>145</v>
      </c>
      <c r="D10" s="55"/>
      <c r="E10" s="55"/>
      <c r="F10" s="56" t="s">
        <v>28</v>
      </c>
      <c r="G10" s="57">
        <v>45608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0" t="s">
        <v>146</v>
      </c>
      <c r="D11" s="60"/>
      <c r="E11" s="60"/>
      <c r="F11" s="60" t="s">
        <v>124</v>
      </c>
      <c r="G11" s="61">
        <v>45616</v>
      </c>
      <c r="H11" s="62"/>
      <c r="I11" s="1"/>
    </row>
    <row r="12" spans="1:17" ht="16.8" x14ac:dyDescent="0.4">
      <c r="A12" s="1"/>
      <c r="B12" s="63" t="s">
        <v>133</v>
      </c>
      <c r="C12" s="111" t="s">
        <v>147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135</v>
      </c>
      <c r="C13" t="s">
        <v>139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13" t="s">
        <v>140</v>
      </c>
      <c r="D14" s="66"/>
      <c r="E14" s="60"/>
      <c r="F14" s="60" t="s">
        <v>29</v>
      </c>
      <c r="G14" s="60" t="s">
        <v>137</v>
      </c>
      <c r="H14" s="62"/>
      <c r="I14" s="1"/>
    </row>
    <row r="15" spans="1:17" ht="15.6" x14ac:dyDescent="0.3">
      <c r="A15" s="1"/>
      <c r="B15" s="63" t="s">
        <v>1</v>
      </c>
      <c r="C15" t="s">
        <v>148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24" t="s">
        <v>18</v>
      </c>
      <c r="G16" s="124"/>
      <c r="H16" s="12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6" t="s">
        <v>19</v>
      </c>
      <c r="C19" s="127"/>
      <c r="D19" s="127"/>
      <c r="E19" s="127"/>
      <c r="F19" s="127"/>
      <c r="G19" s="127"/>
      <c r="H19" s="128"/>
      <c r="I19" s="1"/>
    </row>
    <row r="20" spans="1:16" ht="15.6" x14ac:dyDescent="0.3">
      <c r="A20" s="1"/>
      <c r="B20" s="121" t="s">
        <v>20</v>
      </c>
      <c r="C20" s="122" t="s">
        <v>21</v>
      </c>
      <c r="D20" s="122" t="s">
        <v>22</v>
      </c>
      <c r="E20" s="122" t="s">
        <v>8</v>
      </c>
      <c r="F20" s="123" t="s">
        <v>23</v>
      </c>
      <c r="G20" s="121" t="s">
        <v>24</v>
      </c>
      <c r="H20" s="123" t="s">
        <v>4</v>
      </c>
      <c r="I20" s="1"/>
    </row>
    <row r="21" spans="1:16" ht="18" customHeight="1" x14ac:dyDescent="0.3">
      <c r="A21" s="1"/>
      <c r="B21" s="120">
        <v>1</v>
      </c>
      <c r="C21" s="114" t="s">
        <v>144</v>
      </c>
      <c r="D21" s="119">
        <v>530</v>
      </c>
      <c r="E21" s="119">
        <v>560</v>
      </c>
      <c r="F21" s="114" t="s">
        <v>141</v>
      </c>
      <c r="G21" s="104">
        <v>33063</v>
      </c>
      <c r="H21" s="102">
        <f>G21*B21</f>
        <v>33063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</v>
      </c>
      <c r="C22" s="101" t="s">
        <v>144</v>
      </c>
      <c r="D22" s="119">
        <v>1200</v>
      </c>
      <c r="E22" s="119">
        <v>560</v>
      </c>
      <c r="F22" s="114" t="s">
        <v>141</v>
      </c>
      <c r="G22" s="104">
        <v>68945</v>
      </c>
      <c r="H22" s="102">
        <f t="shared" ref="H22:H25" si="0">G22*B22</f>
        <v>68945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>
        <v>1</v>
      </c>
      <c r="C23" s="101" t="s">
        <v>144</v>
      </c>
      <c r="D23" s="119">
        <v>2550</v>
      </c>
      <c r="E23" s="119">
        <v>560</v>
      </c>
      <c r="F23" s="114" t="s">
        <v>141</v>
      </c>
      <c r="G23" s="104">
        <v>141246</v>
      </c>
      <c r="H23" s="102">
        <f t="shared" si="0"/>
        <v>141246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6">
        <v>2</v>
      </c>
      <c r="C24" s="101" t="s">
        <v>142</v>
      </c>
      <c r="D24" s="115"/>
      <c r="E24" s="115"/>
      <c r="F24" s="101"/>
      <c r="G24" s="116">
        <v>7500</v>
      </c>
      <c r="H24" s="102">
        <f t="shared" si="0"/>
        <v>15000</v>
      </c>
      <c r="I24" s="1"/>
      <c r="K24" s="17"/>
      <c r="L24" s="26"/>
      <c r="M24" s="17"/>
      <c r="N24" s="17"/>
      <c r="O24" s="26"/>
      <c r="P24" s="33"/>
    </row>
    <row r="25" spans="1:16" ht="18" customHeight="1" thickBot="1" x14ac:dyDescent="0.35">
      <c r="A25" s="1"/>
      <c r="B25" s="107">
        <v>1</v>
      </c>
      <c r="C25" s="108" t="s">
        <v>143</v>
      </c>
      <c r="D25" s="117"/>
      <c r="E25" s="117"/>
      <c r="F25" s="108"/>
      <c r="G25" s="118">
        <v>25000</v>
      </c>
      <c r="H25" s="102">
        <f t="shared" si="0"/>
        <v>25000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4"/>
      <c r="C26" s="94"/>
      <c r="D26" s="109"/>
      <c r="E26" s="109"/>
      <c r="F26" s="94"/>
      <c r="G26" s="72"/>
      <c r="H26" s="96"/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94"/>
      <c r="C27" s="94"/>
      <c r="D27" s="109"/>
      <c r="E27" s="109"/>
      <c r="F27" s="94"/>
      <c r="G27" s="72"/>
      <c r="H27" s="96"/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94"/>
      <c r="C28" s="94"/>
      <c r="D28" s="94"/>
      <c r="E28" s="94"/>
      <c r="F28" s="95"/>
      <c r="G28" s="96"/>
      <c r="H28" s="96"/>
      <c r="I28" s="1"/>
      <c r="K28" s="17"/>
      <c r="L28" s="26"/>
      <c r="M28" s="17"/>
      <c r="N28" s="17"/>
      <c r="O28" s="26"/>
      <c r="P28" s="33"/>
    </row>
    <row r="29" spans="1:16" ht="8.25" customHeight="1" thickBot="1" x14ac:dyDescent="0.35">
      <c r="A29" s="1"/>
      <c r="B29" s="71"/>
      <c r="C29" s="71"/>
      <c r="D29" s="71"/>
      <c r="E29" s="71"/>
      <c r="F29" s="71"/>
      <c r="G29" s="72"/>
      <c r="H29" s="72"/>
      <c r="I29" s="1"/>
    </row>
    <row r="30" spans="1:16" ht="15.6" x14ac:dyDescent="0.3">
      <c r="A30" s="1"/>
      <c r="B30" s="1"/>
      <c r="C30" s="1"/>
      <c r="D30" s="1"/>
      <c r="E30" s="1"/>
      <c r="F30" s="1"/>
      <c r="G30" s="73" t="s">
        <v>5</v>
      </c>
      <c r="H30" s="74">
        <f>SUM(H21:H29)</f>
        <v>283254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75" t="s">
        <v>6</v>
      </c>
      <c r="H31" s="76">
        <f>H30*19%</f>
        <v>53818.26</v>
      </c>
      <c r="I31" s="1"/>
    </row>
    <row r="32" spans="1:16" ht="16.2" thickBot="1" x14ac:dyDescent="0.35">
      <c r="A32" s="1"/>
      <c r="B32" s="1"/>
      <c r="C32" s="1"/>
      <c r="D32" s="1"/>
      <c r="E32" s="1"/>
      <c r="F32" s="1"/>
      <c r="G32" s="77" t="s">
        <v>4</v>
      </c>
      <c r="H32" s="78">
        <f>H30+H31</f>
        <v>337072.26</v>
      </c>
      <c r="I32" s="105"/>
    </row>
    <row r="33" spans="1:9" ht="15.6" x14ac:dyDescent="0.3">
      <c r="A33" s="1"/>
      <c r="B33" s="1"/>
      <c r="C33" s="1"/>
      <c r="D33" s="1"/>
      <c r="E33" s="1"/>
      <c r="F33" s="1"/>
      <c r="G33" s="52"/>
      <c r="H33" s="97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79" t="s">
        <v>123</v>
      </c>
      <c r="C35" s="80"/>
      <c r="D35" s="81"/>
      <c r="E35" s="81"/>
      <c r="F35" s="71"/>
      <c r="G35" s="1"/>
      <c r="H35" s="1"/>
      <c r="I35" s="1"/>
    </row>
    <row r="36" spans="1:9" ht="15.6" x14ac:dyDescent="0.3">
      <c r="A36" s="1"/>
      <c r="B36" s="79" t="s">
        <v>122</v>
      </c>
      <c r="C36" s="80"/>
      <c r="D36" s="81"/>
      <c r="E36" s="81"/>
      <c r="F36" s="71"/>
      <c r="G36" s="1"/>
      <c r="H36" s="1"/>
      <c r="I36" s="1"/>
    </row>
    <row r="37" spans="1:9" ht="15.6" x14ac:dyDescent="0.3">
      <c r="A37" s="1"/>
      <c r="B37" s="1" t="s">
        <v>25</v>
      </c>
      <c r="C37" s="1"/>
      <c r="D37" s="1"/>
      <c r="E37" s="82" t="s">
        <v>26</v>
      </c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</sheetData>
  <sortState xmlns:xlrd2="http://schemas.microsoft.com/office/spreadsheetml/2017/richdata2" ref="B41">
    <sortCondition sortBy="fontColor" ref="B41" dxfId="0"/>
  </sortState>
  <mergeCells count="2">
    <mergeCell ref="F16:H16"/>
    <mergeCell ref="B19:H19"/>
  </mergeCells>
  <phoneticPr fontId="10" type="noConversion"/>
  <hyperlinks>
    <hyperlink ref="E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31</v>
      </c>
      <c r="C2" s="129"/>
      <c r="D2" s="129"/>
      <c r="E2" s="18"/>
      <c r="G2" s="129" t="s">
        <v>70</v>
      </c>
      <c r="H2" s="129"/>
      <c r="I2" s="129"/>
      <c r="P2" s="130" t="s">
        <v>58</v>
      </c>
      <c r="Q2" s="130"/>
      <c r="R2" s="13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30" t="s">
        <v>58</v>
      </c>
      <c r="M8" s="130"/>
      <c r="N8" s="13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3"/>
  <sheetViews>
    <sheetView zoomScaleNormal="100" workbookViewId="0">
      <selection sqref="A1:F4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31" t="s">
        <v>61</v>
      </c>
      <c r="L3" s="131"/>
      <c r="M3" s="131" t="s">
        <v>14</v>
      </c>
      <c r="N3" s="131"/>
    </row>
    <row r="4" spans="1:14" ht="15.75" customHeight="1" x14ac:dyDescent="0.3">
      <c r="A4" s="1"/>
      <c r="B4" s="1"/>
      <c r="C4" s="40" t="s">
        <v>27</v>
      </c>
      <c r="D4" s="14">
        <f>'4637'!G8</f>
        <v>7125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ALMA IMPRESORES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4" t="str">
        <f>'4637'!F11</f>
        <v>FECHA LIMITE :</v>
      </c>
      <c r="D7" s="13">
        <f>'4637'!G11</f>
        <v>45616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2" t="s">
        <v>61</v>
      </c>
      <c r="B10" s="132"/>
      <c r="C10" s="132"/>
      <c r="D10" s="132"/>
      <c r="E10" s="132"/>
      <c r="F10" s="13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131</v>
      </c>
      <c r="B14" s="25">
        <f t="shared" ref="B14" si="0">I14</f>
        <v>1</v>
      </c>
      <c r="C14" s="25"/>
      <c r="D14" s="25">
        <f>J14+D$13</f>
        <v>580</v>
      </c>
      <c r="E14" s="35">
        <f>K14</f>
        <v>560</v>
      </c>
      <c r="F14" s="99" t="str">
        <f t="shared" ref="F14" si="1">C33</f>
        <v>CUB S/R R6</v>
      </c>
      <c r="G14" s="1"/>
      <c r="I14" s="3">
        <f t="shared" ref="I14:I16" si="2">I25</f>
        <v>1</v>
      </c>
      <c r="J14" s="4">
        <f t="shared" ref="J14:K14" si="3">D33</f>
        <v>530</v>
      </c>
      <c r="K14" s="4">
        <f t="shared" si="3"/>
        <v>560</v>
      </c>
    </row>
    <row r="15" spans="1:14" ht="15.6" x14ac:dyDescent="0.3">
      <c r="A15" s="93"/>
      <c r="B15" s="25">
        <f t="shared" ref="B15:B16" si="4">I15</f>
        <v>1</v>
      </c>
      <c r="C15" s="25"/>
      <c r="D15" s="25">
        <f t="shared" ref="D15:D16" si="5">J15+D$13</f>
        <v>1250</v>
      </c>
      <c r="E15" s="35">
        <f t="shared" ref="E15:E16" si="6">K15</f>
        <v>560</v>
      </c>
      <c r="F15" s="99" t="str">
        <f>C34</f>
        <v>CUB S/R R6</v>
      </c>
      <c r="G15" s="1"/>
      <c r="I15" s="3">
        <f t="shared" si="2"/>
        <v>1</v>
      </c>
      <c r="J15" s="4">
        <f>D34</f>
        <v>1200</v>
      </c>
      <c r="K15" s="4">
        <f>E34</f>
        <v>560</v>
      </c>
    </row>
    <row r="16" spans="1:14" ht="15.6" x14ac:dyDescent="0.3">
      <c r="A16" s="93"/>
      <c r="B16" s="25">
        <f t="shared" si="4"/>
        <v>1</v>
      </c>
      <c r="C16" s="25"/>
      <c r="D16" s="25">
        <f t="shared" si="5"/>
        <v>2600</v>
      </c>
      <c r="E16" s="35">
        <f t="shared" si="6"/>
        <v>560</v>
      </c>
      <c r="F16" s="99" t="str">
        <f>C35</f>
        <v>CUB S/R R6</v>
      </c>
      <c r="G16" s="1"/>
      <c r="I16" s="3">
        <f t="shared" si="2"/>
        <v>1</v>
      </c>
      <c r="J16" s="4">
        <f>D35</f>
        <v>2550</v>
      </c>
      <c r="K16" s="4">
        <f>E35</f>
        <v>560</v>
      </c>
    </row>
    <row r="17" spans="1:11" ht="15.6" x14ac:dyDescent="0.3">
      <c r="A17" s="93"/>
      <c r="B17" s="6"/>
      <c r="C17" s="6"/>
      <c r="D17" s="6"/>
      <c r="E17" s="86"/>
      <c r="F17" s="103"/>
      <c r="G17" s="1"/>
      <c r="I17" s="87"/>
      <c r="J17" s="2"/>
      <c r="K17" s="2"/>
    </row>
    <row r="18" spans="1:11" ht="15.6" x14ac:dyDescent="0.3">
      <c r="A18" s="93"/>
      <c r="B18" s="6"/>
      <c r="C18" s="6"/>
      <c r="D18" s="6"/>
      <c r="E18" s="86"/>
      <c r="F18" s="103"/>
      <c r="G18" s="1"/>
      <c r="I18" s="87"/>
      <c r="J18" s="2"/>
      <c r="K18" s="2"/>
    </row>
    <row r="19" spans="1:11" ht="15.6" x14ac:dyDescent="0.3">
      <c r="A19" s="52"/>
      <c r="B19" s="6"/>
      <c r="C19" s="6"/>
      <c r="D19" s="6"/>
      <c r="E19" s="86"/>
      <c r="F19" s="6"/>
      <c r="G19" s="1"/>
      <c r="I19" s="87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32" t="s">
        <v>14</v>
      </c>
      <c r="B21" s="132"/>
      <c r="C21" s="132"/>
      <c r="D21" s="132"/>
      <c r="E21" s="132"/>
      <c r="F21" s="132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2" t="s">
        <v>7</v>
      </c>
      <c r="E23" s="52" t="s">
        <v>8</v>
      </c>
      <c r="F23" s="1"/>
      <c r="G23" s="1"/>
    </row>
    <row r="24" spans="1:11" ht="15.6" x14ac:dyDescent="0.3">
      <c r="A24" s="52" t="s">
        <v>9</v>
      </c>
      <c r="B24" s="36" t="s">
        <v>10</v>
      </c>
      <c r="C24" s="36" t="s">
        <v>11</v>
      </c>
      <c r="D24" s="21">
        <v>40</v>
      </c>
      <c r="E24" s="21">
        <v>60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3" t="s">
        <v>131</v>
      </c>
      <c r="B25" s="16">
        <f t="shared" ref="B25" si="7">I25</f>
        <v>1</v>
      </c>
      <c r="C25" s="16"/>
      <c r="D25" s="16">
        <f>J25+D$24</f>
        <v>570</v>
      </c>
      <c r="E25" s="16">
        <v>610</v>
      </c>
      <c r="F25" s="100" t="str">
        <f t="shared" ref="F25" si="8">C33</f>
        <v>CUB S/R R6</v>
      </c>
      <c r="G25" s="1"/>
      <c r="I25" s="3">
        <f t="shared" ref="I25" si="9">B33</f>
        <v>1</v>
      </c>
      <c r="J25" s="4">
        <f>D33</f>
        <v>530</v>
      </c>
      <c r="K25" s="4">
        <f>E33</f>
        <v>560</v>
      </c>
    </row>
    <row r="26" spans="1:11" ht="15.6" x14ac:dyDescent="0.3">
      <c r="A26" s="93"/>
      <c r="B26" s="16">
        <f t="shared" ref="B26:B27" si="10">I26</f>
        <v>1</v>
      </c>
      <c r="C26" s="16"/>
      <c r="D26" s="16">
        <f t="shared" ref="D26:D27" si="11">J26+D$24</f>
        <v>1240</v>
      </c>
      <c r="E26" s="16">
        <v>610</v>
      </c>
      <c r="F26" s="100" t="str">
        <f>C34</f>
        <v>CUB S/R R6</v>
      </c>
      <c r="G26" s="1"/>
      <c r="I26" s="3">
        <f>B34</f>
        <v>1</v>
      </c>
      <c r="J26" s="4">
        <f t="shared" ref="J26:K26" si="12">D34</f>
        <v>1200</v>
      </c>
      <c r="K26" s="4">
        <f t="shared" si="12"/>
        <v>560</v>
      </c>
    </row>
    <row r="27" spans="1:11" ht="15.6" x14ac:dyDescent="0.3">
      <c r="A27" s="93"/>
      <c r="B27" s="16">
        <f t="shared" si="10"/>
        <v>1</v>
      </c>
      <c r="C27" s="16"/>
      <c r="D27" s="16">
        <f t="shared" si="11"/>
        <v>2590</v>
      </c>
      <c r="E27" s="16">
        <v>610</v>
      </c>
      <c r="F27" s="100" t="str">
        <f>C35</f>
        <v>CUB S/R R6</v>
      </c>
      <c r="G27" s="1"/>
      <c r="I27" s="3">
        <f>B35</f>
        <v>1</v>
      </c>
      <c r="J27" s="4">
        <f t="shared" ref="J27:K27" si="13">D35</f>
        <v>2550</v>
      </c>
      <c r="K27" s="4">
        <f t="shared" si="13"/>
        <v>560</v>
      </c>
    </row>
    <row r="28" spans="1:11" ht="15.6" x14ac:dyDescent="0.3">
      <c r="A28" s="93"/>
      <c r="B28" s="6"/>
      <c r="C28" s="6"/>
      <c r="D28" s="6"/>
      <c r="E28" s="6"/>
      <c r="F28" s="103"/>
      <c r="G28" s="1"/>
      <c r="I28" s="87"/>
      <c r="J28" s="2"/>
      <c r="K28" s="2"/>
    </row>
    <row r="29" spans="1:11" ht="16.2" thickBot="1" x14ac:dyDescent="0.35">
      <c r="A29" s="52"/>
      <c r="B29" s="6"/>
      <c r="C29" s="6"/>
      <c r="D29" s="6"/>
      <c r="E29" s="6"/>
      <c r="F29" s="6"/>
      <c r="G29" s="1"/>
      <c r="I29" s="2"/>
      <c r="J29" s="2"/>
      <c r="K29" s="2"/>
    </row>
    <row r="30" spans="1:11" ht="16.2" thickBot="1" x14ac:dyDescent="0.35">
      <c r="A30" s="52"/>
      <c r="B30" s="22" t="s">
        <v>107</v>
      </c>
      <c r="C30" s="23"/>
      <c r="D30" s="23"/>
      <c r="E30" s="23"/>
      <c r="F30" s="24"/>
      <c r="G30" s="1"/>
      <c r="I30" s="2"/>
      <c r="J30" s="2"/>
      <c r="K30" s="2"/>
    </row>
    <row r="31" spans="1:11" ht="10.5" customHeight="1" x14ac:dyDescent="0.3">
      <c r="A31" s="1"/>
      <c r="B31" s="1"/>
      <c r="C31" s="1"/>
      <c r="D31" s="1"/>
      <c r="E31" s="1"/>
      <c r="F31" s="1"/>
      <c r="G31" s="1"/>
    </row>
    <row r="32" spans="1:11" ht="15.6" x14ac:dyDescent="0.3">
      <c r="A32" s="52" t="s">
        <v>9</v>
      </c>
      <c r="B32" s="85" t="s">
        <v>10</v>
      </c>
      <c r="C32" s="85" t="s">
        <v>110</v>
      </c>
      <c r="D32" s="85" t="s">
        <v>7</v>
      </c>
      <c r="E32" s="85" t="s">
        <v>8</v>
      </c>
      <c r="F32" s="85" t="s">
        <v>23</v>
      </c>
      <c r="G32" s="1"/>
    </row>
    <row r="33" spans="1:7" ht="15.6" x14ac:dyDescent="0.3">
      <c r="A33" s="93" t="s">
        <v>136</v>
      </c>
      <c r="B33" s="25">
        <f>'4637'!B21</f>
        <v>1</v>
      </c>
      <c r="C33" s="99" t="str">
        <f>'4637'!C21</f>
        <v>CUB S/R R6</v>
      </c>
      <c r="D33" s="25">
        <f>'4637'!D21</f>
        <v>530</v>
      </c>
      <c r="E33" s="25">
        <f>'4637'!E21</f>
        <v>560</v>
      </c>
      <c r="F33" s="25" t="str">
        <f>'4637'!F21</f>
        <v>RUBY 2135 BRILLANTE</v>
      </c>
      <c r="G33" s="1"/>
    </row>
    <row r="34" spans="1:7" ht="15.6" x14ac:dyDescent="0.3">
      <c r="A34" s="93"/>
      <c r="B34" s="25">
        <f>'4637'!B22</f>
        <v>1</v>
      </c>
      <c r="C34" s="99" t="str">
        <f>'4637'!C22</f>
        <v>CUB S/R R6</v>
      </c>
      <c r="D34" s="25">
        <f>'4637'!D22</f>
        <v>1200</v>
      </c>
      <c r="E34" s="25">
        <f>'4637'!E22</f>
        <v>560</v>
      </c>
      <c r="F34" s="25" t="str">
        <f>'4637'!F22</f>
        <v>RUBY 2135 BRILLANTE</v>
      </c>
      <c r="G34" s="1"/>
    </row>
    <row r="35" spans="1:7" ht="15.6" x14ac:dyDescent="0.3">
      <c r="A35" s="93"/>
      <c r="B35" s="25">
        <f>'4637'!B23</f>
        <v>1</v>
      </c>
      <c r="C35" s="99" t="str">
        <f>'4637'!C23</f>
        <v>CUB S/R R6</v>
      </c>
      <c r="D35" s="25">
        <f>'4637'!D23</f>
        <v>2550</v>
      </c>
      <c r="E35" s="25">
        <f>'4637'!E23</f>
        <v>560</v>
      </c>
      <c r="F35" s="25" t="str">
        <f>'4637'!F23</f>
        <v>RUBY 2135 BRILLANTE</v>
      </c>
      <c r="G35" s="1"/>
    </row>
    <row r="36" spans="1:7" ht="15.6" x14ac:dyDescent="0.3">
      <c r="A36" s="93"/>
      <c r="B36" s="25">
        <f>'4637'!B24</f>
        <v>2</v>
      </c>
      <c r="C36" s="99" t="str">
        <f>'4637'!C24</f>
        <v>CORTE 45°</v>
      </c>
      <c r="D36" s="25">
        <f>'4637'!D24</f>
        <v>0</v>
      </c>
      <c r="E36" s="25">
        <f>'4637'!E24</f>
        <v>0</v>
      </c>
      <c r="F36" s="25">
        <f>'4637'!F24</f>
        <v>0</v>
      </c>
      <c r="G36" s="1"/>
    </row>
    <row r="37" spans="1:7" ht="15.6" x14ac:dyDescent="0.3">
      <c r="A37" s="52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40" t="s">
        <v>27</v>
      </c>
      <c r="D47" s="14">
        <f>'4637'!G8</f>
        <v>7125</v>
      </c>
      <c r="E47" s="1"/>
      <c r="F47" s="1"/>
      <c r="G47" s="1"/>
    </row>
    <row r="48" spans="1:7" ht="17.25" customHeight="1" x14ac:dyDescent="0.3">
      <c r="A48" s="1"/>
      <c r="B48" s="1"/>
      <c r="C48" s="41" t="s">
        <v>67</v>
      </c>
      <c r="D48" s="42" t="str">
        <f>'4637'!C10</f>
        <v>ALMA IMPRESORES SPA</v>
      </c>
      <c r="E48" s="43"/>
      <c r="F48" s="43"/>
      <c r="G48" s="1"/>
    </row>
    <row r="49" spans="1:7" ht="4.5" customHeight="1" x14ac:dyDescent="0.3">
      <c r="A49" s="1"/>
      <c r="B49" s="1"/>
      <c r="C49" s="44"/>
      <c r="D49" s="45"/>
      <c r="E49" s="1"/>
      <c r="F49" s="1"/>
      <c r="G49" s="1"/>
    </row>
    <row r="50" spans="1:7" ht="15.6" x14ac:dyDescent="0.3">
      <c r="A50" s="1"/>
      <c r="B50" s="1"/>
      <c r="C50" s="46" t="str">
        <f>'4637'!F11</f>
        <v>FECHA LIMITE :</v>
      </c>
      <c r="D50" s="13">
        <f>'4637'!G11</f>
        <v>45616</v>
      </c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32" t="s">
        <v>68</v>
      </c>
      <c r="B53" s="132"/>
      <c r="C53" s="132"/>
      <c r="D53" s="132"/>
      <c r="E53" s="132"/>
      <c r="F53" s="132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75" customHeight="1" x14ac:dyDescent="0.3">
      <c r="A55" s="1"/>
      <c r="B55" s="133" t="s">
        <v>69</v>
      </c>
      <c r="C55" s="134"/>
      <c r="D55" s="135"/>
      <c r="E55" s="135"/>
      <c r="F55" s="136"/>
      <c r="G55" s="1"/>
    </row>
    <row r="56" spans="1:7" s="15" customFormat="1" ht="12.75" customHeight="1" x14ac:dyDescent="0.3">
      <c r="A56" s="1"/>
      <c r="B56" s="36" t="s">
        <v>10</v>
      </c>
      <c r="C56" s="47" t="s">
        <v>11</v>
      </c>
      <c r="D56" s="48" t="s">
        <v>7</v>
      </c>
      <c r="E56" s="48" t="s">
        <v>8</v>
      </c>
      <c r="F56" s="49" t="s">
        <v>12</v>
      </c>
      <c r="G56" s="1"/>
    </row>
    <row r="57" spans="1:7" s="15" customFormat="1" ht="15" customHeight="1" x14ac:dyDescent="0.3">
      <c r="A57" s="93"/>
      <c r="B57" s="38">
        <f>'4637'!B21</f>
        <v>1</v>
      </c>
      <c r="C57" s="98" t="str">
        <f>'4637'!C21</f>
        <v>CUB S/R R6</v>
      </c>
      <c r="D57" s="39">
        <f>'4637'!D21</f>
        <v>530</v>
      </c>
      <c r="E57" s="39">
        <f>'4637'!E21</f>
        <v>560</v>
      </c>
      <c r="F57" s="38" t="str">
        <f>'4637'!F21</f>
        <v>RUBY 2135 BRILLANTE</v>
      </c>
      <c r="G57" s="1"/>
    </row>
    <row r="58" spans="1:7" s="15" customFormat="1" ht="15" customHeight="1" x14ac:dyDescent="0.3">
      <c r="A58" s="93"/>
      <c r="B58" s="38">
        <f>'4637'!B22</f>
        <v>1</v>
      </c>
      <c r="C58" s="98" t="str">
        <f>'4637'!C22</f>
        <v>CUB S/R R6</v>
      </c>
      <c r="D58" s="39">
        <f>'4637'!D22</f>
        <v>1200</v>
      </c>
      <c r="E58" s="39">
        <f>'4637'!E22</f>
        <v>560</v>
      </c>
      <c r="F58" s="38" t="str">
        <f>'4637'!F22</f>
        <v>RUBY 2135 BRILLANTE</v>
      </c>
      <c r="G58" s="1"/>
    </row>
    <row r="59" spans="1:7" s="15" customFormat="1" ht="15" customHeight="1" x14ac:dyDescent="0.3">
      <c r="A59" s="93"/>
      <c r="B59" s="38">
        <f>'4637'!B23</f>
        <v>1</v>
      </c>
      <c r="C59" s="98" t="str">
        <f>'4637'!C23</f>
        <v>CUB S/R R6</v>
      </c>
      <c r="D59" s="39">
        <f>'4637'!D23</f>
        <v>2550</v>
      </c>
      <c r="E59" s="39">
        <f>'4637'!E23</f>
        <v>560</v>
      </c>
      <c r="F59" s="38" t="str">
        <f>'4637'!F23</f>
        <v>RUBY 2135 BRILLANTE</v>
      </c>
      <c r="G59" s="1"/>
    </row>
    <row r="60" spans="1:7" s="15" customFormat="1" ht="15" customHeight="1" x14ac:dyDescent="0.3">
      <c r="A60" s="93"/>
      <c r="B60" s="38">
        <f>'4637'!B24</f>
        <v>2</v>
      </c>
      <c r="C60" s="98" t="str">
        <f>'4637'!C24</f>
        <v>CORTE 45°</v>
      </c>
      <c r="D60" s="39">
        <f>'4637'!D24</f>
        <v>0</v>
      </c>
      <c r="E60" s="39">
        <f>'4637'!E24</f>
        <v>0</v>
      </c>
      <c r="F60" s="38">
        <f>'4637'!F24</f>
        <v>0</v>
      </c>
      <c r="G60" s="1"/>
    </row>
    <row r="61" spans="1:7" s="15" customFormat="1" ht="15" customHeight="1" x14ac:dyDescent="0.3">
      <c r="A61" s="93"/>
      <c r="B61" s="52"/>
      <c r="C61" s="112"/>
      <c r="D61" s="52"/>
      <c r="E61" s="52"/>
      <c r="F61" s="52"/>
      <c r="G61" s="1"/>
    </row>
    <row r="62" spans="1:7" s="15" customFormat="1" ht="15" customHeight="1" x14ac:dyDescent="0.3">
      <c r="A62" s="50"/>
      <c r="B62" s="52"/>
      <c r="C62" s="52"/>
      <c r="D62" s="52"/>
      <c r="E62" s="52"/>
      <c r="F62" s="52"/>
      <c r="G62" s="1"/>
    </row>
    <row r="63" spans="1:7" ht="15.6" x14ac:dyDescent="0.3">
      <c r="A63" s="6"/>
      <c r="B63" s="6"/>
      <c r="C63" s="1"/>
      <c r="D63" s="6"/>
      <c r="E63" s="6"/>
      <c r="F63" s="44"/>
      <c r="G63" s="1"/>
    </row>
    <row r="64" spans="1:7" ht="15.6" x14ac:dyDescent="0.3">
      <c r="A64" s="6"/>
      <c r="B64" s="6"/>
      <c r="C64" s="1"/>
      <c r="D64" s="6"/>
      <c r="E64" s="6"/>
      <c r="F64" s="6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" customHeight="1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6"/>
      <c r="B70" s="5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x14ac:dyDescent="0.3">
      <c r="B72" s="20"/>
      <c r="C72" s="20"/>
      <c r="D72" s="20"/>
      <c r="E72" s="20"/>
      <c r="F72" s="20"/>
    </row>
    <row r="73" spans="1:7" x14ac:dyDescent="0.3">
      <c r="B73" s="20"/>
      <c r="C73" s="20"/>
      <c r="E73" s="20"/>
      <c r="F73" s="20"/>
    </row>
  </sheetData>
  <mergeCells count="6">
    <mergeCell ref="M3:N3"/>
    <mergeCell ref="A21:F21"/>
    <mergeCell ref="A10:F10"/>
    <mergeCell ref="A53:F53"/>
    <mergeCell ref="B55:F55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2024-11-13T14:44:54Z</cp:lastPrinted>
  <dcterms:created xsi:type="dcterms:W3CDTF">2013-03-19T12:54:14Z</dcterms:created>
  <dcterms:modified xsi:type="dcterms:W3CDTF">2024-11-13T14:47:57Z</dcterms:modified>
</cp:coreProperties>
</file>