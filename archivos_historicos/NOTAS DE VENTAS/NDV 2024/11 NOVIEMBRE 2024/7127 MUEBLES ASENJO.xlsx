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11 NOVIEMBRE 2024\"/>
    </mc:Choice>
  </mc:AlternateContent>
  <xr:revisionPtr revIDLastSave="0" documentId="13_ncr:1_{90E2BB40-030F-42A7-8A0B-39A2E594FBF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CUBIERTA!$A$1:$F$38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3" l="1"/>
  <c r="E33" i="3" l="1"/>
  <c r="K26" i="3" s="1"/>
  <c r="H22" i="4"/>
  <c r="B32" i="3"/>
  <c r="I25" i="3" s="1"/>
  <c r="B25" i="3" s="1"/>
  <c r="C32" i="3"/>
  <c r="F25" i="3" s="1"/>
  <c r="D32" i="3"/>
  <c r="J25" i="3" s="1"/>
  <c r="D25" i="3" s="1"/>
  <c r="E32" i="3"/>
  <c r="K25" i="3" s="1"/>
  <c r="F32" i="3"/>
  <c r="B33" i="3"/>
  <c r="I26" i="3" s="1"/>
  <c r="B26" i="3" s="1"/>
  <c r="C33" i="3"/>
  <c r="F26" i="3" s="1"/>
  <c r="D33" i="3"/>
  <c r="J26" i="3" s="1"/>
  <c r="D26" i="3" s="1"/>
  <c r="F33" i="3"/>
  <c r="B53" i="3"/>
  <c r="C53" i="3"/>
  <c r="D53" i="3"/>
  <c r="E53" i="3"/>
  <c r="F53" i="3"/>
  <c r="B54" i="3"/>
  <c r="C54" i="3"/>
  <c r="D54" i="3"/>
  <c r="E54" i="3"/>
  <c r="F54" i="3"/>
  <c r="H21" i="4"/>
  <c r="K16" i="3" l="1"/>
  <c r="J16" i="3"/>
  <c r="D16" i="3" s="1"/>
  <c r="K14" i="3"/>
  <c r="E14" i="3" s="1"/>
  <c r="I16" i="3"/>
  <c r="B16" i="3" s="1"/>
  <c r="I14" i="3"/>
  <c r="B14" i="3" s="1"/>
  <c r="J14" i="3"/>
  <c r="D14" i="3" s="1"/>
  <c r="F16" i="3"/>
  <c r="F14" i="3"/>
  <c r="H25" i="4"/>
  <c r="H26" i="4" l="1"/>
  <c r="H27" i="4" l="1"/>
  <c r="N5" i="3" l="1"/>
  <c r="M5" i="3" l="1"/>
  <c r="L5" i="3"/>
  <c r="K5" i="3"/>
  <c r="C46" i="3" l="1"/>
  <c r="C7" i="3"/>
  <c r="D44" i="3"/>
  <c r="D5" i="3"/>
  <c r="D46" i="3"/>
  <c r="D7" i="3"/>
  <c r="D43" i="3"/>
  <c r="D4" i="3"/>
</calcChain>
</file>

<file path=xl/sharedStrings.xml><?xml version="1.0" encoding="utf-8"?>
<sst xmlns="http://schemas.openxmlformats.org/spreadsheetml/2006/main" count="257" uniqueCount="146">
  <si>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</si>
  <si>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</si>
  <si>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</si>
  <si>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</si>
  <si>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</si>
  <si>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</si>
  <si>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</si>
  <si>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</si>
  <si>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</si>
  <si>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</si>
  <si>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</si>
  <si>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</si>
  <si>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</si>
  <si>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</si>
  <si>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</si>
  <si>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</si>
  <si>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</si>
  <si>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</si>
  <si>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</si>
  <si>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</si>
  <si>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</si>
  <si>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</si>
  <si>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</si>
  <si>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</si>
  <si>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</si>
  <si>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</si>
  <si>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</si>
  <si>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</si>
  <si>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</si>
  <si>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</si>
  <si>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</si>
  <si>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</si>
  <si>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</si>
  <si>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</si>
  <si>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</si>
  <si>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</si>
  <si>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</si>
  <si>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</si>
  <si>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</si>
  <si>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</si>
  <si>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</si>
  <si>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</si>
  <si>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</si>
  <si>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</si>
  <si>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</si>
  <si>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</si>
  <si>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</si>
  <si>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</si>
  <si>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</si>
  <si>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</si>
  <si>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</si>
  <si>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</si>
  <si>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</si>
  <si>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</si>
  <si>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</si>
  <si>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</si>
  <si>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</si>
  <si>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</si>
  <si>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</si>
  <si>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</si>
  <si>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</si>
  <si>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</si>
  <si>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</si>
  <si>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</si>
  <si>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</si>
  <si>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</si>
  <si>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</si>
  <si>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</si>
  <si>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</si>
  <si>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</si>
  <si>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</si>
  <si>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</si>
  <si>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</si>
  <si>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</si>
  <si>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</si>
  <si>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</si>
  <si>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</si>
  <si>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</si>
  <si>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</si>
  <si>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</si>
  <si>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</si>
  <si>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</si>
  <si>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</si>
  <si>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</si>
  <si>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</si>
  <si>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</si>
  <si>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</si>
  <si>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</si>
  <si>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</si>
  <si>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</si>
  <si>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</si>
  <si>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</si>
  <si>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</si>
  <si>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</si>
  <si>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</si>
  <si>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</si>
  <si>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</si>
  <si>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</si>
  <si>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</si>
  <si>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</si>
  <si>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</si>
  <si>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</si>
  <si>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</si>
  <si>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</si>
  <si>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</si>
  <si>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</si>
  <si>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</si>
  <si>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</si>
  <si>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</si>
  <si>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</si>
  <si>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</si>
  <si>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</si>
  <si>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</si>
  <si>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</si>
  <si>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</si>
  <si>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</si>
  <si>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</si>
  <si>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</si>
  <si>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</si>
  <si>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</si>
  <si>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</si>
  <si>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</si>
  <si>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</si>
  <si>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</si>
  <si>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</si>
  <si>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</si>
  <si>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</si>
  <si>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</si>
  <si>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</si>
  <si>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</si>
  <si>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</si>
  <si>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FERNANDO DONOSO</t>
  </si>
  <si>
    <t xml:space="preserve">GIRO: </t>
  </si>
  <si>
    <t>SANTIAGO</t>
  </si>
  <si>
    <t>CONTACTO:</t>
  </si>
  <si>
    <t>MUEBLES ASENJO LTDA.</t>
  </si>
  <si>
    <t>77.018.060-0</t>
  </si>
  <si>
    <t>MUEBLES</t>
  </si>
  <si>
    <t>LOS PINOS 02622 SAN BERNARDO</t>
  </si>
  <si>
    <t>MIGUEL ASENJO</t>
  </si>
  <si>
    <t>NO</t>
  </si>
  <si>
    <t>BLANCO MERINO OPACO</t>
  </si>
  <si>
    <t>MDF18MM</t>
  </si>
  <si>
    <t>N° 11162</t>
  </si>
  <si>
    <t>CUB MESA 2 LADOS MDF25MM</t>
  </si>
  <si>
    <t>MDF25MM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</si>
</sst>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  <xf numFmtId="41" fontId="4" fillId="0" borderId="0" applyFont="0" applyFill="0" applyBorder="0" applyAlignment="0" applyProtection="0"/>
  </cellStyleXfs>
  <cellXfs count="12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41" fontId="20" fillId="0" borderId="2" xfId="4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19</xdr:row>
      <xdr:rowOff>76200</xdr:rowOff>
    </xdr:from>
    <xdr:to>
      <xdr:col>5</xdr:col>
      <xdr:colOff>1676399</xdr:colOff>
      <xdr:row>21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47</xdr:row>
      <xdr:rowOff>171450</xdr:rowOff>
    </xdr:from>
    <xdr:to>
      <xdr:col>5</xdr:col>
      <xdr:colOff>1685924</xdr:colOff>
      <xdr:row>49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45</xdr:row>
      <xdr:rowOff>0</xdr:rowOff>
    </xdr:from>
    <xdr:to>
      <xdr:col>6</xdr:col>
      <xdr:colOff>0</xdr:colOff>
      <xdr:row>46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38100</xdr:rowOff>
    </xdr:from>
    <xdr:to>
      <xdr:col>6</xdr:col>
      <xdr:colOff>0</xdr:colOff>
      <xdr:row>44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56</xdr:row>
      <xdr:rowOff>0</xdr:rowOff>
    </xdr:from>
    <xdr:to>
      <xdr:col>2</xdr:col>
      <xdr:colOff>38100</xdr:colOff>
      <xdr:row>57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56</xdr:row>
      <xdr:rowOff>0</xdr:rowOff>
    </xdr:from>
    <xdr:to>
      <xdr:col>2</xdr:col>
      <xdr:colOff>1019175</xdr:colOff>
      <xdr:row>56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56</xdr:row>
      <xdr:rowOff>0</xdr:rowOff>
    </xdr:from>
    <xdr:to>
      <xdr:col>3</xdr:col>
      <xdr:colOff>352425</xdr:colOff>
      <xdr:row>57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56</xdr:row>
      <xdr:rowOff>0</xdr:rowOff>
    </xdr:from>
    <xdr:to>
      <xdr:col>4</xdr:col>
      <xdr:colOff>257175</xdr:colOff>
      <xdr:row>57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56</xdr:row>
      <xdr:rowOff>0</xdr:rowOff>
    </xdr:from>
    <xdr:to>
      <xdr:col>5</xdr:col>
      <xdr:colOff>447675</xdr:colOff>
      <xdr:row>56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56</xdr:row>
      <xdr:rowOff>0</xdr:rowOff>
    </xdr:from>
    <xdr:to>
      <xdr:col>6</xdr:col>
      <xdr:colOff>0</xdr:colOff>
      <xdr:row>56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56</xdr:row>
      <xdr:rowOff>190500</xdr:rowOff>
    </xdr:from>
    <xdr:to>
      <xdr:col>2</xdr:col>
      <xdr:colOff>304800</xdr:colOff>
      <xdr:row>58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56</xdr:row>
      <xdr:rowOff>190500</xdr:rowOff>
    </xdr:from>
    <xdr:to>
      <xdr:col>2</xdr:col>
      <xdr:colOff>1276350</xdr:colOff>
      <xdr:row>58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56</xdr:row>
      <xdr:rowOff>190500</xdr:rowOff>
    </xdr:from>
    <xdr:to>
      <xdr:col>3</xdr:col>
      <xdr:colOff>619125</xdr:colOff>
      <xdr:row>58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56</xdr:row>
      <xdr:rowOff>190500</xdr:rowOff>
    </xdr:from>
    <xdr:to>
      <xdr:col>4</xdr:col>
      <xdr:colOff>523875</xdr:colOff>
      <xdr:row>58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56</xdr:row>
      <xdr:rowOff>190500</xdr:rowOff>
    </xdr:from>
    <xdr:to>
      <xdr:col>5</xdr:col>
      <xdr:colOff>723900</xdr:colOff>
      <xdr:row>58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56</xdr:row>
      <xdr:rowOff>190500</xdr:rowOff>
    </xdr:from>
    <xdr:to>
      <xdr:col>6</xdr:col>
      <xdr:colOff>0</xdr:colOff>
      <xdr:row>58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377190</xdr:colOff>
      <xdr:row>33</xdr:row>
      <xdr:rowOff>190499</xdr:rowOff>
    </xdr:from>
    <xdr:to>
      <xdr:col>6</xdr:col>
      <xdr:colOff>53340</xdr:colOff>
      <xdr:row>38</xdr:row>
      <xdr:rowOff>34290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77190" y="7170419"/>
          <a:ext cx="84010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OBSERVACIONES:CUBIERTA DE MESAS 2 LADOS SEGUN DIBUJO ADJUNTO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27</xdr:row>
      <xdr:rowOff>200025</xdr:rowOff>
    </xdr:from>
    <xdr:to>
      <xdr:col>6</xdr:col>
      <xdr:colOff>19049</xdr:colOff>
      <xdr:row>29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59</xdr:row>
      <xdr:rowOff>32385</xdr:rowOff>
    </xdr:from>
    <xdr:to>
      <xdr:col>6</xdr:col>
      <xdr:colOff>19050</xdr:colOff>
      <xdr:row>63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OBSERVACIONES:CUB MESA 2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LADOS CON REGRUESO DE 25MM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39</xdr:row>
      <xdr:rowOff>194310</xdr:rowOff>
    </xdr:from>
    <xdr:to>
      <xdr:col>1</xdr:col>
      <xdr:colOff>748423</xdr:colOff>
      <xdr:row>46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727468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312420"/>
          <a:ext cx="1603768" cy="1162050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8" workbookViewId="0">
      <selection activeCell="G23" sqref="G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8.664062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143</v>
      </c>
      <c r="E8" s="1"/>
      <c r="F8" s="94" t="s">
        <v>27</v>
      </c>
      <c r="G8" s="95">
        <v>7123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130</v>
      </c>
      <c r="C10" s="86" t="s">
        <v>135</v>
      </c>
      <c r="D10" s="55"/>
      <c r="E10" s="55"/>
      <c r="F10" s="56" t="s">
        <v>28</v>
      </c>
      <c r="G10" s="57">
        <v>45610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136</v>
      </c>
      <c r="D11" s="60"/>
      <c r="E11" s="60"/>
      <c r="F11" s="60" t="s">
        <v>124</v>
      </c>
      <c r="G11" s="61"/>
      <c r="H11" s="62"/>
      <c r="I11" s="1"/>
    </row>
    <row r="12" spans="1:17" ht="16.2" thickBot="1" x14ac:dyDescent="0.35">
      <c r="A12" s="1"/>
      <c r="B12" s="63" t="s">
        <v>132</v>
      </c>
      <c r="C12" t="s">
        <v>137</v>
      </c>
      <c r="D12" s="43"/>
      <c r="E12" s="43"/>
      <c r="F12" s="43" t="s">
        <v>30</v>
      </c>
      <c r="G12" s="64">
        <v>22515</v>
      </c>
      <c r="H12" s="65"/>
      <c r="I12" s="1"/>
    </row>
    <row r="13" spans="1:17" ht="15.6" x14ac:dyDescent="0.3">
      <c r="A13" s="1"/>
      <c r="B13" s="63" t="s">
        <v>134</v>
      </c>
      <c r="C13" s="86" t="s">
        <v>139</v>
      </c>
      <c r="D13" s="43"/>
      <c r="E13" s="43"/>
      <c r="F13" s="43" t="s">
        <v>129</v>
      </c>
      <c r="G13" s="64" t="s">
        <v>131</v>
      </c>
      <c r="H13" s="65"/>
      <c r="I13" s="1"/>
    </row>
    <row r="14" spans="1:17" ht="15.6" x14ac:dyDescent="0.3">
      <c r="A14" s="1"/>
      <c r="B14" s="59" t="s">
        <v>17</v>
      </c>
      <c r="C14" s="105">
        <v>56998844786</v>
      </c>
      <c r="D14" s="66"/>
      <c r="E14" s="60"/>
      <c r="F14" s="60" t="s">
        <v>29</v>
      </c>
      <c r="G14" s="60" t="s">
        <v>140</v>
      </c>
      <c r="H14" s="62"/>
      <c r="I14" s="1"/>
    </row>
    <row r="15" spans="1:17" ht="15.6" x14ac:dyDescent="0.3">
      <c r="A15" s="1"/>
      <c r="B15" s="63" t="s">
        <v>1</v>
      </c>
      <c r="C15" s="101" t="s">
        <v>138</v>
      </c>
      <c r="D15" s="43"/>
      <c r="E15" s="43"/>
      <c r="F15" s="67" t="s">
        <v>75</v>
      </c>
      <c r="G15" s="67" t="s">
        <v>127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133</v>
      </c>
      <c r="D16" s="69"/>
      <c r="E16" s="70"/>
      <c r="F16" s="113" t="s">
        <v>18</v>
      </c>
      <c r="G16" s="113"/>
      <c r="H16" s="114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5" t="s">
        <v>19</v>
      </c>
      <c r="C19" s="116"/>
      <c r="D19" s="116"/>
      <c r="E19" s="116"/>
      <c r="F19" s="116"/>
      <c r="G19" s="116"/>
      <c r="H19" s="117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9">
        <v>3</v>
      </c>
      <c r="C21" s="110" t="s">
        <v>128</v>
      </c>
      <c r="D21" s="112">
        <v>1400</v>
      </c>
      <c r="E21" s="112">
        <v>600</v>
      </c>
      <c r="F21" s="109" t="s">
        <v>141</v>
      </c>
      <c r="G21" s="108">
        <v>46507</v>
      </c>
      <c r="H21" s="111">
        <f t="shared" ref="H21:H22" si="0">G21*B21</f>
        <v>139521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9">
        <v>1</v>
      </c>
      <c r="C22" s="110" t="s">
        <v>144</v>
      </c>
      <c r="D22" s="112">
        <v>2600</v>
      </c>
      <c r="E22" s="112">
        <v>600</v>
      </c>
      <c r="F22" s="109" t="s">
        <v>141</v>
      </c>
      <c r="G22" s="108">
        <v>86764</v>
      </c>
      <c r="H22" s="111">
        <f t="shared" si="0"/>
        <v>86764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7"/>
      <c r="D23" s="97"/>
      <c r="E23" s="97"/>
      <c r="F23" s="98"/>
      <c r="G23" s="99"/>
      <c r="H23" s="99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226285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42994.15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269279.15000000002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100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2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8" t="s">
        <v>31</v>
      </c>
      <c r="C2" s="118"/>
      <c r="D2" s="118"/>
      <c r="E2" s="18"/>
      <c r="G2" s="118" t="s">
        <v>70</v>
      </c>
      <c r="H2" s="118"/>
      <c r="I2" s="118"/>
      <c r="P2" s="119" t="s">
        <v>58</v>
      </c>
      <c r="Q2" s="119"/>
      <c r="R2" s="119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9" t="s">
        <v>58</v>
      </c>
      <c r="M8" s="119"/>
      <c r="N8" s="119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7"/>
  <sheetViews>
    <sheetView tabSelected="1" zoomScaleNormal="100" workbookViewId="0">
      <selection sqref="A1:F38"/>
    </sheetView>
  </sheetViews>
  <sheetFormatPr baseColWidth="10" defaultRowHeight="14.4" x14ac:dyDescent="0.3"/>
  <cols>
    <col min="1" max="1" width="14.66406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0" t="s">
        <v>61</v>
      </c>
      <c r="L3" s="120"/>
      <c r="M3" s="120" t="s">
        <v>14</v>
      </c>
      <c r="N3" s="120"/>
    </row>
    <row r="4" spans="1:14" ht="15.75" customHeight="1" x14ac:dyDescent="0.3">
      <c r="A4" s="1"/>
      <c r="B4" s="1"/>
      <c r="C4" s="40" t="s">
        <v>27</v>
      </c>
      <c r="D4" s="14">
        <f>'4637'!G8</f>
        <v>7123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1" t="s">
        <v>61</v>
      </c>
      <c r="B10" s="121"/>
      <c r="C10" s="121"/>
      <c r="D10" s="121"/>
      <c r="E10" s="121"/>
      <c r="F10" s="121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142</v>
      </c>
      <c r="B14" s="25">
        <f t="shared" ref="B14:B16" si="0">I14</f>
        <v>3</v>
      </c>
      <c r="C14" s="25"/>
      <c r="D14" s="25">
        <f t="shared" ref="D14:D16" si="1">J14+D$13</f>
        <v>1450</v>
      </c>
      <c r="E14" s="35">
        <f t="shared" ref="E14:E16" si="2">K14+E$13</f>
        <v>570</v>
      </c>
      <c r="F14" s="103" t="str">
        <f>C32</f>
        <v>CUB C/R R6</v>
      </c>
      <c r="G14" s="1"/>
      <c r="I14" s="3">
        <f>I25</f>
        <v>3</v>
      </c>
      <c r="J14" s="4">
        <f>D32</f>
        <v>1400</v>
      </c>
      <c r="K14" s="4">
        <f>E32</f>
        <v>600</v>
      </c>
    </row>
    <row r="15" spans="1:14" ht="15.6" x14ac:dyDescent="0.3">
      <c r="A15" s="52" t="s">
        <v>9</v>
      </c>
      <c r="B15" s="37" t="s">
        <v>10</v>
      </c>
      <c r="C15" s="37" t="s">
        <v>11</v>
      </c>
      <c r="D15" s="32">
        <v>50</v>
      </c>
      <c r="E15" s="32"/>
      <c r="F15" s="37" t="s">
        <v>110</v>
      </c>
      <c r="G15" s="1"/>
      <c r="J15" s="5" t="s">
        <v>7</v>
      </c>
      <c r="K15" s="5" t="s">
        <v>8</v>
      </c>
    </row>
    <row r="16" spans="1:14" ht="15.6" x14ac:dyDescent="0.3">
      <c r="A16" s="96" t="s">
        <v>145</v>
      </c>
      <c r="B16" s="25">
        <f t="shared" si="0"/>
        <v>1</v>
      </c>
      <c r="C16" s="25"/>
      <c r="D16" s="25">
        <f t="shared" si="1"/>
        <v>2650</v>
      </c>
      <c r="E16" s="35">
        <f>K16</f>
        <v>600</v>
      </c>
      <c r="F16" s="103" t="str">
        <f t="shared" ref="F16" si="3">C33</f>
        <v>CUB MESA 2 LADOS MDF25MM</v>
      </c>
      <c r="G16" s="1"/>
      <c r="I16" s="3">
        <f t="shared" ref="I16" si="4">I26</f>
        <v>1</v>
      </c>
      <c r="J16" s="4">
        <f>D33</f>
        <v>2600</v>
      </c>
      <c r="K16" s="4">
        <f>E33</f>
        <v>600</v>
      </c>
    </row>
    <row r="17" spans="1:11" ht="15.6" x14ac:dyDescent="0.3">
      <c r="A17" s="96"/>
      <c r="B17" s="6"/>
      <c r="C17" s="6"/>
      <c r="D17" s="6"/>
      <c r="E17" s="89"/>
      <c r="F17" s="107"/>
      <c r="G17" s="1"/>
      <c r="I17" s="90"/>
      <c r="J17" s="2"/>
      <c r="K17" s="2"/>
    </row>
    <row r="18" spans="1:11" ht="15.6" x14ac:dyDescent="0.3">
      <c r="A18" s="96"/>
      <c r="B18" s="6"/>
      <c r="C18" s="6"/>
      <c r="D18" s="6"/>
      <c r="E18" s="89"/>
      <c r="F18" s="107"/>
      <c r="G18" s="1"/>
      <c r="I18" s="90"/>
      <c r="J18" s="2"/>
      <c r="K18" s="2"/>
    </row>
    <row r="19" spans="1:11" ht="15.6" x14ac:dyDescent="0.3">
      <c r="A19" s="52"/>
      <c r="B19" s="6"/>
      <c r="C19" s="6"/>
      <c r="D19" s="6"/>
      <c r="E19" s="89"/>
      <c r="F19" s="6"/>
      <c r="G19" s="1"/>
      <c r="I19" s="90"/>
      <c r="J19" s="2"/>
      <c r="K19" s="2"/>
    </row>
    <row r="20" spans="1:11" ht="6.75" customHeight="1" x14ac:dyDescent="0.3">
      <c r="A20" s="1"/>
      <c r="B20" s="1"/>
      <c r="C20" s="1"/>
      <c r="D20" s="1"/>
      <c r="E20" s="1"/>
      <c r="F20" s="1"/>
      <c r="G20" s="1"/>
    </row>
    <row r="21" spans="1:11" ht="15.6" x14ac:dyDescent="0.3">
      <c r="A21" s="121" t="s">
        <v>14</v>
      </c>
      <c r="B21" s="121"/>
      <c r="C21" s="121"/>
      <c r="D21" s="121"/>
      <c r="E21" s="121"/>
      <c r="F21" s="121"/>
      <c r="G21" s="1"/>
    </row>
    <row r="22" spans="1:11" ht="10.5" customHeight="1" x14ac:dyDescent="0.3">
      <c r="A22" s="1"/>
      <c r="B22" s="1"/>
      <c r="C22" s="12"/>
      <c r="D22" s="1"/>
      <c r="E22" s="1"/>
      <c r="F22" s="1"/>
      <c r="G22" s="1"/>
    </row>
    <row r="23" spans="1:11" ht="15.6" x14ac:dyDescent="0.3">
      <c r="A23" s="1"/>
      <c r="B23" s="1"/>
      <c r="C23" s="1"/>
      <c r="D23" s="52" t="s">
        <v>7</v>
      </c>
      <c r="E23" s="52" t="s">
        <v>8</v>
      </c>
      <c r="F23" s="1"/>
      <c r="G23" s="1"/>
    </row>
    <row r="24" spans="1:11" ht="15.6" x14ac:dyDescent="0.3">
      <c r="A24" s="52" t="s">
        <v>9</v>
      </c>
      <c r="B24" s="36" t="s">
        <v>10</v>
      </c>
      <c r="C24" s="36" t="s">
        <v>11</v>
      </c>
      <c r="D24" s="21">
        <v>40</v>
      </c>
      <c r="E24" s="21">
        <v>130</v>
      </c>
      <c r="F24" s="36" t="s">
        <v>110</v>
      </c>
      <c r="G24" s="1"/>
      <c r="J24" s="5" t="s">
        <v>7</v>
      </c>
      <c r="K24" s="5" t="s">
        <v>8</v>
      </c>
    </row>
    <row r="25" spans="1:11" ht="15.6" x14ac:dyDescent="0.3">
      <c r="A25" s="96"/>
      <c r="B25" s="16">
        <f t="shared" ref="B25:B26" si="5">I25</f>
        <v>3</v>
      </c>
      <c r="C25" s="16"/>
      <c r="D25" s="16">
        <f>J25+D$24</f>
        <v>1440</v>
      </c>
      <c r="E25" s="16">
        <v>760</v>
      </c>
      <c r="F25" s="104" t="str">
        <f>C32</f>
        <v>CUB C/R R6</v>
      </c>
      <c r="G25" s="1"/>
      <c r="I25" s="3">
        <f>B32</f>
        <v>3</v>
      </c>
      <c r="J25" s="4">
        <f t="shared" ref="J25:K25" si="6">D32</f>
        <v>1400</v>
      </c>
      <c r="K25" s="4">
        <f t="shared" si="6"/>
        <v>600</v>
      </c>
    </row>
    <row r="26" spans="1:11" ht="15.6" x14ac:dyDescent="0.3">
      <c r="A26" s="96"/>
      <c r="B26" s="16">
        <f t="shared" si="5"/>
        <v>1</v>
      </c>
      <c r="C26" s="16"/>
      <c r="D26" s="16">
        <f>J26+D$24</f>
        <v>2640</v>
      </c>
      <c r="E26" s="16">
        <v>760</v>
      </c>
      <c r="F26" s="104" t="str">
        <f>C33</f>
        <v>CUB MESA 2 LADOS MDF25MM</v>
      </c>
      <c r="G26" s="1"/>
      <c r="I26" s="3">
        <f>B33</f>
        <v>1</v>
      </c>
      <c r="J26" s="4">
        <f t="shared" ref="J26:K26" si="7">D33</f>
        <v>2600</v>
      </c>
      <c r="K26" s="4">
        <f t="shared" si="7"/>
        <v>600</v>
      </c>
    </row>
    <row r="27" spans="1:11" ht="15.6" x14ac:dyDescent="0.3">
      <c r="A27" s="96"/>
      <c r="B27" s="6"/>
      <c r="C27" s="6"/>
      <c r="D27" s="6"/>
      <c r="E27" s="6"/>
      <c r="F27" s="6"/>
      <c r="G27" s="1"/>
      <c r="I27" s="90"/>
      <c r="J27" s="2"/>
      <c r="K27" s="2"/>
    </row>
    <row r="28" spans="1:11" ht="16.2" thickBot="1" x14ac:dyDescent="0.35">
      <c r="A28" s="52"/>
      <c r="B28" s="6"/>
      <c r="C28" s="6"/>
      <c r="D28" s="6"/>
      <c r="E28" s="6"/>
      <c r="F28" s="6"/>
      <c r="G28" s="1"/>
      <c r="I28" s="2"/>
      <c r="J28" s="2"/>
      <c r="K28" s="2"/>
    </row>
    <row r="29" spans="1:11" ht="16.2" thickBot="1" x14ac:dyDescent="0.35">
      <c r="A29" s="52"/>
      <c r="B29" s="22" t="s">
        <v>107</v>
      </c>
      <c r="C29" s="23"/>
      <c r="D29" s="23"/>
      <c r="E29" s="23"/>
      <c r="F29" s="24"/>
      <c r="G29" s="1"/>
      <c r="I29" s="2"/>
      <c r="J29" s="2"/>
      <c r="K29" s="2"/>
    </row>
    <row r="30" spans="1:11" ht="10.5" customHeight="1" x14ac:dyDescent="0.3">
      <c r="A30" s="1"/>
      <c r="B30" s="1"/>
      <c r="C30" s="1"/>
      <c r="D30" s="1"/>
      <c r="E30" s="1"/>
      <c r="F30" s="1"/>
      <c r="G30" s="1"/>
    </row>
    <row r="31" spans="1:11" ht="15.6" x14ac:dyDescent="0.3">
      <c r="A31" s="52" t="s">
        <v>9</v>
      </c>
      <c r="B31" s="88" t="s">
        <v>10</v>
      </c>
      <c r="C31" s="88" t="s">
        <v>110</v>
      </c>
      <c r="D31" s="88" t="s">
        <v>7</v>
      </c>
      <c r="E31" s="88" t="s">
        <v>8</v>
      </c>
      <c r="F31" s="88" t="s">
        <v>23</v>
      </c>
      <c r="G31" s="1"/>
    </row>
    <row r="32" spans="1:11" ht="15.6" x14ac:dyDescent="0.3">
      <c r="A32" s="96"/>
      <c r="B32" s="25">
        <f>'4637'!B21</f>
        <v>3</v>
      </c>
      <c r="C32" s="103" t="str">
        <f>'4637'!C21</f>
        <v>CUB C/R R6</v>
      </c>
      <c r="D32" s="25">
        <f>'4637'!D21</f>
        <v>1400</v>
      </c>
      <c r="E32" s="25">
        <f>'4637'!E21</f>
        <v>600</v>
      </c>
      <c r="F32" s="25" t="str">
        <f>'4637'!F21</f>
        <v>BLANCO MERINO OPACO</v>
      </c>
      <c r="G32" s="1"/>
    </row>
    <row r="33" spans="1:7" ht="15.6" x14ac:dyDescent="0.3">
      <c r="A33" s="96"/>
      <c r="B33" s="25">
        <f>'4637'!B22</f>
        <v>1</v>
      </c>
      <c r="C33" s="103" t="str">
        <f>'4637'!C22</f>
        <v>CUB MESA 2 LADOS MDF25MM</v>
      </c>
      <c r="D33" s="25">
        <f>'4637'!D22</f>
        <v>2600</v>
      </c>
      <c r="E33" s="25">
        <f>'4637'!E22</f>
        <v>600</v>
      </c>
      <c r="F33" s="25" t="str">
        <f>'4637'!F22</f>
        <v>BLANCO MERINO OPACO</v>
      </c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40" t="s">
        <v>27</v>
      </c>
      <c r="D43" s="14">
        <f>'4637'!G8</f>
        <v>7123</v>
      </c>
      <c r="E43" s="1"/>
      <c r="F43" s="1"/>
      <c r="G43" s="1"/>
    </row>
    <row r="44" spans="1:7" ht="17.25" customHeight="1" x14ac:dyDescent="0.3">
      <c r="A44" s="1"/>
      <c r="B44" s="1"/>
      <c r="C44" s="41" t="s">
        <v>67</v>
      </c>
      <c r="D44" s="42" t="str">
        <f>'4637'!C10</f>
        <v>MUEBLES ASENJO LTDA.</v>
      </c>
      <c r="E44" s="43"/>
      <c r="F44" s="43"/>
      <c r="G44" s="1"/>
    </row>
    <row r="45" spans="1:7" ht="4.5" customHeight="1" x14ac:dyDescent="0.3">
      <c r="A45" s="1"/>
      <c r="B45" s="1"/>
      <c r="C45" s="44"/>
      <c r="D45" s="45"/>
      <c r="E45" s="1"/>
      <c r="F45" s="1"/>
      <c r="G45" s="1"/>
    </row>
    <row r="46" spans="1:7" ht="15.6" x14ac:dyDescent="0.3">
      <c r="A46" s="1"/>
      <c r="B46" s="1"/>
      <c r="C46" s="46" t="str">
        <f>'4637'!F11</f>
        <v>FECHA LIMITE :</v>
      </c>
      <c r="D46" s="13">
        <f>'4637'!G11</f>
        <v>0</v>
      </c>
      <c r="E46" s="1"/>
      <c r="F46" s="1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6" x14ac:dyDescent="0.3">
      <c r="A49" s="121" t="s">
        <v>68</v>
      </c>
      <c r="B49" s="121"/>
      <c r="C49" s="121"/>
      <c r="D49" s="121"/>
      <c r="E49" s="121"/>
      <c r="F49" s="121"/>
      <c r="G49" s="1"/>
    </row>
    <row r="50" spans="1:7" ht="15.6" x14ac:dyDescent="0.3">
      <c r="A50" s="1"/>
      <c r="B50" s="1"/>
      <c r="C50" s="1"/>
      <c r="D50" s="1"/>
      <c r="E50" s="1"/>
      <c r="F50" s="1"/>
      <c r="G50" s="1"/>
    </row>
    <row r="51" spans="1:7" ht="15.75" customHeight="1" x14ac:dyDescent="0.3">
      <c r="A51" s="1"/>
      <c r="B51" s="122" t="s">
        <v>69</v>
      </c>
      <c r="C51" s="123"/>
      <c r="D51" s="124"/>
      <c r="E51" s="124"/>
      <c r="F51" s="125"/>
      <c r="G51" s="1"/>
    </row>
    <row r="52" spans="1:7" s="15" customFormat="1" ht="12.75" customHeight="1" x14ac:dyDescent="0.3">
      <c r="A52" s="1"/>
      <c r="B52" s="36" t="s">
        <v>10</v>
      </c>
      <c r="C52" s="47" t="s">
        <v>11</v>
      </c>
      <c r="D52" s="48" t="s">
        <v>7</v>
      </c>
      <c r="E52" s="48" t="s">
        <v>8</v>
      </c>
      <c r="F52" s="49" t="s">
        <v>12</v>
      </c>
      <c r="G52" s="1"/>
    </row>
    <row r="53" spans="1:7" s="15" customFormat="1" ht="15" customHeight="1" x14ac:dyDescent="0.3">
      <c r="A53" s="96" t="s">
        <v>142</v>
      </c>
      <c r="B53" s="38">
        <f>'4637'!B21</f>
        <v>3</v>
      </c>
      <c r="C53" s="102" t="str">
        <f>'4637'!C21</f>
        <v>CUB C/R R6</v>
      </c>
      <c r="D53" s="39">
        <f>'4637'!D21</f>
        <v>1400</v>
      </c>
      <c r="E53" s="39">
        <f>'4637'!E21</f>
        <v>600</v>
      </c>
      <c r="F53" s="38" t="str">
        <f>'4637'!F21</f>
        <v>BLANCO MERINO OPACO</v>
      </c>
      <c r="G53" s="1"/>
    </row>
    <row r="54" spans="1:7" s="15" customFormat="1" ht="15" customHeight="1" x14ac:dyDescent="0.3">
      <c r="A54" s="96" t="s">
        <v>145</v>
      </c>
      <c r="B54" s="38">
        <f>'4637'!B22</f>
        <v>1</v>
      </c>
      <c r="C54" s="102" t="str">
        <f>'4637'!C22</f>
        <v>CUB MESA 2 LADOS MDF25MM</v>
      </c>
      <c r="D54" s="39">
        <f>'4637'!D22</f>
        <v>2600</v>
      </c>
      <c r="E54" s="39">
        <f>'4637'!E22</f>
        <v>600</v>
      </c>
      <c r="F54" s="38" t="str">
        <f>'4637'!F22</f>
        <v>BLANCO MERINO OPACO</v>
      </c>
      <c r="G54" s="1"/>
    </row>
    <row r="55" spans="1:7" s="15" customFormat="1" ht="15" customHeight="1" x14ac:dyDescent="0.3">
      <c r="A55" s="96"/>
      <c r="B55" s="52"/>
      <c r="C55" s="106"/>
      <c r="D55" s="52"/>
      <c r="E55" s="52"/>
      <c r="F55" s="52"/>
      <c r="G55" s="1"/>
    </row>
    <row r="56" spans="1:7" s="15" customFormat="1" ht="15" customHeight="1" x14ac:dyDescent="0.3">
      <c r="A56" s="50"/>
      <c r="B56" s="52"/>
      <c r="C56" s="52"/>
      <c r="D56" s="52"/>
      <c r="E56" s="52"/>
      <c r="F56" s="52"/>
      <c r="G56" s="1"/>
    </row>
    <row r="57" spans="1:7" ht="15.6" x14ac:dyDescent="0.3">
      <c r="A57" s="6"/>
      <c r="B57" s="6"/>
      <c r="C57" s="1"/>
      <c r="D57" s="6"/>
      <c r="E57" s="6"/>
      <c r="F57" s="44"/>
      <c r="G57" s="1"/>
    </row>
    <row r="58" spans="1:7" ht="15.6" x14ac:dyDescent="0.3">
      <c r="A58" s="6"/>
      <c r="B58" s="6"/>
      <c r="C58" s="1"/>
      <c r="D58" s="6"/>
      <c r="E58" s="6"/>
      <c r="F58" s="6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" customHeight="1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ht="15.6" x14ac:dyDescent="0.3">
      <c r="A64" s="6"/>
      <c r="B64" s="51"/>
      <c r="C64" s="1"/>
      <c r="D64" s="1"/>
      <c r="E64" s="1"/>
      <c r="F64" s="1"/>
      <c r="G64" s="1"/>
    </row>
    <row r="65" spans="1:7" ht="15.6" x14ac:dyDescent="0.3">
      <c r="A65" s="1"/>
      <c r="B65" s="1"/>
      <c r="C65" s="1"/>
      <c r="D65" s="1"/>
      <c r="E65" s="1"/>
      <c r="F65" s="1"/>
      <c r="G65" s="1"/>
    </row>
    <row r="66" spans="1:7" x14ac:dyDescent="0.3">
      <c r="B66" s="20"/>
      <c r="C66" s="20"/>
      <c r="D66" s="20"/>
      <c r="E66" s="20"/>
      <c r="F66" s="20"/>
    </row>
    <row r="67" spans="1:7" x14ac:dyDescent="0.3">
      <c r="B67" s="20"/>
      <c r="C67" s="20"/>
      <c r="E67" s="20"/>
      <c r="F67" s="20"/>
    </row>
  </sheetData>
  <mergeCells count="6">
    <mergeCell ref="M3:N3"/>
    <mergeCell ref="A21:F21"/>
    <mergeCell ref="A10:F10"/>
    <mergeCell ref="A49:F49"/>
    <mergeCell ref="B51:F51"/>
    <mergeCell ref="K3:L3"/>
  </mergeCells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2024-11-14T14:29:29Z</cp:lastPrinted>
  <dcterms:created xsi:type="dcterms:W3CDTF">2013-03-19T12:54:14Z</dcterms:created>
  <dcterms:modified xsi:type="dcterms:W3CDTF">2024-11-14T14:29:41Z</dcterms:modified>
</cp:coreProperties>
</file>