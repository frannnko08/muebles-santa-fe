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E3E28EE7-119D-49D2-A8BB-36326891ED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CUBIERTA!$A$2:$H$36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G49" i="3" l="1"/>
  <c r="G28" i="3" s="1"/>
  <c r="L22" i="4" l="1"/>
  <c r="H24" i="4" l="1"/>
  <c r="H25" i="4" s="1"/>
  <c r="H26" i="4" l="1"/>
  <c r="F28" i="3"/>
  <c r="L22" i="3" s="1"/>
  <c r="E28" i="3"/>
  <c r="K22" i="3" s="1"/>
  <c r="D28" i="3"/>
  <c r="G22" i="3" s="1"/>
  <c r="G14" i="3" s="1"/>
  <c r="C28" i="3"/>
  <c r="F49" i="3"/>
  <c r="E49" i="3"/>
  <c r="D49" i="3"/>
  <c r="C49" i="3"/>
  <c r="J22" i="3" l="1"/>
  <c r="J14" i="3" s="1"/>
  <c r="C14" i="3" s="1"/>
  <c r="K14" i="3"/>
  <c r="E14" i="3" s="1"/>
  <c r="E22" i="3"/>
  <c r="L14" i="3"/>
  <c r="F14" i="3" s="1"/>
  <c r="F22" i="3"/>
  <c r="O5" i="3"/>
  <c r="C2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<sst xmlns="http://schemas.openxmlformats.org/spreadsheetml/2006/main" count="251" uniqueCount="148">
  <si>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</si>
  <si>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</si>
  <si>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</si>
  <si>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</si>
  <si>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</si>
  <si>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</si>
  <si>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</si>
  <si>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</si>
  <si>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</si>
  <si>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</si>
  <si>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</si>
  <si>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</si>
  <si>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</si>
  <si>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</si>
  <si>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</si>
  <si>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</si>
  <si>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</si>
  <si>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</si>
  <si>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</si>
  <si>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</si>
  <si>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</si>
  <si>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</si>
  <si>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</si>
  <si>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</si>
  <si>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</si>
  <si>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</si>
  <si>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</si>
  <si>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</si>
  <si>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</si>
  <si>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</si>
  <si>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</si>
  <si>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</si>
  <si>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</si>
  <si>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</si>
  <si>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</si>
  <si>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</si>
  <si>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</si>
  <si>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</si>
  <si>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</si>
  <si>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</si>
  <si>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</si>
  <si>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</si>
  <si>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</si>
  <si>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</si>
  <si>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</si>
  <si>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</si>
  <si>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</si>
  <si>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</si>
  <si>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</si>
  <si>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</si>
  <si>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</si>
  <si>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</si>
  <si>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</si>
  <si>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</si>
  <si>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</si>
  <si>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</si>
  <si>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</si>
  <si>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</si>
  <si>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</si>
  <si>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</si>
  <si>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</si>
  <si>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</si>
  <si>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</si>
  <si>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</si>
  <si>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</si>
  <si>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</si>
  <si>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</si>
  <si>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</si>
  <si>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</si>
  <si>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</si>
  <si>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</si>
  <si>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</si>
  <si>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</si>
  <si>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</si>
  <si>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</si>
  <si>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</si>
  <si>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</si>
  <si>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</si>
  <si>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</si>
  <si>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</si>
  <si>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</si>
  <si>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</si>
  <si>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</si>
  <si>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</si>
  <si>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</si>
  <si>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</si>
  <si>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</si>
  <si>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</si>
  <si>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</si>
  <si>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</si>
  <si>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</si>
  <si>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</si>
  <si>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</si>
  <si>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</si>
  <si>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</si>
  <si>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</si>
  <si>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</si>
  <si>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</si>
  <si>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</si>
  <si>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</si>
  <si>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</si>
  <si>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</si>
  <si>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</si>
  <si>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</si>
  <si>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</si>
  <si>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</si>
  <si>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</si>
  <si>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</si>
  <si>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</si>
  <si>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</si>
  <si>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</si>
  <si>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</si>
  <si>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</si>
  <si>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</si>
  <si>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</si>
  <si>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</si>
  <si>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</si>
  <si>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</si>
  <si>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</si>
  <si>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</si>
  <si>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</si>
  <si>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</si>
  <si>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</si>
  <si>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</si>
  <si>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</si>
  <si>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</si>
  <si>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</si>
  <si>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</si>
  <si>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</si>
  <si>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</si>
  <si>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</si>
  <si>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</si>
  <si>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</si>
  <si>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</si>
  <si>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</si>
  <si>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</si>
  <si>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</si>
  <si>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CONTADO</t>
  </si>
  <si>
    <t>MDF18MM</t>
  </si>
  <si>
    <t>NO</t>
  </si>
  <si>
    <t>N° 11141</t>
  </si>
  <si>
    <t>L DISEÑO</t>
  </si>
  <si>
    <t>76.380.599-9</t>
  </si>
  <si>
    <t>LUIS LOPEZ</t>
  </si>
  <si>
    <t>+569 85961015</t>
  </si>
  <si>
    <t>SANTIAGO</t>
  </si>
  <si>
    <t>CUB C/R R19</t>
  </si>
  <si>
    <t>ALUMINUN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</si>
</sst>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1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7" fillId="0" borderId="3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4" fillId="0" borderId="0" xfId="0" quotePrefix="1" applyFont="1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22</xdr:row>
      <xdr:rowOff>213360</xdr:rowOff>
    </xdr:from>
    <xdr:to>
      <xdr:col>5</xdr:col>
      <xdr:colOff>1583056</xdr:colOff>
      <xdr:row>26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16</xdr:row>
      <xdr:rowOff>60960</xdr:rowOff>
    </xdr:from>
    <xdr:to>
      <xdr:col>6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DESPUNTE ES DEL CLIENTE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24</xdr:row>
      <xdr:rowOff>1905</xdr:rowOff>
    </xdr:from>
    <xdr:to>
      <xdr:col>7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OBSERVACIONES:DESPUNTE ES DEL CLIENTE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workbookViewId="0">
      <selection activeCell="J20" sqref="J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0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140</v>
      </c>
      <c r="E8" s="1"/>
      <c r="F8" s="85" t="s">
        <v>27</v>
      </c>
      <c r="G8" s="86">
        <v>7122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141</v>
      </c>
      <c r="D10" s="49"/>
      <c r="E10" s="49"/>
      <c r="F10" s="50" t="s">
        <v>28</v>
      </c>
      <c r="G10" s="51">
        <v>45600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3" t="s">
        <v>2</v>
      </c>
      <c r="C11" s="1" t="s">
        <v>142</v>
      </c>
      <c r="D11" s="54"/>
      <c r="E11" s="54"/>
      <c r="F11" s="54" t="s">
        <v>125</v>
      </c>
      <c r="G11" s="55"/>
      <c r="H11" s="56"/>
      <c r="I11" s="1"/>
    </row>
    <row r="12" spans="1:17" ht="15.6" x14ac:dyDescent="0.3">
      <c r="A12" s="1"/>
      <c r="B12" s="53" t="s">
        <v>132</v>
      </c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s="110" t="s">
        <v>143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1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30" t="s">
        <v>144</v>
      </c>
      <c r="D15" s="60"/>
      <c r="E15" s="54"/>
      <c r="F15" s="54" t="s">
        <v>29</v>
      </c>
      <c r="G15" s="54" t="s">
        <v>139</v>
      </c>
      <c r="H15" s="56"/>
      <c r="I15" s="1"/>
    </row>
    <row r="16" spans="1:17" ht="15.6" x14ac:dyDescent="0.3">
      <c r="A16" s="1"/>
      <c r="B16" s="99" t="s">
        <v>1</v>
      </c>
      <c r="C16" s="111"/>
      <c r="D16" s="38"/>
      <c r="E16" s="38"/>
      <c r="F16" s="61" t="s">
        <v>75</v>
      </c>
      <c r="G16" s="90" t="s">
        <v>137</v>
      </c>
      <c r="H16" s="59"/>
      <c r="I16" s="1"/>
    </row>
    <row r="17" spans="1:19" ht="16.2" thickBot="1" x14ac:dyDescent="0.35">
      <c r="A17" s="1"/>
      <c r="B17" s="62" t="s">
        <v>3</v>
      </c>
      <c r="C17" s="102" t="s">
        <v>145</v>
      </c>
      <c r="D17" s="63"/>
      <c r="E17" s="64"/>
      <c r="F17" s="117" t="s">
        <v>18</v>
      </c>
      <c r="G17" s="117"/>
      <c r="H17" s="118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9" t="s">
        <v>19</v>
      </c>
      <c r="C20" s="120"/>
      <c r="D20" s="120"/>
      <c r="E20" s="120"/>
      <c r="F20" s="120"/>
      <c r="G20" s="120"/>
      <c r="H20" s="121"/>
      <c r="I20" s="1"/>
    </row>
    <row r="21" spans="1:19" ht="15.6" x14ac:dyDescent="0.3">
      <c r="A21" s="1"/>
      <c r="B21" s="65" t="s">
        <v>20</v>
      </c>
      <c r="C21" s="103" t="s">
        <v>21</v>
      </c>
      <c r="D21" s="103" t="s">
        <v>22</v>
      </c>
      <c r="E21" s="103" t="s">
        <v>8</v>
      </c>
      <c r="F21" s="104" t="s">
        <v>23</v>
      </c>
      <c r="G21" s="105" t="s">
        <v>24</v>
      </c>
      <c r="H21" s="104" t="s">
        <v>4</v>
      </c>
      <c r="I21" s="1"/>
      <c r="L21">
        <v>45000</v>
      </c>
    </row>
    <row r="22" spans="1:19" ht="18" customHeight="1" x14ac:dyDescent="0.3">
      <c r="A22" s="1"/>
      <c r="B22" s="112">
        <v>1</v>
      </c>
      <c r="C22" s="113" t="s">
        <v>146</v>
      </c>
      <c r="D22" s="116">
        <v>3000</v>
      </c>
      <c r="E22" s="116">
        <v>580</v>
      </c>
      <c r="F22" s="113" t="s">
        <v>147</v>
      </c>
      <c r="G22" s="114">
        <v>297416</v>
      </c>
      <c r="H22" s="115">
        <f>G22*B22</f>
        <v>297416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thickBot="1" x14ac:dyDescent="0.35">
      <c r="A23" s="1"/>
      <c r="B23" s="106"/>
      <c r="C23" s="107"/>
      <c r="D23" s="108"/>
      <c r="E23" s="108"/>
      <c r="F23" s="106"/>
      <c r="G23" s="88"/>
      <c r="H23" s="88"/>
      <c r="K23" s="16"/>
      <c r="L23" s="24"/>
      <c r="M23" s="16"/>
      <c r="N23" s="16"/>
      <c r="O23" s="24"/>
      <c r="P23" s="31"/>
    </row>
    <row r="24" spans="1:19" ht="15.6" x14ac:dyDescent="0.3">
      <c r="A24" s="1"/>
      <c r="B24" s="66"/>
      <c r="C24" s="66"/>
      <c r="D24" s="66"/>
      <c r="E24" s="66"/>
      <c r="F24" s="66"/>
      <c r="G24" s="67" t="s">
        <v>5</v>
      </c>
      <c r="H24" s="68">
        <f>SUM(H22:H23)</f>
        <v>297416</v>
      </c>
      <c r="I24" s="1"/>
      <c r="L24" s="2"/>
      <c r="O24" s="2"/>
      <c r="P24">
        <v>2940</v>
      </c>
      <c r="Q24">
        <v>600</v>
      </c>
      <c r="S24" t="s">
        <v>136</v>
      </c>
    </row>
    <row r="25" spans="1:19" ht="15.6" x14ac:dyDescent="0.3">
      <c r="A25" s="1"/>
      <c r="B25" s="1"/>
      <c r="C25" s="1"/>
      <c r="D25" s="1"/>
      <c r="E25" s="1"/>
      <c r="F25" s="1"/>
      <c r="G25" s="69" t="s">
        <v>6</v>
      </c>
      <c r="H25" s="70">
        <f>H24*19%</f>
        <v>56509.04</v>
      </c>
      <c r="I25" s="1"/>
      <c r="L25" s="2"/>
      <c r="O25" s="24"/>
      <c r="P25" s="31">
        <v>1890</v>
      </c>
      <c r="Q25">
        <v>600</v>
      </c>
    </row>
    <row r="26" spans="1:19" ht="16.2" thickBot="1" x14ac:dyDescent="0.35">
      <c r="A26" s="1"/>
      <c r="B26" s="1"/>
      <c r="C26" s="1"/>
      <c r="D26" s="1"/>
      <c r="E26" s="1"/>
      <c r="F26" s="1"/>
      <c r="G26" s="71" t="s">
        <v>4</v>
      </c>
      <c r="H26" s="72">
        <f>H24+H25</f>
        <v>353925.04</v>
      </c>
      <c r="I26" s="1"/>
      <c r="L26" s="2"/>
    </row>
    <row r="27" spans="1:19" ht="15.6" x14ac:dyDescent="0.3">
      <c r="A27" s="1"/>
      <c r="B27" s="1"/>
      <c r="C27" s="1"/>
      <c r="D27" s="1"/>
      <c r="E27" s="1"/>
      <c r="F27" s="1"/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H28" s="31"/>
      <c r="I28" s="1"/>
    </row>
    <row r="29" spans="1:19" ht="15.6" x14ac:dyDescent="0.3">
      <c r="A29" s="1"/>
      <c r="B29" s="73" t="s">
        <v>124</v>
      </c>
      <c r="C29" s="74"/>
      <c r="D29" s="75"/>
      <c r="E29" s="75"/>
      <c r="F29" s="66"/>
      <c r="I29" s="1"/>
    </row>
    <row r="30" spans="1:19" ht="15.6" x14ac:dyDescent="0.3">
      <c r="A30" s="1"/>
      <c r="B30" s="73" t="s">
        <v>123</v>
      </c>
      <c r="C30" s="74"/>
      <c r="D30" s="75"/>
      <c r="E30" s="75"/>
      <c r="F30" s="66"/>
      <c r="G30" s="1"/>
      <c r="H30" s="1"/>
      <c r="I30" s="1"/>
    </row>
    <row r="31" spans="1:19" ht="15.6" x14ac:dyDescent="0.3">
      <c r="A31" s="1"/>
      <c r="B31" s="1" t="s">
        <v>25</v>
      </c>
      <c r="C31" s="1"/>
      <c r="D31" s="1"/>
      <c r="E31" s="76" t="s">
        <v>26</v>
      </c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7:H17"/>
    <mergeCell ref="B20:H20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7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zoomScaleNormal="100" workbookViewId="0">
      <selection activeCell="A2" sqref="A2:H36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4" t="s">
        <v>61</v>
      </c>
      <c r="M3" s="124"/>
      <c r="N3" s="124" t="s">
        <v>14</v>
      </c>
      <c r="O3" s="124"/>
    </row>
    <row r="4" spans="1:15" ht="15.75" customHeight="1" x14ac:dyDescent="0.3">
      <c r="B4" s="1"/>
      <c r="C4" s="1"/>
      <c r="D4" s="35" t="s">
        <v>27</v>
      </c>
      <c r="E4" s="14">
        <f>'4637'!G8</f>
        <v>7122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L DISEÑO</v>
      </c>
      <c r="F5" s="38"/>
      <c r="G5" s="38"/>
      <c r="H5" s="1"/>
      <c r="L5">
        <f>LOOKUP(G14,REGLAS!$I$4:$I$37,REGLAS!$G$4:$G$37)+K14</f>
        <v>3050</v>
      </c>
      <c r="M5">
        <f>LOOKUP(G14,REGLAS!$I$4:$I$37,REGLAS!$H$4:$H$37)+L14</f>
        <v>550</v>
      </c>
      <c r="N5" t="e">
        <f>LOOKUP(G22,REGLAS!$D$4:$D$37,REGLAS!$B$4:$B$37)+#REF!</f>
        <v>#REF!</v>
      </c>
      <c r="O5">
        <f>LOOKUP(G22,REGLAS!$D$4:$D$37,REGLAS!$C$4:$C$37)+K22</f>
        <v>3150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5" t="s">
        <v>61</v>
      </c>
      <c r="C10" s="125"/>
      <c r="D10" s="125"/>
      <c r="E10" s="125"/>
      <c r="F10" s="125"/>
      <c r="G10" s="125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0">
        <v>1</v>
      </c>
      <c r="B14" s="109" t="s">
        <v>138</v>
      </c>
      <c r="C14" s="93">
        <f t="shared" ref="C14" si="0">J14</f>
        <v>1</v>
      </c>
      <c r="D14" s="94"/>
      <c r="E14" s="93">
        <f>K14+E$13</f>
        <v>3050</v>
      </c>
      <c r="F14" s="93">
        <f>L14+F$13</f>
        <v>550</v>
      </c>
      <c r="G14" s="93" t="str">
        <f>G22</f>
        <v>CUB C/R R19</v>
      </c>
      <c r="H14" s="1"/>
      <c r="J14" s="3">
        <f>J22</f>
        <v>1</v>
      </c>
      <c r="K14" s="4">
        <f>K22</f>
        <v>3000</v>
      </c>
      <c r="L14" s="4">
        <f>L22</f>
        <v>580</v>
      </c>
    </row>
    <row r="15" spans="1:15" ht="15.6" x14ac:dyDescent="0.3">
      <c r="B15" s="87"/>
      <c r="C15" s="6"/>
      <c r="D15" s="6"/>
      <c r="E15" s="6"/>
      <c r="F15" s="6"/>
      <c r="G15" s="6"/>
      <c r="H15" s="1"/>
      <c r="J15" s="81"/>
      <c r="K15" s="2"/>
      <c r="L15" s="2"/>
    </row>
    <row r="16" spans="1:15" ht="15.6" x14ac:dyDescent="0.3">
      <c r="B16" s="46"/>
      <c r="C16" s="6"/>
      <c r="D16" s="6"/>
      <c r="E16" s="6"/>
      <c r="F16" s="80"/>
      <c r="G16" s="6"/>
      <c r="H16" s="1"/>
      <c r="J16" s="2"/>
      <c r="K16" s="2"/>
      <c r="L16" s="2"/>
    </row>
    <row r="17" spans="1:12" ht="6.75" customHeight="1" x14ac:dyDescent="0.3">
      <c r="B17" s="1"/>
      <c r="C17" s="1"/>
      <c r="D17" s="1"/>
      <c r="E17" s="1"/>
      <c r="F17" s="1"/>
      <c r="G17" s="1"/>
      <c r="H17" s="1"/>
    </row>
    <row r="18" spans="1:12" ht="15.6" x14ac:dyDescent="0.3">
      <c r="B18" s="125" t="s">
        <v>14</v>
      </c>
      <c r="C18" s="125"/>
      <c r="D18" s="125"/>
      <c r="E18" s="125"/>
      <c r="F18" s="125"/>
      <c r="G18" s="125"/>
      <c r="H18" s="1"/>
    </row>
    <row r="19" spans="1:12" ht="10.5" customHeight="1" x14ac:dyDescent="0.3">
      <c r="B19" s="1"/>
      <c r="C19" s="1"/>
      <c r="D19" s="12"/>
      <c r="E19" s="1"/>
      <c r="F19" s="1"/>
      <c r="G19" s="1"/>
      <c r="H19" s="1"/>
    </row>
    <row r="20" spans="1:12" ht="15.6" x14ac:dyDescent="0.3">
      <c r="B20" s="1"/>
      <c r="C20" s="1"/>
      <c r="D20" s="1"/>
      <c r="E20" s="46" t="s">
        <v>7</v>
      </c>
      <c r="F20" s="46" t="s">
        <v>8</v>
      </c>
      <c r="G20" s="1"/>
      <c r="H20" s="1"/>
    </row>
    <row r="21" spans="1:12" ht="15.6" x14ac:dyDescent="0.3">
      <c r="B21" s="46" t="s">
        <v>9</v>
      </c>
      <c r="C21" s="33" t="s">
        <v>10</v>
      </c>
      <c r="D21" s="33" t="s">
        <v>11</v>
      </c>
      <c r="E21" s="20">
        <v>40</v>
      </c>
      <c r="F21" s="20">
        <v>130</v>
      </c>
      <c r="G21" s="33" t="s">
        <v>110</v>
      </c>
      <c r="H21" s="1"/>
      <c r="K21" s="5" t="s">
        <v>7</v>
      </c>
      <c r="L21" s="5" t="s">
        <v>8</v>
      </c>
    </row>
    <row r="22" spans="1:12" ht="18" x14ac:dyDescent="0.35">
      <c r="A22" s="100">
        <v>1</v>
      </c>
      <c r="B22" s="15"/>
      <c r="C22" s="94">
        <f>J22</f>
        <v>1</v>
      </c>
      <c r="D22" s="94"/>
      <c r="E22" s="94">
        <f>K22+E$21</f>
        <v>3040</v>
      </c>
      <c r="F22" s="94">
        <f>L22+F$21</f>
        <v>710</v>
      </c>
      <c r="G22" s="94" t="str">
        <f>D28</f>
        <v>CUB C/R R19</v>
      </c>
      <c r="H22" s="1"/>
      <c r="J22" s="3">
        <f>C28</f>
        <v>1</v>
      </c>
      <c r="K22" s="4">
        <f>E28</f>
        <v>3000</v>
      </c>
      <c r="L22" s="4">
        <f>F28</f>
        <v>580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6.2" thickBot="1" x14ac:dyDescent="0.35">
      <c r="B24" s="46"/>
      <c r="C24" s="6"/>
      <c r="D24" s="6"/>
      <c r="E24" s="6"/>
      <c r="F24" s="6"/>
      <c r="G24" s="6"/>
      <c r="H24" s="1"/>
      <c r="J24" s="2"/>
      <c r="K24" s="2"/>
      <c r="L24" s="2"/>
    </row>
    <row r="25" spans="1:12" ht="16.2" thickBot="1" x14ac:dyDescent="0.35">
      <c r="B25" s="46"/>
      <c r="C25" s="21" t="s">
        <v>107</v>
      </c>
      <c r="D25" s="22"/>
      <c r="E25" s="22"/>
      <c r="F25" s="22"/>
      <c r="G25" s="23"/>
      <c r="H25" s="1"/>
      <c r="J25" s="2"/>
      <c r="K25" s="2"/>
      <c r="L25" s="2"/>
    </row>
    <row r="26" spans="1:12" ht="10.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46" t="s">
        <v>9</v>
      </c>
      <c r="C27" s="79" t="s">
        <v>10</v>
      </c>
      <c r="D27" s="79" t="s">
        <v>110</v>
      </c>
      <c r="E27" s="79" t="s">
        <v>7</v>
      </c>
      <c r="F27" s="79" t="s">
        <v>8</v>
      </c>
      <c r="G27" s="79" t="s">
        <v>23</v>
      </c>
      <c r="H27" s="1"/>
    </row>
    <row r="28" spans="1:12" ht="18" x14ac:dyDescent="0.35">
      <c r="A28" s="100">
        <v>1</v>
      </c>
      <c r="B28" s="109" t="s">
        <v>138</v>
      </c>
      <c r="C28" s="93">
        <f>'4637'!B22</f>
        <v>1</v>
      </c>
      <c r="D28" s="93" t="str">
        <f>'4637'!C22</f>
        <v>CUB C/R R19</v>
      </c>
      <c r="E28" s="93">
        <f>'4637'!D22</f>
        <v>3000</v>
      </c>
      <c r="F28" s="93">
        <f>'4637'!E22</f>
        <v>580</v>
      </c>
      <c r="G28" s="97" t="str">
        <f>G49</f>
        <v>ALUMINUN BRUSH</v>
      </c>
      <c r="H28" s="1"/>
    </row>
    <row r="29" spans="1:12" ht="15.6" x14ac:dyDescent="0.3">
      <c r="B29" s="87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27</v>
      </c>
      <c r="E39" s="14">
        <f>'4637'!G8</f>
        <v>7122</v>
      </c>
      <c r="F39" s="1"/>
      <c r="G39" s="1"/>
      <c r="H39" s="1"/>
    </row>
    <row r="40" spans="2:8" ht="17.25" customHeight="1" x14ac:dyDescent="0.3">
      <c r="B40" s="1"/>
      <c r="C40" s="1"/>
      <c r="D40" s="36" t="s">
        <v>67</v>
      </c>
      <c r="E40" s="37" t="str">
        <f>'4637'!C10</f>
        <v>L DISEÑO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0</v>
      </c>
      <c r="F42" s="1"/>
      <c r="G42" s="1" t="s">
        <v>134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25" t="s">
        <v>68</v>
      </c>
      <c r="C45" s="125"/>
      <c r="D45" s="125"/>
      <c r="E45" s="125"/>
      <c r="F45" s="125"/>
      <c r="G45" s="125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26" t="s">
        <v>69</v>
      </c>
      <c r="D47" s="127"/>
      <c r="E47" s="128"/>
      <c r="F47" s="128"/>
      <c r="G47" s="129"/>
      <c r="H47" s="1"/>
    </row>
    <row r="48" spans="2:8" s="15" customFormat="1" ht="12.75" customHeight="1" x14ac:dyDescent="0.3">
      <c r="B48" s="1"/>
      <c r="C48" s="33" t="s">
        <v>10</v>
      </c>
      <c r="D48" s="42" t="s">
        <v>11</v>
      </c>
      <c r="E48" s="43" t="s">
        <v>7</v>
      </c>
      <c r="F48" s="43" t="s">
        <v>8</v>
      </c>
      <c r="G48" s="96" t="s">
        <v>12</v>
      </c>
      <c r="H48" s="1"/>
    </row>
    <row r="49" spans="2:8" s="15" customFormat="1" ht="15" customHeight="1" x14ac:dyDescent="0.35">
      <c r="B49" s="109" t="s">
        <v>138</v>
      </c>
      <c r="C49" s="91">
        <f>'4637'!B22</f>
        <v>1</v>
      </c>
      <c r="D49" s="92" t="str">
        <f>'4637'!C22</f>
        <v>CUB C/R R19</v>
      </c>
      <c r="E49" s="92">
        <f>'4637'!D22</f>
        <v>3000</v>
      </c>
      <c r="F49" s="95">
        <f>'4637'!E22</f>
        <v>580</v>
      </c>
      <c r="G49" s="98" t="str">
        <f>'4637'!F22</f>
        <v>ALUMINUN BRUSH</v>
      </c>
      <c r="H49" s="1"/>
    </row>
    <row r="50" spans="2:8" s="15" customFormat="1" ht="15" customHeight="1" x14ac:dyDescent="0.3">
      <c r="B50" s="44"/>
      <c r="C50" s="46"/>
      <c r="D50" s="46"/>
      <c r="E50" s="46"/>
      <c r="F50" s="46"/>
      <c r="G50" s="46"/>
      <c r="H50" s="1"/>
    </row>
    <row r="51" spans="2:8" ht="15.6" x14ac:dyDescent="0.3">
      <c r="B51" s="6"/>
      <c r="C51" s="6"/>
      <c r="D51" s="1"/>
      <c r="E51" s="6"/>
      <c r="F51" s="6"/>
      <c r="G51" s="39"/>
      <c r="H51" s="1"/>
    </row>
    <row r="52" spans="2:8" ht="15.6" x14ac:dyDescent="0.3">
      <c r="B52" s="6"/>
      <c r="C52" s="6"/>
      <c r="D52" s="1"/>
      <c r="E52" s="6"/>
      <c r="F52" s="6"/>
      <c r="G52" s="6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" customHeight="1" x14ac:dyDescent="0.3">
      <c r="B56" s="1"/>
      <c r="C56" s="1"/>
      <c r="D56" s="1"/>
      <c r="E56" s="1"/>
      <c r="F56" s="1"/>
      <c r="G56" s="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6"/>
      <c r="C58" s="45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x14ac:dyDescent="0.3">
      <c r="C60" s="19"/>
      <c r="D60" s="19"/>
      <c r="E60" s="19"/>
      <c r="F60" s="19"/>
      <c r="G60" s="19"/>
    </row>
    <row r="61" spans="2:8" x14ac:dyDescent="0.3">
      <c r="C61" s="19"/>
      <c r="D61" s="19"/>
      <c r="F61" s="19"/>
      <c r="G61" s="19"/>
    </row>
  </sheetData>
  <mergeCells count="6">
    <mergeCell ref="N3:O3"/>
    <mergeCell ref="B18:G18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1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2024-11-05T13:14:40Z</cp:lastPrinted>
  <dcterms:created xsi:type="dcterms:W3CDTF">2013-03-19T12:54:14Z</dcterms:created>
  <dcterms:modified xsi:type="dcterms:W3CDTF">2024-11-05T17:17:45Z</dcterms:modified>
</cp:coreProperties>
</file>