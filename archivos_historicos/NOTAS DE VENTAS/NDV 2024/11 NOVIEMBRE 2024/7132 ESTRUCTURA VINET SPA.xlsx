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NOTAS DE VENTAS TOPMOBILI\NDV 2024\11 NOVIEMBRE 2024\"/>
    </mc:Choice>
  </mc:AlternateContent>
  <xr:revisionPtr revIDLastSave="0" documentId="13_ncr:1_{DF551E80-DE0A-432C-ABCD-B3E42E70C365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'4637'!$A$1:$H$40</definedName>
    <definedName name="_xlnm.Print_Area" localSheetId="2">CUBIERTA!$A$1:$F$67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2" i="3" l="1"/>
  <c r="E22" i="3" s="1"/>
  <c r="K23" i="3"/>
  <c r="E23" i="3" s="1"/>
  <c r="B25" i="3"/>
  <c r="J25" i="3"/>
  <c r="D25" i="3" s="1"/>
  <c r="K25" i="3"/>
  <c r="E25" i="3" s="1"/>
  <c r="K18" i="3"/>
  <c r="E18" i="3" s="1"/>
  <c r="K19" i="3"/>
  <c r="E19" i="3" s="1"/>
  <c r="J20" i="3"/>
  <c r="D20" i="3" s="1"/>
  <c r="K20" i="3"/>
  <c r="E20" i="3" s="1"/>
  <c r="J21" i="3"/>
  <c r="D21" i="3" s="1"/>
  <c r="K21" i="3"/>
  <c r="E21" i="3" s="1"/>
  <c r="B54" i="3"/>
  <c r="I38" i="3" s="1"/>
  <c r="B38" i="3" s="1"/>
  <c r="C54" i="3"/>
  <c r="F38" i="3" s="1"/>
  <c r="E54" i="3"/>
  <c r="K38" i="3" s="1"/>
  <c r="E38" i="3" s="1"/>
  <c r="F54" i="3"/>
  <c r="B55" i="3"/>
  <c r="I39" i="3" s="1"/>
  <c r="B39" i="3" s="1"/>
  <c r="C55" i="3"/>
  <c r="F39" i="3" s="1"/>
  <c r="E55" i="3"/>
  <c r="K39" i="3" s="1"/>
  <c r="E39" i="3" s="1"/>
  <c r="F55" i="3"/>
  <c r="B56" i="3"/>
  <c r="I40" i="3" s="1"/>
  <c r="B40" i="3" s="1"/>
  <c r="C56" i="3"/>
  <c r="F40" i="3" s="1"/>
  <c r="E56" i="3"/>
  <c r="K40" i="3" s="1"/>
  <c r="E40" i="3" s="1"/>
  <c r="F56" i="3"/>
  <c r="B57" i="3"/>
  <c r="I41" i="3" s="1"/>
  <c r="B41" i="3" s="1"/>
  <c r="C57" i="3"/>
  <c r="F41" i="3" s="1"/>
  <c r="E57" i="3"/>
  <c r="K41" i="3" s="1"/>
  <c r="E41" i="3" s="1"/>
  <c r="F57" i="3"/>
  <c r="B58" i="3"/>
  <c r="I42" i="3" s="1"/>
  <c r="B42" i="3" s="1"/>
  <c r="C58" i="3"/>
  <c r="F42" i="3" s="1"/>
  <c r="E58" i="3"/>
  <c r="K42" i="3" s="1"/>
  <c r="E42" i="3" s="1"/>
  <c r="F58" i="3"/>
  <c r="B59" i="3"/>
  <c r="I43" i="3" s="1"/>
  <c r="B43" i="3" s="1"/>
  <c r="C59" i="3"/>
  <c r="F43" i="3" s="1"/>
  <c r="E59" i="3"/>
  <c r="K43" i="3" s="1"/>
  <c r="E43" i="3" s="1"/>
  <c r="F59" i="3"/>
  <c r="B60" i="3"/>
  <c r="I45" i="3" s="1"/>
  <c r="B45" i="3" s="1"/>
  <c r="C60" i="3"/>
  <c r="F45" i="3" s="1"/>
  <c r="E60" i="3"/>
  <c r="K45" i="3" s="1"/>
  <c r="E45" i="3" s="1"/>
  <c r="F60" i="3"/>
  <c r="B84" i="3"/>
  <c r="C84" i="3"/>
  <c r="D84" i="3"/>
  <c r="D54" i="3" s="1"/>
  <c r="J38" i="3" s="1"/>
  <c r="D38" i="3" s="1"/>
  <c r="E84" i="3"/>
  <c r="F84" i="3"/>
  <c r="B85" i="3"/>
  <c r="C85" i="3"/>
  <c r="D85" i="3"/>
  <c r="D55" i="3" s="1"/>
  <c r="J39" i="3" s="1"/>
  <c r="D39" i="3" s="1"/>
  <c r="E85" i="3"/>
  <c r="F85" i="3"/>
  <c r="B86" i="3"/>
  <c r="C86" i="3"/>
  <c r="D86" i="3"/>
  <c r="D56" i="3" s="1"/>
  <c r="J40" i="3" s="1"/>
  <c r="D40" i="3" s="1"/>
  <c r="E86" i="3"/>
  <c r="F86" i="3"/>
  <c r="B87" i="3"/>
  <c r="C87" i="3"/>
  <c r="D87" i="3"/>
  <c r="D57" i="3" s="1"/>
  <c r="J41" i="3" s="1"/>
  <c r="D41" i="3" s="1"/>
  <c r="E87" i="3"/>
  <c r="F87" i="3"/>
  <c r="B88" i="3"/>
  <c r="C88" i="3"/>
  <c r="D88" i="3"/>
  <c r="D58" i="3" s="1"/>
  <c r="J42" i="3" s="1"/>
  <c r="D42" i="3" s="1"/>
  <c r="E88" i="3"/>
  <c r="F88" i="3"/>
  <c r="B89" i="3"/>
  <c r="C89" i="3"/>
  <c r="D89" i="3"/>
  <c r="D59" i="3" s="1"/>
  <c r="J43" i="3" s="1"/>
  <c r="D43" i="3" s="1"/>
  <c r="E89" i="3"/>
  <c r="F89" i="3"/>
  <c r="B90" i="3"/>
  <c r="C90" i="3"/>
  <c r="D90" i="3"/>
  <c r="D60" i="3" s="1"/>
  <c r="J45" i="3" s="1"/>
  <c r="D45" i="3" s="1"/>
  <c r="E90" i="3"/>
  <c r="F90" i="3"/>
  <c r="H22" i="4"/>
  <c r="H23" i="4"/>
  <c r="H24" i="4"/>
  <c r="H25" i="4"/>
  <c r="H27" i="4"/>
  <c r="H28" i="4"/>
  <c r="H29" i="4"/>
  <c r="H26" i="4"/>
  <c r="H30" i="4"/>
  <c r="B53" i="3"/>
  <c r="I37" i="3" s="1"/>
  <c r="C53" i="3"/>
  <c r="F37" i="3" s="1"/>
  <c r="E53" i="3"/>
  <c r="K37" i="3" s="1"/>
  <c r="E37" i="3" s="1"/>
  <c r="F53" i="3"/>
  <c r="B83" i="3"/>
  <c r="C83" i="3"/>
  <c r="D83" i="3"/>
  <c r="D53" i="3" s="1"/>
  <c r="E83" i="3"/>
  <c r="F83" i="3"/>
  <c r="H21" i="4"/>
  <c r="J19" i="3" l="1"/>
  <c r="D19" i="3" s="1"/>
  <c r="J23" i="3"/>
  <c r="D23" i="3" s="1"/>
  <c r="J22" i="3"/>
  <c r="D22" i="3" s="1"/>
  <c r="I21" i="3"/>
  <c r="B21" i="3" s="1"/>
  <c r="I20" i="3"/>
  <c r="B20" i="3" s="1"/>
  <c r="I19" i="3"/>
  <c r="B19" i="3" s="1"/>
  <c r="I18" i="3"/>
  <c r="B18" i="3" s="1"/>
  <c r="I23" i="3"/>
  <c r="B23" i="3" s="1"/>
  <c r="I22" i="3"/>
  <c r="B22" i="3" s="1"/>
  <c r="J18" i="3"/>
  <c r="D18" i="3" s="1"/>
  <c r="F21" i="3"/>
  <c r="F20" i="3"/>
  <c r="F19" i="3"/>
  <c r="F18" i="3"/>
  <c r="F25" i="3"/>
  <c r="F23" i="3"/>
  <c r="F22" i="3"/>
  <c r="B37" i="3"/>
  <c r="I17" i="3"/>
  <c r="B17" i="3" s="1"/>
  <c r="K17" i="3"/>
  <c r="E17" i="3" s="1"/>
  <c r="J17" i="3"/>
  <c r="D17" i="3" s="1"/>
  <c r="J37" i="3"/>
  <c r="D37" i="3" s="1"/>
  <c r="F17" i="3"/>
  <c r="D82" i="3"/>
  <c r="D52" i="3" s="1"/>
  <c r="J35" i="3" s="1"/>
  <c r="D35" i="3" s="1"/>
  <c r="B52" i="3"/>
  <c r="I35" i="3" s="1"/>
  <c r="B35" i="3" s="1"/>
  <c r="C52" i="3"/>
  <c r="F35" i="3" s="1"/>
  <c r="E52" i="3"/>
  <c r="K35" i="3" s="1"/>
  <c r="F52" i="3"/>
  <c r="B82" i="3"/>
  <c r="C82" i="3"/>
  <c r="E82" i="3"/>
  <c r="F82" i="3"/>
  <c r="K15" i="3" l="1"/>
  <c r="E15" i="3" s="1"/>
  <c r="J15" i="3"/>
  <c r="D15" i="3" s="1"/>
  <c r="I15" i="3"/>
  <c r="B15" i="3" s="1"/>
  <c r="F15" i="3"/>
  <c r="H34" i="4" l="1"/>
  <c r="B81" i="3"/>
  <c r="C81" i="3"/>
  <c r="D81" i="3"/>
  <c r="E81" i="3"/>
  <c r="F81" i="3"/>
  <c r="B51" i="3"/>
  <c r="C51" i="3"/>
  <c r="F34" i="3" s="1"/>
  <c r="D51" i="3"/>
  <c r="J14" i="3" s="1"/>
  <c r="D14" i="3" s="1"/>
  <c r="E51" i="3"/>
  <c r="K14" i="3" s="1"/>
  <c r="E14" i="3" s="1"/>
  <c r="F51" i="3"/>
  <c r="H35" i="4" l="1"/>
  <c r="I34" i="3"/>
  <c r="F14" i="3"/>
  <c r="K34" i="3"/>
  <c r="J34" i="3"/>
  <c r="D34" i="3" s="1"/>
  <c r="B34" i="3" l="1"/>
  <c r="I14" i="3"/>
  <c r="B14" i="3" s="1"/>
  <c r="H36" i="4"/>
  <c r="N5" i="3" l="1"/>
  <c r="M5" i="3" l="1"/>
  <c r="L5" i="3"/>
  <c r="K5" i="3"/>
  <c r="C74" i="3" l="1"/>
  <c r="C7" i="3"/>
  <c r="D72" i="3"/>
  <c r="D5" i="3"/>
  <c r="D74" i="3"/>
  <c r="D7" i="3"/>
  <c r="D71" i="3"/>
  <c r="D4" i="3"/>
</calcChain>
</file>

<file path=xl/sharedStrings.xml><?xml version="1.0" encoding="utf-8"?>
<sst xmlns="http://schemas.openxmlformats.org/spreadsheetml/2006/main" count="287" uniqueCount="154">
  <si>
    <t>SEPTIMA AVENIDA 1631, SAN MIGUEL</t>
  </si>
  <si>
    <t>DIRECCION:</t>
  </si>
  <si>
    <t>RUT:</t>
  </si>
  <si>
    <t>CIUDAD:</t>
  </si>
  <si>
    <t>TOTAL</t>
  </si>
  <si>
    <t>NETO</t>
  </si>
  <si>
    <t>I.V.A.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</si>
  <si>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</si>
  <si>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</si>
  <si>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</si>
  <si>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</si>
  <si>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</si>
  <si>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</si>
  <si>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</si>
  <si>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</si>
  <si>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FONO 22521 6502</t>
  </si>
  <si>
    <t>P R E S U P U E S T O</t>
  </si>
  <si>
    <t>FONO:</t>
  </si>
  <si>
    <t>VALIDEZ COTIZACIÓN: 5 DÍAS</t>
  </si>
  <si>
    <t xml:space="preserve">D E T A L L E </t>
  </si>
  <si>
    <t>UNIDAD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</si>
  <si>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</si>
  <si>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</si>
  <si>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</si>
  <si>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</si>
  <si>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</si>
  <si>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</si>
  <si>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</si>
  <si>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</si>
  <si>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SERVICIO EXPRESS: 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</si>
  <si>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</si>
  <si>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</si>
  <si>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</si>
  <si>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</si>
  <si>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</si>
  <si>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</si>
  <si>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</si>
  <si>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</si>
  <si>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</si>
  <si>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</si>
  <si>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</si>
  <si>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</si>
  <si>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</si>
  <si>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</si>
  <si>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</si>
  <si>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</si>
  <si>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</si>
  <si>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</si>
  <si>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</si>
  <si>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</si>
  <si>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</si>
  <si>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</si>
  <si>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</si>
  <si>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</si>
  <si>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</si>
  <si>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</si>
  <si>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</si>
  <si>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</si>
  <si>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</si>
  <si>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</si>
  <si>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</si>
  <si>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</si>
  <si>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</si>
  <si>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</si>
  <si>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</si>
  <si>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</si>
  <si>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</si>
  <si>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</si>
  <si>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</si>
  <si>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</si>
  <si>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</si>
  <si>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</si>
  <si>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</si>
  <si>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</si>
  <si>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</si>
  <si>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</si>
  <si>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</si>
  <si>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</si>
  <si>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</si>
  <si>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</si>
  <si>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</si>
  <si>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</si>
  <si>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</si>
  <si>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</si>
  <si>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</si>
  <si>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</si>
  <si>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</si>
  <si>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</si>
  <si>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</si>
  <si>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</si>
  <si>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</si>
  <si>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</si>
  <si>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</si>
  <si>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</si>
  <si>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</si>
  <si>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</si>
  <si>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</si>
  <si>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</si>
  <si>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</si>
  <si>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</si>
  <si>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</si>
  <si>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</si>
  <si>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</si>
  <si>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</si>
  <si>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</si>
  <si>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</si>
  <si>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</si>
  <si>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</si>
  <si>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</si>
  <si>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</si>
  <si>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</si>
  <si>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</si>
  <si>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</si>
  <si>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</si>
  <si>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</si>
  <si>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</si>
  <si>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</si>
  <si>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</si>
  <si>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</si>
  <si>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</si>
  <si>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</si>
  <si>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</si>
  <si>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</si>
  <si>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 xml:space="preserve">CUENTA VISTA DEL BANCO ESTADO N° 35571389078 A NOMBRE DE </t>
  </si>
  <si>
    <t>FECHA LIMITE :</t>
  </si>
  <si>
    <t>FECHA ENTREGA:</t>
  </si>
  <si>
    <t>NO BORRAR REGLAS!!!!! SI NO LAS SABEN USAR NO BORREN ESTO POR FAVOR!!!!!</t>
  </si>
  <si>
    <t>CONTADO</t>
  </si>
  <si>
    <t>CUB C/R R6</t>
  </si>
  <si>
    <t>HECHO POR:</t>
  </si>
  <si>
    <t xml:space="preserve">CLIENTE: </t>
  </si>
  <si>
    <t>FERNANDO DONOSO</t>
  </si>
  <si>
    <t xml:space="preserve">GIRO: </t>
  </si>
  <si>
    <t>CONTACTO:</t>
  </si>
  <si>
    <t>NO</t>
  </si>
  <si>
    <t>ESTRUCTURAS VINET SPA</t>
  </si>
  <si>
    <t>76.982.425-1</t>
  </si>
  <si>
    <t>ROBERTO BUSTOS</t>
  </si>
  <si>
    <t>+569 3094 4033</t>
  </si>
  <si>
    <t>CHILLAN</t>
  </si>
  <si>
    <t>MDF30MM</t>
  </si>
  <si>
    <t>EBANO 2110 MT</t>
  </si>
  <si>
    <t>ENERGY CURVE RUSTIC BROWM</t>
  </si>
  <si>
    <t>E/R SOBRE MDF 15MM</t>
  </si>
  <si>
    <t>CUB PT 1 LADO SEGÚN DIBUJO</t>
  </si>
  <si>
    <t>COLOR POR DEFINIR</t>
  </si>
  <si>
    <t>DESCTO.</t>
  </si>
  <si>
    <t>E/R 1 CARA MDF 18MM</t>
  </si>
  <si>
    <t>E/R 1 CARA SEGÚN DIBUJO MDF 18MM</t>
  </si>
  <si>
    <t>E/R 1 CARA MDF 15MM</t>
  </si>
  <si>
    <t>N° 5165</t>
  </si>
  <si>
    <t>MDF18MM</t>
  </si>
  <si>
    <t>MDF15MM</t>
  </si>
  <si>
    <t>VER DIBUJO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</si>
</sst>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$&quot;* #,##0_ ;_ &quot;$&quot;* \-#,##0_ ;_ &quot;$&quot;* &quot;-&quot;_ ;_ @_ "/>
    <numFmt numFmtId="164" formatCode="_-* #,##0.00_-;\-* #,##0.00_-;_-* &quot;-&quot;??_-;_-@_-"/>
    <numFmt numFmtId="165" formatCode="0.000"/>
    <numFmt numFmtId="166" formatCode="_-* #,##0_-;\-* #,##0_-;_-* &quot;-&quot;??_-;_-@_-"/>
  </numFmts>
  <fonts count="2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rgb="FF000000"/>
      <name val="Segoe UI"/>
      <family val="2"/>
    </font>
    <font>
      <b/>
      <sz val="14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i/>
      <sz val="11"/>
      <color rgb="FF1F497D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4">
    <xf numFmtId="0" fontId="0" fillId="0" borderId="0"/>
    <xf numFmtId="164" fontId="4" fillId="0" borderId="0" applyFont="0" applyFill="0" applyBorder="0" applyAlignment="0" applyProtection="0"/>
    <xf numFmtId="0" fontId="6" fillId="0" borderId="0" applyNumberFormat="0" applyFill="0" applyBorder="0" applyAlignment="0" applyProtection="0"/>
    <xf numFmtId="42" fontId="4" fillId="0" borderId="0" applyFont="0" applyFill="0" applyBorder="0" applyAlignment="0" applyProtection="0"/>
  </cellStyleXfs>
  <cellXfs count="137">
    <xf numFmtId="0" fontId="0" fillId="0" borderId="0" xfId="0"/>
    <xf numFmtId="0" fontId="3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/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8" fillId="6" borderId="2" xfId="0" applyFont="1" applyFill="1" applyBorder="1" applyAlignment="1">
      <alignment horizontal="center"/>
    </xf>
    <xf numFmtId="0" fontId="9" fillId="0" borderId="0" xfId="0" applyFont="1"/>
    <xf numFmtId="14" fontId="1" fillId="0" borderId="0" xfId="0" applyNumberFormat="1" applyFont="1" applyAlignment="1">
      <alignment horizontal="left" wrapText="1" shrinkToFit="1"/>
    </xf>
    <xf numFmtId="0" fontId="1" fillId="0" borderId="0" xfId="0" applyFont="1" applyAlignment="1">
      <alignment horizontal="left"/>
    </xf>
    <xf numFmtId="0" fontId="2" fillId="0" borderId="0" xfId="0" applyFont="1"/>
    <xf numFmtId="0" fontId="3" fillId="0" borderId="18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/>
    </xf>
    <xf numFmtId="0" fontId="8" fillId="6" borderId="0" xfId="0" applyFont="1" applyFill="1" applyAlignment="1">
      <alignment horizontal="center"/>
    </xf>
    <xf numFmtId="0" fontId="7" fillId="0" borderId="0" xfId="0" applyFont="1"/>
    <xf numFmtId="0" fontId="3" fillId="7" borderId="18" xfId="0" applyFont="1" applyFill="1" applyBorder="1" applyAlignment="1">
      <alignment horizontal="center"/>
    </xf>
    <xf numFmtId="0" fontId="9" fillId="0" borderId="15" xfId="0" applyFont="1" applyBorder="1"/>
    <xf numFmtId="0" fontId="9" fillId="0" borderId="16" xfId="0" applyFont="1" applyBorder="1"/>
    <xf numFmtId="0" fontId="9" fillId="0" borderId="17" xfId="0" applyFont="1" applyBorder="1"/>
    <xf numFmtId="0" fontId="3" fillId="0" borderId="2" xfId="0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0" fontId="3" fillId="7" borderId="23" xfId="0" applyFont="1" applyFill="1" applyBorder="1" applyAlignment="1">
      <alignment horizontal="center"/>
    </xf>
    <xf numFmtId="166" fontId="0" fillId="0" borderId="0" xfId="0" applyNumberFormat="1"/>
    <xf numFmtId="0" fontId="5" fillId="0" borderId="0" xfId="0" applyFont="1"/>
    <xf numFmtId="0" fontId="3" fillId="3" borderId="2" xfId="0" applyFont="1" applyFill="1" applyBorder="1" applyAlignment="1">
      <alignment horizontal="center"/>
    </xf>
    <xf numFmtId="0" fontId="9" fillId="0" borderId="18" xfId="0" applyFont="1" applyBorder="1" applyAlignment="1">
      <alignment horizontal="center"/>
    </xf>
    <xf numFmtId="0" fontId="9" fillId="0" borderId="23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1" fillId="0" borderId="0" xfId="0" applyFont="1" applyAlignment="1">
      <alignment horizontal="left" indent="1"/>
    </xf>
    <xf numFmtId="0" fontId="11" fillId="3" borderId="0" xfId="0" applyFont="1" applyFill="1" applyAlignment="1">
      <alignment horizontal="left" indent="1"/>
    </xf>
    <xf numFmtId="0" fontId="9" fillId="3" borderId="0" xfId="0" applyFont="1" applyFill="1" applyAlignment="1">
      <alignment horizontal="left"/>
    </xf>
    <xf numFmtId="0" fontId="3" fillId="3" borderId="0" xfId="0" applyFont="1" applyFill="1"/>
    <xf numFmtId="0" fontId="3" fillId="0" borderId="0" xfId="0" applyFont="1" applyAlignment="1">
      <alignment horizontal="left" indent="1"/>
    </xf>
    <xf numFmtId="14" fontId="3" fillId="0" borderId="0" xfId="0" applyNumberFormat="1" applyFont="1" applyAlignment="1">
      <alignment horizontal="right" vertical="top"/>
    </xf>
    <xf numFmtId="14" fontId="11" fillId="0" borderId="0" xfId="0" applyNumberFormat="1" applyFont="1" applyAlignment="1">
      <alignment horizontal="left" indent="1"/>
    </xf>
    <xf numFmtId="0" fontId="9" fillId="0" borderId="21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3" fillId="0" borderId="0" xfId="0" applyFont="1" applyAlignment="1">
      <alignment horizontal="right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1" fillId="3" borderId="3" xfId="0" applyFont="1" applyFill="1" applyBorder="1"/>
    <xf numFmtId="0" fontId="3" fillId="3" borderId="4" xfId="0" applyFont="1" applyFill="1" applyBorder="1"/>
    <xf numFmtId="0" fontId="3" fillId="3" borderId="4" xfId="0" applyFont="1" applyFill="1" applyBorder="1" applyAlignment="1">
      <alignment horizontal="left"/>
    </xf>
    <xf numFmtId="14" fontId="3" fillId="3" borderId="4" xfId="0" applyNumberFormat="1" applyFont="1" applyFill="1" applyBorder="1" applyAlignment="1">
      <alignment horizontal="left"/>
    </xf>
    <xf numFmtId="0" fontId="3" fillId="3" borderId="5" xfId="0" applyFont="1" applyFill="1" applyBorder="1"/>
    <xf numFmtId="0" fontId="3" fillId="4" borderId="6" xfId="0" applyFont="1" applyFill="1" applyBorder="1"/>
    <xf numFmtId="0" fontId="3" fillId="4" borderId="0" xfId="0" applyFont="1" applyFill="1"/>
    <xf numFmtId="14" fontId="3" fillId="4" borderId="26" xfId="0" applyNumberFormat="1" applyFont="1" applyFill="1" applyBorder="1" applyAlignment="1">
      <alignment horizontal="left"/>
    </xf>
    <xf numFmtId="0" fontId="3" fillId="4" borderId="7" xfId="0" applyFont="1" applyFill="1" applyBorder="1"/>
    <xf numFmtId="0" fontId="3" fillId="3" borderId="6" xfId="0" applyFont="1" applyFill="1" applyBorder="1"/>
    <xf numFmtId="0" fontId="3" fillId="3" borderId="0" xfId="0" applyFont="1" applyFill="1" applyAlignment="1">
      <alignment horizontal="left"/>
    </xf>
    <xf numFmtId="0" fontId="3" fillId="3" borderId="7" xfId="0" applyFont="1" applyFill="1" applyBorder="1"/>
    <xf numFmtId="0" fontId="3" fillId="4" borderId="0" xfId="0" applyFont="1" applyFill="1" applyAlignment="1">
      <alignment horizontal="left"/>
    </xf>
    <xf numFmtId="0" fontId="1" fillId="3" borderId="0" xfId="0" applyFont="1" applyFill="1"/>
    <xf numFmtId="0" fontId="3" fillId="4" borderId="8" xfId="0" applyFont="1" applyFill="1" applyBorder="1"/>
    <xf numFmtId="0" fontId="3" fillId="4" borderId="9" xfId="2" applyFont="1" applyFill="1" applyBorder="1" applyAlignment="1">
      <alignment horizontal="left"/>
    </xf>
    <xf numFmtId="0" fontId="3" fillId="4" borderId="9" xfId="0" applyFont="1" applyFill="1" applyBorder="1"/>
    <xf numFmtId="0" fontId="3" fillId="0" borderId="0" xfId="0" applyFont="1" applyAlignment="1">
      <alignment horizontal="center" vertical="center"/>
    </xf>
    <xf numFmtId="166" fontId="3" fillId="0" borderId="0" xfId="1" applyNumberFormat="1" applyFont="1" applyFill="1" applyBorder="1" applyAlignment="1">
      <alignment horizontal="center" vertical="center"/>
    </xf>
    <xf numFmtId="0" fontId="1" fillId="0" borderId="11" xfId="0" applyFont="1" applyBorder="1" applyAlignment="1">
      <alignment horizontal="center"/>
    </xf>
    <xf numFmtId="166" fontId="1" fillId="0" borderId="12" xfId="1" applyNumberFormat="1" applyFont="1" applyFill="1" applyBorder="1"/>
    <xf numFmtId="3" fontId="1" fillId="3" borderId="13" xfId="0" applyNumberFormat="1" applyFont="1" applyFill="1" applyBorder="1" applyAlignment="1">
      <alignment horizontal="center"/>
    </xf>
    <xf numFmtId="166" fontId="1" fillId="0" borderId="28" xfId="1" applyNumberFormat="1" applyFont="1" applyFill="1" applyBorder="1"/>
    <xf numFmtId="0" fontId="1" fillId="0" borderId="14" xfId="0" applyFont="1" applyBorder="1" applyAlignment="1">
      <alignment horizontal="center"/>
    </xf>
    <xf numFmtId="166" fontId="1" fillId="0" borderId="27" xfId="1" applyNumberFormat="1" applyFont="1" applyFill="1" applyBorder="1"/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0" fontId="14" fillId="0" borderId="0" xfId="2" applyFont="1" applyFill="1" applyBorder="1" applyAlignment="1">
      <alignment horizontal="left" vertical="center" indent="1"/>
    </xf>
    <xf numFmtId="0" fontId="5" fillId="3" borderId="4" xfId="0" applyFont="1" applyFill="1" applyBorder="1"/>
    <xf numFmtId="14" fontId="11" fillId="0" borderId="0" xfId="0" applyNumberFormat="1" applyFont="1" applyAlignment="1">
      <alignment horizontal="left" vertical="top" indent="1"/>
    </xf>
    <xf numFmtId="0" fontId="9" fillId="0" borderId="2" xfId="0" applyFont="1" applyBorder="1" applyAlignment="1">
      <alignment horizontal="center" vertical="center"/>
    </xf>
    <xf numFmtId="0" fontId="0" fillId="2" borderId="0" xfId="0" applyFill="1" applyAlignment="1">
      <alignment horizontal="center"/>
    </xf>
    <xf numFmtId="0" fontId="1" fillId="0" borderId="15" xfId="0" applyFont="1" applyBorder="1" applyAlignment="1">
      <alignment horizontal="left" indent="1"/>
    </xf>
    <xf numFmtId="0" fontId="1" fillId="0" borderId="16" xfId="0" applyFont="1" applyBorder="1"/>
    <xf numFmtId="0" fontId="1" fillId="0" borderId="17" xfId="0" applyFont="1" applyBorder="1" applyAlignment="1">
      <alignment horizontal="center"/>
    </xf>
    <xf numFmtId="0" fontId="1" fillId="0" borderId="15" xfId="0" applyFont="1" applyBorder="1" applyAlignment="1">
      <alignment horizontal="left"/>
    </xf>
    <xf numFmtId="0" fontId="3" fillId="0" borderId="17" xfId="0" applyFont="1" applyBorder="1" applyAlignment="1">
      <alignment horizontal="left"/>
    </xf>
    <xf numFmtId="0" fontId="7" fillId="0" borderId="0" xfId="0" applyFont="1" applyAlignment="1">
      <alignment horizontal="right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42" fontId="15" fillId="0" borderId="0" xfId="3" applyFont="1" applyBorder="1" applyAlignment="1">
      <alignment horizontal="center" vertical="center"/>
    </xf>
    <xf numFmtId="166" fontId="1" fillId="0" borderId="0" xfId="1" applyNumberFormat="1" applyFont="1" applyFill="1" applyBorder="1"/>
    <xf numFmtId="0" fontId="17" fillId="0" borderId="18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18" xfId="0" applyFont="1" applyBorder="1" applyAlignment="1">
      <alignment horizontal="center"/>
    </xf>
    <xf numFmtId="0" fontId="7" fillId="0" borderId="0" xfId="0" applyFont="1" applyAlignment="1">
      <alignment horizontal="center"/>
    </xf>
    <xf numFmtId="166" fontId="3" fillId="0" borderId="0" xfId="0" applyNumberFormat="1" applyFont="1"/>
    <xf numFmtId="0" fontId="18" fillId="0" borderId="0" xfId="0" applyFont="1"/>
    <xf numFmtId="0" fontId="18" fillId="3" borderId="0" xfId="0" applyFont="1" applyFill="1"/>
    <xf numFmtId="0" fontId="19" fillId="0" borderId="24" xfId="0" applyFont="1" applyBorder="1" applyAlignment="1">
      <alignment horizontal="center"/>
    </xf>
    <xf numFmtId="1" fontId="19" fillId="0" borderId="24" xfId="0" applyNumberFormat="1" applyFont="1" applyBorder="1" applyAlignment="1">
      <alignment horizontal="center"/>
    </xf>
    <xf numFmtId="1" fontId="3" fillId="0" borderId="2" xfId="0" applyNumberFormat="1" applyFont="1" applyBorder="1" applyAlignment="1">
      <alignment horizontal="center"/>
    </xf>
    <xf numFmtId="0" fontId="20" fillId="0" borderId="0" xfId="0" applyFont="1" applyAlignment="1">
      <alignment horizontal="right"/>
    </xf>
    <xf numFmtId="0" fontId="3" fillId="3" borderId="0" xfId="0" applyFont="1" applyFill="1" applyAlignment="1">
      <alignment horizontal="center"/>
    </xf>
    <xf numFmtId="0" fontId="21" fillId="0" borderId="0" xfId="0" quotePrefix="1" applyFont="1"/>
    <xf numFmtId="0" fontId="11" fillId="4" borderId="9" xfId="0" applyFont="1" applyFill="1" applyBorder="1" applyAlignment="1">
      <alignment horizontal="left"/>
    </xf>
    <xf numFmtId="0" fontId="11" fillId="4" borderId="10" xfId="0" applyFont="1" applyFill="1" applyBorder="1" applyAlignment="1">
      <alignment horizontal="left"/>
    </xf>
    <xf numFmtId="0" fontId="9" fillId="3" borderId="15" xfId="0" applyFont="1" applyFill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9" fillId="3" borderId="17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  <xf numFmtId="0" fontId="9" fillId="3" borderId="20" xfId="0" applyFont="1" applyFill="1" applyBorder="1" applyAlignment="1">
      <alignment horizontal="left" vertical="top" indent="28"/>
    </xf>
    <xf numFmtId="0" fontId="9" fillId="3" borderId="21" xfId="0" applyFont="1" applyFill="1" applyBorder="1" applyAlignment="1">
      <alignment horizontal="left" vertical="top" indent="28"/>
    </xf>
    <xf numFmtId="0" fontId="9" fillId="3" borderId="25" xfId="0" applyFont="1" applyFill="1" applyBorder="1" applyAlignment="1">
      <alignment horizontal="left" vertical="top" indent="28"/>
    </xf>
    <xf numFmtId="0" fontId="9" fillId="3" borderId="19" xfId="0" applyFont="1" applyFill="1" applyBorder="1" applyAlignment="1">
      <alignment horizontal="left" vertical="top" indent="28"/>
    </xf>
    <xf numFmtId="0" fontId="15" fillId="0" borderId="0" xfId="0" applyFont="1" applyBorder="1" applyAlignment="1">
      <alignment horizontal="center" vertical="center"/>
    </xf>
    <xf numFmtId="1" fontId="15" fillId="0" borderId="0" xfId="0" applyNumberFormat="1" applyFont="1" applyBorder="1" applyAlignment="1">
      <alignment horizontal="center" vertical="center"/>
    </xf>
    <xf numFmtId="0" fontId="1" fillId="8" borderId="29" xfId="0" applyFont="1" applyFill="1" applyBorder="1" applyAlignment="1">
      <alignment horizontal="center" vertical="center"/>
    </xf>
    <xf numFmtId="0" fontId="1" fillId="8" borderId="30" xfId="0" applyFont="1" applyFill="1" applyBorder="1" applyAlignment="1">
      <alignment horizontal="center" vertical="center"/>
    </xf>
    <xf numFmtId="0" fontId="1" fillId="8" borderId="31" xfId="0" applyFont="1" applyFill="1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1" fontId="15" fillId="0" borderId="2" xfId="0" applyNumberFormat="1" applyFont="1" applyBorder="1" applyAlignment="1">
      <alignment horizontal="center" vertical="center"/>
    </xf>
    <xf numFmtId="166" fontId="3" fillId="0" borderId="2" xfId="1" applyNumberFormat="1" applyFont="1" applyFill="1" applyBorder="1" applyAlignment="1">
      <alignment horizontal="center" vertical="center"/>
    </xf>
    <xf numFmtId="0" fontId="15" fillId="0" borderId="2" xfId="0" applyFont="1" applyFill="1" applyBorder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0" fontId="3" fillId="0" borderId="0" xfId="0" applyFont="1" applyBorder="1" applyAlignment="1">
      <alignment horizontal="center"/>
    </xf>
    <xf numFmtId="0" fontId="7" fillId="0" borderId="0" xfId="0" applyFont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3" fillId="3" borderId="0" xfId="0" applyFont="1" applyFill="1" applyBorder="1" applyAlignment="1">
      <alignment horizontal="center"/>
    </xf>
  </cellXfs>
  <cellStyles count="4">
    <cellStyle name="Hipervínculo" xfId="2" builtinId="8"/>
    <cellStyle name="Millares" xfId="1" builtinId="3"/>
    <cellStyle name="Moneda [0]" xfId="3" builtinId="7"/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11430</xdr:colOff>
      <xdr:row>33</xdr:row>
      <xdr:rowOff>9525</xdr:rowOff>
    </xdr:from>
    <xdr:to>
      <xdr:col>5</xdr:col>
      <xdr:colOff>1390650</xdr:colOff>
      <xdr:row>37</xdr:row>
      <xdr:rowOff>47625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09550" y="5084445"/>
          <a:ext cx="5600700" cy="8382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900" b="1" i="1"/>
            <a:t>OBSERVACIONES:  TIENE ABONO POR PROYECTO TOTAL</a:t>
          </a:r>
          <a:endParaRPr lang="es-CL" sz="900">
            <a:effectLst/>
          </a:endParaRPr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1108468</xdr:colOff>
      <xdr:row>6</xdr:row>
      <xdr:rowOff>26670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895350</xdr:colOff>
      <xdr:row>5</xdr:row>
      <xdr:rowOff>47625</xdr:rowOff>
    </xdr:from>
    <xdr:to>
      <xdr:col>5</xdr:col>
      <xdr:colOff>1666875</xdr:colOff>
      <xdr:row>6</xdr:row>
      <xdr:rowOff>190500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1790700" y="1066800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0</xdr:col>
      <xdr:colOff>152400</xdr:colOff>
      <xdr:row>28</xdr:row>
      <xdr:rowOff>76200</xdr:rowOff>
    </xdr:from>
    <xdr:to>
      <xdr:col>5</xdr:col>
      <xdr:colOff>1676399</xdr:colOff>
      <xdr:row>30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52400" y="1514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0</xdr:col>
      <xdr:colOff>171450</xdr:colOff>
      <xdr:row>8</xdr:row>
      <xdr:rowOff>171450</xdr:rowOff>
    </xdr:from>
    <xdr:to>
      <xdr:col>5</xdr:col>
      <xdr:colOff>1695449</xdr:colOff>
      <xdr:row>10</xdr:row>
      <xdr:rowOff>19050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71450" y="3419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161925</xdr:colOff>
      <xdr:row>75</xdr:row>
      <xdr:rowOff>171450</xdr:rowOff>
    </xdr:from>
    <xdr:to>
      <xdr:col>5</xdr:col>
      <xdr:colOff>1685924</xdr:colOff>
      <xdr:row>77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61925" y="9277350"/>
          <a:ext cx="6810374" cy="2286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73</xdr:row>
      <xdr:rowOff>0</xdr:rowOff>
    </xdr:from>
    <xdr:to>
      <xdr:col>6</xdr:col>
      <xdr:colOff>0</xdr:colOff>
      <xdr:row>74</xdr:row>
      <xdr:rowOff>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743075" y="1047750"/>
          <a:ext cx="516255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71</xdr:row>
      <xdr:rowOff>38100</xdr:rowOff>
    </xdr:from>
    <xdr:to>
      <xdr:col>6</xdr:col>
      <xdr:colOff>0</xdr:colOff>
      <xdr:row>72</xdr:row>
      <xdr:rowOff>19050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743075" y="800100"/>
          <a:ext cx="5162550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70</xdr:row>
      <xdr:rowOff>0</xdr:rowOff>
    </xdr:from>
    <xdr:to>
      <xdr:col>6</xdr:col>
      <xdr:colOff>0</xdr:colOff>
      <xdr:row>71</xdr:row>
      <xdr:rowOff>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743075" y="571500"/>
          <a:ext cx="5162550" cy="1905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91</xdr:row>
      <xdr:rowOff>0</xdr:rowOff>
    </xdr:from>
    <xdr:to>
      <xdr:col>2</xdr:col>
      <xdr:colOff>38100</xdr:colOff>
      <xdr:row>92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819150" y="7505700"/>
          <a:ext cx="971550" cy="2286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91</xdr:row>
      <xdr:rowOff>0</xdr:rowOff>
    </xdr:from>
    <xdr:to>
      <xdr:col>2</xdr:col>
      <xdr:colOff>1019175</xdr:colOff>
      <xdr:row>91</xdr:row>
      <xdr:rowOff>190500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790700" y="7505700"/>
          <a:ext cx="98107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91</xdr:row>
      <xdr:rowOff>0</xdr:rowOff>
    </xdr:from>
    <xdr:to>
      <xdr:col>3</xdr:col>
      <xdr:colOff>352425</xdr:colOff>
      <xdr:row>92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76225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91</xdr:row>
      <xdr:rowOff>0</xdr:rowOff>
    </xdr:from>
    <xdr:to>
      <xdr:col>4</xdr:col>
      <xdr:colOff>257175</xdr:colOff>
      <xdr:row>92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373380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91</xdr:row>
      <xdr:rowOff>0</xdr:rowOff>
    </xdr:from>
    <xdr:to>
      <xdr:col>5</xdr:col>
      <xdr:colOff>447675</xdr:colOff>
      <xdr:row>91</xdr:row>
      <xdr:rowOff>190500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4695825" y="7505700"/>
          <a:ext cx="96202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91</xdr:row>
      <xdr:rowOff>0</xdr:rowOff>
    </xdr:from>
    <xdr:to>
      <xdr:col>6</xdr:col>
      <xdr:colOff>0</xdr:colOff>
      <xdr:row>91</xdr:row>
      <xdr:rowOff>190500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5667375" y="7505700"/>
          <a:ext cx="123825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91</xdr:row>
      <xdr:rowOff>190500</xdr:rowOff>
    </xdr:from>
    <xdr:to>
      <xdr:col>2</xdr:col>
      <xdr:colOff>304800</xdr:colOff>
      <xdr:row>93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8191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91</xdr:row>
      <xdr:rowOff>190500</xdr:rowOff>
    </xdr:from>
    <xdr:to>
      <xdr:col>2</xdr:col>
      <xdr:colOff>1276350</xdr:colOff>
      <xdr:row>93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7907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91</xdr:row>
      <xdr:rowOff>190500</xdr:rowOff>
    </xdr:from>
    <xdr:to>
      <xdr:col>3</xdr:col>
      <xdr:colOff>619125</xdr:colOff>
      <xdr:row>93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7622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91</xdr:row>
      <xdr:rowOff>190500</xdr:rowOff>
    </xdr:from>
    <xdr:to>
      <xdr:col>4</xdr:col>
      <xdr:colOff>523875</xdr:colOff>
      <xdr:row>93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37338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91</xdr:row>
      <xdr:rowOff>190500</xdr:rowOff>
    </xdr:from>
    <xdr:to>
      <xdr:col>5</xdr:col>
      <xdr:colOff>723900</xdr:colOff>
      <xdr:row>93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469582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91</xdr:row>
      <xdr:rowOff>190500</xdr:rowOff>
    </xdr:from>
    <xdr:to>
      <xdr:col>6</xdr:col>
      <xdr:colOff>0</xdr:colOff>
      <xdr:row>93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566737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0</xdr:col>
      <xdr:colOff>392430</xdr:colOff>
      <xdr:row>62</xdr:row>
      <xdr:rowOff>15239</xdr:rowOff>
    </xdr:from>
    <xdr:to>
      <xdr:col>6</xdr:col>
      <xdr:colOff>68580</xdr:colOff>
      <xdr:row>66</xdr:row>
      <xdr:rowOff>57150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392430" y="6473189"/>
          <a:ext cx="7820025" cy="84201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SEGUN DIBUJO, EMBALAR CON CARTON</a:t>
          </a:r>
          <a:endParaRPr lang="es-ES" sz="1050">
            <a:effectLst/>
          </a:endParaRPr>
        </a:p>
      </xdr:txBody>
    </xdr:sp>
    <xdr:clientData/>
  </xdr:twoCellAnchor>
  <xdr:twoCellAnchor>
    <xdr:from>
      <xdr:col>0</xdr:col>
      <xdr:colOff>190500</xdr:colOff>
      <xdr:row>46</xdr:row>
      <xdr:rowOff>200025</xdr:rowOff>
    </xdr:from>
    <xdr:to>
      <xdr:col>6</xdr:col>
      <xdr:colOff>19049</xdr:colOff>
      <xdr:row>48</xdr:row>
      <xdr:rowOff>9525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90500" y="5629275"/>
          <a:ext cx="6810374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94</xdr:row>
      <xdr:rowOff>32385</xdr:rowOff>
    </xdr:from>
    <xdr:to>
      <xdr:col>6</xdr:col>
      <xdr:colOff>19050</xdr:colOff>
      <xdr:row>98</xdr:row>
      <xdr:rowOff>152400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744855" y="10974705"/>
          <a:ext cx="7717155" cy="9048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DUDAS CONSULTAR, EMBALAR CON CARTON</a:t>
          </a:r>
          <a:endParaRPr lang="es-CL">
            <a:effectLst/>
          </a:endParaRPr>
        </a:p>
      </xdr:txBody>
    </xdr:sp>
    <xdr:clientData/>
  </xdr:twoCellAnchor>
  <xdr:twoCellAnchor editAs="oneCell">
    <xdr:from>
      <xdr:col>0</xdr:col>
      <xdr:colOff>160020</xdr:colOff>
      <xdr:row>67</xdr:row>
      <xdr:rowOff>194310</xdr:rowOff>
    </xdr:from>
    <xdr:to>
      <xdr:col>2</xdr:col>
      <xdr:colOff>100723</xdr:colOff>
      <xdr:row>74</xdr:row>
      <xdr:rowOff>91440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020" y="10405110"/>
          <a:ext cx="1550428" cy="1173480"/>
        </a:xfrm>
        <a:prstGeom prst="rect">
          <a:avLst/>
        </a:prstGeom>
      </xdr:spPr>
    </xdr:pic>
    <xdr:clientData/>
  </xdr:twoCellAnchor>
  <xdr:twoCellAnchor editAs="oneCell">
    <xdr:from>
      <xdr:col>0</xdr:col>
      <xdr:colOff>129540</xdr:colOff>
      <xdr:row>1</xdr:row>
      <xdr:rowOff>114300</xdr:rowOff>
    </xdr:from>
    <xdr:to>
      <xdr:col>2</xdr:col>
      <xdr:colOff>79768</xdr:colOff>
      <xdr:row>7</xdr:row>
      <xdr:rowOff>194310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540" y="297180"/>
          <a:ext cx="1586623" cy="1148715"/>
        </a:xfrm>
        <a:prstGeom prst="rect">
          <a:avLst/>
        </a:prstGeom>
      </xdr:spPr>
    </xdr:pic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1819275" y="13049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43"/>
  <sheetViews>
    <sheetView topLeftCell="A3" workbookViewId="0">
      <selection activeCell="D9" sqref="D9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32" customWidth="1"/>
    <col min="4" max="5" width="9.109375" customWidth="1"/>
    <col min="6" max="6" width="38.33203125" customWidth="1"/>
    <col min="7" max="8" width="13" customWidth="1"/>
  </cols>
  <sheetData>
    <row r="1" spans="1:17" ht="15.6" x14ac:dyDescent="0.3">
      <c r="A1" s="1"/>
      <c r="B1" s="1"/>
      <c r="C1" s="1"/>
      <c r="D1" s="1"/>
      <c r="E1" s="1"/>
      <c r="F1" s="1"/>
      <c r="G1" s="1"/>
      <c r="H1" s="1"/>
      <c r="I1" s="1"/>
    </row>
    <row r="2" spans="1:17" ht="15.6" x14ac:dyDescent="0.3">
      <c r="A2" s="1"/>
      <c r="B2" s="1"/>
      <c r="C2" s="1"/>
      <c r="D2" s="1"/>
      <c r="E2" s="1"/>
      <c r="F2" s="7" t="s">
        <v>119</v>
      </c>
      <c r="G2" s="1"/>
      <c r="H2" s="1"/>
      <c r="I2" s="1"/>
    </row>
    <row r="3" spans="1:17" ht="15.6" x14ac:dyDescent="0.3">
      <c r="A3" s="1"/>
      <c r="B3" s="1"/>
      <c r="C3" s="1"/>
      <c r="D3" s="1"/>
      <c r="E3" s="1"/>
      <c r="F3" s="1" t="s">
        <v>120</v>
      </c>
      <c r="G3" s="1"/>
      <c r="H3" s="1"/>
      <c r="I3" s="1"/>
    </row>
    <row r="4" spans="1:17" ht="15.6" x14ac:dyDescent="0.3">
      <c r="A4" s="1"/>
      <c r="B4" s="1"/>
      <c r="C4" s="1"/>
      <c r="D4" s="1"/>
      <c r="E4" s="1"/>
      <c r="F4" s="1" t="s">
        <v>121</v>
      </c>
      <c r="G4" s="1"/>
      <c r="H4" s="1"/>
      <c r="I4" s="1"/>
    </row>
    <row r="5" spans="1:17" ht="15.6" x14ac:dyDescent="0.3">
      <c r="A5" s="1"/>
      <c r="B5" s="1"/>
      <c r="C5" s="1"/>
      <c r="D5" s="1"/>
      <c r="E5" s="1"/>
      <c r="F5" s="1" t="s">
        <v>0</v>
      </c>
      <c r="G5" s="1"/>
      <c r="H5" s="1"/>
      <c r="I5" s="1"/>
    </row>
    <row r="6" spans="1:17" ht="15.6" x14ac:dyDescent="0.3">
      <c r="A6" s="1"/>
      <c r="B6" s="1"/>
      <c r="C6" s="1"/>
      <c r="D6" s="1"/>
      <c r="E6" s="1"/>
      <c r="F6" s="1" t="s">
        <v>15</v>
      </c>
      <c r="G6" s="1"/>
      <c r="H6" s="1"/>
      <c r="I6" s="1"/>
    </row>
    <row r="7" spans="1:17" ht="16.2" thickBot="1" x14ac:dyDescent="0.35">
      <c r="A7" s="1"/>
      <c r="B7" s="1"/>
      <c r="C7" s="1"/>
      <c r="D7" s="1"/>
      <c r="E7" s="1"/>
      <c r="F7" s="1" t="s">
        <v>13</v>
      </c>
      <c r="G7" s="1"/>
      <c r="H7" s="1"/>
      <c r="I7" s="1"/>
    </row>
    <row r="8" spans="1:17" ht="16.2" thickBot="1" x14ac:dyDescent="0.35">
      <c r="A8" s="1"/>
      <c r="B8" s="86" t="s">
        <v>16</v>
      </c>
      <c r="C8" s="87"/>
      <c r="D8" s="88" t="s">
        <v>150</v>
      </c>
      <c r="E8" s="1"/>
      <c r="F8" s="89" t="s">
        <v>27</v>
      </c>
      <c r="G8" s="90">
        <v>7132</v>
      </c>
      <c r="H8" s="1"/>
      <c r="I8" s="1"/>
    </row>
    <row r="9" spans="1:17" ht="16.2" thickBot="1" x14ac:dyDescent="0.35">
      <c r="A9" s="1"/>
      <c r="B9" s="1"/>
      <c r="C9" s="1"/>
      <c r="D9" s="7"/>
      <c r="E9" s="1"/>
      <c r="F9" s="1"/>
      <c r="G9" s="1"/>
      <c r="H9" s="1"/>
      <c r="I9" s="1"/>
    </row>
    <row r="10" spans="1:17" ht="16.2" thickBot="1" x14ac:dyDescent="0.35">
      <c r="A10" s="1"/>
      <c r="B10" s="53" t="s">
        <v>130</v>
      </c>
      <c r="C10" s="82" t="s">
        <v>135</v>
      </c>
      <c r="D10" s="54"/>
      <c r="E10" s="54"/>
      <c r="F10" s="55" t="s">
        <v>28</v>
      </c>
      <c r="G10" s="56">
        <v>45625</v>
      </c>
      <c r="H10" s="57"/>
      <c r="I10" s="1"/>
      <c r="J10" s="1"/>
      <c r="K10" s="1"/>
      <c r="L10" s="1"/>
      <c r="M10" s="1"/>
      <c r="N10" s="1"/>
      <c r="O10" s="1"/>
      <c r="P10" s="1"/>
      <c r="Q10" s="1"/>
    </row>
    <row r="11" spans="1:17" ht="17.399999999999999" thickBot="1" x14ac:dyDescent="0.45">
      <c r="A11" s="1"/>
      <c r="B11" s="58" t="s">
        <v>2</v>
      </c>
      <c r="C11" s="101" t="s">
        <v>136</v>
      </c>
      <c r="D11" s="59"/>
      <c r="E11" s="59"/>
      <c r="F11" s="59" t="s">
        <v>124</v>
      </c>
      <c r="G11" s="60">
        <v>45630</v>
      </c>
      <c r="H11" s="61"/>
      <c r="I11" s="1"/>
    </row>
    <row r="12" spans="1:17" ht="16.8" x14ac:dyDescent="0.4">
      <c r="A12" s="1"/>
      <c r="B12" s="62" t="s">
        <v>132</v>
      </c>
      <c r="C12" s="102"/>
      <c r="D12" s="42"/>
      <c r="E12" s="42"/>
      <c r="F12" s="42" t="s">
        <v>30</v>
      </c>
      <c r="G12" s="63"/>
      <c r="H12" s="64"/>
      <c r="I12" s="1"/>
    </row>
    <row r="13" spans="1:17" ht="15.6" x14ac:dyDescent="0.3">
      <c r="A13" s="1"/>
      <c r="B13" s="62" t="s">
        <v>133</v>
      </c>
      <c r="C13" t="s">
        <v>137</v>
      </c>
      <c r="D13" s="42"/>
      <c r="E13" s="42"/>
      <c r="F13" s="42" t="s">
        <v>129</v>
      </c>
      <c r="G13" s="63" t="s">
        <v>131</v>
      </c>
      <c r="H13" s="64"/>
      <c r="I13" s="1"/>
    </row>
    <row r="14" spans="1:17" ht="15.6" x14ac:dyDescent="0.3">
      <c r="A14" s="1"/>
      <c r="B14" s="58" t="s">
        <v>17</v>
      </c>
      <c r="C14" s="108" t="s">
        <v>138</v>
      </c>
      <c r="D14" s="65"/>
      <c r="E14" s="59"/>
      <c r="F14" s="59" t="s">
        <v>29</v>
      </c>
      <c r="G14" s="59" t="s">
        <v>134</v>
      </c>
      <c r="H14" s="61"/>
      <c r="I14" s="1"/>
    </row>
    <row r="15" spans="1:17" ht="15.6" x14ac:dyDescent="0.3">
      <c r="A15" s="1"/>
      <c r="B15" s="62" t="s">
        <v>1</v>
      </c>
      <c r="D15" s="42"/>
      <c r="E15" s="42"/>
      <c r="F15" s="66" t="s">
        <v>75</v>
      </c>
      <c r="G15" s="66" t="s">
        <v>127</v>
      </c>
      <c r="H15" s="64"/>
      <c r="I15" s="1"/>
    </row>
    <row r="16" spans="1:17" ht="16.2" thickBot="1" x14ac:dyDescent="0.35">
      <c r="A16" s="1"/>
      <c r="B16" s="67" t="s">
        <v>3</v>
      </c>
      <c r="C16" s="68" t="s">
        <v>139</v>
      </c>
      <c r="D16" s="68"/>
      <c r="E16" s="69"/>
      <c r="F16" s="109" t="s">
        <v>18</v>
      </c>
      <c r="G16" s="109"/>
      <c r="H16" s="110"/>
      <c r="I16" s="1"/>
    </row>
    <row r="17" spans="1:16" ht="15.6" x14ac:dyDescent="0.3">
      <c r="A17" s="1"/>
      <c r="B17" s="1"/>
      <c r="C17" s="1"/>
      <c r="D17" s="1"/>
      <c r="E17" s="1"/>
      <c r="F17" s="1"/>
      <c r="G17" s="1"/>
      <c r="H17" s="1"/>
      <c r="I17" s="1"/>
    </row>
    <row r="18" spans="1:16" ht="16.2" thickBot="1" x14ac:dyDescent="0.35">
      <c r="A18" s="1"/>
      <c r="B18" s="1"/>
      <c r="C18" s="1"/>
      <c r="D18" s="1"/>
      <c r="E18" s="1"/>
      <c r="F18" s="1"/>
      <c r="G18" s="1"/>
      <c r="H18" s="1"/>
      <c r="I18" s="1"/>
    </row>
    <row r="19" spans="1:16" ht="16.2" thickBot="1" x14ac:dyDescent="0.35">
      <c r="A19" s="1"/>
      <c r="B19" s="111" t="s">
        <v>19</v>
      </c>
      <c r="C19" s="112"/>
      <c r="D19" s="112"/>
      <c r="E19" s="112"/>
      <c r="F19" s="112"/>
      <c r="G19" s="112"/>
      <c r="H19" s="113"/>
      <c r="I19" s="1"/>
    </row>
    <row r="20" spans="1:16" ht="15.6" x14ac:dyDescent="0.3">
      <c r="A20" s="1"/>
      <c r="B20" s="124" t="s">
        <v>20</v>
      </c>
      <c r="C20" s="125" t="s">
        <v>21</v>
      </c>
      <c r="D20" s="125" t="s">
        <v>22</v>
      </c>
      <c r="E20" s="125" t="s">
        <v>8</v>
      </c>
      <c r="F20" s="126" t="s">
        <v>23</v>
      </c>
      <c r="G20" s="124" t="s">
        <v>24</v>
      </c>
      <c r="H20" s="126" t="s">
        <v>4</v>
      </c>
      <c r="I20" s="1"/>
    </row>
    <row r="21" spans="1:16" ht="18" customHeight="1" x14ac:dyDescent="0.3">
      <c r="A21" s="1"/>
      <c r="B21" s="127">
        <v>2</v>
      </c>
      <c r="C21" s="127" t="s">
        <v>147</v>
      </c>
      <c r="D21" s="128">
        <v>650</v>
      </c>
      <c r="E21" s="128">
        <v>100</v>
      </c>
      <c r="F21" s="127" t="s">
        <v>141</v>
      </c>
      <c r="G21" s="129">
        <v>44157</v>
      </c>
      <c r="H21" s="129">
        <f>G21*B21</f>
        <v>88314</v>
      </c>
      <c r="I21" s="1"/>
      <c r="K21" s="17"/>
      <c r="L21" s="26"/>
      <c r="M21" s="17"/>
      <c r="N21" s="17"/>
      <c r="O21" s="26"/>
      <c r="P21" s="33"/>
    </row>
    <row r="22" spans="1:16" ht="18" customHeight="1" x14ac:dyDescent="0.3">
      <c r="A22" s="1"/>
      <c r="B22" s="127">
        <v>1</v>
      </c>
      <c r="C22" s="131" t="s">
        <v>148</v>
      </c>
      <c r="D22" s="128">
        <v>3300</v>
      </c>
      <c r="E22" s="128">
        <v>100</v>
      </c>
      <c r="F22" s="127" t="s">
        <v>141</v>
      </c>
      <c r="G22" s="129">
        <v>44158</v>
      </c>
      <c r="H22" s="129">
        <f t="shared" ref="H22:H25" si="0">G22*B22</f>
        <v>44158</v>
      </c>
      <c r="I22" s="1"/>
      <c r="K22" s="17"/>
      <c r="L22" s="26"/>
      <c r="M22" s="17"/>
      <c r="N22" s="17"/>
      <c r="O22" s="26"/>
      <c r="P22" s="33"/>
    </row>
    <row r="23" spans="1:16" ht="18" customHeight="1" x14ac:dyDescent="0.3">
      <c r="A23" s="1"/>
      <c r="B23" s="127">
        <v>2</v>
      </c>
      <c r="C23" s="127" t="s">
        <v>149</v>
      </c>
      <c r="D23" s="128">
        <v>900</v>
      </c>
      <c r="E23" s="128">
        <v>550</v>
      </c>
      <c r="F23" s="127" t="s">
        <v>141</v>
      </c>
      <c r="G23" s="129">
        <v>44159</v>
      </c>
      <c r="H23" s="129">
        <f t="shared" si="0"/>
        <v>88318</v>
      </c>
      <c r="I23" s="1"/>
      <c r="K23" s="17"/>
      <c r="L23" s="26"/>
      <c r="M23" s="17"/>
      <c r="N23" s="17"/>
      <c r="O23" s="26"/>
      <c r="P23" s="33"/>
    </row>
    <row r="24" spans="1:16" ht="18" customHeight="1" x14ac:dyDescent="0.3">
      <c r="A24" s="1"/>
      <c r="B24" s="127">
        <v>2</v>
      </c>
      <c r="C24" s="127" t="s">
        <v>149</v>
      </c>
      <c r="D24" s="128">
        <v>900</v>
      </c>
      <c r="E24" s="128">
        <v>419</v>
      </c>
      <c r="F24" s="127" t="s">
        <v>141</v>
      </c>
      <c r="G24" s="129">
        <v>44160</v>
      </c>
      <c r="H24" s="129">
        <f t="shared" si="0"/>
        <v>88320</v>
      </c>
      <c r="I24" s="1"/>
      <c r="K24" s="17"/>
      <c r="L24" s="26"/>
      <c r="M24" s="17"/>
      <c r="N24" s="17"/>
      <c r="O24" s="26"/>
      <c r="P24" s="33"/>
    </row>
    <row r="25" spans="1:16" ht="18" customHeight="1" x14ac:dyDescent="0.3">
      <c r="A25" s="1"/>
      <c r="B25" s="127">
        <v>4</v>
      </c>
      <c r="C25" s="127" t="s">
        <v>149</v>
      </c>
      <c r="D25" s="128">
        <v>900</v>
      </c>
      <c r="E25" s="128">
        <v>548</v>
      </c>
      <c r="F25" s="127" t="s">
        <v>141</v>
      </c>
      <c r="G25" s="129">
        <v>44161</v>
      </c>
      <c r="H25" s="129">
        <f t="shared" si="0"/>
        <v>176644</v>
      </c>
      <c r="I25" s="1"/>
      <c r="K25" s="17"/>
      <c r="L25" s="26"/>
      <c r="M25" s="17"/>
      <c r="N25" s="17"/>
      <c r="O25" s="26"/>
      <c r="P25" s="33"/>
    </row>
    <row r="26" spans="1:16" ht="18" customHeight="1" x14ac:dyDescent="0.3">
      <c r="A26" s="1"/>
      <c r="B26" s="127">
        <v>1</v>
      </c>
      <c r="C26" s="130" t="s">
        <v>143</v>
      </c>
      <c r="D26" s="128">
        <v>900</v>
      </c>
      <c r="E26" s="128">
        <v>525</v>
      </c>
      <c r="F26" s="127" t="s">
        <v>142</v>
      </c>
      <c r="G26" s="129">
        <v>51658.8</v>
      </c>
      <c r="H26" s="129">
        <f t="shared" ref="H24:H30" si="1">G26*B26</f>
        <v>51658.8</v>
      </c>
      <c r="I26" s="1"/>
      <c r="K26" s="17"/>
      <c r="L26" s="26"/>
      <c r="M26" s="17"/>
      <c r="N26" s="17"/>
      <c r="O26" s="26"/>
      <c r="P26" s="33"/>
    </row>
    <row r="27" spans="1:16" ht="18" customHeight="1" x14ac:dyDescent="0.3">
      <c r="A27" s="1"/>
      <c r="B27" s="127">
        <v>5</v>
      </c>
      <c r="C27" s="130" t="s">
        <v>143</v>
      </c>
      <c r="D27" s="128">
        <v>900</v>
      </c>
      <c r="E27" s="128">
        <v>558</v>
      </c>
      <c r="F27" s="127" t="s">
        <v>142</v>
      </c>
      <c r="G27" s="129">
        <v>51659.8</v>
      </c>
      <c r="H27" s="129">
        <f t="shared" ref="H27:H29" si="2">G27*B27</f>
        <v>258299</v>
      </c>
      <c r="I27" s="1"/>
      <c r="K27" s="17"/>
      <c r="L27" s="26"/>
      <c r="M27" s="17"/>
      <c r="N27" s="17"/>
      <c r="O27" s="26"/>
      <c r="P27" s="33"/>
    </row>
    <row r="28" spans="1:16" ht="18" customHeight="1" x14ac:dyDescent="0.3">
      <c r="A28" s="1"/>
      <c r="B28" s="127">
        <v>2</v>
      </c>
      <c r="C28" s="130" t="s">
        <v>143</v>
      </c>
      <c r="D28" s="128">
        <v>900</v>
      </c>
      <c r="E28" s="128">
        <v>600</v>
      </c>
      <c r="F28" s="127" t="s">
        <v>142</v>
      </c>
      <c r="G28" s="129">
        <v>51660.800000000003</v>
      </c>
      <c r="H28" s="129">
        <f t="shared" si="2"/>
        <v>103321.60000000001</v>
      </c>
      <c r="I28" s="1"/>
      <c r="K28" s="17"/>
      <c r="L28" s="26"/>
      <c r="M28" s="17"/>
      <c r="N28" s="17"/>
      <c r="O28" s="26"/>
      <c r="P28" s="33"/>
    </row>
    <row r="29" spans="1:16" ht="18" customHeight="1" x14ac:dyDescent="0.3">
      <c r="A29" s="1"/>
      <c r="B29" s="127">
        <v>2</v>
      </c>
      <c r="C29" s="130" t="s">
        <v>143</v>
      </c>
      <c r="D29" s="128">
        <v>900</v>
      </c>
      <c r="E29" s="128">
        <v>120</v>
      </c>
      <c r="F29" s="127" t="s">
        <v>142</v>
      </c>
      <c r="G29" s="129">
        <v>51661.8</v>
      </c>
      <c r="H29" s="129">
        <f t="shared" si="2"/>
        <v>103323.6</v>
      </c>
      <c r="I29" s="1"/>
      <c r="K29" s="17"/>
      <c r="L29" s="26"/>
      <c r="M29" s="17"/>
      <c r="N29" s="17"/>
      <c r="O29" s="26"/>
      <c r="P29" s="33"/>
    </row>
    <row r="30" spans="1:16" ht="18" customHeight="1" x14ac:dyDescent="0.3">
      <c r="A30" s="1"/>
      <c r="B30" s="127">
        <v>1</v>
      </c>
      <c r="C30" s="127" t="s">
        <v>144</v>
      </c>
      <c r="D30" s="128">
        <v>3100</v>
      </c>
      <c r="E30" s="128">
        <v>750</v>
      </c>
      <c r="F30" s="127" t="s">
        <v>145</v>
      </c>
      <c r="G30" s="129">
        <v>350000</v>
      </c>
      <c r="H30" s="129">
        <f t="shared" si="1"/>
        <v>350000</v>
      </c>
      <c r="I30" s="1"/>
      <c r="K30" s="17"/>
      <c r="L30" s="26"/>
      <c r="M30" s="17"/>
      <c r="N30" s="17"/>
      <c r="O30" s="26"/>
      <c r="P30" s="33"/>
    </row>
    <row r="31" spans="1:16" ht="18" customHeight="1" x14ac:dyDescent="0.3">
      <c r="A31" s="1"/>
      <c r="B31" s="122"/>
      <c r="C31" s="122"/>
      <c r="D31" s="123"/>
      <c r="E31" s="123"/>
      <c r="F31" s="122"/>
      <c r="G31" s="71" t="s">
        <v>146</v>
      </c>
      <c r="H31" s="71">
        <v>-200357</v>
      </c>
      <c r="I31" s="1"/>
      <c r="K31" s="17"/>
      <c r="L31" s="26"/>
      <c r="M31" s="17"/>
      <c r="N31" s="17"/>
      <c r="O31" s="26"/>
      <c r="P31" s="33"/>
    </row>
    <row r="32" spans="1:16" ht="18" customHeight="1" x14ac:dyDescent="0.3">
      <c r="A32" s="1"/>
      <c r="B32" s="92"/>
      <c r="C32" s="92"/>
      <c r="D32" s="92"/>
      <c r="E32" s="92"/>
      <c r="F32" s="93"/>
      <c r="G32" s="94"/>
      <c r="H32" s="94"/>
      <c r="I32" s="1"/>
      <c r="K32" s="17"/>
      <c r="L32" s="26"/>
      <c r="M32" s="17"/>
      <c r="N32" s="17"/>
      <c r="O32" s="26"/>
      <c r="P32" s="33"/>
    </row>
    <row r="33" spans="1:9" ht="8.25" customHeight="1" thickBot="1" x14ac:dyDescent="0.35">
      <c r="A33" s="1"/>
      <c r="B33" s="70"/>
      <c r="C33" s="70"/>
      <c r="D33" s="70"/>
      <c r="E33" s="70"/>
      <c r="F33" s="70"/>
      <c r="G33" s="71"/>
      <c r="H33" s="71"/>
      <c r="I33" s="1"/>
    </row>
    <row r="34" spans="1:9" ht="15.6" x14ac:dyDescent="0.3">
      <c r="A34" s="1"/>
      <c r="B34" s="1"/>
      <c r="C34" s="1"/>
      <c r="D34" s="1"/>
      <c r="E34" s="1"/>
      <c r="F34" s="1"/>
      <c r="G34" s="72" t="s">
        <v>5</v>
      </c>
      <c r="H34" s="73">
        <f>SUM(H21:H33)</f>
        <v>1152000</v>
      </c>
      <c r="I34" s="1"/>
    </row>
    <row r="35" spans="1:9" ht="15.6" x14ac:dyDescent="0.3">
      <c r="A35" s="1"/>
      <c r="B35" s="1"/>
      <c r="C35" s="1"/>
      <c r="D35" s="1"/>
      <c r="E35" s="1"/>
      <c r="F35" s="1"/>
      <c r="G35" s="74" t="s">
        <v>6</v>
      </c>
      <c r="H35" s="75">
        <f>H34*19%</f>
        <v>218880</v>
      </c>
      <c r="I35" s="1"/>
    </row>
    <row r="36" spans="1:9" ht="16.2" thickBot="1" x14ac:dyDescent="0.35">
      <c r="A36" s="1"/>
      <c r="B36" s="1"/>
      <c r="C36" s="1"/>
      <c r="D36" s="1"/>
      <c r="E36" s="1"/>
      <c r="F36" s="1"/>
      <c r="G36" s="76" t="s">
        <v>4</v>
      </c>
      <c r="H36" s="77">
        <f>H34+H35</f>
        <v>1370880</v>
      </c>
      <c r="I36" s="100"/>
    </row>
    <row r="37" spans="1:9" ht="15.6" x14ac:dyDescent="0.3">
      <c r="A37" s="1"/>
      <c r="B37" s="1"/>
      <c r="C37" s="1"/>
      <c r="D37" s="1"/>
      <c r="E37" s="1"/>
      <c r="F37" s="1"/>
      <c r="G37" s="51"/>
      <c r="H37" s="95"/>
      <c r="I37" s="1"/>
    </row>
    <row r="38" spans="1:9" ht="15.6" x14ac:dyDescent="0.3">
      <c r="A38" s="1"/>
      <c r="B38" s="1"/>
      <c r="C38" s="1"/>
      <c r="D38" s="1"/>
      <c r="E38" s="1"/>
      <c r="F38" s="1"/>
      <c r="G38" s="1"/>
      <c r="H38" s="1"/>
      <c r="I38" s="1"/>
    </row>
    <row r="39" spans="1:9" ht="15.6" x14ac:dyDescent="0.3">
      <c r="A39" s="1"/>
      <c r="B39" s="78" t="s">
        <v>123</v>
      </c>
      <c r="C39" s="79"/>
      <c r="D39" s="80"/>
      <c r="E39" s="80"/>
      <c r="F39" s="70"/>
      <c r="G39" s="1"/>
      <c r="H39" s="1"/>
      <c r="I39" s="1"/>
    </row>
    <row r="40" spans="1:9" ht="15.6" x14ac:dyDescent="0.3">
      <c r="A40" s="1"/>
      <c r="B40" s="78" t="s">
        <v>122</v>
      </c>
      <c r="C40" s="79"/>
      <c r="D40" s="80"/>
      <c r="E40" s="80"/>
      <c r="F40" s="70"/>
      <c r="G40" s="1"/>
      <c r="H40" s="1"/>
      <c r="I40" s="1"/>
    </row>
    <row r="41" spans="1:9" ht="15.6" x14ac:dyDescent="0.3">
      <c r="A41" s="1"/>
      <c r="B41" s="1" t="s">
        <v>25</v>
      </c>
      <c r="C41" s="1"/>
      <c r="D41" s="1"/>
      <c r="E41" s="81" t="s">
        <v>26</v>
      </c>
      <c r="F41" s="1"/>
      <c r="G41" s="1"/>
      <c r="H41" s="1"/>
      <c r="I41" s="1"/>
    </row>
    <row r="42" spans="1:9" ht="15.6" x14ac:dyDescent="0.3">
      <c r="A42" s="1"/>
      <c r="B42" s="1"/>
      <c r="C42" s="1"/>
      <c r="D42" s="1"/>
      <c r="E42" s="1"/>
      <c r="F42" s="1"/>
      <c r="G42" s="1"/>
      <c r="H42" s="1"/>
      <c r="I42" s="1"/>
    </row>
    <row r="43" spans="1:9" ht="15.6" x14ac:dyDescent="0.3">
      <c r="A43" s="1"/>
      <c r="B43" s="1"/>
      <c r="C43" s="1"/>
      <c r="D43" s="1"/>
      <c r="E43" s="1"/>
      <c r="F43" s="1"/>
      <c r="G43" s="1"/>
      <c r="H43" s="1"/>
      <c r="I43" s="1"/>
    </row>
  </sheetData>
  <sortState xmlns:xlrd2="http://schemas.microsoft.com/office/spreadsheetml/2017/richdata2" ref="B45">
    <sortCondition sortBy="fontColor" ref="B45" dxfId="0"/>
  </sortState>
  <mergeCells count="2">
    <mergeCell ref="F16:H16"/>
    <mergeCell ref="B19:H19"/>
  </mergeCells>
  <phoneticPr fontId="10" type="noConversion"/>
  <hyperlinks>
    <hyperlink ref="E41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69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14" t="s">
        <v>31</v>
      </c>
      <c r="C2" s="114"/>
      <c r="D2" s="114"/>
      <c r="E2" s="18"/>
      <c r="G2" s="114" t="s">
        <v>70</v>
      </c>
      <c r="H2" s="114"/>
      <c r="I2" s="114"/>
      <c r="P2" s="115" t="s">
        <v>58</v>
      </c>
      <c r="Q2" s="115"/>
      <c r="R2" s="115"/>
    </row>
    <row r="3" spans="2:18" x14ac:dyDescent="0.3">
      <c r="B3" s="11" t="s">
        <v>7</v>
      </c>
      <c r="C3" s="11" t="s">
        <v>8</v>
      </c>
      <c r="D3" s="11" t="s">
        <v>21</v>
      </c>
      <c r="E3" s="19"/>
      <c r="G3" s="11" t="s">
        <v>7</v>
      </c>
      <c r="H3" s="11" t="s">
        <v>8</v>
      </c>
      <c r="I3" s="11" t="s">
        <v>21</v>
      </c>
      <c r="P3" s="11" t="s">
        <v>7</v>
      </c>
      <c r="Q3" s="11" t="s">
        <v>8</v>
      </c>
      <c r="R3" s="11" t="s">
        <v>21</v>
      </c>
    </row>
    <row r="4" spans="2:18" x14ac:dyDescent="0.3">
      <c r="B4" s="9">
        <v>40</v>
      </c>
      <c r="C4" s="9">
        <v>60</v>
      </c>
      <c r="D4" s="10" t="s">
        <v>113</v>
      </c>
      <c r="E4" s="8" t="s">
        <v>101</v>
      </c>
      <c r="G4" s="29">
        <v>50</v>
      </c>
      <c r="H4" s="29">
        <v>100</v>
      </c>
      <c r="I4" s="30" t="s">
        <v>113</v>
      </c>
      <c r="J4" s="31" t="s">
        <v>109</v>
      </c>
      <c r="K4" s="31"/>
      <c r="L4" s="31"/>
      <c r="M4" s="31"/>
      <c r="P4">
        <v>50</v>
      </c>
      <c r="Q4">
        <v>-30</v>
      </c>
      <c r="R4" t="s">
        <v>32</v>
      </c>
    </row>
    <row r="5" spans="2:18" x14ac:dyDescent="0.3">
      <c r="B5" s="9">
        <v>40</v>
      </c>
      <c r="C5" s="9">
        <v>90</v>
      </c>
      <c r="D5" s="10" t="s">
        <v>114</v>
      </c>
      <c r="E5" s="8" t="s">
        <v>102</v>
      </c>
      <c r="G5" s="29">
        <v>50</v>
      </c>
      <c r="H5" s="29"/>
      <c r="I5" s="30" t="s">
        <v>115</v>
      </c>
      <c r="J5" s="31" t="s">
        <v>117</v>
      </c>
      <c r="K5" s="31"/>
      <c r="L5" s="31"/>
      <c r="M5" s="31"/>
      <c r="P5">
        <v>50</v>
      </c>
      <c r="Q5">
        <v>-30</v>
      </c>
      <c r="R5" t="s">
        <v>32</v>
      </c>
    </row>
    <row r="6" spans="2:18" x14ac:dyDescent="0.3">
      <c r="B6" s="9">
        <v>40</v>
      </c>
      <c r="C6" s="9">
        <v>100</v>
      </c>
      <c r="D6" s="10" t="s">
        <v>56</v>
      </c>
      <c r="E6" s="8" t="s">
        <v>103</v>
      </c>
      <c r="G6" s="9">
        <v>50</v>
      </c>
      <c r="H6" s="9">
        <v>100</v>
      </c>
      <c r="I6" s="10" t="s">
        <v>56</v>
      </c>
      <c r="P6">
        <v>50</v>
      </c>
      <c r="Q6">
        <v>-30</v>
      </c>
      <c r="R6" t="s">
        <v>34</v>
      </c>
    </row>
    <row r="7" spans="2:18" x14ac:dyDescent="0.3">
      <c r="B7" s="9">
        <v>40</v>
      </c>
      <c r="C7" s="9">
        <v>150</v>
      </c>
      <c r="D7" s="10" t="s">
        <v>57</v>
      </c>
      <c r="E7" s="8" t="s">
        <v>104</v>
      </c>
      <c r="G7" s="9">
        <v>50</v>
      </c>
      <c r="H7" s="9"/>
      <c r="I7" s="10" t="s">
        <v>57</v>
      </c>
      <c r="P7">
        <v>50</v>
      </c>
      <c r="Q7">
        <v>-30</v>
      </c>
      <c r="R7" t="s">
        <v>44</v>
      </c>
    </row>
    <row r="8" spans="2:18" x14ac:dyDescent="0.3">
      <c r="B8" s="9">
        <v>40</v>
      </c>
      <c r="C8" s="9">
        <v>100</v>
      </c>
      <c r="D8" s="10" t="s">
        <v>40</v>
      </c>
      <c r="E8" s="8" t="s">
        <v>105</v>
      </c>
      <c r="G8" s="9">
        <v>50</v>
      </c>
      <c r="H8" s="9">
        <v>100</v>
      </c>
      <c r="I8" s="10" t="s">
        <v>40</v>
      </c>
      <c r="L8" s="115" t="s">
        <v>58</v>
      </c>
      <c r="M8" s="115"/>
      <c r="N8" s="115"/>
      <c r="P8">
        <v>50</v>
      </c>
      <c r="Q8">
        <v>-30</v>
      </c>
      <c r="R8" t="s">
        <v>50</v>
      </c>
    </row>
    <row r="9" spans="2:18" x14ac:dyDescent="0.3">
      <c r="B9" s="9">
        <v>40</v>
      </c>
      <c r="C9" s="9">
        <v>50</v>
      </c>
      <c r="D9" s="10" t="s">
        <v>54</v>
      </c>
      <c r="E9" s="8" t="s">
        <v>76</v>
      </c>
      <c r="G9" s="9">
        <v>50</v>
      </c>
      <c r="H9" s="9">
        <v>100</v>
      </c>
      <c r="I9" s="10" t="s">
        <v>39</v>
      </c>
      <c r="L9" s="11" t="s">
        <v>7</v>
      </c>
      <c r="M9" s="11" t="s">
        <v>8</v>
      </c>
      <c r="N9" s="11" t="s">
        <v>21</v>
      </c>
      <c r="P9">
        <v>50</v>
      </c>
      <c r="Q9">
        <v>0</v>
      </c>
      <c r="R9" t="s">
        <v>45</v>
      </c>
    </row>
    <row r="10" spans="2:18" x14ac:dyDescent="0.3">
      <c r="B10" s="9">
        <v>40</v>
      </c>
      <c r="C10" s="9">
        <v>80</v>
      </c>
      <c r="D10" s="10" t="s">
        <v>55</v>
      </c>
      <c r="E10" s="8" t="s">
        <v>77</v>
      </c>
      <c r="G10" s="9">
        <v>50</v>
      </c>
      <c r="H10" s="9"/>
      <c r="I10" s="10" t="s">
        <v>41</v>
      </c>
      <c r="L10" s="9">
        <v>50</v>
      </c>
      <c r="M10" s="9">
        <v>-30</v>
      </c>
      <c r="N10" s="10" t="s">
        <v>32</v>
      </c>
      <c r="P10">
        <v>50</v>
      </c>
      <c r="Q10">
        <v>0</v>
      </c>
      <c r="R10" t="s">
        <v>33</v>
      </c>
    </row>
    <row r="11" spans="2:18" x14ac:dyDescent="0.3">
      <c r="B11" s="9">
        <v>40</v>
      </c>
      <c r="C11" s="9">
        <v>60</v>
      </c>
      <c r="D11" s="10" t="s">
        <v>71</v>
      </c>
      <c r="E11" s="8" t="s">
        <v>78</v>
      </c>
      <c r="G11" s="9">
        <v>50</v>
      </c>
      <c r="H11" s="9">
        <v>100</v>
      </c>
      <c r="I11" s="10" t="s">
        <v>54</v>
      </c>
      <c r="L11" s="9">
        <v>50</v>
      </c>
      <c r="M11" s="9">
        <v>0</v>
      </c>
      <c r="N11" s="10" t="s">
        <v>59</v>
      </c>
      <c r="P11">
        <v>50</v>
      </c>
      <c r="Q11">
        <v>0</v>
      </c>
      <c r="R11" t="s">
        <v>36</v>
      </c>
    </row>
    <row r="12" spans="2:18" x14ac:dyDescent="0.3">
      <c r="B12" s="9">
        <v>40</v>
      </c>
      <c r="C12" s="9">
        <v>100</v>
      </c>
      <c r="D12" s="10" t="s">
        <v>72</v>
      </c>
      <c r="E12" s="8" t="s">
        <v>79</v>
      </c>
      <c r="G12" s="9">
        <v>50</v>
      </c>
      <c r="H12" s="9"/>
      <c r="I12" s="10" t="s">
        <v>55</v>
      </c>
      <c r="L12" s="9">
        <v>50</v>
      </c>
      <c r="M12" s="9">
        <v>-2</v>
      </c>
      <c r="N12" s="10" t="s">
        <v>60</v>
      </c>
      <c r="P12">
        <v>50</v>
      </c>
      <c r="Q12">
        <v>0</v>
      </c>
      <c r="R12" t="s">
        <v>37</v>
      </c>
    </row>
    <row r="13" spans="2:18" x14ac:dyDescent="0.3">
      <c r="B13" s="9">
        <v>40</v>
      </c>
      <c r="C13" s="9">
        <v>130</v>
      </c>
      <c r="D13" s="10" t="s">
        <v>128</v>
      </c>
      <c r="E13" s="8" t="s">
        <v>80</v>
      </c>
      <c r="G13" s="9">
        <v>50</v>
      </c>
      <c r="H13" s="9">
        <v>-30</v>
      </c>
      <c r="I13" s="10" t="s">
        <v>32</v>
      </c>
      <c r="P13">
        <v>50</v>
      </c>
      <c r="Q13">
        <v>0</v>
      </c>
      <c r="R13" t="s">
        <v>38</v>
      </c>
    </row>
    <row r="14" spans="2:18" x14ac:dyDescent="0.3">
      <c r="B14" s="9">
        <v>40</v>
      </c>
      <c r="C14" s="9">
        <v>150</v>
      </c>
      <c r="D14" s="10" t="s">
        <v>34</v>
      </c>
      <c r="E14" s="8"/>
      <c r="G14" s="9">
        <v>50</v>
      </c>
      <c r="H14" s="9">
        <v>-30</v>
      </c>
      <c r="I14" s="10" t="s">
        <v>34</v>
      </c>
    </row>
    <row r="15" spans="2:18" x14ac:dyDescent="0.3">
      <c r="B15" s="9">
        <v>40</v>
      </c>
      <c r="C15" s="9">
        <v>150</v>
      </c>
      <c r="D15" s="10" t="s">
        <v>116</v>
      </c>
      <c r="E15" s="8" t="s">
        <v>81</v>
      </c>
      <c r="G15" s="9">
        <v>50</v>
      </c>
      <c r="H15" s="9">
        <v>-30</v>
      </c>
      <c r="I15" s="10" t="s">
        <v>44</v>
      </c>
      <c r="P15">
        <v>50</v>
      </c>
      <c r="Q15">
        <v>0</v>
      </c>
      <c r="R15" t="s">
        <v>35</v>
      </c>
    </row>
    <row r="16" spans="2:18" x14ac:dyDescent="0.3">
      <c r="B16" s="9">
        <v>40</v>
      </c>
      <c r="C16" s="9">
        <v>130</v>
      </c>
      <c r="D16" s="10" t="s">
        <v>106</v>
      </c>
      <c r="E16" s="8" t="s">
        <v>82</v>
      </c>
      <c r="G16" s="9">
        <v>50</v>
      </c>
      <c r="H16" s="9">
        <v>-30</v>
      </c>
      <c r="I16" s="10" t="s">
        <v>74</v>
      </c>
      <c r="P16">
        <v>50</v>
      </c>
      <c r="Q16">
        <v>0</v>
      </c>
      <c r="R16" t="s">
        <v>46</v>
      </c>
    </row>
    <row r="17" spans="2:18" x14ac:dyDescent="0.3">
      <c r="B17" s="9">
        <v>40</v>
      </c>
      <c r="C17" s="9">
        <v>150</v>
      </c>
      <c r="D17" s="10" t="s">
        <v>36</v>
      </c>
      <c r="E17" s="8" t="s">
        <v>83</v>
      </c>
      <c r="G17" s="9">
        <v>50</v>
      </c>
      <c r="H17" s="9"/>
      <c r="I17" s="10" t="s">
        <v>36</v>
      </c>
      <c r="P17">
        <v>50</v>
      </c>
      <c r="Q17">
        <v>0</v>
      </c>
      <c r="R17" t="s">
        <v>47</v>
      </c>
    </row>
    <row r="18" spans="2:18" x14ac:dyDescent="0.3">
      <c r="B18" s="9">
        <v>140</v>
      </c>
      <c r="C18" s="9">
        <v>150</v>
      </c>
      <c r="D18" s="10" t="s">
        <v>37</v>
      </c>
      <c r="E18" s="8" t="s">
        <v>84</v>
      </c>
      <c r="G18" s="9">
        <v>50</v>
      </c>
      <c r="H18" s="9"/>
      <c r="I18" s="10" t="s">
        <v>37</v>
      </c>
      <c r="P18">
        <v>50</v>
      </c>
      <c r="Q18">
        <v>0</v>
      </c>
      <c r="R18" t="s">
        <v>48</v>
      </c>
    </row>
    <row r="19" spans="2:18" x14ac:dyDescent="0.3">
      <c r="B19" s="9">
        <v>150</v>
      </c>
      <c r="C19" s="9">
        <v>150</v>
      </c>
      <c r="D19" s="10" t="s">
        <v>38</v>
      </c>
      <c r="E19" s="8" t="s">
        <v>85</v>
      </c>
      <c r="G19" s="9">
        <v>50</v>
      </c>
      <c r="H19" s="9"/>
      <c r="I19" s="10" t="s">
        <v>38</v>
      </c>
      <c r="P19">
        <v>50</v>
      </c>
      <c r="Q19">
        <v>0</v>
      </c>
      <c r="R19" t="s">
        <v>51</v>
      </c>
    </row>
    <row r="20" spans="2:18" x14ac:dyDescent="0.3">
      <c r="B20" s="9">
        <v>40</v>
      </c>
      <c r="C20" s="9">
        <v>100</v>
      </c>
      <c r="D20" s="10" t="s">
        <v>118</v>
      </c>
      <c r="E20" s="8" t="s">
        <v>86</v>
      </c>
      <c r="G20" s="9">
        <v>50</v>
      </c>
      <c r="H20" s="9">
        <v>0</v>
      </c>
      <c r="I20" s="10" t="s">
        <v>118</v>
      </c>
      <c r="J20" s="31" t="s">
        <v>111</v>
      </c>
      <c r="K20" s="31"/>
      <c r="L20" s="31"/>
      <c r="M20" s="31"/>
      <c r="P20">
        <v>50</v>
      </c>
      <c r="Q20">
        <v>0</v>
      </c>
      <c r="R20" t="s">
        <v>52</v>
      </c>
    </row>
    <row r="21" spans="2:18" x14ac:dyDescent="0.3">
      <c r="B21" s="9">
        <v>100</v>
      </c>
      <c r="C21" s="9">
        <v>100</v>
      </c>
      <c r="D21" s="10" t="s">
        <v>112</v>
      </c>
      <c r="E21" s="8" t="s">
        <v>87</v>
      </c>
      <c r="G21" s="9">
        <v>50</v>
      </c>
      <c r="H21" s="9">
        <v>0</v>
      </c>
      <c r="I21" s="10" t="s">
        <v>112</v>
      </c>
      <c r="P21">
        <v>50</v>
      </c>
      <c r="Q21">
        <v>0</v>
      </c>
      <c r="R21" t="s">
        <v>53</v>
      </c>
    </row>
    <row r="22" spans="2:18" x14ac:dyDescent="0.3">
      <c r="B22" s="9">
        <v>100</v>
      </c>
      <c r="C22" s="9">
        <v>100</v>
      </c>
      <c r="D22" s="10" t="s">
        <v>35</v>
      </c>
      <c r="E22" s="8" t="s">
        <v>88</v>
      </c>
      <c r="G22" s="29"/>
      <c r="H22" s="29"/>
      <c r="I22" s="30" t="s">
        <v>35</v>
      </c>
      <c r="P22">
        <v>50</v>
      </c>
      <c r="Q22">
        <v>0</v>
      </c>
      <c r="R22" t="s">
        <v>49</v>
      </c>
    </row>
    <row r="23" spans="2:18" x14ac:dyDescent="0.3">
      <c r="B23" s="9">
        <v>40</v>
      </c>
      <c r="C23" s="9">
        <v>150</v>
      </c>
      <c r="D23" s="10" t="s">
        <v>46</v>
      </c>
      <c r="E23" s="8" t="s">
        <v>89</v>
      </c>
      <c r="G23" s="9">
        <v>50</v>
      </c>
      <c r="H23" s="9"/>
      <c r="I23" s="10" t="s">
        <v>46</v>
      </c>
      <c r="R23" t="s">
        <v>42</v>
      </c>
    </row>
    <row r="24" spans="2:18" x14ac:dyDescent="0.3">
      <c r="B24" s="9">
        <v>140</v>
      </c>
      <c r="C24" s="9">
        <v>150</v>
      </c>
      <c r="D24" s="10" t="s">
        <v>47</v>
      </c>
      <c r="E24" s="8" t="s">
        <v>90</v>
      </c>
      <c r="G24" s="9">
        <v>50</v>
      </c>
      <c r="H24" s="9"/>
      <c r="I24" s="10" t="s">
        <v>47</v>
      </c>
      <c r="R24" t="s">
        <v>43</v>
      </c>
    </row>
    <row r="25" spans="2:18" x14ac:dyDescent="0.3">
      <c r="B25" s="9">
        <v>150</v>
      </c>
      <c r="C25" s="9">
        <v>150</v>
      </c>
      <c r="D25" s="10" t="s">
        <v>48</v>
      </c>
      <c r="E25" s="8" t="s">
        <v>91</v>
      </c>
      <c r="G25" s="9">
        <v>50</v>
      </c>
      <c r="H25" s="9"/>
      <c r="I25" s="10" t="s">
        <v>48</v>
      </c>
      <c r="R25" t="s">
        <v>56</v>
      </c>
    </row>
    <row r="26" spans="2:18" x14ac:dyDescent="0.3">
      <c r="B26" s="9">
        <v>40</v>
      </c>
      <c r="C26" s="9">
        <v>77</v>
      </c>
      <c r="D26" s="10" t="s">
        <v>51</v>
      </c>
      <c r="E26" s="8" t="s">
        <v>92</v>
      </c>
      <c r="G26" s="9">
        <v>50</v>
      </c>
      <c r="H26" s="9"/>
      <c r="I26" s="10" t="s">
        <v>51</v>
      </c>
      <c r="R26" t="s">
        <v>57</v>
      </c>
    </row>
    <row r="27" spans="2:18" x14ac:dyDescent="0.3">
      <c r="B27" s="9">
        <v>110</v>
      </c>
      <c r="C27" s="9">
        <v>77</v>
      </c>
      <c r="D27" s="10" t="s">
        <v>52</v>
      </c>
      <c r="E27" s="8" t="s">
        <v>93</v>
      </c>
      <c r="G27" s="9">
        <v>50</v>
      </c>
      <c r="H27" s="9"/>
      <c r="I27" s="10" t="s">
        <v>52</v>
      </c>
      <c r="R27" t="s">
        <v>40</v>
      </c>
    </row>
    <row r="28" spans="2:18" x14ac:dyDescent="0.3">
      <c r="B28" s="9">
        <v>120</v>
      </c>
      <c r="C28" s="9">
        <v>77</v>
      </c>
      <c r="D28" s="10" t="s">
        <v>53</v>
      </c>
      <c r="E28" s="8" t="s">
        <v>94</v>
      </c>
      <c r="G28" s="9">
        <v>50</v>
      </c>
      <c r="H28" s="9"/>
      <c r="I28" s="10" t="s">
        <v>53</v>
      </c>
      <c r="R28" t="s">
        <v>39</v>
      </c>
    </row>
    <row r="29" spans="2:18" x14ac:dyDescent="0.3">
      <c r="B29" s="9">
        <v>40</v>
      </c>
      <c r="C29" s="9">
        <v>50</v>
      </c>
      <c r="D29" s="10" t="s">
        <v>49</v>
      </c>
      <c r="E29" s="8" t="s">
        <v>95</v>
      </c>
      <c r="G29" s="9">
        <v>50</v>
      </c>
      <c r="H29" s="9"/>
      <c r="I29" s="10" t="s">
        <v>49</v>
      </c>
      <c r="R29" t="s">
        <v>41</v>
      </c>
    </row>
    <row r="30" spans="2:18" x14ac:dyDescent="0.3">
      <c r="B30" s="9">
        <v>40</v>
      </c>
      <c r="C30" s="9">
        <v>60</v>
      </c>
      <c r="D30" s="10" t="s">
        <v>73</v>
      </c>
      <c r="E30" s="8" t="s">
        <v>96</v>
      </c>
      <c r="G30" s="9">
        <v>50</v>
      </c>
      <c r="H30" s="9"/>
      <c r="I30" s="10" t="s">
        <v>33</v>
      </c>
      <c r="R30" t="s">
        <v>54</v>
      </c>
    </row>
    <row r="31" spans="2:18" x14ac:dyDescent="0.3">
      <c r="B31" s="9">
        <v>40</v>
      </c>
      <c r="C31" s="9">
        <v>100</v>
      </c>
      <c r="D31" s="10" t="s">
        <v>45</v>
      </c>
      <c r="E31" s="8" t="s">
        <v>97</v>
      </c>
      <c r="G31" s="9">
        <v>50</v>
      </c>
      <c r="H31" s="9"/>
      <c r="I31" s="10" t="s">
        <v>45</v>
      </c>
      <c r="R31" t="s">
        <v>55</v>
      </c>
    </row>
    <row r="32" spans="2:18" x14ac:dyDescent="0.3">
      <c r="B32" s="9">
        <v>40</v>
      </c>
      <c r="C32" s="9">
        <v>60</v>
      </c>
      <c r="D32" s="10" t="s">
        <v>108</v>
      </c>
      <c r="E32" s="8" t="s">
        <v>98</v>
      </c>
      <c r="G32" s="9">
        <v>50</v>
      </c>
      <c r="H32" s="9"/>
      <c r="I32" s="10" t="s">
        <v>108</v>
      </c>
      <c r="R32" t="s">
        <v>62</v>
      </c>
    </row>
    <row r="33" spans="2:18" x14ac:dyDescent="0.3">
      <c r="B33" s="9">
        <v>40</v>
      </c>
      <c r="C33" s="9">
        <v>90</v>
      </c>
      <c r="D33" s="10" t="s">
        <v>65</v>
      </c>
      <c r="E33" s="8" t="s">
        <v>99</v>
      </c>
      <c r="G33" s="9">
        <v>50</v>
      </c>
      <c r="H33" s="9">
        <v>-2</v>
      </c>
      <c r="I33" s="10" t="s">
        <v>65</v>
      </c>
      <c r="R33" t="s">
        <v>63</v>
      </c>
    </row>
    <row r="34" spans="2:18" x14ac:dyDescent="0.3">
      <c r="B34" s="9">
        <v>40</v>
      </c>
      <c r="C34" s="9">
        <v>90</v>
      </c>
      <c r="D34" s="10" t="s">
        <v>66</v>
      </c>
      <c r="E34" s="8"/>
      <c r="G34" s="9">
        <v>50</v>
      </c>
      <c r="H34" s="9">
        <v>-2</v>
      </c>
      <c r="I34" s="10" t="s">
        <v>66</v>
      </c>
    </row>
    <row r="35" spans="2:18" x14ac:dyDescent="0.3">
      <c r="B35" s="9">
        <v>40</v>
      </c>
      <c r="C35" s="9">
        <v>90</v>
      </c>
      <c r="D35" s="10" t="s">
        <v>62</v>
      </c>
      <c r="E35" s="8" t="s">
        <v>100</v>
      </c>
      <c r="G35" s="9">
        <v>50</v>
      </c>
      <c r="H35" s="9">
        <v>-2</v>
      </c>
      <c r="I35" s="10" t="s">
        <v>62</v>
      </c>
      <c r="R35" t="s">
        <v>64</v>
      </c>
    </row>
    <row r="36" spans="2:18" x14ac:dyDescent="0.3">
      <c r="B36" s="27">
        <v>40</v>
      </c>
      <c r="C36" s="27">
        <v>90</v>
      </c>
      <c r="D36" s="28" t="s">
        <v>63</v>
      </c>
      <c r="G36" s="9">
        <v>50</v>
      </c>
      <c r="H36" s="9">
        <v>-2</v>
      </c>
      <c r="I36" s="10" t="s">
        <v>63</v>
      </c>
      <c r="R36" t="s">
        <v>65</v>
      </c>
    </row>
    <row r="37" spans="2:18" x14ac:dyDescent="0.3">
      <c r="B37" s="27">
        <v>40</v>
      </c>
      <c r="C37" s="27">
        <v>90</v>
      </c>
      <c r="D37" s="28" t="s">
        <v>64</v>
      </c>
      <c r="G37" s="9">
        <v>50</v>
      </c>
      <c r="H37" s="9">
        <v>-2</v>
      </c>
      <c r="I37" s="10" t="s">
        <v>64</v>
      </c>
      <c r="R37" t="s">
        <v>66</v>
      </c>
    </row>
    <row r="48" spans="2:18" x14ac:dyDescent="0.3">
      <c r="B48" s="9">
        <v>40</v>
      </c>
      <c r="C48" s="9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102"/>
  <sheetViews>
    <sheetView tabSelected="1" zoomScaleNormal="100" workbookViewId="0">
      <selection sqref="A1:F67"/>
    </sheetView>
  </sheetViews>
  <sheetFormatPr baseColWidth="10" defaultRowHeight="14.4" x14ac:dyDescent="0.3"/>
  <cols>
    <col min="1" max="1" width="10.554687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"/>
      <c r="B1" s="1"/>
      <c r="C1" s="1"/>
      <c r="D1" s="1"/>
      <c r="E1" s="1"/>
      <c r="F1" s="1"/>
      <c r="G1" s="1"/>
    </row>
    <row r="2" spans="1:14" ht="16.5" customHeight="1" x14ac:dyDescent="0.3">
      <c r="A2" s="1"/>
      <c r="B2" s="1"/>
      <c r="C2" s="1"/>
      <c r="D2" s="1"/>
      <c r="E2" s="1"/>
      <c r="F2" s="1"/>
      <c r="G2" s="1"/>
      <c r="K2" s="34" t="s">
        <v>126</v>
      </c>
      <c r="L2" s="34"/>
      <c r="M2" s="34"/>
    </row>
    <row r="3" spans="1:14" ht="15.6" x14ac:dyDescent="0.3">
      <c r="A3" s="1"/>
      <c r="B3" s="1"/>
      <c r="C3" s="1"/>
      <c r="D3" s="1"/>
      <c r="E3" s="1"/>
      <c r="F3" s="1"/>
      <c r="G3" s="1"/>
      <c r="K3" s="116" t="s">
        <v>61</v>
      </c>
      <c r="L3" s="116"/>
      <c r="M3" s="116" t="s">
        <v>14</v>
      </c>
      <c r="N3" s="116"/>
    </row>
    <row r="4" spans="1:14" ht="15.75" customHeight="1" x14ac:dyDescent="0.3">
      <c r="A4" s="1"/>
      <c r="B4" s="1"/>
      <c r="C4" s="39" t="s">
        <v>27</v>
      </c>
      <c r="D4" s="14">
        <f>'4637'!G8</f>
        <v>7132</v>
      </c>
      <c r="E4" s="1"/>
      <c r="F4" s="1"/>
      <c r="G4" s="1"/>
      <c r="K4" t="s">
        <v>7</v>
      </c>
      <c r="L4" t="s">
        <v>8</v>
      </c>
      <c r="M4" t="s">
        <v>7</v>
      </c>
      <c r="N4" t="s">
        <v>8</v>
      </c>
    </row>
    <row r="5" spans="1:14" ht="18" customHeight="1" x14ac:dyDescent="0.3">
      <c r="A5" s="1"/>
      <c r="B5" s="1"/>
      <c r="C5" s="40" t="s">
        <v>67</v>
      </c>
      <c r="D5" s="41" t="str">
        <f>'4637'!C10</f>
        <v>ESTRUCTURAS VINET SPA</v>
      </c>
      <c r="E5" s="42"/>
      <c r="F5" s="42"/>
      <c r="G5" s="1"/>
      <c r="K5" t="e">
        <f>LOOKUP(#REF!,REGLAS!$I$4:$I$37,REGLAS!$G$4:$G$37)+#REF!</f>
        <v>#REF!</v>
      </c>
      <c r="L5" t="e">
        <f>LOOKUP(#REF!,REGLAS!$I$4:$I$37,REGLAS!$H$4:$H$37)+#REF!</f>
        <v>#REF!</v>
      </c>
      <c r="M5" t="e">
        <f>LOOKUP(#REF!,REGLAS!$D$4:$D$37,REGLAS!$B$4:$B$37)+#REF!</f>
        <v>#REF!</v>
      </c>
      <c r="N5" t="e">
        <f>LOOKUP(#REF!,REGLAS!$D$4:$D$37,REGLAS!$C$4:$C$37)+#REF!</f>
        <v>#REF!</v>
      </c>
    </row>
    <row r="6" spans="1:14" ht="4.5" customHeight="1" x14ac:dyDescent="0.3">
      <c r="A6" s="1"/>
      <c r="B6" s="1"/>
      <c r="C6" s="43"/>
      <c r="D6" s="44"/>
      <c r="E6" s="1"/>
      <c r="F6" s="1"/>
      <c r="G6" s="1"/>
    </row>
    <row r="7" spans="1:14" ht="15.6" x14ac:dyDescent="0.3">
      <c r="A7" s="1"/>
      <c r="B7" s="1"/>
      <c r="C7" s="83" t="str">
        <f>'4637'!F11</f>
        <v>FECHA LIMITE :</v>
      </c>
      <c r="D7" s="13">
        <f>'4637'!G11</f>
        <v>45630</v>
      </c>
      <c r="E7" s="1"/>
      <c r="F7" s="1"/>
      <c r="G7" s="1"/>
    </row>
    <row r="8" spans="1:14" ht="15.6" x14ac:dyDescent="0.3">
      <c r="A8" s="1"/>
      <c r="B8" s="1"/>
      <c r="C8" s="52" t="s">
        <v>125</v>
      </c>
      <c r="D8" s="1"/>
      <c r="E8" s="1"/>
      <c r="F8" s="1"/>
      <c r="G8" s="1"/>
    </row>
    <row r="9" spans="1:14" ht="15.6" x14ac:dyDescent="0.3">
      <c r="A9" s="1"/>
      <c r="B9" s="1"/>
      <c r="C9" s="1"/>
      <c r="D9" s="1"/>
      <c r="E9" s="1"/>
      <c r="F9" s="1"/>
      <c r="G9" s="1"/>
    </row>
    <row r="10" spans="1:14" ht="15" customHeight="1" x14ac:dyDescent="0.3">
      <c r="A10" s="117" t="s">
        <v>61</v>
      </c>
      <c r="B10" s="117"/>
      <c r="C10" s="117"/>
      <c r="D10" s="117"/>
      <c r="E10" s="117"/>
      <c r="F10" s="117"/>
      <c r="G10" s="1"/>
    </row>
    <row r="11" spans="1:14" ht="15.6" x14ac:dyDescent="0.3">
      <c r="A11" s="1"/>
      <c r="B11" s="1"/>
      <c r="C11" s="12"/>
      <c r="D11" s="1"/>
      <c r="E11" s="1"/>
      <c r="F11" s="1"/>
      <c r="G11" s="1"/>
    </row>
    <row r="12" spans="1:14" ht="15.6" x14ac:dyDescent="0.3">
      <c r="A12" s="1"/>
      <c r="B12" s="1"/>
      <c r="C12" s="1"/>
      <c r="D12" s="51" t="s">
        <v>7</v>
      </c>
      <c r="E12" s="51" t="s">
        <v>8</v>
      </c>
      <c r="F12" s="1"/>
      <c r="G12" s="1"/>
    </row>
    <row r="13" spans="1:14" ht="15.6" x14ac:dyDescent="0.3">
      <c r="A13" s="51" t="s">
        <v>9</v>
      </c>
      <c r="B13" s="37" t="s">
        <v>10</v>
      </c>
      <c r="C13" s="37" t="s">
        <v>11</v>
      </c>
      <c r="D13" s="32">
        <v>80</v>
      </c>
      <c r="E13" s="32"/>
      <c r="F13" s="37" t="s">
        <v>110</v>
      </c>
      <c r="G13" s="1"/>
      <c r="J13" s="5" t="s">
        <v>7</v>
      </c>
      <c r="K13" s="5" t="s">
        <v>8</v>
      </c>
    </row>
    <row r="14" spans="1:14" ht="15.6" x14ac:dyDescent="0.3">
      <c r="A14" s="91" t="s">
        <v>151</v>
      </c>
      <c r="B14" s="25">
        <f t="shared" ref="B14" si="0">I14</f>
        <v>2</v>
      </c>
      <c r="C14" s="25"/>
      <c r="D14" s="25">
        <f>J14+D$13</f>
        <v>730</v>
      </c>
      <c r="E14" s="35">
        <f>K14</f>
        <v>100</v>
      </c>
      <c r="F14" s="97" t="str">
        <f t="shared" ref="F14" si="1">C51</f>
        <v>E/R 1 CARA MDF 18MM</v>
      </c>
      <c r="G14" s="1"/>
      <c r="I14" s="3">
        <f>I34</f>
        <v>2</v>
      </c>
      <c r="J14" s="4">
        <f t="shared" ref="J14:K14" si="2">D51</f>
        <v>650</v>
      </c>
      <c r="K14" s="4">
        <f t="shared" si="2"/>
        <v>100</v>
      </c>
    </row>
    <row r="15" spans="1:14" ht="15.6" x14ac:dyDescent="0.3">
      <c r="A15" s="106"/>
      <c r="B15" s="25">
        <f t="shared" ref="B15" si="3">I15</f>
        <v>1</v>
      </c>
      <c r="C15" s="25"/>
      <c r="D15" s="25">
        <f t="shared" ref="D15:D17" si="4">J15+D$13</f>
        <v>3380</v>
      </c>
      <c r="E15" s="35">
        <f t="shared" ref="E15:E17" si="5">K15</f>
        <v>100</v>
      </c>
      <c r="F15" s="97" t="str">
        <f>C52</f>
        <v>E/R 1 CARA SEGÚN DIBUJO MDF 18MM</v>
      </c>
      <c r="G15" s="1"/>
      <c r="I15" s="3">
        <f>I35</f>
        <v>1</v>
      </c>
      <c r="J15" s="4">
        <f>D52</f>
        <v>3300</v>
      </c>
      <c r="K15" s="4">
        <f>E52</f>
        <v>100</v>
      </c>
    </row>
    <row r="16" spans="1:14" ht="15.6" x14ac:dyDescent="0.3">
      <c r="A16" s="51" t="s">
        <v>9</v>
      </c>
      <c r="B16" s="37" t="s">
        <v>10</v>
      </c>
      <c r="C16" s="37" t="s">
        <v>11</v>
      </c>
      <c r="D16" s="32">
        <v>80</v>
      </c>
      <c r="E16" s="32"/>
      <c r="F16" s="37" t="s">
        <v>110</v>
      </c>
      <c r="G16" s="1"/>
      <c r="I16" s="3"/>
      <c r="J16" s="4"/>
      <c r="K16" s="4"/>
    </row>
    <row r="17" spans="1:11" ht="15.6" x14ac:dyDescent="0.3">
      <c r="A17" s="91" t="s">
        <v>152</v>
      </c>
      <c r="B17" s="25">
        <f t="shared" ref="B17" si="6">I17</f>
        <v>2</v>
      </c>
      <c r="C17" s="25"/>
      <c r="D17" s="25">
        <f t="shared" si="4"/>
        <v>980</v>
      </c>
      <c r="E17" s="35">
        <f t="shared" si="5"/>
        <v>550</v>
      </c>
      <c r="F17" s="97" t="str">
        <f>C53</f>
        <v>E/R 1 CARA MDF 15MM</v>
      </c>
      <c r="G17" s="1"/>
      <c r="I17" s="3">
        <f>I37</f>
        <v>2</v>
      </c>
      <c r="J17" s="4">
        <f>D53</f>
        <v>900</v>
      </c>
      <c r="K17" s="4">
        <f>E53</f>
        <v>550</v>
      </c>
    </row>
    <row r="18" spans="1:11" ht="15.6" x14ac:dyDescent="0.3">
      <c r="A18" s="91"/>
      <c r="B18" s="25">
        <f t="shared" ref="B18:B21" si="7">I18</f>
        <v>2</v>
      </c>
      <c r="C18" s="25"/>
      <c r="D18" s="25">
        <f t="shared" ref="D18:D21" si="8">J18+D$13</f>
        <v>980</v>
      </c>
      <c r="E18" s="35">
        <f t="shared" ref="E18:E21" si="9">K18</f>
        <v>419</v>
      </c>
      <c r="F18" s="97" t="str">
        <f t="shared" ref="F18:F21" si="10">C54</f>
        <v>E/R 1 CARA MDF 15MM</v>
      </c>
      <c r="G18" s="1"/>
      <c r="I18" s="3">
        <f>I38</f>
        <v>2</v>
      </c>
      <c r="J18" s="4">
        <f t="shared" ref="J18:K18" si="11">D54</f>
        <v>900</v>
      </c>
      <c r="K18" s="4">
        <f t="shared" si="11"/>
        <v>419</v>
      </c>
    </row>
    <row r="19" spans="1:11" ht="15.6" x14ac:dyDescent="0.3">
      <c r="A19" s="91"/>
      <c r="B19" s="25">
        <f t="shared" si="7"/>
        <v>4</v>
      </c>
      <c r="C19" s="25"/>
      <c r="D19" s="25">
        <f t="shared" si="8"/>
        <v>980</v>
      </c>
      <c r="E19" s="35">
        <f t="shared" si="9"/>
        <v>548</v>
      </c>
      <c r="F19" s="97" t="str">
        <f t="shared" si="10"/>
        <v>E/R 1 CARA MDF 15MM</v>
      </c>
      <c r="G19" s="1"/>
      <c r="I19" s="3">
        <f>I39</f>
        <v>4</v>
      </c>
      <c r="J19" s="4">
        <f t="shared" ref="J19:K19" si="12">D55</f>
        <v>900</v>
      </c>
      <c r="K19" s="4">
        <f t="shared" si="12"/>
        <v>548</v>
      </c>
    </row>
    <row r="20" spans="1:11" ht="15.6" x14ac:dyDescent="0.3">
      <c r="A20" s="91"/>
      <c r="B20" s="25">
        <f t="shared" si="7"/>
        <v>1</v>
      </c>
      <c r="C20" s="25"/>
      <c r="D20" s="25">
        <f t="shared" si="8"/>
        <v>980</v>
      </c>
      <c r="E20" s="35">
        <f t="shared" si="9"/>
        <v>525</v>
      </c>
      <c r="F20" s="97" t="str">
        <f t="shared" si="10"/>
        <v>E/R SOBRE MDF 15MM</v>
      </c>
      <c r="G20" s="1"/>
      <c r="I20" s="3">
        <f>I40</f>
        <v>1</v>
      </c>
      <c r="J20" s="4">
        <f t="shared" ref="J20:K20" si="13">D56</f>
        <v>900</v>
      </c>
      <c r="K20" s="4">
        <f t="shared" si="13"/>
        <v>525</v>
      </c>
    </row>
    <row r="21" spans="1:11" ht="15.6" x14ac:dyDescent="0.3">
      <c r="A21" s="91"/>
      <c r="B21" s="25">
        <f t="shared" si="7"/>
        <v>5</v>
      </c>
      <c r="C21" s="25"/>
      <c r="D21" s="25">
        <f t="shared" si="8"/>
        <v>980</v>
      </c>
      <c r="E21" s="35">
        <f t="shared" si="9"/>
        <v>558</v>
      </c>
      <c r="F21" s="97" t="str">
        <f t="shared" si="10"/>
        <v>E/R SOBRE MDF 15MM</v>
      </c>
      <c r="G21" s="1"/>
      <c r="I21" s="3">
        <f>I41</f>
        <v>5</v>
      </c>
      <c r="J21" s="4">
        <f t="shared" ref="J21:K21" si="14">D57</f>
        <v>900</v>
      </c>
      <c r="K21" s="4">
        <f t="shared" si="14"/>
        <v>558</v>
      </c>
    </row>
    <row r="22" spans="1:11" ht="15.6" x14ac:dyDescent="0.3">
      <c r="A22" s="91"/>
      <c r="B22" s="25">
        <f t="shared" ref="B22:B25" si="15">I22</f>
        <v>2</v>
      </c>
      <c r="C22" s="25"/>
      <c r="D22" s="25">
        <f t="shared" ref="D22:D25" si="16">J22+D$13</f>
        <v>980</v>
      </c>
      <c r="E22" s="35">
        <f t="shared" ref="E22:E25" si="17">K22</f>
        <v>600</v>
      </c>
      <c r="F22" s="97" t="str">
        <f>C58</f>
        <v>E/R SOBRE MDF 15MM</v>
      </c>
      <c r="G22" s="1"/>
      <c r="I22" s="3">
        <f>I42</f>
        <v>2</v>
      </c>
      <c r="J22" s="4">
        <f>D58</f>
        <v>900</v>
      </c>
      <c r="K22" s="4">
        <f>E58</f>
        <v>600</v>
      </c>
    </row>
    <row r="23" spans="1:11" ht="15.6" x14ac:dyDescent="0.3">
      <c r="A23" s="91"/>
      <c r="B23" s="25">
        <f t="shared" si="15"/>
        <v>2</v>
      </c>
      <c r="C23" s="25"/>
      <c r="D23" s="25">
        <f t="shared" si="16"/>
        <v>980</v>
      </c>
      <c r="E23" s="35">
        <f t="shared" si="17"/>
        <v>120</v>
      </c>
      <c r="F23" s="97" t="str">
        <f>C59</f>
        <v>E/R SOBRE MDF 15MM</v>
      </c>
      <c r="G23" s="1"/>
      <c r="I23" s="3">
        <f>I43</f>
        <v>2</v>
      </c>
      <c r="J23" s="4">
        <f>D59</f>
        <v>900</v>
      </c>
      <c r="K23" s="4">
        <f>E59</f>
        <v>120</v>
      </c>
    </row>
    <row r="24" spans="1:11" ht="15.6" x14ac:dyDescent="0.3">
      <c r="A24" s="51" t="s">
        <v>9</v>
      </c>
      <c r="B24" s="37" t="s">
        <v>10</v>
      </c>
      <c r="C24" s="37" t="s">
        <v>11</v>
      </c>
      <c r="D24" s="32">
        <v>80</v>
      </c>
      <c r="E24" s="32"/>
      <c r="F24" s="37" t="s">
        <v>110</v>
      </c>
      <c r="G24" s="1"/>
      <c r="I24" s="3"/>
      <c r="J24" s="4"/>
      <c r="K24" s="4"/>
    </row>
    <row r="25" spans="1:11" ht="15.6" x14ac:dyDescent="0.3">
      <c r="A25" s="91" t="s">
        <v>140</v>
      </c>
      <c r="B25" s="25">
        <f t="shared" si="15"/>
        <v>1</v>
      </c>
      <c r="C25" s="25"/>
      <c r="D25" s="25">
        <f t="shared" si="16"/>
        <v>3180</v>
      </c>
      <c r="E25" s="35">
        <f t="shared" si="17"/>
        <v>750</v>
      </c>
      <c r="F25" s="97" t="str">
        <f t="shared" ref="F25" si="18">C60</f>
        <v>CUB PT 1 LADO SEGÚN DIBUJO</v>
      </c>
      <c r="G25" s="1"/>
      <c r="I25" s="3">
        <v>1</v>
      </c>
      <c r="J25" s="4">
        <f t="shared" ref="J25" si="19">D60</f>
        <v>3100</v>
      </c>
      <c r="K25" s="4">
        <f t="shared" ref="K25" si="20">E60</f>
        <v>750</v>
      </c>
    </row>
    <row r="26" spans="1:11" ht="15.6" x14ac:dyDescent="0.3">
      <c r="A26" s="91"/>
      <c r="B26" s="132"/>
      <c r="C26" s="132"/>
      <c r="D26" s="132"/>
      <c r="E26" s="136"/>
      <c r="F26" s="133"/>
      <c r="G26" s="1"/>
      <c r="I26" s="134"/>
      <c r="J26" s="135"/>
      <c r="K26" s="135"/>
    </row>
    <row r="27" spans="1:11" ht="15.6" x14ac:dyDescent="0.3">
      <c r="A27" s="91"/>
      <c r="B27" s="132"/>
      <c r="C27" s="132"/>
      <c r="D27" s="132"/>
      <c r="E27" s="136"/>
      <c r="F27" s="133"/>
      <c r="G27" s="1"/>
      <c r="I27" s="134"/>
      <c r="J27" s="135"/>
      <c r="K27" s="135"/>
    </row>
    <row r="28" spans="1:11" ht="15.6" x14ac:dyDescent="0.3">
      <c r="A28" s="91"/>
      <c r="B28" s="6"/>
      <c r="C28" s="6"/>
      <c r="D28" s="6"/>
      <c r="E28" s="107"/>
      <c r="F28" s="99"/>
      <c r="G28" s="1"/>
      <c r="I28" s="85"/>
      <c r="J28" s="2"/>
      <c r="K28" s="2"/>
    </row>
    <row r="29" spans="1:11" ht="6.75" customHeight="1" x14ac:dyDescent="0.3">
      <c r="A29" s="1"/>
      <c r="B29" s="1"/>
      <c r="C29" s="1"/>
      <c r="D29" s="1"/>
      <c r="E29" s="1"/>
      <c r="F29" s="1"/>
      <c r="G29" s="1"/>
    </row>
    <row r="30" spans="1:11" ht="15.6" x14ac:dyDescent="0.3">
      <c r="A30" s="117" t="s">
        <v>14</v>
      </c>
      <c r="B30" s="117"/>
      <c r="C30" s="117"/>
      <c r="D30" s="117"/>
      <c r="E30" s="117"/>
      <c r="F30" s="117"/>
      <c r="G30" s="1"/>
    </row>
    <row r="31" spans="1:11" ht="10.5" customHeight="1" x14ac:dyDescent="0.3">
      <c r="A31" s="1"/>
      <c r="B31" s="1"/>
      <c r="C31" s="12"/>
      <c r="D31" s="1"/>
      <c r="E31" s="1"/>
      <c r="F31" s="1"/>
      <c r="G31" s="1"/>
    </row>
    <row r="32" spans="1:11" ht="15.6" x14ac:dyDescent="0.3">
      <c r="A32" s="1"/>
      <c r="B32" s="1"/>
      <c r="C32" s="1"/>
      <c r="D32" s="51" t="s">
        <v>7</v>
      </c>
      <c r="E32" s="51" t="s">
        <v>8</v>
      </c>
      <c r="F32" s="1"/>
      <c r="G32" s="1"/>
    </row>
    <row r="33" spans="1:11" ht="15.6" x14ac:dyDescent="0.3">
      <c r="A33" s="51" t="s">
        <v>9</v>
      </c>
      <c r="B33" s="36" t="s">
        <v>10</v>
      </c>
      <c r="C33" s="36" t="s">
        <v>11</v>
      </c>
      <c r="D33" s="21">
        <v>20</v>
      </c>
      <c r="E33" s="21">
        <v>20</v>
      </c>
      <c r="F33" s="36" t="s">
        <v>110</v>
      </c>
      <c r="G33" s="1"/>
      <c r="J33" s="5" t="s">
        <v>7</v>
      </c>
      <c r="K33" s="5" t="s">
        <v>8</v>
      </c>
    </row>
    <row r="34" spans="1:11" ht="15.6" x14ac:dyDescent="0.3">
      <c r="A34" s="91" t="s">
        <v>151</v>
      </c>
      <c r="B34" s="16">
        <f t="shared" ref="B34" si="21">I34</f>
        <v>2</v>
      </c>
      <c r="C34" s="16"/>
      <c r="D34" s="16">
        <f>J34+D$33</f>
        <v>670</v>
      </c>
      <c r="E34" s="16">
        <v>120</v>
      </c>
      <c r="F34" s="98" t="str">
        <f t="shared" ref="F34" si="22">C51</f>
        <v>E/R 1 CARA MDF 18MM</v>
      </c>
      <c r="G34" s="1"/>
      <c r="I34" s="3">
        <f t="shared" ref="I34" si="23">B51</f>
        <v>2</v>
      </c>
      <c r="J34" s="4">
        <f>D51</f>
        <v>650</v>
      </c>
      <c r="K34" s="4">
        <f>E51</f>
        <v>100</v>
      </c>
    </row>
    <row r="35" spans="1:11" ht="15.6" x14ac:dyDescent="0.3">
      <c r="A35" s="106"/>
      <c r="B35" s="16">
        <f t="shared" ref="B35" si="24">I35</f>
        <v>1</v>
      </c>
      <c r="C35" s="16"/>
      <c r="D35" s="16">
        <f t="shared" ref="D35:D37" si="25">J35+D$33</f>
        <v>3320</v>
      </c>
      <c r="E35" s="16">
        <v>120</v>
      </c>
      <c r="F35" s="98" t="str">
        <f>C52</f>
        <v>E/R 1 CARA SEGÚN DIBUJO MDF 18MM</v>
      </c>
      <c r="G35" s="1"/>
      <c r="I35" s="3">
        <f>B52</f>
        <v>1</v>
      </c>
      <c r="J35" s="4">
        <f t="shared" ref="J35:K35" si="26">D52</f>
        <v>3300</v>
      </c>
      <c r="K35" s="4">
        <f t="shared" si="26"/>
        <v>100</v>
      </c>
    </row>
    <row r="36" spans="1:11" ht="15.6" x14ac:dyDescent="0.3">
      <c r="A36" s="51" t="s">
        <v>9</v>
      </c>
      <c r="B36" s="36" t="s">
        <v>10</v>
      </c>
      <c r="C36" s="36" t="s">
        <v>11</v>
      </c>
      <c r="D36" s="21">
        <v>20</v>
      </c>
      <c r="E36" s="21">
        <v>20</v>
      </c>
      <c r="F36" s="36" t="s">
        <v>110</v>
      </c>
      <c r="G36" s="1"/>
      <c r="I36" s="3"/>
      <c r="J36" s="4"/>
      <c r="K36" s="4"/>
    </row>
    <row r="37" spans="1:11" ht="15.6" x14ac:dyDescent="0.3">
      <c r="A37" s="106" t="s">
        <v>152</v>
      </c>
      <c r="B37" s="16">
        <f t="shared" ref="B37" si="27">I37</f>
        <v>2</v>
      </c>
      <c r="C37" s="16"/>
      <c r="D37" s="16">
        <f t="shared" si="25"/>
        <v>920</v>
      </c>
      <c r="E37" s="16">
        <f>K37+E$36</f>
        <v>570</v>
      </c>
      <c r="F37" s="98" t="str">
        <f>C53</f>
        <v>E/R 1 CARA MDF 15MM</v>
      </c>
      <c r="G37" s="1"/>
      <c r="I37" s="3">
        <f>B53</f>
        <v>2</v>
      </c>
      <c r="J37" s="4">
        <f t="shared" ref="J37" si="28">D53</f>
        <v>900</v>
      </c>
      <c r="K37" s="4">
        <f t="shared" ref="K37" si="29">E53</f>
        <v>550</v>
      </c>
    </row>
    <row r="38" spans="1:11" ht="15.6" x14ac:dyDescent="0.3">
      <c r="A38" s="106"/>
      <c r="B38" s="16">
        <f t="shared" ref="B38:B45" si="30">I38</f>
        <v>2</v>
      </c>
      <c r="C38" s="16"/>
      <c r="D38" s="16">
        <f>J38+D$33</f>
        <v>920</v>
      </c>
      <c r="E38" s="16">
        <f t="shared" ref="E38:E43" si="31">K38+E$36</f>
        <v>439</v>
      </c>
      <c r="F38" s="98" t="str">
        <f>C54</f>
        <v>E/R 1 CARA MDF 15MM</v>
      </c>
      <c r="G38" s="1"/>
      <c r="I38" s="3">
        <f>B54</f>
        <v>2</v>
      </c>
      <c r="J38" s="4">
        <f>D54</f>
        <v>900</v>
      </c>
      <c r="K38" s="4">
        <f>E54</f>
        <v>419</v>
      </c>
    </row>
    <row r="39" spans="1:11" ht="15.6" x14ac:dyDescent="0.3">
      <c r="A39" s="106"/>
      <c r="B39" s="16">
        <f t="shared" si="30"/>
        <v>4</v>
      </c>
      <c r="C39" s="16"/>
      <c r="D39" s="16">
        <f>J39+D$33</f>
        <v>920</v>
      </c>
      <c r="E39" s="16">
        <f t="shared" si="31"/>
        <v>568</v>
      </c>
      <c r="F39" s="98" t="str">
        <f>C55</f>
        <v>E/R 1 CARA MDF 15MM</v>
      </c>
      <c r="G39" s="1"/>
      <c r="I39" s="3">
        <f>B55</f>
        <v>4</v>
      </c>
      <c r="J39" s="4">
        <f>D55</f>
        <v>900</v>
      </c>
      <c r="K39" s="4">
        <f>E55</f>
        <v>548</v>
      </c>
    </row>
    <row r="40" spans="1:11" ht="15.6" x14ac:dyDescent="0.3">
      <c r="A40" s="106"/>
      <c r="B40" s="16">
        <f t="shared" si="30"/>
        <v>1</v>
      </c>
      <c r="C40" s="16"/>
      <c r="D40" s="16">
        <f>J40+D$33</f>
        <v>920</v>
      </c>
      <c r="E40" s="16">
        <f t="shared" si="31"/>
        <v>545</v>
      </c>
      <c r="F40" s="98" t="str">
        <f>C56</f>
        <v>E/R SOBRE MDF 15MM</v>
      </c>
      <c r="G40" s="1"/>
      <c r="I40" s="3">
        <f>B56</f>
        <v>1</v>
      </c>
      <c r="J40" s="4">
        <f>D56</f>
        <v>900</v>
      </c>
      <c r="K40" s="4">
        <f>E56</f>
        <v>525</v>
      </c>
    </row>
    <row r="41" spans="1:11" ht="15.6" x14ac:dyDescent="0.3">
      <c r="A41" s="106"/>
      <c r="B41" s="16">
        <f t="shared" si="30"/>
        <v>5</v>
      </c>
      <c r="C41" s="16"/>
      <c r="D41" s="16">
        <f>J41+D$33</f>
        <v>920</v>
      </c>
      <c r="E41" s="16">
        <f t="shared" si="31"/>
        <v>578</v>
      </c>
      <c r="F41" s="98" t="str">
        <f>C57</f>
        <v>E/R SOBRE MDF 15MM</v>
      </c>
      <c r="G41" s="1"/>
      <c r="I41" s="3">
        <f>B57</f>
        <v>5</v>
      </c>
      <c r="J41" s="4">
        <f>D57</f>
        <v>900</v>
      </c>
      <c r="K41" s="4">
        <f>E57</f>
        <v>558</v>
      </c>
    </row>
    <row r="42" spans="1:11" ht="15.6" x14ac:dyDescent="0.3">
      <c r="A42" s="106"/>
      <c r="B42" s="16">
        <f t="shared" si="30"/>
        <v>2</v>
      </c>
      <c r="C42" s="16"/>
      <c r="D42" s="16">
        <f>J42+D$33</f>
        <v>920</v>
      </c>
      <c r="E42" s="16">
        <f t="shared" si="31"/>
        <v>620</v>
      </c>
      <c r="F42" s="98" t="str">
        <f>C58</f>
        <v>E/R SOBRE MDF 15MM</v>
      </c>
      <c r="G42" s="1"/>
      <c r="I42" s="3">
        <f>B58</f>
        <v>2</v>
      </c>
      <c r="J42" s="4">
        <f>D58</f>
        <v>900</v>
      </c>
      <c r="K42" s="4">
        <f>E58</f>
        <v>600</v>
      </c>
    </row>
    <row r="43" spans="1:11" ht="15.6" x14ac:dyDescent="0.3">
      <c r="A43" s="106"/>
      <c r="B43" s="16">
        <f t="shared" si="30"/>
        <v>2</v>
      </c>
      <c r="C43" s="16"/>
      <c r="D43" s="16">
        <f>J43+D$33</f>
        <v>920</v>
      </c>
      <c r="E43" s="16">
        <f t="shared" si="31"/>
        <v>140</v>
      </c>
      <c r="F43" s="98" t="str">
        <f>C59</f>
        <v>E/R SOBRE MDF 15MM</v>
      </c>
      <c r="G43" s="1"/>
      <c r="I43" s="3">
        <f>B59</f>
        <v>2</v>
      </c>
      <c r="J43" s="4">
        <f>D59</f>
        <v>900</v>
      </c>
      <c r="K43" s="4">
        <f>E59</f>
        <v>120</v>
      </c>
    </row>
    <row r="44" spans="1:11" ht="15.6" x14ac:dyDescent="0.3">
      <c r="A44" s="51" t="s">
        <v>9</v>
      </c>
      <c r="B44" s="36" t="s">
        <v>10</v>
      </c>
      <c r="C44" s="36" t="s">
        <v>11</v>
      </c>
      <c r="D44" s="21">
        <v>50</v>
      </c>
      <c r="E44" s="21"/>
      <c r="F44" s="36" t="s">
        <v>110</v>
      </c>
      <c r="G44" s="1"/>
      <c r="I44" s="3"/>
      <c r="J44" s="4"/>
      <c r="K44" s="4"/>
    </row>
    <row r="45" spans="1:11" ht="15.6" x14ac:dyDescent="0.3">
      <c r="A45" s="106" t="s">
        <v>140</v>
      </c>
      <c r="B45" s="16">
        <f t="shared" si="30"/>
        <v>1</v>
      </c>
      <c r="C45" s="16" t="s">
        <v>153</v>
      </c>
      <c r="D45" s="16">
        <f>J45+D44</f>
        <v>3150</v>
      </c>
      <c r="E45" s="16">
        <f>K45</f>
        <v>750</v>
      </c>
      <c r="F45" s="98" t="str">
        <f t="shared" ref="F45" si="32">C60</f>
        <v>CUB PT 1 LADO SEGÚN DIBUJO</v>
      </c>
      <c r="G45" s="1"/>
      <c r="I45" s="3">
        <f t="shared" ref="I45" si="33">B60</f>
        <v>1</v>
      </c>
      <c r="J45" s="4">
        <f t="shared" ref="J45" si="34">D60</f>
        <v>3100</v>
      </c>
      <c r="K45" s="4">
        <f t="shared" ref="K45" si="35">E60</f>
        <v>750</v>
      </c>
    </row>
    <row r="46" spans="1:11" ht="15.6" x14ac:dyDescent="0.3">
      <c r="A46" s="91"/>
      <c r="B46" s="6"/>
      <c r="C46" s="6"/>
      <c r="D46" s="6"/>
      <c r="E46" s="6"/>
      <c r="F46" s="99"/>
      <c r="G46" s="1"/>
      <c r="I46" s="85"/>
      <c r="J46" s="2"/>
      <c r="K46" s="2"/>
    </row>
    <row r="47" spans="1:11" ht="16.2" thickBot="1" x14ac:dyDescent="0.35">
      <c r="A47" s="51"/>
      <c r="B47" s="6"/>
      <c r="C47" s="6"/>
      <c r="D47" s="6"/>
      <c r="E47" s="6"/>
      <c r="F47" s="6"/>
      <c r="G47" s="1"/>
      <c r="I47" s="2"/>
      <c r="J47" s="2"/>
      <c r="K47" s="2"/>
    </row>
    <row r="48" spans="1:11" ht="16.2" thickBot="1" x14ac:dyDescent="0.35">
      <c r="A48" s="51"/>
      <c r="B48" s="22" t="s">
        <v>107</v>
      </c>
      <c r="C48" s="23"/>
      <c r="D48" s="23"/>
      <c r="E48" s="23"/>
      <c r="F48" s="24"/>
      <c r="G48" s="1"/>
      <c r="I48" s="2"/>
      <c r="J48" s="2"/>
      <c r="K48" s="2"/>
    </row>
    <row r="49" spans="1:7" ht="10.5" customHeight="1" x14ac:dyDescent="0.3">
      <c r="A49" s="1"/>
      <c r="B49" s="1"/>
      <c r="C49" s="1"/>
      <c r="D49" s="1"/>
      <c r="E49" s="1"/>
      <c r="F49" s="1"/>
      <c r="G49" s="1"/>
    </row>
    <row r="50" spans="1:7" ht="15.6" x14ac:dyDescent="0.3">
      <c r="A50" s="51" t="s">
        <v>9</v>
      </c>
      <c r="B50" s="84" t="s">
        <v>10</v>
      </c>
      <c r="C50" s="84" t="s">
        <v>110</v>
      </c>
      <c r="D50" s="84" t="s">
        <v>7</v>
      </c>
      <c r="E50" s="84" t="s">
        <v>8</v>
      </c>
      <c r="F50" s="84" t="s">
        <v>23</v>
      </c>
      <c r="G50" s="1"/>
    </row>
    <row r="51" spans="1:7" ht="15.6" x14ac:dyDescent="0.3">
      <c r="A51" s="91"/>
      <c r="B51" s="25">
        <f>'4637'!B21</f>
        <v>2</v>
      </c>
      <c r="C51" s="97" t="str">
        <f>'4637'!C21</f>
        <v>E/R 1 CARA MDF 18MM</v>
      </c>
      <c r="D51" s="25">
        <f>'4637'!D21</f>
        <v>650</v>
      </c>
      <c r="E51" s="25">
        <f>'4637'!E21</f>
        <v>100</v>
      </c>
      <c r="F51" s="25" t="str">
        <f>'4637'!F21</f>
        <v>EBANO 2110 MT</v>
      </c>
      <c r="G51" s="1"/>
    </row>
    <row r="52" spans="1:7" ht="15.6" x14ac:dyDescent="0.3">
      <c r="A52" s="106"/>
      <c r="B52" s="25">
        <f>'4637'!B22</f>
        <v>1</v>
      </c>
      <c r="C52" s="97" t="str">
        <f>'4637'!C22</f>
        <v>E/R 1 CARA SEGÚN DIBUJO MDF 18MM</v>
      </c>
      <c r="D52" s="105">
        <f>D82</f>
        <v>3300</v>
      </c>
      <c r="E52" s="25">
        <f>'4637'!E22</f>
        <v>100</v>
      </c>
      <c r="F52" s="25" t="str">
        <f>'4637'!F22</f>
        <v>EBANO 2110 MT</v>
      </c>
      <c r="G52" s="1"/>
    </row>
    <row r="53" spans="1:7" ht="15.6" x14ac:dyDescent="0.3">
      <c r="A53" s="106"/>
      <c r="B53" s="25">
        <f>'4637'!B23</f>
        <v>2</v>
      </c>
      <c r="C53" s="97" t="str">
        <f>'4637'!C23</f>
        <v>E/R 1 CARA MDF 15MM</v>
      </c>
      <c r="D53" s="105">
        <f>D83</f>
        <v>900</v>
      </c>
      <c r="E53" s="25">
        <f>'4637'!E23</f>
        <v>550</v>
      </c>
      <c r="F53" s="25" t="str">
        <f>'4637'!F23</f>
        <v>EBANO 2110 MT</v>
      </c>
      <c r="G53" s="1"/>
    </row>
    <row r="54" spans="1:7" ht="15.6" x14ac:dyDescent="0.3">
      <c r="A54" s="106"/>
      <c r="B54" s="25">
        <f>'4637'!B24</f>
        <v>2</v>
      </c>
      <c r="C54" s="97" t="str">
        <f>'4637'!C24</f>
        <v>E/R 1 CARA MDF 15MM</v>
      </c>
      <c r="D54" s="105">
        <f>D84</f>
        <v>900</v>
      </c>
      <c r="E54" s="25">
        <f>'4637'!E24</f>
        <v>419</v>
      </c>
      <c r="F54" s="25" t="str">
        <f>'4637'!F24</f>
        <v>EBANO 2110 MT</v>
      </c>
      <c r="G54" s="1"/>
    </row>
    <row r="55" spans="1:7" ht="15.6" x14ac:dyDescent="0.3">
      <c r="A55" s="106"/>
      <c r="B55" s="25">
        <f>'4637'!B25</f>
        <v>4</v>
      </c>
      <c r="C55" s="97" t="str">
        <f>'4637'!C25</f>
        <v>E/R 1 CARA MDF 15MM</v>
      </c>
      <c r="D55" s="105">
        <f>D85</f>
        <v>900</v>
      </c>
      <c r="E55" s="25">
        <f>'4637'!E25</f>
        <v>548</v>
      </c>
      <c r="F55" s="25" t="str">
        <f>'4637'!F25</f>
        <v>EBANO 2110 MT</v>
      </c>
      <c r="G55" s="1"/>
    </row>
    <row r="56" spans="1:7" ht="15.6" x14ac:dyDescent="0.3">
      <c r="A56" s="106"/>
      <c r="B56" s="25">
        <f>'4637'!B26</f>
        <v>1</v>
      </c>
      <c r="C56" s="97" t="str">
        <f>'4637'!C26</f>
        <v>E/R SOBRE MDF 15MM</v>
      </c>
      <c r="D56" s="105">
        <f>D86</f>
        <v>900</v>
      </c>
      <c r="E56" s="25">
        <f>'4637'!E26</f>
        <v>525</v>
      </c>
      <c r="F56" s="25" t="str">
        <f>'4637'!F26</f>
        <v>ENERGY CURVE RUSTIC BROWM</v>
      </c>
      <c r="G56" s="1"/>
    </row>
    <row r="57" spans="1:7" ht="15.6" x14ac:dyDescent="0.3">
      <c r="A57" s="106"/>
      <c r="B57" s="25">
        <f>'4637'!B27</f>
        <v>5</v>
      </c>
      <c r="C57" s="97" t="str">
        <f>'4637'!C27</f>
        <v>E/R SOBRE MDF 15MM</v>
      </c>
      <c r="D57" s="105">
        <f>D87</f>
        <v>900</v>
      </c>
      <c r="E57" s="25">
        <f>'4637'!E27</f>
        <v>558</v>
      </c>
      <c r="F57" s="25" t="str">
        <f>'4637'!F27</f>
        <v>ENERGY CURVE RUSTIC BROWM</v>
      </c>
      <c r="G57" s="1"/>
    </row>
    <row r="58" spans="1:7" ht="15.6" x14ac:dyDescent="0.3">
      <c r="A58" s="106"/>
      <c r="B58" s="25">
        <f>'4637'!B28</f>
        <v>2</v>
      </c>
      <c r="C58" s="97" t="str">
        <f>'4637'!C28</f>
        <v>E/R SOBRE MDF 15MM</v>
      </c>
      <c r="D58" s="105">
        <f>D88</f>
        <v>900</v>
      </c>
      <c r="E58" s="25">
        <f>'4637'!E28</f>
        <v>600</v>
      </c>
      <c r="F58" s="25" t="str">
        <f>'4637'!F28</f>
        <v>ENERGY CURVE RUSTIC BROWM</v>
      </c>
      <c r="G58" s="1"/>
    </row>
    <row r="59" spans="1:7" ht="15.6" x14ac:dyDescent="0.3">
      <c r="A59" s="106"/>
      <c r="B59" s="25">
        <f>'4637'!B29</f>
        <v>2</v>
      </c>
      <c r="C59" s="97" t="str">
        <f>'4637'!C29</f>
        <v>E/R SOBRE MDF 15MM</v>
      </c>
      <c r="D59" s="105">
        <f>D89</f>
        <v>900</v>
      </c>
      <c r="E59" s="25">
        <f>'4637'!E29</f>
        <v>120</v>
      </c>
      <c r="F59" s="25" t="str">
        <f>'4637'!F29</f>
        <v>ENERGY CURVE RUSTIC BROWM</v>
      </c>
      <c r="G59" s="1"/>
    </row>
    <row r="60" spans="1:7" ht="15.6" x14ac:dyDescent="0.3">
      <c r="A60" s="106"/>
      <c r="B60" s="25">
        <f>'4637'!B30</f>
        <v>1</v>
      </c>
      <c r="C60" s="97" t="str">
        <f>'4637'!C30</f>
        <v>CUB PT 1 LADO SEGÚN DIBUJO</v>
      </c>
      <c r="D60" s="105">
        <f>D90</f>
        <v>3100</v>
      </c>
      <c r="E60" s="25">
        <f>'4637'!E30</f>
        <v>750</v>
      </c>
      <c r="F60" s="25" t="str">
        <f>'4637'!F30</f>
        <v>COLOR POR DEFINIR</v>
      </c>
      <c r="G60" s="1"/>
    </row>
    <row r="61" spans="1:7" ht="15.6" x14ac:dyDescent="0.3">
      <c r="A61" s="51"/>
      <c r="B61" s="6"/>
      <c r="C61" s="6"/>
      <c r="D61" s="6"/>
      <c r="E61" s="6"/>
      <c r="F61" s="6"/>
      <c r="G61" s="1"/>
    </row>
    <row r="62" spans="1:7" ht="15.6" x14ac:dyDescent="0.3">
      <c r="A62" s="1"/>
      <c r="B62" s="6"/>
      <c r="C62" s="6"/>
      <c r="D62" s="6"/>
      <c r="E62" s="6"/>
      <c r="F62" s="6"/>
      <c r="G62" s="1"/>
    </row>
    <row r="63" spans="1:7" ht="15.6" x14ac:dyDescent="0.3">
      <c r="A63" s="1"/>
      <c r="B63" s="6"/>
      <c r="C63" s="6"/>
      <c r="D63" s="6"/>
      <c r="E63" s="6"/>
      <c r="F63" s="6"/>
      <c r="G63" s="1"/>
    </row>
    <row r="64" spans="1:7" ht="15.6" x14ac:dyDescent="0.3">
      <c r="A64" s="1"/>
      <c r="B64" s="6"/>
      <c r="C64" s="6"/>
      <c r="D64" s="6"/>
      <c r="E64" s="6"/>
      <c r="F64" s="6"/>
      <c r="G64" s="1"/>
    </row>
    <row r="65" spans="1:7" ht="15.6" x14ac:dyDescent="0.3">
      <c r="A65" s="1"/>
      <c r="B65" s="6"/>
      <c r="C65" s="6"/>
      <c r="D65" s="6"/>
      <c r="E65" s="6"/>
      <c r="F65" s="6"/>
      <c r="G65" s="1"/>
    </row>
    <row r="66" spans="1:7" ht="15.6" x14ac:dyDescent="0.3">
      <c r="A66" s="1"/>
      <c r="B66" s="6"/>
      <c r="C66" s="6"/>
      <c r="D66" s="6"/>
      <c r="E66" s="6"/>
      <c r="F66" s="6"/>
      <c r="G66" s="1"/>
    </row>
    <row r="67" spans="1:7" ht="15.6" x14ac:dyDescent="0.3">
      <c r="A67" s="1"/>
      <c r="B67" s="6"/>
      <c r="C67" s="6"/>
      <c r="D67" s="6"/>
      <c r="E67" s="6"/>
      <c r="F67" s="6"/>
      <c r="G67" s="1"/>
    </row>
    <row r="68" spans="1:7" ht="15.6" x14ac:dyDescent="0.3">
      <c r="A68" s="1"/>
      <c r="B68" s="6"/>
      <c r="C68" s="6"/>
      <c r="D68" s="6"/>
      <c r="E68" s="6"/>
      <c r="F68" s="6"/>
      <c r="G68" s="1"/>
    </row>
    <row r="69" spans="1:7" ht="15.6" x14ac:dyDescent="0.3">
      <c r="A69" s="1"/>
      <c r="B69" s="6"/>
      <c r="C69" s="6"/>
      <c r="D69" s="6"/>
      <c r="E69" s="6"/>
      <c r="F69" s="6"/>
      <c r="G69" s="1"/>
    </row>
    <row r="70" spans="1:7" ht="15.6" x14ac:dyDescent="0.3">
      <c r="A70" s="1"/>
      <c r="B70" s="1"/>
      <c r="C70" s="1"/>
      <c r="D70" s="1"/>
      <c r="E70" s="1"/>
      <c r="F70" s="1"/>
      <c r="G70" s="1"/>
    </row>
    <row r="71" spans="1:7" ht="15.6" x14ac:dyDescent="0.3">
      <c r="A71" s="1"/>
      <c r="B71" s="1"/>
      <c r="C71" s="39" t="s">
        <v>27</v>
      </c>
      <c r="D71" s="14">
        <f>'4637'!G8</f>
        <v>7132</v>
      </c>
      <c r="E71" s="1"/>
      <c r="F71" s="1"/>
      <c r="G71" s="1"/>
    </row>
    <row r="72" spans="1:7" ht="17.25" customHeight="1" x14ac:dyDescent="0.3">
      <c r="A72" s="1"/>
      <c r="B72" s="1"/>
      <c r="C72" s="40" t="s">
        <v>67</v>
      </c>
      <c r="D72" s="41" t="str">
        <f>'4637'!C10</f>
        <v>ESTRUCTURAS VINET SPA</v>
      </c>
      <c r="E72" s="42"/>
      <c r="F72" s="42"/>
      <c r="G72" s="1"/>
    </row>
    <row r="73" spans="1:7" ht="4.5" customHeight="1" x14ac:dyDescent="0.3">
      <c r="A73" s="1"/>
      <c r="B73" s="1"/>
      <c r="C73" s="43"/>
      <c r="D73" s="44"/>
      <c r="E73" s="1"/>
      <c r="F73" s="1"/>
      <c r="G73" s="1"/>
    </row>
    <row r="74" spans="1:7" ht="15.6" x14ac:dyDescent="0.3">
      <c r="A74" s="1"/>
      <c r="B74" s="1"/>
      <c r="C74" s="45" t="str">
        <f>'4637'!F11</f>
        <v>FECHA LIMITE :</v>
      </c>
      <c r="D74" s="13">
        <f>'4637'!G11</f>
        <v>45630</v>
      </c>
      <c r="E74" s="1"/>
      <c r="F74" s="1"/>
      <c r="G74" s="1"/>
    </row>
    <row r="75" spans="1:7" ht="15.6" x14ac:dyDescent="0.3">
      <c r="A75" s="1"/>
      <c r="B75" s="1"/>
      <c r="C75" s="1"/>
      <c r="D75" s="1"/>
      <c r="E75" s="1"/>
      <c r="F75" s="1"/>
      <c r="G75" s="1"/>
    </row>
    <row r="76" spans="1:7" ht="15.6" x14ac:dyDescent="0.3">
      <c r="A76" s="1"/>
      <c r="B76" s="1"/>
      <c r="C76" s="1"/>
      <c r="D76" s="1"/>
      <c r="E76" s="1"/>
      <c r="F76" s="1"/>
      <c r="G76" s="1"/>
    </row>
    <row r="77" spans="1:7" ht="15.6" x14ac:dyDescent="0.3">
      <c r="A77" s="117" t="s">
        <v>68</v>
      </c>
      <c r="B77" s="117"/>
      <c r="C77" s="117"/>
      <c r="D77" s="117"/>
      <c r="E77" s="117"/>
      <c r="F77" s="117"/>
      <c r="G77" s="1"/>
    </row>
    <row r="78" spans="1:7" ht="15.6" x14ac:dyDescent="0.3">
      <c r="A78" s="1"/>
      <c r="B78" s="1"/>
      <c r="C78" s="1"/>
      <c r="D78" s="1"/>
      <c r="E78" s="1"/>
      <c r="F78" s="1"/>
      <c r="G78" s="1"/>
    </row>
    <row r="79" spans="1:7" ht="15.75" customHeight="1" x14ac:dyDescent="0.3">
      <c r="A79" s="1"/>
      <c r="B79" s="118" t="s">
        <v>69</v>
      </c>
      <c r="C79" s="119"/>
      <c r="D79" s="120"/>
      <c r="E79" s="120"/>
      <c r="F79" s="121"/>
      <c r="G79" s="1"/>
    </row>
    <row r="80" spans="1:7" s="15" customFormat="1" ht="12.75" customHeight="1" x14ac:dyDescent="0.3">
      <c r="A80" s="1"/>
      <c r="B80" s="36" t="s">
        <v>10</v>
      </c>
      <c r="C80" s="46" t="s">
        <v>11</v>
      </c>
      <c r="D80" s="47" t="s">
        <v>7</v>
      </c>
      <c r="E80" s="47" t="s">
        <v>8</v>
      </c>
      <c r="F80" s="48" t="s">
        <v>12</v>
      </c>
      <c r="G80" s="1"/>
    </row>
    <row r="81" spans="1:7" s="15" customFormat="1" ht="15" customHeight="1" x14ac:dyDescent="0.35">
      <c r="A81" s="91" t="s">
        <v>140</v>
      </c>
      <c r="B81" s="38">
        <f>'4637'!B21</f>
        <v>2</v>
      </c>
      <c r="C81" s="96" t="str">
        <f>'4637'!C21</f>
        <v>E/R 1 CARA MDF 18MM</v>
      </c>
      <c r="D81" s="103">
        <f>'4637'!D21</f>
        <v>650</v>
      </c>
      <c r="E81" s="103">
        <f>'4637'!E21</f>
        <v>100</v>
      </c>
      <c r="F81" s="38" t="str">
        <f>'4637'!F21</f>
        <v>EBANO 2110 MT</v>
      </c>
      <c r="G81" s="1"/>
    </row>
    <row r="82" spans="1:7" s="15" customFormat="1" ht="15" customHeight="1" x14ac:dyDescent="0.35">
      <c r="A82" s="91"/>
      <c r="B82" s="38">
        <f>'4637'!B22</f>
        <v>1</v>
      </c>
      <c r="C82" s="96" t="str">
        <f>'4637'!C22</f>
        <v>E/R 1 CARA SEGÚN DIBUJO MDF 18MM</v>
      </c>
      <c r="D82" s="104">
        <f>'4637'!D22</f>
        <v>3300</v>
      </c>
      <c r="E82" s="103">
        <f>'4637'!E22</f>
        <v>100</v>
      </c>
      <c r="F82" s="38" t="str">
        <f>'4637'!F22</f>
        <v>EBANO 2110 MT</v>
      </c>
      <c r="G82" s="1"/>
    </row>
    <row r="83" spans="1:7" s="15" customFormat="1" ht="15" customHeight="1" x14ac:dyDescent="0.35">
      <c r="A83" s="91"/>
      <c r="B83" s="38">
        <f>'4637'!B23</f>
        <v>2</v>
      </c>
      <c r="C83" s="96" t="str">
        <f>'4637'!C23</f>
        <v>E/R 1 CARA MDF 15MM</v>
      </c>
      <c r="D83" s="104">
        <f>'4637'!D23</f>
        <v>900</v>
      </c>
      <c r="E83" s="103">
        <f>'4637'!E23</f>
        <v>550</v>
      </c>
      <c r="F83" s="38" t="str">
        <f>'4637'!F23</f>
        <v>EBANO 2110 MT</v>
      </c>
      <c r="G83" s="1"/>
    </row>
    <row r="84" spans="1:7" s="15" customFormat="1" ht="15" customHeight="1" x14ac:dyDescent="0.35">
      <c r="A84" s="91"/>
      <c r="B84" s="38">
        <f>'4637'!B24</f>
        <v>2</v>
      </c>
      <c r="C84" s="96" t="str">
        <f>'4637'!C24</f>
        <v>E/R 1 CARA MDF 15MM</v>
      </c>
      <c r="D84" s="104">
        <f>'4637'!D24</f>
        <v>900</v>
      </c>
      <c r="E84" s="103">
        <f>'4637'!E24</f>
        <v>419</v>
      </c>
      <c r="F84" s="38" t="str">
        <f>'4637'!F24</f>
        <v>EBANO 2110 MT</v>
      </c>
      <c r="G84" s="1"/>
    </row>
    <row r="85" spans="1:7" s="15" customFormat="1" ht="15" customHeight="1" x14ac:dyDescent="0.35">
      <c r="A85" s="91"/>
      <c r="B85" s="38">
        <f>'4637'!B25</f>
        <v>4</v>
      </c>
      <c r="C85" s="96" t="str">
        <f>'4637'!C25</f>
        <v>E/R 1 CARA MDF 15MM</v>
      </c>
      <c r="D85" s="104">
        <f>'4637'!D25</f>
        <v>900</v>
      </c>
      <c r="E85" s="103">
        <f>'4637'!E25</f>
        <v>548</v>
      </c>
      <c r="F85" s="38" t="str">
        <f>'4637'!F25</f>
        <v>EBANO 2110 MT</v>
      </c>
      <c r="G85" s="1"/>
    </row>
    <row r="86" spans="1:7" s="15" customFormat="1" ht="15" customHeight="1" x14ac:dyDescent="0.35">
      <c r="A86" s="91"/>
      <c r="B86" s="38">
        <f>'4637'!B26</f>
        <v>1</v>
      </c>
      <c r="C86" s="96" t="str">
        <f>'4637'!C26</f>
        <v>E/R SOBRE MDF 15MM</v>
      </c>
      <c r="D86" s="104">
        <f>'4637'!D26</f>
        <v>900</v>
      </c>
      <c r="E86" s="103">
        <f>'4637'!E26</f>
        <v>525</v>
      </c>
      <c r="F86" s="38" t="str">
        <f>'4637'!F26</f>
        <v>ENERGY CURVE RUSTIC BROWM</v>
      </c>
      <c r="G86" s="1"/>
    </row>
    <row r="87" spans="1:7" s="15" customFormat="1" ht="15" customHeight="1" x14ac:dyDescent="0.35">
      <c r="A87" s="91"/>
      <c r="B87" s="38">
        <f>'4637'!B27</f>
        <v>5</v>
      </c>
      <c r="C87" s="96" t="str">
        <f>'4637'!C27</f>
        <v>E/R SOBRE MDF 15MM</v>
      </c>
      <c r="D87" s="104">
        <f>'4637'!D27</f>
        <v>900</v>
      </c>
      <c r="E87" s="103">
        <f>'4637'!E27</f>
        <v>558</v>
      </c>
      <c r="F87" s="38" t="str">
        <f>'4637'!F27</f>
        <v>ENERGY CURVE RUSTIC BROWM</v>
      </c>
      <c r="G87" s="1"/>
    </row>
    <row r="88" spans="1:7" s="15" customFormat="1" ht="15" customHeight="1" x14ac:dyDescent="0.35">
      <c r="A88" s="91"/>
      <c r="B88" s="38">
        <f>'4637'!B28</f>
        <v>2</v>
      </c>
      <c r="C88" s="96" t="str">
        <f>'4637'!C28</f>
        <v>E/R SOBRE MDF 15MM</v>
      </c>
      <c r="D88" s="104">
        <f>'4637'!D28</f>
        <v>900</v>
      </c>
      <c r="E88" s="103">
        <f>'4637'!E28</f>
        <v>600</v>
      </c>
      <c r="F88" s="38" t="str">
        <f>'4637'!F28</f>
        <v>ENERGY CURVE RUSTIC BROWM</v>
      </c>
      <c r="G88" s="1"/>
    </row>
    <row r="89" spans="1:7" s="15" customFormat="1" ht="15" customHeight="1" x14ac:dyDescent="0.35">
      <c r="A89" s="91"/>
      <c r="B89" s="38">
        <f>'4637'!B29</f>
        <v>2</v>
      </c>
      <c r="C89" s="96" t="str">
        <f>'4637'!C29</f>
        <v>E/R SOBRE MDF 15MM</v>
      </c>
      <c r="D89" s="104">
        <f>'4637'!D29</f>
        <v>900</v>
      </c>
      <c r="E89" s="103">
        <f>'4637'!E29</f>
        <v>120</v>
      </c>
      <c r="F89" s="38" t="str">
        <f>'4637'!F29</f>
        <v>ENERGY CURVE RUSTIC BROWM</v>
      </c>
      <c r="G89" s="1"/>
    </row>
    <row r="90" spans="1:7" s="15" customFormat="1" ht="15" customHeight="1" x14ac:dyDescent="0.35">
      <c r="A90" s="91"/>
      <c r="B90" s="38">
        <f>'4637'!B30</f>
        <v>1</v>
      </c>
      <c r="C90" s="96" t="str">
        <f>'4637'!C30</f>
        <v>CUB PT 1 LADO SEGÚN DIBUJO</v>
      </c>
      <c r="D90" s="104">
        <f>'4637'!D30</f>
        <v>3100</v>
      </c>
      <c r="E90" s="103">
        <f>'4637'!E30</f>
        <v>750</v>
      </c>
      <c r="F90" s="38" t="str">
        <f>'4637'!F30</f>
        <v>COLOR POR DEFINIR</v>
      </c>
      <c r="G90" s="1"/>
    </row>
    <row r="91" spans="1:7" s="15" customFormat="1" ht="15" customHeight="1" x14ac:dyDescent="0.3">
      <c r="A91" s="49"/>
      <c r="B91" s="51"/>
      <c r="C91" s="51"/>
      <c r="D91" s="51"/>
      <c r="E91" s="51"/>
      <c r="F91" s="51"/>
      <c r="G91" s="1"/>
    </row>
    <row r="92" spans="1:7" ht="15.6" x14ac:dyDescent="0.3">
      <c r="A92" s="6"/>
      <c r="B92" s="6"/>
      <c r="C92" s="1"/>
      <c r="D92" s="6"/>
      <c r="E92" s="6"/>
      <c r="F92" s="43"/>
      <c r="G92" s="1"/>
    </row>
    <row r="93" spans="1:7" ht="15.6" x14ac:dyDescent="0.3">
      <c r="A93" s="6"/>
      <c r="B93" s="6"/>
      <c r="C93" s="1"/>
      <c r="D93" s="6"/>
      <c r="E93" s="6"/>
      <c r="F93" s="6"/>
      <c r="G93" s="1"/>
    </row>
    <row r="94" spans="1:7" ht="15.6" x14ac:dyDescent="0.3">
      <c r="A94" s="1"/>
      <c r="B94" s="1"/>
      <c r="C94" s="1"/>
      <c r="D94" s="1"/>
      <c r="E94" s="1"/>
      <c r="F94" s="1"/>
      <c r="G94" s="1"/>
    </row>
    <row r="95" spans="1:7" ht="15.6" x14ac:dyDescent="0.3">
      <c r="A95" s="1"/>
      <c r="B95" s="1"/>
      <c r="C95" s="1"/>
      <c r="D95" s="1"/>
      <c r="E95" s="1"/>
      <c r="F95" s="1"/>
      <c r="G95" s="1"/>
    </row>
    <row r="96" spans="1:7" ht="15.6" x14ac:dyDescent="0.3">
      <c r="A96" s="1"/>
      <c r="B96" s="1"/>
      <c r="C96" s="1"/>
      <c r="D96" s="1"/>
      <c r="E96" s="1"/>
      <c r="F96" s="1"/>
      <c r="G96" s="1"/>
    </row>
    <row r="97" spans="1:7" ht="15" customHeight="1" x14ac:dyDescent="0.3">
      <c r="A97" s="1"/>
      <c r="B97" s="1"/>
      <c r="C97" s="1"/>
      <c r="D97" s="1"/>
      <c r="E97" s="1"/>
      <c r="F97" s="1"/>
      <c r="G97" s="1"/>
    </row>
    <row r="98" spans="1:7" ht="15.6" x14ac:dyDescent="0.3">
      <c r="A98" s="1"/>
      <c r="B98" s="1"/>
      <c r="C98" s="1"/>
      <c r="D98" s="1"/>
      <c r="E98" s="1"/>
      <c r="F98" s="1"/>
      <c r="G98" s="1"/>
    </row>
    <row r="99" spans="1:7" ht="15.6" x14ac:dyDescent="0.3">
      <c r="A99" s="6"/>
      <c r="B99" s="50"/>
      <c r="C99" s="1"/>
      <c r="D99" s="1"/>
      <c r="E99" s="1"/>
      <c r="F99" s="1"/>
      <c r="G99" s="1"/>
    </row>
    <row r="100" spans="1:7" ht="15.6" x14ac:dyDescent="0.3">
      <c r="A100" s="1"/>
      <c r="B100" s="1"/>
      <c r="C100" s="1"/>
      <c r="D100" s="1"/>
      <c r="E100" s="1"/>
      <c r="F100" s="1"/>
      <c r="G100" s="1"/>
    </row>
    <row r="101" spans="1:7" x14ac:dyDescent="0.3">
      <c r="B101" s="20"/>
      <c r="C101" s="20"/>
      <c r="D101" s="20"/>
      <c r="E101" s="20"/>
      <c r="F101" s="20"/>
    </row>
    <row r="102" spans="1:7" x14ac:dyDescent="0.3">
      <c r="B102" s="20"/>
      <c r="C102" s="20"/>
      <c r="E102" s="20"/>
      <c r="F102" s="20"/>
    </row>
  </sheetData>
  <mergeCells count="6">
    <mergeCell ref="M3:N3"/>
    <mergeCell ref="A30:F30"/>
    <mergeCell ref="A10:F10"/>
    <mergeCell ref="A77:F77"/>
    <mergeCell ref="B79:F79"/>
    <mergeCell ref="K3:L3"/>
  </mergeCells>
  <pageMargins left="0.70866141732283472" right="0.70866141732283472" top="0.74803149606299213" bottom="0.74803149606299213" header="0.31496062992125984" footer="0.31496062992125984"/>
  <pageSetup scale="66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2024-11-29T19:17:18Z</cp:lastPrinted>
  <dcterms:created xsi:type="dcterms:W3CDTF">2013-03-19T12:54:14Z</dcterms:created>
  <dcterms:modified xsi:type="dcterms:W3CDTF">2024-11-29T19:26:47Z</dcterms:modified>
</cp:coreProperties>
</file>