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NDV 2024\11 NOVIEMBRE 2024\"/>
    </mc:Choice>
  </mc:AlternateContent>
  <xr:revisionPtr revIDLastSave="0" documentId="13_ncr:1_{FA3D3AC5-D40E-4478-A097-0F40CB1F753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CUBIERTA!$A$39:$F$65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1" i="4"/>
  <c r="D53" i="3" l="1"/>
  <c r="D31" i="3" s="1"/>
  <c r="J24" i="3" s="1"/>
  <c r="B31" i="3"/>
  <c r="I24" i="3" s="1"/>
  <c r="B24" i="3" s="1"/>
  <c r="C31" i="3"/>
  <c r="F24" i="3" s="1"/>
  <c r="E31" i="3"/>
  <c r="K24" i="3" s="1"/>
  <c r="F31" i="3"/>
  <c r="B53" i="3"/>
  <c r="C53" i="3"/>
  <c r="E53" i="3"/>
  <c r="F53" i="3"/>
  <c r="K15" i="3" l="1"/>
  <c r="J15" i="3"/>
  <c r="I15" i="3"/>
  <c r="B15" i="3" s="1"/>
  <c r="F15" i="3"/>
  <c r="H26" i="4" l="1"/>
  <c r="B52" i="3"/>
  <c r="C52" i="3"/>
  <c r="D52" i="3"/>
  <c r="E52" i="3"/>
  <c r="F52" i="3"/>
  <c r="B30" i="3"/>
  <c r="C30" i="3"/>
  <c r="F23" i="3" s="1"/>
  <c r="D30" i="3"/>
  <c r="J14" i="3" s="1"/>
  <c r="E30" i="3"/>
  <c r="K14" i="3" s="1"/>
  <c r="F30" i="3"/>
  <c r="H27" i="4" l="1"/>
  <c r="I23" i="3"/>
  <c r="F14" i="3"/>
  <c r="K23" i="3"/>
  <c r="J23" i="3"/>
  <c r="B23" i="3" l="1"/>
  <c r="I14" i="3"/>
  <c r="B14" i="3" s="1"/>
  <c r="H28" i="4"/>
  <c r="N5" i="3" l="1"/>
  <c r="M5" i="3" l="1"/>
  <c r="L5" i="3"/>
  <c r="K5" i="3"/>
  <c r="C45" i="3" l="1"/>
  <c r="C7" i="3"/>
  <c r="D43" i="3"/>
  <c r="D5" i="3"/>
  <c r="D45" i="3"/>
  <c r="D7" i="3"/>
  <c r="D42" i="3"/>
  <c r="D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<sst xmlns="http://schemas.openxmlformats.org/spreadsheetml/2006/main" count="247" uniqueCount="144">
  <si>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</si>
  <si>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</si>
  <si>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</si>
  <si>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</si>
  <si>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</si>
  <si>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</si>
  <si>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</si>
  <si>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</si>
  <si>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</si>
  <si>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</si>
  <si>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</si>
  <si>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</si>
  <si>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</si>
  <si>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</si>
  <si>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</si>
  <si>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</si>
  <si>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</si>
  <si>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</si>
  <si>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</si>
  <si>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</si>
  <si>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</si>
  <si>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</si>
  <si>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</si>
  <si>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</si>
  <si>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</si>
  <si>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</si>
  <si>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</si>
  <si>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</si>
  <si>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</si>
  <si>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</si>
  <si>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</si>
  <si>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</si>
  <si>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</si>
  <si>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</si>
  <si>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</si>
  <si>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</si>
  <si>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</si>
  <si>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</si>
  <si>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</si>
  <si>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</si>
  <si>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</si>
  <si>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</si>
  <si>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</si>
  <si>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</si>
  <si>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</si>
  <si>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</si>
  <si>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</si>
  <si>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</si>
  <si>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</si>
  <si>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</si>
  <si>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</si>
  <si>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</si>
  <si>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</si>
  <si>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</si>
  <si>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</si>
  <si>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</si>
  <si>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</si>
  <si>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</si>
  <si>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</si>
  <si>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</si>
  <si>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</si>
  <si>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</si>
  <si>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</si>
  <si>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</si>
  <si>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</si>
  <si>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</si>
  <si>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</si>
  <si>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</si>
  <si>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</si>
  <si>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</si>
  <si>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</si>
  <si>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</si>
  <si>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</si>
  <si>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</si>
  <si>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</si>
  <si>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</si>
  <si>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</si>
  <si>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</si>
  <si>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</si>
  <si>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</si>
  <si>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</si>
  <si>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</si>
  <si>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</si>
  <si>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</si>
  <si>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</si>
  <si>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</si>
  <si>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</si>
  <si>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</si>
  <si>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</si>
  <si>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</si>
  <si>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</si>
  <si>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</si>
  <si>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</si>
  <si>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</si>
  <si>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</si>
  <si>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</si>
  <si>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</si>
  <si>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</si>
  <si>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</si>
  <si>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</si>
  <si>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</si>
  <si>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</si>
  <si>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</si>
  <si>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</si>
  <si>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</si>
  <si>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</si>
  <si>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</si>
  <si>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</si>
  <si>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</si>
  <si>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</si>
  <si>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</si>
  <si>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</si>
  <si>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</si>
  <si>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</si>
  <si>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</si>
  <si>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</si>
  <si>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</si>
  <si>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</si>
  <si>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</si>
  <si>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</si>
  <si>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</si>
  <si>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</si>
  <si>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</si>
  <si>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</si>
  <si>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</si>
  <si>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</si>
  <si>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</si>
  <si>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</si>
  <si>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</si>
  <si>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</si>
  <si>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</si>
  <si>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</si>
  <si>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</si>
  <si>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</si>
  <si>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</si>
  <si>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</si>
  <si>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</si>
  <si>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NO</t>
  </si>
  <si>
    <t>MELAMIL 18MM</t>
  </si>
  <si>
    <t>N° 11168</t>
  </si>
  <si>
    <t>CRISTIAN FIGUEROA</t>
  </si>
  <si>
    <t>CUB MESA 2 LADOS</t>
  </si>
  <si>
    <t>NEGRO BRILLANTE</t>
  </si>
  <si>
    <t>CUB CON RESPALDO 90°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</si>
</sst>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8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7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166" fontId="3" fillId="0" borderId="0" xfId="0" applyNumberFormat="1" applyFont="1"/>
    <xf numFmtId="1" fontId="15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7" fillId="0" borderId="0" xfId="0" applyFont="1" applyAlignment="1">
      <alignment horizontal="center"/>
    </xf>
    <xf numFmtId="0" fontId="1" fillId="8" borderId="11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/>
    </xf>
    <xf numFmtId="1" fontId="19" fillId="0" borderId="24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20" fillId="0" borderId="0" xfId="0" applyFont="1" applyAlignment="1">
      <alignment horizontal="right"/>
    </xf>
    <xf numFmtId="0" fontId="3" fillId="3" borderId="0" xfId="0" applyFont="1" applyFill="1" applyAlignment="1">
      <alignment horizontal="center"/>
    </xf>
    <xf numFmtId="0" fontId="21" fillId="0" borderId="0" xfId="0" quotePrefix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11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166" fontId="3" fillId="0" borderId="29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166" fontId="3" fillId="0" borderId="27" xfId="1" applyNumberFormat="1" applyFont="1" applyFill="1" applyBorder="1" applyAlignment="1">
      <alignment horizontal="center" vertical="center"/>
    </xf>
    <xf numFmtId="1" fontId="15" fillId="0" borderId="29" xfId="0" applyNumberFormat="1" applyFont="1" applyBorder="1" applyAlignment="1">
      <alignment horizontal="center" vertical="center"/>
    </xf>
    <xf numFmtId="1" fontId="15" fillId="0" borderId="30" xfId="0" applyNumberFormat="1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084445"/>
          <a:ext cx="56007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900" b="1" i="1"/>
            <a:t>OBSERVACIONES: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CUBIERTAS SE ENTREGAN SOBREMEDIDAS EN EL LARGO</a:t>
          </a:r>
          <a:endParaRPr lang="es-CL" sz="900">
            <a:effectLst/>
          </a:endParaRPr>
        </a:p>
        <a:p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MESA 2 LADOS ENCHAPADO CON REGRUESO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1 LADO DEL LARGO</a:t>
          </a:r>
          <a:endParaRPr lang="es-CL" sz="900">
            <a:effectLst/>
          </a:endParaRPr>
        </a:p>
        <a:p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REGRUESO 2cm PARA ENCAJAR CON EL MUEBLE INTERIOR.</a:t>
          </a:r>
          <a:endParaRPr lang="es-CL" sz="900">
            <a:effectLst/>
          </a:endParaRP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46</xdr:row>
      <xdr:rowOff>171450</xdr:rowOff>
    </xdr:from>
    <xdr:to>
      <xdr:col>5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38100</xdr:rowOff>
    </xdr:from>
    <xdr:to>
      <xdr:col>6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33</xdr:row>
      <xdr:rowOff>15239</xdr:rowOff>
    </xdr:from>
    <xdr:to>
      <xdr:col>6</xdr:col>
      <xdr:colOff>68580</xdr:colOff>
      <xdr:row>37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CUBIERTAS SE ENTREGAN SOBREMEDIDAS EN EL LARGO</a:t>
          </a:r>
          <a:endParaRPr lang="es-CL">
            <a:effectLst/>
          </a:endParaRPr>
        </a:p>
        <a:p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MESA 2 LADOS ENCHAPADO CON REGRUESO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1 LADO DEL LARGO</a:t>
          </a:r>
          <a:endParaRPr lang="es-CL">
            <a:effectLst/>
          </a:endParaRPr>
        </a:p>
        <a:p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REGRUESO 2cm PARA ENCAJAR CON EL MUEBLE INTERIOR.</a:t>
          </a:r>
          <a:endParaRPr lang="es-CL">
            <a:effectLst/>
          </a:endParaRPr>
        </a:p>
        <a:p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19050</xdr:colOff>
      <xdr:row>62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44855" y="1097470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CUBIERTAS SE ENTREGAN SOBREMEDIDAS EN EL LARGO</a:t>
          </a:r>
          <a:endParaRPr lang="es-CL">
            <a:effectLst/>
          </a:endParaRPr>
        </a:p>
        <a:p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MESA 2 LADOS ENCHAPADO CON REGRUESO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1 LADO DEL LARGO</a:t>
          </a:r>
          <a:endParaRPr lang="es-CL">
            <a:effectLst/>
          </a:endParaRPr>
        </a:p>
        <a:p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REGRUESO 2cm PARA ENCAJAR CON EL MUEBLE INTERIOR.</a:t>
          </a:r>
          <a:endParaRPr lang="es-CL">
            <a:effectLst/>
          </a:endParaRPr>
        </a:p>
        <a:p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194310</xdr:rowOff>
    </xdr:from>
    <xdr:to>
      <xdr:col>2</xdr:col>
      <xdr:colOff>100723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7" workbookViewId="0">
      <selection activeCell="D22" sqref="D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" customWidth="1"/>
    <col min="4" max="5" width="9.109375" customWidth="1"/>
    <col min="6" max="6" width="38.332031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6" t="s">
        <v>16</v>
      </c>
      <c r="C8" s="87"/>
      <c r="D8" s="88" t="s">
        <v>139</v>
      </c>
      <c r="E8" s="1"/>
      <c r="F8" s="89" t="s">
        <v>27</v>
      </c>
      <c r="G8" s="90">
        <v>7128</v>
      </c>
      <c r="H8" s="1"/>
      <c r="I8" s="1"/>
    </row>
    <row r="9" spans="1:17" ht="16.2" thickBot="1" x14ac:dyDescent="0.35">
      <c r="A9" s="1"/>
      <c r="B9" s="1"/>
      <c r="C9" s="1"/>
      <c r="D9" s="7"/>
      <c r="E9" s="1"/>
      <c r="F9" s="1"/>
      <c r="G9" s="1"/>
      <c r="H9" s="1"/>
      <c r="I9" s="1"/>
    </row>
    <row r="10" spans="1:17" ht="16.2" thickBot="1" x14ac:dyDescent="0.35">
      <c r="A10" s="1"/>
      <c r="B10" s="53" t="s">
        <v>130</v>
      </c>
      <c r="C10" s="82" t="s">
        <v>140</v>
      </c>
      <c r="D10" s="54"/>
      <c r="E10" s="54"/>
      <c r="F10" s="55" t="s">
        <v>28</v>
      </c>
      <c r="G10" s="56">
        <v>45616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2"/>
      <c r="D11" s="59"/>
      <c r="E11" s="59"/>
      <c r="F11" s="59" t="s">
        <v>124</v>
      </c>
      <c r="G11" s="60">
        <v>45621</v>
      </c>
      <c r="H11" s="61"/>
      <c r="I11" s="1"/>
    </row>
    <row r="12" spans="1:17" ht="16.8" x14ac:dyDescent="0.4">
      <c r="A12" s="1"/>
      <c r="B12" s="62" t="s">
        <v>133</v>
      </c>
      <c r="C12" s="103"/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135</v>
      </c>
      <c r="D13" s="42"/>
      <c r="E13" s="42"/>
      <c r="F13" s="42" t="s">
        <v>129</v>
      </c>
      <c r="G13" s="63" t="s">
        <v>132</v>
      </c>
      <c r="H13" s="64"/>
      <c r="I13" s="1"/>
    </row>
    <row r="14" spans="1:17" ht="15.6" x14ac:dyDescent="0.3">
      <c r="A14" s="1"/>
      <c r="B14" s="58" t="s">
        <v>17</v>
      </c>
      <c r="C14" s="113"/>
      <c r="D14" s="65"/>
      <c r="E14" s="59"/>
      <c r="F14" s="59" t="s">
        <v>29</v>
      </c>
      <c r="G14" s="59" t="s">
        <v>137</v>
      </c>
      <c r="H14" s="61"/>
      <c r="I14" s="1"/>
    </row>
    <row r="15" spans="1:17" ht="15.6" x14ac:dyDescent="0.3">
      <c r="A15" s="1"/>
      <c r="B15" s="62" t="s">
        <v>1</v>
      </c>
      <c r="D15" s="42"/>
      <c r="E15" s="42"/>
      <c r="F15" s="66" t="s">
        <v>75</v>
      </c>
      <c r="G15" s="66" t="s">
        <v>127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134</v>
      </c>
      <c r="D16" s="68"/>
      <c r="E16" s="69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6.2" thickBot="1" x14ac:dyDescent="0.35">
      <c r="A20" s="1"/>
      <c r="B20" s="105" t="s">
        <v>20</v>
      </c>
      <c r="C20" s="106" t="s">
        <v>21</v>
      </c>
      <c r="D20" s="106" t="s">
        <v>22</v>
      </c>
      <c r="E20" s="106" t="s">
        <v>8</v>
      </c>
      <c r="F20" s="107" t="s">
        <v>23</v>
      </c>
      <c r="G20" s="105" t="s">
        <v>24</v>
      </c>
      <c r="H20" s="107" t="s">
        <v>4</v>
      </c>
      <c r="I20" s="1"/>
    </row>
    <row r="21" spans="1:16" ht="18" customHeight="1" x14ac:dyDescent="0.3">
      <c r="A21" s="1"/>
      <c r="B21" s="127">
        <v>1</v>
      </c>
      <c r="C21" s="128" t="s">
        <v>141</v>
      </c>
      <c r="D21" s="135">
        <v>2500</v>
      </c>
      <c r="E21" s="135">
        <v>600</v>
      </c>
      <c r="F21" s="128" t="s">
        <v>142</v>
      </c>
      <c r="G21" s="129">
        <v>100860</v>
      </c>
      <c r="H21" s="130">
        <f>G21*B21</f>
        <v>100860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31">
        <v>1</v>
      </c>
      <c r="C22" s="132" t="s">
        <v>143</v>
      </c>
      <c r="D22" s="136">
        <v>1900</v>
      </c>
      <c r="E22" s="136">
        <v>600</v>
      </c>
      <c r="F22" s="132" t="s">
        <v>142</v>
      </c>
      <c r="G22" s="133">
        <v>77404</v>
      </c>
      <c r="H22" s="134">
        <f t="shared" ref="H22" si="0">G22*B22</f>
        <v>77404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2"/>
      <c r="C23" s="92"/>
      <c r="D23" s="101"/>
      <c r="E23" s="101"/>
      <c r="F23" s="92"/>
      <c r="G23" s="71"/>
      <c r="H23" s="94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2"/>
      <c r="C24" s="92"/>
      <c r="D24" s="92"/>
      <c r="E24" s="92"/>
      <c r="F24" s="93"/>
      <c r="G24" s="94"/>
      <c r="H24" s="94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0"/>
      <c r="C25" s="70"/>
      <c r="D25" s="70"/>
      <c r="E25" s="70"/>
      <c r="F25" s="70"/>
      <c r="G25" s="71"/>
      <c r="H25" s="71"/>
      <c r="I25" s="1"/>
    </row>
    <row r="26" spans="1:16" ht="15.6" x14ac:dyDescent="0.3">
      <c r="A26" s="1"/>
      <c r="B26" s="1"/>
      <c r="C26" s="1"/>
      <c r="D26" s="1"/>
      <c r="E26" s="1"/>
      <c r="F26" s="1"/>
      <c r="G26" s="72" t="s">
        <v>5</v>
      </c>
      <c r="H26" s="73">
        <f>SUM(H21:H25)</f>
        <v>178264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4" t="s">
        <v>6</v>
      </c>
      <c r="H27" s="75">
        <f>H26*19%</f>
        <v>33870.160000000003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6" t="s">
        <v>4</v>
      </c>
      <c r="H28" s="77">
        <f>H26+H27</f>
        <v>212134.16</v>
      </c>
      <c r="I28" s="100"/>
    </row>
    <row r="29" spans="1:16" ht="15.6" x14ac:dyDescent="0.3">
      <c r="A29" s="1"/>
      <c r="B29" s="1"/>
      <c r="C29" s="1"/>
      <c r="D29" s="1"/>
      <c r="E29" s="1"/>
      <c r="F29" s="1"/>
      <c r="G29" s="51"/>
      <c r="H29" s="95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78" t="s">
        <v>123</v>
      </c>
      <c r="C31" s="79"/>
      <c r="D31" s="80"/>
      <c r="E31" s="80"/>
      <c r="F31" s="70"/>
      <c r="G31" s="1"/>
      <c r="H31" s="1"/>
      <c r="I31" s="1"/>
    </row>
    <row r="32" spans="1:16" ht="15.6" x14ac:dyDescent="0.3">
      <c r="A32" s="1"/>
      <c r="B32" s="78" t="s">
        <v>122</v>
      </c>
      <c r="C32" s="79"/>
      <c r="D32" s="80"/>
      <c r="E32" s="80"/>
      <c r="F32" s="70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1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1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tabSelected="1" zoomScaleNormal="100" workbookViewId="0">
      <selection activeCell="E16" sqref="E1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39" t="s">
        <v>27</v>
      </c>
      <c r="D4" s="14">
        <f>'4637'!G8</f>
        <v>7128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CRISTIAN FIGUEROA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45621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20</v>
      </c>
      <c r="E13" s="32">
        <v>20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1" t="s">
        <v>131</v>
      </c>
      <c r="B14" s="25">
        <f t="shared" ref="B14" si="0">I14</f>
        <v>1</v>
      </c>
      <c r="C14" s="25"/>
      <c r="D14" s="25">
        <v>2550</v>
      </c>
      <c r="E14" s="35">
        <v>600</v>
      </c>
      <c r="F14" s="97" t="str">
        <f t="shared" ref="F14" si="1">C30</f>
        <v>CUB MESA 2 LADOS</v>
      </c>
      <c r="G14" s="1"/>
      <c r="I14" s="3">
        <f>I23</f>
        <v>1</v>
      </c>
      <c r="J14" s="4">
        <f t="shared" ref="J14:K14" si="2">D30</f>
        <v>2500</v>
      </c>
      <c r="K14" s="4">
        <f t="shared" si="2"/>
        <v>600</v>
      </c>
    </row>
    <row r="15" spans="1:14" ht="15.6" x14ac:dyDescent="0.3">
      <c r="A15" s="111"/>
      <c r="B15" s="25">
        <f t="shared" ref="B15" si="3">I15</f>
        <v>1</v>
      </c>
      <c r="C15" s="25"/>
      <c r="D15" s="25">
        <v>1950</v>
      </c>
      <c r="E15" s="35">
        <v>570</v>
      </c>
      <c r="F15" s="97" t="str">
        <f>C31</f>
        <v>CUB CON RESPALDO 90°</v>
      </c>
      <c r="G15" s="1"/>
      <c r="I15" s="3">
        <f>I24</f>
        <v>1</v>
      </c>
      <c r="J15" s="4">
        <f>D31</f>
        <v>1900</v>
      </c>
      <c r="K15" s="4">
        <f>E31</f>
        <v>600</v>
      </c>
    </row>
    <row r="16" spans="1:14" ht="15.6" x14ac:dyDescent="0.3">
      <c r="A16" s="91"/>
      <c r="B16" s="6"/>
      <c r="C16" s="6"/>
      <c r="D16" s="6"/>
      <c r="E16" s="112"/>
      <c r="F16" s="99"/>
      <c r="G16" s="1"/>
      <c r="I16" s="85"/>
      <c r="J16" s="2"/>
      <c r="K16" s="2"/>
    </row>
    <row r="17" spans="1:11" ht="15.6" x14ac:dyDescent="0.3">
      <c r="A17" s="91"/>
      <c r="B17" s="6"/>
      <c r="C17" s="6"/>
      <c r="D17" s="6"/>
      <c r="E17" s="112"/>
      <c r="F17" s="99"/>
      <c r="G17" s="1"/>
      <c r="I17" s="85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2" t="s">
        <v>14</v>
      </c>
      <c r="B19" s="122"/>
      <c r="C19" s="122"/>
      <c r="D19" s="122"/>
      <c r="E19" s="122"/>
      <c r="F19" s="122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1" t="s">
        <v>7</v>
      </c>
      <c r="E21" s="51" t="s">
        <v>8</v>
      </c>
      <c r="F21" s="1"/>
      <c r="G21" s="1"/>
    </row>
    <row r="22" spans="1:11" ht="15.6" x14ac:dyDescent="0.3">
      <c r="A22" s="51" t="s">
        <v>9</v>
      </c>
      <c r="B22" s="36" t="s">
        <v>10</v>
      </c>
      <c r="C22" s="36" t="s">
        <v>11</v>
      </c>
      <c r="D22" s="21">
        <v>40</v>
      </c>
      <c r="E22" s="21">
        <v>90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1" t="s">
        <v>131</v>
      </c>
      <c r="B23" s="16">
        <f t="shared" ref="B23" si="4">I23</f>
        <v>1</v>
      </c>
      <c r="C23" s="16"/>
      <c r="D23" s="16">
        <v>2540</v>
      </c>
      <c r="E23" s="16">
        <v>700</v>
      </c>
      <c r="F23" s="98" t="str">
        <f t="shared" ref="F23" si="5">C30</f>
        <v>CUB MESA 2 LADOS</v>
      </c>
      <c r="G23" s="1"/>
      <c r="I23" s="3">
        <f t="shared" ref="I23" si="6">B30</f>
        <v>1</v>
      </c>
      <c r="J23" s="4">
        <f>D30</f>
        <v>2500</v>
      </c>
      <c r="K23" s="4">
        <f>E30</f>
        <v>600</v>
      </c>
    </row>
    <row r="24" spans="1:11" ht="15.6" x14ac:dyDescent="0.3">
      <c r="A24" s="111" t="s">
        <v>138</v>
      </c>
      <c r="B24" s="16">
        <f t="shared" ref="B24" si="7">I24</f>
        <v>1</v>
      </c>
      <c r="C24" s="16"/>
      <c r="D24" s="16">
        <v>1940</v>
      </c>
      <c r="E24" s="16">
        <v>730</v>
      </c>
      <c r="F24" s="98" t="str">
        <f>C31</f>
        <v>CUB CON RESPALDO 90°</v>
      </c>
      <c r="G24" s="1"/>
      <c r="I24" s="3">
        <f>B31</f>
        <v>1</v>
      </c>
      <c r="J24" s="4">
        <f t="shared" ref="J24:K24" si="8">D31</f>
        <v>1900</v>
      </c>
      <c r="K24" s="4">
        <f t="shared" si="8"/>
        <v>600</v>
      </c>
    </row>
    <row r="25" spans="1:11" ht="15.6" x14ac:dyDescent="0.3">
      <c r="A25" s="91"/>
      <c r="B25" s="6"/>
      <c r="C25" s="6"/>
      <c r="D25" s="6"/>
      <c r="E25" s="6"/>
      <c r="F25" s="99"/>
      <c r="G25" s="1"/>
      <c r="I25" s="85"/>
      <c r="J25" s="2"/>
      <c r="K25" s="2"/>
    </row>
    <row r="26" spans="1:11" ht="16.2" thickBot="1" x14ac:dyDescent="0.35">
      <c r="A26" s="51"/>
      <c r="B26" s="6"/>
      <c r="C26" s="6"/>
      <c r="D26" s="6"/>
      <c r="E26" s="6"/>
      <c r="F26" s="6"/>
      <c r="G26" s="1"/>
      <c r="I26" s="2"/>
      <c r="J26" s="2"/>
      <c r="K26" s="2"/>
    </row>
    <row r="27" spans="1:11" ht="16.2" thickBot="1" x14ac:dyDescent="0.35">
      <c r="A27" s="51"/>
      <c r="B27" s="22" t="s">
        <v>107</v>
      </c>
      <c r="C27" s="23"/>
      <c r="D27" s="23"/>
      <c r="E27" s="23"/>
      <c r="F27" s="24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51" t="s">
        <v>9</v>
      </c>
      <c r="B29" s="84" t="s">
        <v>10</v>
      </c>
      <c r="C29" s="84" t="s">
        <v>110</v>
      </c>
      <c r="D29" s="84" t="s">
        <v>7</v>
      </c>
      <c r="E29" s="84" t="s">
        <v>8</v>
      </c>
      <c r="F29" s="84" t="s">
        <v>23</v>
      </c>
      <c r="G29" s="1"/>
    </row>
    <row r="30" spans="1:11" ht="15.6" x14ac:dyDescent="0.3">
      <c r="A30" s="91" t="s">
        <v>136</v>
      </c>
      <c r="B30" s="25">
        <f>'4637'!B21</f>
        <v>1</v>
      </c>
      <c r="C30" s="97" t="str">
        <f>'4637'!C21</f>
        <v>CUB MESA 2 LADOS</v>
      </c>
      <c r="D30" s="25">
        <f>'4637'!D21</f>
        <v>2500</v>
      </c>
      <c r="E30" s="25">
        <f>'4637'!E21</f>
        <v>600</v>
      </c>
      <c r="F30" s="25" t="str">
        <f>'4637'!F21</f>
        <v>NEGRO BRILLANTE</v>
      </c>
      <c r="G30" s="1"/>
    </row>
    <row r="31" spans="1:11" ht="15.6" x14ac:dyDescent="0.3">
      <c r="A31" s="111"/>
      <c r="B31" s="25">
        <f>'4637'!B22</f>
        <v>1</v>
      </c>
      <c r="C31" s="97" t="str">
        <f>'4637'!C22</f>
        <v>CUB CON RESPALDO 90°</v>
      </c>
      <c r="D31" s="110">
        <f>D53</f>
        <v>1900</v>
      </c>
      <c r="E31" s="25">
        <f>'4637'!E22</f>
        <v>600</v>
      </c>
      <c r="F31" s="25" t="str">
        <f>'4637'!F22</f>
        <v>NEGRO BRILLANTE</v>
      </c>
      <c r="G31" s="1"/>
    </row>
    <row r="32" spans="1:11" ht="15.6" x14ac:dyDescent="0.3">
      <c r="A32" s="5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39" t="s">
        <v>27</v>
      </c>
      <c r="D42" s="14">
        <f>'4637'!G8</f>
        <v>7128</v>
      </c>
      <c r="E42" s="1"/>
      <c r="F42" s="1"/>
      <c r="G42" s="1"/>
    </row>
    <row r="43" spans="1:7" ht="17.25" customHeight="1" x14ac:dyDescent="0.3">
      <c r="A43" s="1"/>
      <c r="B43" s="1"/>
      <c r="C43" s="40" t="s">
        <v>67</v>
      </c>
      <c r="D43" s="41" t="str">
        <f>'4637'!C10</f>
        <v>CRISTIAN FIGUEROA</v>
      </c>
      <c r="E43" s="42"/>
      <c r="F43" s="42"/>
      <c r="G43" s="1"/>
    </row>
    <row r="44" spans="1:7" ht="4.5" customHeight="1" x14ac:dyDescent="0.3">
      <c r="A44" s="1"/>
      <c r="B44" s="1"/>
      <c r="C44" s="43"/>
      <c r="D44" s="44"/>
      <c r="E44" s="1"/>
      <c r="F44" s="1"/>
      <c r="G44" s="1"/>
    </row>
    <row r="45" spans="1:7" ht="15.6" x14ac:dyDescent="0.3">
      <c r="A45" s="1"/>
      <c r="B45" s="1"/>
      <c r="C45" s="45" t="str">
        <f>'4637'!F11</f>
        <v>FECHA LIMITE :</v>
      </c>
      <c r="D45" s="13">
        <f>'4637'!G11</f>
        <v>45621</v>
      </c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22" t="s">
        <v>68</v>
      </c>
      <c r="B48" s="122"/>
      <c r="C48" s="122"/>
      <c r="D48" s="122"/>
      <c r="E48" s="122"/>
      <c r="F48" s="122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75" customHeight="1" x14ac:dyDescent="0.3">
      <c r="A50" s="1"/>
      <c r="B50" s="123" t="s">
        <v>69</v>
      </c>
      <c r="C50" s="124"/>
      <c r="D50" s="125"/>
      <c r="E50" s="125"/>
      <c r="F50" s="126"/>
      <c r="G50" s="1"/>
    </row>
    <row r="51" spans="1:7" s="15" customFormat="1" ht="12.75" customHeight="1" x14ac:dyDescent="0.3">
      <c r="A51" s="1"/>
      <c r="B51" s="36" t="s">
        <v>10</v>
      </c>
      <c r="C51" s="46" t="s">
        <v>11</v>
      </c>
      <c r="D51" s="47" t="s">
        <v>7</v>
      </c>
      <c r="E51" s="47" t="s">
        <v>8</v>
      </c>
      <c r="F51" s="48" t="s">
        <v>12</v>
      </c>
      <c r="G51" s="1"/>
    </row>
    <row r="52" spans="1:7" s="15" customFormat="1" ht="15" customHeight="1" x14ac:dyDescent="0.35">
      <c r="A52" s="91"/>
      <c r="B52" s="38">
        <f>'4637'!B21</f>
        <v>1</v>
      </c>
      <c r="C52" s="96" t="str">
        <f>'4637'!C21</f>
        <v>CUB MESA 2 LADOS</v>
      </c>
      <c r="D52" s="108">
        <f>'4637'!D21</f>
        <v>2500</v>
      </c>
      <c r="E52" s="108">
        <f>'4637'!E21</f>
        <v>600</v>
      </c>
      <c r="F52" s="38" t="str">
        <f>'4637'!F21</f>
        <v>NEGRO BRILLANTE</v>
      </c>
      <c r="G52" s="1"/>
    </row>
    <row r="53" spans="1:7" s="15" customFormat="1" ht="15" customHeight="1" x14ac:dyDescent="0.35">
      <c r="A53" s="91"/>
      <c r="B53" s="38">
        <f>'4637'!B22</f>
        <v>1</v>
      </c>
      <c r="C53" s="96" t="str">
        <f>'4637'!C22</f>
        <v>CUB CON RESPALDO 90°</v>
      </c>
      <c r="D53" s="109">
        <f>'4637'!D22</f>
        <v>1900</v>
      </c>
      <c r="E53" s="108">
        <f>'4637'!E22</f>
        <v>600</v>
      </c>
      <c r="F53" s="38" t="str">
        <f>'4637'!F22</f>
        <v>NEGRO BRILLANTE</v>
      </c>
      <c r="G53" s="1"/>
    </row>
    <row r="54" spans="1:7" s="15" customFormat="1" ht="15" customHeight="1" x14ac:dyDescent="0.3">
      <c r="A54" s="91"/>
      <c r="B54" s="51"/>
      <c r="C54" s="104"/>
      <c r="D54" s="51"/>
      <c r="E54" s="51"/>
      <c r="F54" s="51"/>
      <c r="G54" s="1"/>
    </row>
    <row r="55" spans="1:7" s="15" customFormat="1" ht="15" customHeight="1" x14ac:dyDescent="0.3">
      <c r="A55" s="49"/>
      <c r="B55" s="51"/>
      <c r="C55" s="51"/>
      <c r="D55" s="51"/>
      <c r="E55" s="51"/>
      <c r="F55" s="51"/>
      <c r="G55" s="1"/>
    </row>
    <row r="56" spans="1:7" ht="15.6" x14ac:dyDescent="0.3">
      <c r="A56" s="6"/>
      <c r="B56" s="6"/>
      <c r="C56" s="1"/>
      <c r="D56" s="6"/>
      <c r="E56" s="6"/>
      <c r="F56" s="43"/>
      <c r="G56" s="1"/>
    </row>
    <row r="57" spans="1:7" ht="15.6" x14ac:dyDescent="0.3">
      <c r="A57" s="6"/>
      <c r="B57" s="6"/>
      <c r="C57" s="1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6"/>
      <c r="B63" s="50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2:6" x14ac:dyDescent="0.3">
      <c r="B65" s="20"/>
      <c r="C65" s="20"/>
      <c r="D65" s="20"/>
      <c r="E65" s="20"/>
      <c r="F65" s="20"/>
    </row>
    <row r="66" spans="2:6" x14ac:dyDescent="0.3">
      <c r="B66" s="20"/>
      <c r="C66" s="20"/>
      <c r="E66" s="20"/>
      <c r="F66" s="20"/>
    </row>
  </sheetData>
  <mergeCells count="6">
    <mergeCell ref="M3:N3"/>
    <mergeCell ref="A19:F19"/>
    <mergeCell ref="A10:F10"/>
    <mergeCell ref="A48:F48"/>
    <mergeCell ref="B50:F50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2024-11-19T11:54:55Z</cp:lastPrinted>
  <dcterms:created xsi:type="dcterms:W3CDTF">2013-03-19T12:54:14Z</dcterms:created>
  <dcterms:modified xsi:type="dcterms:W3CDTF">2024-11-21T19:49:28Z</dcterms:modified>
</cp:coreProperties>
</file>