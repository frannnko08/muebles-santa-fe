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11 NOVIEMBRE 2024\"/>
    </mc:Choice>
  </mc:AlternateContent>
  <xr:revisionPtr revIDLastSave="0" documentId="13_ncr:1_{4A73FF92-B3D8-4773-90D6-771B39BF8B2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'4637'!$A$1:$H$42</definedName>
    <definedName name="_xlnm.Print_Area" localSheetId="2">CUBIERTA!$A$1:$G$71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" i="3" l="1"/>
  <c r="E38" i="3"/>
  <c r="E39" i="3"/>
  <c r="E40" i="3"/>
  <c r="E41" i="3"/>
  <c r="E42" i="3"/>
  <c r="E43" i="3"/>
  <c r="E44" i="3"/>
  <c r="E45" i="3"/>
  <c r="E46" i="3"/>
  <c r="E36" i="3"/>
  <c r="D18" i="3"/>
  <c r="D19" i="3"/>
  <c r="D20" i="3"/>
  <c r="D21" i="3"/>
  <c r="D22" i="3"/>
  <c r="D23" i="3"/>
  <c r="D24" i="3"/>
  <c r="D25" i="3"/>
  <c r="D26" i="3"/>
  <c r="D27" i="3"/>
  <c r="D17" i="3"/>
  <c r="E18" i="3"/>
  <c r="E19" i="3"/>
  <c r="E20" i="3"/>
  <c r="E21" i="3"/>
  <c r="E22" i="3"/>
  <c r="E23" i="3"/>
  <c r="E24" i="3"/>
  <c r="E25" i="3"/>
  <c r="E26" i="3"/>
  <c r="E27" i="3"/>
  <c r="E17" i="3"/>
  <c r="B56" i="3"/>
  <c r="I39" i="3" s="1"/>
  <c r="B39" i="3" s="1"/>
  <c r="C56" i="3"/>
  <c r="F39" i="3" s="1"/>
  <c r="E56" i="3"/>
  <c r="K39" i="3" s="1"/>
  <c r="F56" i="3"/>
  <c r="B57" i="3"/>
  <c r="I40" i="3" s="1"/>
  <c r="B40" i="3" s="1"/>
  <c r="C57" i="3"/>
  <c r="F40" i="3" s="1"/>
  <c r="E57" i="3"/>
  <c r="K40" i="3" s="1"/>
  <c r="F57" i="3"/>
  <c r="B58" i="3"/>
  <c r="I41" i="3" s="1"/>
  <c r="B41" i="3" s="1"/>
  <c r="C58" i="3"/>
  <c r="F41" i="3" s="1"/>
  <c r="E58" i="3"/>
  <c r="K41" i="3" s="1"/>
  <c r="F58" i="3"/>
  <c r="B59" i="3"/>
  <c r="I42" i="3" s="1"/>
  <c r="B42" i="3" s="1"/>
  <c r="C59" i="3"/>
  <c r="F42" i="3" s="1"/>
  <c r="E59" i="3"/>
  <c r="K42" i="3" s="1"/>
  <c r="F59" i="3"/>
  <c r="B60" i="3"/>
  <c r="I43" i="3" s="1"/>
  <c r="B43" i="3" s="1"/>
  <c r="C60" i="3"/>
  <c r="F24" i="3" s="1"/>
  <c r="E60" i="3"/>
  <c r="K43" i="3" s="1"/>
  <c r="F60" i="3"/>
  <c r="B61" i="3"/>
  <c r="I44" i="3" s="1"/>
  <c r="B44" i="3" s="1"/>
  <c r="C61" i="3"/>
  <c r="F44" i="3" s="1"/>
  <c r="E61" i="3"/>
  <c r="K44" i="3" s="1"/>
  <c r="F61" i="3"/>
  <c r="B62" i="3"/>
  <c r="I45" i="3" s="1"/>
  <c r="B45" i="3" s="1"/>
  <c r="C62" i="3"/>
  <c r="F45" i="3" s="1"/>
  <c r="E62" i="3"/>
  <c r="K45" i="3" s="1"/>
  <c r="F62" i="3"/>
  <c r="B63" i="3"/>
  <c r="I46" i="3" s="1"/>
  <c r="B46" i="3" s="1"/>
  <c r="C63" i="3"/>
  <c r="F46" i="3" s="1"/>
  <c r="E63" i="3"/>
  <c r="K46" i="3" s="1"/>
  <c r="F63" i="3"/>
  <c r="B88" i="3"/>
  <c r="C88" i="3"/>
  <c r="D88" i="3"/>
  <c r="D56" i="3" s="1"/>
  <c r="J39" i="3" s="1"/>
  <c r="D39" i="3" s="1"/>
  <c r="E88" i="3"/>
  <c r="F88" i="3"/>
  <c r="B89" i="3"/>
  <c r="C89" i="3"/>
  <c r="D89" i="3"/>
  <c r="D57" i="3" s="1"/>
  <c r="J40" i="3" s="1"/>
  <c r="D40" i="3" s="1"/>
  <c r="E89" i="3"/>
  <c r="F89" i="3"/>
  <c r="B90" i="3"/>
  <c r="C90" i="3"/>
  <c r="D90" i="3"/>
  <c r="D58" i="3" s="1"/>
  <c r="J41" i="3" s="1"/>
  <c r="D41" i="3" s="1"/>
  <c r="E90" i="3"/>
  <c r="F90" i="3"/>
  <c r="B91" i="3"/>
  <c r="C91" i="3"/>
  <c r="D91" i="3"/>
  <c r="D59" i="3" s="1"/>
  <c r="J42" i="3" s="1"/>
  <c r="D42" i="3" s="1"/>
  <c r="E91" i="3"/>
  <c r="F91" i="3"/>
  <c r="B92" i="3"/>
  <c r="C92" i="3"/>
  <c r="D92" i="3"/>
  <c r="D60" i="3" s="1"/>
  <c r="J43" i="3" s="1"/>
  <c r="D43" i="3" s="1"/>
  <c r="E92" i="3"/>
  <c r="F92" i="3"/>
  <c r="B93" i="3"/>
  <c r="C93" i="3"/>
  <c r="D93" i="3"/>
  <c r="D61" i="3" s="1"/>
  <c r="J44" i="3" s="1"/>
  <c r="D44" i="3" s="1"/>
  <c r="E93" i="3"/>
  <c r="F93" i="3"/>
  <c r="B94" i="3"/>
  <c r="C94" i="3"/>
  <c r="D94" i="3"/>
  <c r="D62" i="3" s="1"/>
  <c r="J45" i="3" s="1"/>
  <c r="D45" i="3" s="1"/>
  <c r="E94" i="3"/>
  <c r="F94" i="3"/>
  <c r="B95" i="3"/>
  <c r="C95" i="3"/>
  <c r="D95" i="3"/>
  <c r="D63" i="3" s="1"/>
  <c r="J46" i="3" s="1"/>
  <c r="D46" i="3" s="1"/>
  <c r="E95" i="3"/>
  <c r="F95" i="3"/>
  <c r="D86" i="3"/>
  <c r="D54" i="3" s="1"/>
  <c r="J37" i="3" s="1"/>
  <c r="D37" i="3" s="1"/>
  <c r="D87" i="3"/>
  <c r="D55" i="3" s="1"/>
  <c r="J38" i="3" s="1"/>
  <c r="D38" i="3" s="1"/>
  <c r="D85" i="3"/>
  <c r="D53" i="3" s="1"/>
  <c r="J36" i="3" s="1"/>
  <c r="D36" i="3" s="1"/>
  <c r="B53" i="3"/>
  <c r="I36" i="3" s="1"/>
  <c r="B36" i="3" s="1"/>
  <c r="C53" i="3"/>
  <c r="F36" i="3" s="1"/>
  <c r="E53" i="3"/>
  <c r="K36" i="3" s="1"/>
  <c r="F53" i="3"/>
  <c r="B54" i="3"/>
  <c r="I37" i="3" s="1"/>
  <c r="B37" i="3" s="1"/>
  <c r="C54" i="3"/>
  <c r="F37" i="3" s="1"/>
  <c r="E54" i="3"/>
  <c r="K37" i="3" s="1"/>
  <c r="F54" i="3"/>
  <c r="B55" i="3"/>
  <c r="I38" i="3" s="1"/>
  <c r="B38" i="3" s="1"/>
  <c r="C55" i="3"/>
  <c r="F38" i="3" s="1"/>
  <c r="E55" i="3"/>
  <c r="K38" i="3" s="1"/>
  <c r="F55" i="3"/>
  <c r="B85" i="3"/>
  <c r="C85" i="3"/>
  <c r="E85" i="3"/>
  <c r="F85" i="3"/>
  <c r="B86" i="3"/>
  <c r="C86" i="3"/>
  <c r="E86" i="3"/>
  <c r="F86" i="3"/>
  <c r="B87" i="3"/>
  <c r="C87" i="3"/>
  <c r="E87" i="3"/>
  <c r="F87" i="3"/>
  <c r="K27" i="3" l="1"/>
  <c r="K26" i="3"/>
  <c r="J27" i="3"/>
  <c r="J26" i="3"/>
  <c r="I27" i="3"/>
  <c r="B27" i="3" s="1"/>
  <c r="I26" i="3"/>
  <c r="B26" i="3" s="1"/>
  <c r="F27" i="3"/>
  <c r="F26" i="3"/>
  <c r="K23" i="3"/>
  <c r="J23" i="3"/>
  <c r="K20" i="3"/>
  <c r="J20" i="3"/>
  <c r="K24" i="3"/>
  <c r="K22" i="3"/>
  <c r="K19" i="3"/>
  <c r="K25" i="3"/>
  <c r="J24" i="3"/>
  <c r="K21" i="3"/>
  <c r="J19" i="3"/>
  <c r="J25" i="3"/>
  <c r="J21" i="3"/>
  <c r="F43" i="3"/>
  <c r="I25" i="3"/>
  <c r="B25" i="3" s="1"/>
  <c r="I24" i="3"/>
  <c r="B24" i="3" s="1"/>
  <c r="I23" i="3"/>
  <c r="B23" i="3" s="1"/>
  <c r="I22" i="3"/>
  <c r="B22" i="3" s="1"/>
  <c r="I21" i="3"/>
  <c r="B21" i="3" s="1"/>
  <c r="I20" i="3"/>
  <c r="B20" i="3" s="1"/>
  <c r="I19" i="3"/>
  <c r="B19" i="3" s="1"/>
  <c r="J22" i="3"/>
  <c r="F25" i="3"/>
  <c r="F23" i="3"/>
  <c r="F22" i="3"/>
  <c r="F21" i="3"/>
  <c r="F20" i="3"/>
  <c r="F19" i="3"/>
  <c r="K18" i="3"/>
  <c r="K17" i="3"/>
  <c r="J18" i="3"/>
  <c r="J17" i="3"/>
  <c r="I18" i="3"/>
  <c r="B18" i="3" s="1"/>
  <c r="I17" i="3"/>
  <c r="B17" i="3" s="1"/>
  <c r="F18" i="3"/>
  <c r="F17" i="3"/>
  <c r="H36" i="4" l="1"/>
  <c r="B84" i="3"/>
  <c r="C84" i="3"/>
  <c r="D84" i="3"/>
  <c r="E84" i="3"/>
  <c r="F84" i="3"/>
  <c r="B52" i="3"/>
  <c r="C52" i="3"/>
  <c r="F35" i="3" s="1"/>
  <c r="D52" i="3"/>
  <c r="J14" i="3" s="1"/>
  <c r="E52" i="3"/>
  <c r="K14" i="3" s="1"/>
  <c r="E14" i="3" s="1"/>
  <c r="F52" i="3"/>
  <c r="H37" i="4" l="1"/>
  <c r="I35" i="3"/>
  <c r="F14" i="3"/>
  <c r="K35" i="3"/>
  <c r="J35" i="3"/>
  <c r="B35" i="3" l="1"/>
  <c r="I14" i="3"/>
  <c r="B14" i="3" s="1"/>
  <c r="H38" i="4"/>
  <c r="N5" i="3" l="1"/>
  <c r="M5" i="3" l="1"/>
  <c r="L5" i="3"/>
  <c r="K5" i="3"/>
  <c r="C77" i="3" l="1"/>
  <c r="C7" i="3"/>
  <c r="D75" i="3"/>
  <c r="D5" i="3"/>
  <c r="D77" i="3"/>
  <c r="D7" i="3"/>
  <c r="D74" i="3"/>
  <c r="D4" i="3"/>
</calcChain>
</file>

<file path=xl/sharedStrings.xml><?xml version="1.0" encoding="utf-8"?>
<sst xmlns="http://schemas.openxmlformats.org/spreadsheetml/2006/main" count="280" uniqueCount="147">
  <si>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</si>
  <si>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</si>
  <si>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</si>
  <si>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</si>
  <si>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</si>
  <si>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</si>
  <si>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</si>
  <si>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</si>
  <si>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</si>
  <si>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</si>
  <si>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</si>
  <si>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</si>
  <si>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</si>
  <si>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</si>
  <si>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</si>
  <si>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</si>
  <si>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</si>
  <si>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</si>
  <si>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</si>
  <si>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</si>
  <si>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</si>
  <si>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</si>
  <si>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</si>
  <si>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</si>
  <si>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</si>
  <si>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</si>
  <si>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</si>
  <si>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</si>
  <si>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</si>
  <si>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</si>
  <si>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</si>
  <si>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</si>
  <si>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</si>
  <si>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</si>
  <si>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</si>
  <si>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</si>
  <si>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</si>
  <si>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</si>
  <si>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</si>
  <si>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</si>
  <si>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</si>
  <si>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</si>
  <si>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</si>
  <si>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</si>
  <si>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</si>
  <si>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</si>
  <si>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</si>
  <si>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</si>
  <si>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</si>
  <si>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</si>
  <si>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</si>
  <si>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</si>
  <si>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</si>
  <si>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</si>
  <si>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</si>
  <si>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</si>
  <si>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</si>
  <si>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</si>
  <si>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</si>
  <si>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</si>
  <si>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</si>
  <si>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</si>
  <si>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</si>
  <si>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</si>
  <si>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</si>
  <si>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</si>
  <si>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</si>
  <si>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</si>
  <si>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</si>
  <si>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</si>
  <si>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</si>
  <si>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</si>
  <si>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</si>
  <si>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</si>
  <si>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</si>
  <si>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</si>
  <si>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</si>
  <si>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</si>
  <si>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</si>
  <si>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</si>
  <si>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</si>
  <si>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</si>
  <si>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</si>
  <si>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</si>
  <si>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</si>
  <si>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</si>
  <si>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</si>
  <si>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</si>
  <si>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</si>
  <si>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</si>
  <si>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</si>
  <si>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</si>
  <si>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</si>
  <si>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</si>
  <si>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</si>
  <si>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</si>
  <si>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</si>
  <si>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</si>
  <si>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</si>
  <si>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</si>
  <si>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</si>
  <si>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</si>
  <si>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</si>
  <si>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</si>
  <si>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</si>
  <si>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</si>
  <si>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</si>
  <si>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</si>
  <si>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</si>
  <si>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</si>
  <si>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</si>
  <si>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</si>
  <si>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</si>
  <si>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</si>
  <si>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</si>
  <si>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</si>
  <si>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</si>
  <si>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</si>
  <si>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</si>
  <si>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</si>
  <si>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</si>
  <si>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</si>
  <si>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</si>
  <si>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</si>
  <si>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</si>
  <si>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</si>
  <si>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</si>
  <si>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</si>
  <si>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CUB C/R R6</t>
  </si>
  <si>
    <t>HECHO POR:</t>
  </si>
  <si>
    <t xml:space="preserve">CLIENTE: </t>
  </si>
  <si>
    <t>MDF 18MM</t>
  </si>
  <si>
    <t>FERNANDO DONOSO</t>
  </si>
  <si>
    <t xml:space="preserve">GIRO: </t>
  </si>
  <si>
    <t>SANTIAGO</t>
  </si>
  <si>
    <t>CONTACTO:</t>
  </si>
  <si>
    <t>MDF18MM</t>
  </si>
  <si>
    <t>NO</t>
  </si>
  <si>
    <t>+569 7819 5747</t>
  </si>
  <si>
    <t xml:space="preserve">N° </t>
  </si>
  <si>
    <t>PATRICIO ESCOBAR</t>
  </si>
  <si>
    <t>CUB MESON FALDON</t>
  </si>
  <si>
    <t>WINTER SAMSARA MAPLE 14689 SF</t>
  </si>
  <si>
    <t>ORANGINE BR 2295</t>
  </si>
  <si>
    <t>SUPER TITAN</t>
  </si>
  <si>
    <t>MELAMIL 18MM</t>
  </si>
  <si>
    <t>FALDON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</si>
</sst>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sz val="12"/>
      <color rgb="FF333333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/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37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3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6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28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27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42" fontId="15" fillId="0" borderId="2" xfId="3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66" fontId="3" fillId="0" borderId="0" xfId="0" applyNumberFormat="1" applyFont="1"/>
    <xf numFmtId="1" fontId="15" fillId="0" borderId="0" xfId="0" applyNumberFormat="1" applyFont="1" applyAlignment="1">
      <alignment horizontal="center" vertical="center"/>
    </xf>
    <xf numFmtId="0" fontId="18" fillId="0" borderId="0" xfId="0" applyFont="1"/>
    <xf numFmtId="0" fontId="18" fillId="3" borderId="0" xfId="0" applyFont="1" applyFill="1"/>
    <xf numFmtId="0" fontId="17" fillId="0" borderId="0" xfId="0" applyFont="1" applyAlignment="1">
      <alignment horizontal="center"/>
    </xf>
    <xf numFmtId="0" fontId="19" fillId="0" borderId="0" xfId="0" quotePrefix="1" applyFont="1" applyAlignment="1">
      <alignment horizontal="left"/>
    </xf>
    <xf numFmtId="166" fontId="3" fillId="0" borderId="2" xfId="1" applyNumberFormat="1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0" fontId="1" fillId="8" borderId="29" xfId="0" applyFont="1" applyFill="1" applyBorder="1" applyAlignment="1">
      <alignment horizontal="center" vertical="center"/>
    </xf>
    <xf numFmtId="0" fontId="1" fillId="8" borderId="12" xfId="0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5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1" fontId="15" fillId="0" borderId="2" xfId="0" applyNumberFormat="1" applyFont="1" applyBorder="1" applyAlignment="1">
      <alignment horizontal="center" vertical="center"/>
    </xf>
    <xf numFmtId="0" fontId="20" fillId="0" borderId="24" xfId="0" applyFont="1" applyBorder="1" applyAlignment="1">
      <alignment horizontal="center"/>
    </xf>
    <xf numFmtId="1" fontId="20" fillId="0" borderId="24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0" fontId="21" fillId="0" borderId="0" xfId="0" applyFont="1" applyAlignment="1">
      <alignment horizontal="right"/>
    </xf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9" fillId="0" borderId="30" xfId="0" applyFont="1" applyBorder="1" applyAlignment="1">
      <alignment horizontal="center"/>
    </xf>
    <xf numFmtId="0" fontId="3" fillId="7" borderId="30" xfId="0" applyFont="1" applyFill="1" applyBorder="1" applyAlignment="1">
      <alignment horizontal="center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35</xdr:row>
      <xdr:rowOff>9525</xdr:rowOff>
    </xdr:from>
    <xdr:to>
      <xdr:col>5</xdr:col>
      <xdr:colOff>1390650</xdr:colOff>
      <xdr:row>39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ABONO </a:t>
          </a:r>
          <a:r>
            <a:rPr lang="es-CL" sz="900" b="1" i="1" baseline="0"/>
            <a:t> 325.000.-</a:t>
          </a:r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29</xdr:row>
      <xdr:rowOff>76200</xdr:rowOff>
    </xdr:from>
    <xdr:to>
      <xdr:col>5</xdr:col>
      <xdr:colOff>1676399</xdr:colOff>
      <xdr:row>31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78</xdr:row>
      <xdr:rowOff>171450</xdr:rowOff>
    </xdr:from>
    <xdr:to>
      <xdr:col>5</xdr:col>
      <xdr:colOff>1685924</xdr:colOff>
      <xdr:row>80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76</xdr:row>
      <xdr:rowOff>0</xdr:rowOff>
    </xdr:from>
    <xdr:to>
      <xdr:col>6</xdr:col>
      <xdr:colOff>0</xdr:colOff>
      <xdr:row>77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74</xdr:row>
      <xdr:rowOff>38100</xdr:rowOff>
    </xdr:from>
    <xdr:to>
      <xdr:col>6</xdr:col>
      <xdr:colOff>0</xdr:colOff>
      <xdr:row>75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73</xdr:row>
      <xdr:rowOff>0</xdr:rowOff>
    </xdr:from>
    <xdr:to>
      <xdr:col>6</xdr:col>
      <xdr:colOff>0</xdr:colOff>
      <xdr:row>74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97</xdr:row>
      <xdr:rowOff>0</xdr:rowOff>
    </xdr:from>
    <xdr:to>
      <xdr:col>2</xdr:col>
      <xdr:colOff>38100</xdr:colOff>
      <xdr:row>98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97</xdr:row>
      <xdr:rowOff>0</xdr:rowOff>
    </xdr:from>
    <xdr:to>
      <xdr:col>2</xdr:col>
      <xdr:colOff>1019175</xdr:colOff>
      <xdr:row>97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97</xdr:row>
      <xdr:rowOff>0</xdr:rowOff>
    </xdr:from>
    <xdr:to>
      <xdr:col>3</xdr:col>
      <xdr:colOff>352425</xdr:colOff>
      <xdr:row>98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97</xdr:row>
      <xdr:rowOff>0</xdr:rowOff>
    </xdr:from>
    <xdr:to>
      <xdr:col>4</xdr:col>
      <xdr:colOff>257175</xdr:colOff>
      <xdr:row>98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97</xdr:row>
      <xdr:rowOff>0</xdr:rowOff>
    </xdr:from>
    <xdr:to>
      <xdr:col>5</xdr:col>
      <xdr:colOff>447675</xdr:colOff>
      <xdr:row>97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97</xdr:row>
      <xdr:rowOff>0</xdr:rowOff>
    </xdr:from>
    <xdr:to>
      <xdr:col>6</xdr:col>
      <xdr:colOff>0</xdr:colOff>
      <xdr:row>97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97</xdr:row>
      <xdr:rowOff>190500</xdr:rowOff>
    </xdr:from>
    <xdr:to>
      <xdr:col>2</xdr:col>
      <xdr:colOff>304800</xdr:colOff>
      <xdr:row>99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97</xdr:row>
      <xdr:rowOff>190500</xdr:rowOff>
    </xdr:from>
    <xdr:to>
      <xdr:col>2</xdr:col>
      <xdr:colOff>1276350</xdr:colOff>
      <xdr:row>99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97</xdr:row>
      <xdr:rowOff>190500</xdr:rowOff>
    </xdr:from>
    <xdr:to>
      <xdr:col>3</xdr:col>
      <xdr:colOff>619125</xdr:colOff>
      <xdr:row>99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97</xdr:row>
      <xdr:rowOff>190500</xdr:rowOff>
    </xdr:from>
    <xdr:to>
      <xdr:col>4</xdr:col>
      <xdr:colOff>523875</xdr:colOff>
      <xdr:row>99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97</xdr:row>
      <xdr:rowOff>190500</xdr:rowOff>
    </xdr:from>
    <xdr:to>
      <xdr:col>5</xdr:col>
      <xdr:colOff>723900</xdr:colOff>
      <xdr:row>99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97</xdr:row>
      <xdr:rowOff>190500</xdr:rowOff>
    </xdr:from>
    <xdr:to>
      <xdr:col>6</xdr:col>
      <xdr:colOff>0</xdr:colOff>
      <xdr:row>99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65</xdr:row>
      <xdr:rowOff>15239</xdr:rowOff>
    </xdr:from>
    <xdr:to>
      <xdr:col>6</xdr:col>
      <xdr:colOff>68580</xdr:colOff>
      <xdr:row>69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CUBIERTA MESON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PUERTAS CORTADAS A LA MEDIDA Y ENCHAPADAS CON TAPACANTO PVC 0,4MM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47</xdr:row>
      <xdr:rowOff>200025</xdr:rowOff>
    </xdr:from>
    <xdr:to>
      <xdr:col>6</xdr:col>
      <xdr:colOff>19049</xdr:colOff>
      <xdr:row>49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100</xdr:row>
      <xdr:rowOff>32385</xdr:rowOff>
    </xdr:from>
    <xdr:to>
      <xdr:col>6</xdr:col>
      <xdr:colOff>19050</xdr:colOff>
      <xdr:row>104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CUBIERTA MESON SEGUN DIBUJO,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PUERTAS CORTADAS A LA MEDIDA Y ENCHAPADAS CON TAPACANTO PVC 0,4MM 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70</xdr:row>
      <xdr:rowOff>194310</xdr:rowOff>
    </xdr:from>
    <xdr:to>
      <xdr:col>2</xdr:col>
      <xdr:colOff>100723</xdr:colOff>
      <xdr:row>77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10405110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2</xdr:col>
      <xdr:colOff>79768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5"/>
  <sheetViews>
    <sheetView topLeftCell="A19" workbookViewId="0">
      <selection activeCell="L23" sqref="L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2" customWidth="1"/>
    <col min="4" max="5" width="9.109375" customWidth="1"/>
    <col min="6" max="6" width="38.332031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6" t="s">
        <v>16</v>
      </c>
      <c r="C8" s="87"/>
      <c r="D8" s="88" t="s">
        <v>139</v>
      </c>
      <c r="E8" s="1"/>
      <c r="F8" s="89" t="s">
        <v>27</v>
      </c>
      <c r="G8" s="90">
        <v>7126</v>
      </c>
      <c r="H8" s="1"/>
      <c r="I8" s="1"/>
    </row>
    <row r="9" spans="1:17" ht="16.2" thickBot="1" x14ac:dyDescent="0.35">
      <c r="A9" s="1"/>
      <c r="B9" s="1"/>
      <c r="C9" s="1"/>
      <c r="D9" s="7"/>
      <c r="E9" s="1"/>
      <c r="F9" s="1"/>
      <c r="G9" s="1"/>
      <c r="H9" s="1"/>
      <c r="I9" s="1"/>
    </row>
    <row r="10" spans="1:17" ht="16.2" thickBot="1" x14ac:dyDescent="0.35">
      <c r="A10" s="1"/>
      <c r="B10" s="53" t="s">
        <v>130</v>
      </c>
      <c r="C10" s="82" t="s">
        <v>140</v>
      </c>
      <c r="D10" s="54"/>
      <c r="E10" s="54"/>
      <c r="F10" s="55" t="s">
        <v>28</v>
      </c>
      <c r="G10" s="56">
        <v>45608</v>
      </c>
      <c r="H10" s="57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8" t="s">
        <v>2</v>
      </c>
      <c r="C11" s="104"/>
      <c r="D11" s="59"/>
      <c r="E11" s="59"/>
      <c r="F11" s="59" t="s">
        <v>124</v>
      </c>
      <c r="G11" s="60">
        <v>45611</v>
      </c>
      <c r="H11" s="61"/>
      <c r="I11" s="1"/>
    </row>
    <row r="12" spans="1:17" ht="16.8" x14ac:dyDescent="0.4">
      <c r="A12" s="1"/>
      <c r="B12" s="62" t="s">
        <v>133</v>
      </c>
      <c r="C12" s="105"/>
      <c r="D12" s="42"/>
      <c r="E12" s="42"/>
      <c r="F12" s="42" t="s">
        <v>30</v>
      </c>
      <c r="G12" s="63"/>
      <c r="H12" s="64"/>
      <c r="I12" s="1"/>
    </row>
    <row r="13" spans="1:17" ht="15.6" x14ac:dyDescent="0.3">
      <c r="A13" s="1"/>
      <c r="B13" s="62" t="s">
        <v>135</v>
      </c>
      <c r="D13" s="42"/>
      <c r="E13" s="42"/>
      <c r="F13" s="42" t="s">
        <v>129</v>
      </c>
      <c r="G13" s="63" t="s">
        <v>132</v>
      </c>
      <c r="H13" s="64"/>
      <c r="I13" s="1"/>
    </row>
    <row r="14" spans="1:17" ht="15.6" x14ac:dyDescent="0.3">
      <c r="A14" s="1"/>
      <c r="B14" s="58" t="s">
        <v>17</v>
      </c>
      <c r="C14" s="107" t="s">
        <v>138</v>
      </c>
      <c r="D14" s="65"/>
      <c r="E14" s="59"/>
      <c r="F14" s="59" t="s">
        <v>29</v>
      </c>
      <c r="G14" s="59" t="s">
        <v>137</v>
      </c>
      <c r="H14" s="61"/>
      <c r="I14" s="1"/>
    </row>
    <row r="15" spans="1:17" ht="15.6" x14ac:dyDescent="0.3">
      <c r="A15" s="1"/>
      <c r="B15" s="62" t="s">
        <v>1</v>
      </c>
      <c r="D15" s="42"/>
      <c r="E15" s="42"/>
      <c r="F15" s="66" t="s">
        <v>75</v>
      </c>
      <c r="G15" s="66" t="s">
        <v>127</v>
      </c>
      <c r="H15" s="64"/>
      <c r="I15" s="1"/>
    </row>
    <row r="16" spans="1:17" ht="16.2" thickBot="1" x14ac:dyDescent="0.35">
      <c r="A16" s="1"/>
      <c r="B16" s="67" t="s">
        <v>3</v>
      </c>
      <c r="C16" s="68" t="s">
        <v>134</v>
      </c>
      <c r="D16" s="68"/>
      <c r="E16" s="69"/>
      <c r="F16" s="112" t="s">
        <v>18</v>
      </c>
      <c r="G16" s="112"/>
      <c r="H16" s="113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4" t="s">
        <v>19</v>
      </c>
      <c r="C19" s="115"/>
      <c r="D19" s="115"/>
      <c r="E19" s="115"/>
      <c r="F19" s="115"/>
      <c r="G19" s="115"/>
      <c r="H19" s="116"/>
      <c r="I19" s="1"/>
    </row>
    <row r="20" spans="1:16" ht="15.6" x14ac:dyDescent="0.3">
      <c r="A20" s="1"/>
      <c r="B20" s="109" t="s">
        <v>20</v>
      </c>
      <c r="C20" s="110" t="s">
        <v>21</v>
      </c>
      <c r="D20" s="110" t="s">
        <v>22</v>
      </c>
      <c r="E20" s="110" t="s">
        <v>8</v>
      </c>
      <c r="F20" s="111" t="s">
        <v>23</v>
      </c>
      <c r="G20" s="109" t="s">
        <v>24</v>
      </c>
      <c r="H20" s="111" t="s">
        <v>4</v>
      </c>
      <c r="I20" s="1"/>
    </row>
    <row r="21" spans="1:16" ht="18" customHeight="1" x14ac:dyDescent="0.3">
      <c r="A21" s="1"/>
      <c r="B21" s="99">
        <v>1</v>
      </c>
      <c r="C21" s="99" t="s">
        <v>141</v>
      </c>
      <c r="D21" s="125">
        <v>3000</v>
      </c>
      <c r="E21" s="125">
        <v>400</v>
      </c>
      <c r="F21" s="99" t="s">
        <v>142</v>
      </c>
      <c r="G21" s="108"/>
      <c r="H21" s="100"/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99">
        <v>2</v>
      </c>
      <c r="C22" s="99" t="s">
        <v>63</v>
      </c>
      <c r="D22" s="125">
        <v>715</v>
      </c>
      <c r="E22" s="125">
        <v>297</v>
      </c>
      <c r="F22" s="99" t="s">
        <v>143</v>
      </c>
      <c r="G22" s="108"/>
      <c r="H22" s="100"/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99">
        <v>2</v>
      </c>
      <c r="C23" s="99" t="s">
        <v>63</v>
      </c>
      <c r="D23" s="125">
        <v>715</v>
      </c>
      <c r="E23" s="125">
        <v>447</v>
      </c>
      <c r="F23" s="99" t="s">
        <v>143</v>
      </c>
      <c r="G23" s="108"/>
      <c r="H23" s="100"/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99">
        <v>1</v>
      </c>
      <c r="C24" s="99" t="s">
        <v>63</v>
      </c>
      <c r="D24" s="125">
        <v>520</v>
      </c>
      <c r="E24" s="125">
        <v>447</v>
      </c>
      <c r="F24" s="99" t="s">
        <v>143</v>
      </c>
      <c r="G24" s="108"/>
      <c r="H24" s="100"/>
      <c r="I24" s="1"/>
      <c r="K24" s="17"/>
      <c r="L24" s="26"/>
      <c r="M24" s="17"/>
      <c r="N24" s="17"/>
      <c r="O24" s="26"/>
      <c r="P24" s="33"/>
    </row>
    <row r="25" spans="1:16" ht="18" customHeight="1" x14ac:dyDescent="0.3">
      <c r="A25" s="1"/>
      <c r="B25" s="99">
        <v>1</v>
      </c>
      <c r="C25" s="99" t="s">
        <v>63</v>
      </c>
      <c r="D25" s="125">
        <v>170</v>
      </c>
      <c r="E25" s="125">
        <v>788</v>
      </c>
      <c r="F25" s="99" t="s">
        <v>143</v>
      </c>
      <c r="G25" s="108"/>
      <c r="H25" s="100"/>
      <c r="I25" s="1"/>
      <c r="K25" s="17"/>
      <c r="L25" s="26"/>
      <c r="M25" s="17"/>
      <c r="N25" s="17"/>
      <c r="O25" s="26"/>
      <c r="P25" s="33"/>
    </row>
    <row r="26" spans="1:16" ht="18" customHeight="1" x14ac:dyDescent="0.3">
      <c r="A26" s="1"/>
      <c r="B26" s="99">
        <v>1</v>
      </c>
      <c r="C26" s="99" t="s">
        <v>63</v>
      </c>
      <c r="D26" s="125">
        <v>598</v>
      </c>
      <c r="E26" s="125">
        <v>598</v>
      </c>
      <c r="F26" s="99" t="s">
        <v>143</v>
      </c>
      <c r="G26" s="108"/>
      <c r="H26" s="100"/>
      <c r="I26" s="1"/>
      <c r="K26" s="17"/>
      <c r="L26" s="26"/>
      <c r="M26" s="17"/>
      <c r="N26" s="17"/>
      <c r="O26" s="26"/>
      <c r="P26" s="33"/>
    </row>
    <row r="27" spans="1:16" ht="18" customHeight="1" x14ac:dyDescent="0.3">
      <c r="A27" s="1"/>
      <c r="B27" s="99">
        <v>1</v>
      </c>
      <c r="C27" s="99" t="s">
        <v>63</v>
      </c>
      <c r="D27" s="125">
        <v>858</v>
      </c>
      <c r="E27" s="125">
        <v>397</v>
      </c>
      <c r="F27" s="99" t="s">
        <v>143</v>
      </c>
      <c r="G27" s="108"/>
      <c r="H27" s="100"/>
      <c r="I27" s="1"/>
      <c r="K27" s="17"/>
      <c r="L27" s="26"/>
      <c r="M27" s="17"/>
      <c r="N27" s="17"/>
      <c r="O27" s="26"/>
      <c r="P27" s="33"/>
    </row>
    <row r="28" spans="1:16" ht="18" customHeight="1" x14ac:dyDescent="0.3">
      <c r="A28" s="1"/>
      <c r="B28" s="99">
        <v>2</v>
      </c>
      <c r="C28" s="99" t="s">
        <v>63</v>
      </c>
      <c r="D28" s="125">
        <v>858</v>
      </c>
      <c r="E28" s="125">
        <v>447</v>
      </c>
      <c r="F28" s="99" t="s">
        <v>143</v>
      </c>
      <c r="G28" s="108"/>
      <c r="H28" s="100"/>
      <c r="I28" s="1"/>
      <c r="K28" s="17"/>
      <c r="L28" s="26"/>
      <c r="M28" s="17"/>
      <c r="N28" s="17"/>
      <c r="O28" s="26"/>
      <c r="P28" s="33"/>
    </row>
    <row r="29" spans="1:16" ht="18" customHeight="1" x14ac:dyDescent="0.3">
      <c r="A29" s="1"/>
      <c r="B29" s="99">
        <v>4</v>
      </c>
      <c r="C29" s="99" t="s">
        <v>63</v>
      </c>
      <c r="D29" s="125">
        <v>715</v>
      </c>
      <c r="E29" s="125">
        <v>314</v>
      </c>
      <c r="F29" s="99" t="s">
        <v>143</v>
      </c>
      <c r="G29" s="108"/>
      <c r="H29" s="100"/>
      <c r="I29" s="1"/>
      <c r="K29" s="17"/>
      <c r="L29" s="26"/>
      <c r="M29" s="17"/>
      <c r="N29" s="17"/>
      <c r="O29" s="26"/>
      <c r="P29" s="33"/>
    </row>
    <row r="30" spans="1:16" ht="18" customHeight="1" x14ac:dyDescent="0.3">
      <c r="A30" s="1"/>
      <c r="B30" s="99">
        <v>1</v>
      </c>
      <c r="C30" s="99" t="s">
        <v>63</v>
      </c>
      <c r="D30" s="25">
        <v>170</v>
      </c>
      <c r="E30" s="125">
        <v>447</v>
      </c>
      <c r="F30" s="99" t="s">
        <v>144</v>
      </c>
      <c r="G30" s="108"/>
      <c r="H30" s="100"/>
      <c r="I30" s="1"/>
      <c r="K30" s="17"/>
      <c r="L30" s="26"/>
      <c r="M30" s="17"/>
      <c r="N30" s="17"/>
      <c r="O30" s="26"/>
      <c r="P30" s="33"/>
    </row>
    <row r="31" spans="1:16" ht="18" customHeight="1" x14ac:dyDescent="0.3">
      <c r="A31" s="1"/>
      <c r="B31" s="99">
        <v>1</v>
      </c>
      <c r="C31" s="99" t="s">
        <v>63</v>
      </c>
      <c r="D31" s="25">
        <v>520</v>
      </c>
      <c r="E31" s="125">
        <v>788</v>
      </c>
      <c r="F31" s="99" t="s">
        <v>144</v>
      </c>
      <c r="G31" s="108"/>
      <c r="H31" s="100"/>
      <c r="I31" s="1"/>
      <c r="K31" s="17"/>
      <c r="L31" s="26"/>
      <c r="M31" s="17"/>
      <c r="N31" s="17"/>
      <c r="O31" s="26"/>
      <c r="P31" s="33"/>
    </row>
    <row r="32" spans="1:16" ht="18" customHeight="1" x14ac:dyDescent="0.3">
      <c r="A32" s="1"/>
      <c r="B32" s="99">
        <v>2</v>
      </c>
      <c r="C32" s="99" t="s">
        <v>63</v>
      </c>
      <c r="D32" s="125">
        <v>715</v>
      </c>
      <c r="E32" s="125">
        <v>314</v>
      </c>
      <c r="F32" s="99" t="s">
        <v>144</v>
      </c>
      <c r="G32" s="108"/>
      <c r="H32" s="100"/>
      <c r="I32" s="1"/>
      <c r="K32" s="17"/>
      <c r="L32" s="26"/>
      <c r="M32" s="17"/>
      <c r="N32" s="17"/>
      <c r="O32" s="26"/>
      <c r="P32" s="33"/>
    </row>
    <row r="33" spans="1:16" ht="18" customHeight="1" x14ac:dyDescent="0.3">
      <c r="A33" s="1"/>
      <c r="B33" s="92"/>
      <c r="C33" s="92"/>
      <c r="D33" s="103"/>
      <c r="E33" s="103"/>
      <c r="F33" s="92"/>
      <c r="G33" s="71"/>
      <c r="H33" s="94"/>
      <c r="I33" s="1"/>
      <c r="K33" s="17"/>
      <c r="L33" s="26"/>
      <c r="M33" s="17"/>
      <c r="N33" s="17"/>
      <c r="O33" s="26"/>
      <c r="P33" s="33"/>
    </row>
    <row r="34" spans="1:16" ht="18" customHeight="1" x14ac:dyDescent="0.3">
      <c r="A34" s="1"/>
      <c r="B34" s="92"/>
      <c r="C34" s="92"/>
      <c r="D34" s="92"/>
      <c r="E34" s="92"/>
      <c r="F34" s="93"/>
      <c r="G34" s="94"/>
      <c r="H34" s="94"/>
      <c r="I34" s="1"/>
      <c r="K34" s="17"/>
      <c r="L34" s="26"/>
      <c r="M34" s="17"/>
      <c r="N34" s="17"/>
      <c r="O34" s="26"/>
      <c r="P34" s="33"/>
    </row>
    <row r="35" spans="1:16" ht="8.25" customHeight="1" thickBot="1" x14ac:dyDescent="0.35">
      <c r="A35" s="1"/>
      <c r="B35" s="70"/>
      <c r="C35" s="70"/>
      <c r="D35" s="70"/>
      <c r="E35" s="70"/>
      <c r="F35" s="70"/>
      <c r="G35" s="71"/>
      <c r="H35" s="71"/>
      <c r="I35" s="1"/>
    </row>
    <row r="36" spans="1:16" ht="15.6" x14ac:dyDescent="0.3">
      <c r="A36" s="1"/>
      <c r="B36" s="1"/>
      <c r="C36" s="1"/>
      <c r="D36" s="1"/>
      <c r="E36" s="1"/>
      <c r="F36" s="1"/>
      <c r="G36" s="72" t="s">
        <v>5</v>
      </c>
      <c r="H36" s="73">
        <f>SUM(H21:H35)</f>
        <v>0</v>
      </c>
      <c r="I36" s="1"/>
    </row>
    <row r="37" spans="1:16" ht="15.6" x14ac:dyDescent="0.3">
      <c r="A37" s="1"/>
      <c r="B37" s="1"/>
      <c r="C37" s="1"/>
      <c r="D37" s="1"/>
      <c r="E37" s="1"/>
      <c r="F37" s="1"/>
      <c r="G37" s="74" t="s">
        <v>6</v>
      </c>
      <c r="H37" s="75">
        <f>H36*19%</f>
        <v>0</v>
      </c>
      <c r="I37" s="1"/>
    </row>
    <row r="38" spans="1:16" ht="16.2" thickBot="1" x14ac:dyDescent="0.35">
      <c r="A38" s="1"/>
      <c r="B38" s="1"/>
      <c r="C38" s="1"/>
      <c r="D38" s="1"/>
      <c r="E38" s="1"/>
      <c r="F38" s="1"/>
      <c r="G38" s="76" t="s">
        <v>4</v>
      </c>
      <c r="H38" s="77">
        <f>H36+H37</f>
        <v>0</v>
      </c>
      <c r="I38" s="102"/>
    </row>
    <row r="39" spans="1:16" ht="15.6" x14ac:dyDescent="0.3">
      <c r="A39" s="1"/>
      <c r="B39" s="1"/>
      <c r="C39" s="1"/>
      <c r="D39" s="1"/>
      <c r="E39" s="1"/>
      <c r="F39" s="1"/>
      <c r="G39" s="51"/>
      <c r="H39" s="95"/>
      <c r="I39" s="1"/>
    </row>
    <row r="40" spans="1:16" ht="15.6" x14ac:dyDescent="0.3">
      <c r="A40" s="1"/>
      <c r="B40" s="1"/>
      <c r="C40" s="1"/>
      <c r="D40" s="1"/>
      <c r="E40" s="1"/>
      <c r="F40" s="1"/>
      <c r="G40" s="1"/>
      <c r="H40" s="1"/>
      <c r="I40" s="1"/>
    </row>
    <row r="41" spans="1:16" ht="15.6" x14ac:dyDescent="0.3">
      <c r="A41" s="1"/>
      <c r="B41" s="78" t="s">
        <v>123</v>
      </c>
      <c r="C41" s="79"/>
      <c r="D41" s="80"/>
      <c r="E41" s="80"/>
      <c r="F41" s="70"/>
      <c r="G41" s="1"/>
      <c r="H41" s="1"/>
      <c r="I41" s="1"/>
    </row>
    <row r="42" spans="1:16" ht="15.6" x14ac:dyDescent="0.3">
      <c r="A42" s="1"/>
      <c r="B42" s="78" t="s">
        <v>122</v>
      </c>
      <c r="C42" s="79"/>
      <c r="D42" s="80"/>
      <c r="E42" s="80"/>
      <c r="F42" s="70"/>
      <c r="G42" s="1"/>
      <c r="H42" s="1"/>
      <c r="I42" s="1"/>
    </row>
    <row r="43" spans="1:16" ht="15.6" x14ac:dyDescent="0.3">
      <c r="A43" s="1"/>
      <c r="B43" s="1" t="s">
        <v>25</v>
      </c>
      <c r="C43" s="1"/>
      <c r="D43" s="1"/>
      <c r="E43" s="81" t="s">
        <v>26</v>
      </c>
      <c r="F43" s="1"/>
      <c r="G43" s="1"/>
      <c r="H43" s="1"/>
      <c r="I43" s="1"/>
    </row>
    <row r="44" spans="1:16" ht="15.6" x14ac:dyDescent="0.3">
      <c r="A44" s="1"/>
      <c r="B44" s="1"/>
      <c r="C44" s="1"/>
      <c r="D44" s="1"/>
      <c r="E44" s="1"/>
      <c r="F44" s="1"/>
      <c r="G44" s="1"/>
      <c r="H44" s="1"/>
      <c r="I44" s="1"/>
    </row>
    <row r="45" spans="1:16" ht="15.6" x14ac:dyDescent="0.3">
      <c r="A45" s="1"/>
      <c r="B45" s="1"/>
      <c r="C45" s="1"/>
      <c r="D45" s="1"/>
      <c r="E45" s="1"/>
      <c r="F45" s="1"/>
      <c r="G45" s="1"/>
      <c r="H45" s="1"/>
      <c r="I45" s="1"/>
    </row>
  </sheetData>
  <sortState xmlns:xlrd2="http://schemas.microsoft.com/office/spreadsheetml/2017/richdata2" ref="B47">
    <sortCondition sortBy="fontColor" ref="B47" dxfId="0"/>
  </sortState>
  <mergeCells count="2">
    <mergeCell ref="F16:H16"/>
    <mergeCell ref="B19:H19"/>
  </mergeCells>
  <phoneticPr fontId="10" type="noConversion"/>
  <hyperlinks>
    <hyperlink ref="E43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7" t="s">
        <v>31</v>
      </c>
      <c r="C2" s="117"/>
      <c r="D2" s="117"/>
      <c r="E2" s="18"/>
      <c r="G2" s="117" t="s">
        <v>70</v>
      </c>
      <c r="H2" s="117"/>
      <c r="I2" s="117"/>
      <c r="P2" s="118" t="s">
        <v>58</v>
      </c>
      <c r="Q2" s="118"/>
      <c r="R2" s="118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8" t="s">
        <v>58</v>
      </c>
      <c r="M8" s="118"/>
      <c r="N8" s="118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128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108"/>
  <sheetViews>
    <sheetView tabSelected="1" zoomScaleNormal="100" workbookViewId="0">
      <selection sqref="A1:G7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9" t="s">
        <v>61</v>
      </c>
      <c r="L3" s="119"/>
      <c r="M3" s="119" t="s">
        <v>14</v>
      </c>
      <c r="N3" s="119"/>
    </row>
    <row r="4" spans="1:14" ht="15.75" customHeight="1" x14ac:dyDescent="0.3">
      <c r="A4" s="1"/>
      <c r="B4" s="1"/>
      <c r="C4" s="39" t="s">
        <v>27</v>
      </c>
      <c r="D4" s="14">
        <f>'4637'!G8</f>
        <v>7126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0" t="s">
        <v>67</v>
      </c>
      <c r="D5" s="41" t="str">
        <f>'4637'!C10</f>
        <v>PATRICIO ESCOBAR</v>
      </c>
      <c r="E5" s="42"/>
      <c r="F5" s="42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3"/>
      <c r="D6" s="44"/>
      <c r="E6" s="1"/>
      <c r="F6" s="1"/>
      <c r="G6" s="1"/>
    </row>
    <row r="7" spans="1:14" ht="15.6" x14ac:dyDescent="0.3">
      <c r="A7" s="1"/>
      <c r="B7" s="1"/>
      <c r="C7" s="83" t="str">
        <f>'4637'!F11</f>
        <v>FECHA LIMITE :</v>
      </c>
      <c r="D7" s="13">
        <f>'4637'!G11</f>
        <v>45611</v>
      </c>
      <c r="E7" s="1"/>
      <c r="F7" s="1"/>
      <c r="G7" s="1"/>
    </row>
    <row r="8" spans="1:14" ht="15.6" x14ac:dyDescent="0.3">
      <c r="A8" s="1"/>
      <c r="B8" s="1"/>
      <c r="C8" s="52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0" t="s">
        <v>61</v>
      </c>
      <c r="B10" s="120"/>
      <c r="C10" s="120"/>
      <c r="D10" s="120"/>
      <c r="E10" s="120"/>
      <c r="F10" s="120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1" t="s">
        <v>7</v>
      </c>
      <c r="E12" s="51" t="s">
        <v>8</v>
      </c>
      <c r="F12" s="1"/>
      <c r="G12" s="1"/>
    </row>
    <row r="13" spans="1:14" ht="15.6" x14ac:dyDescent="0.3">
      <c r="A13" s="51" t="s">
        <v>9</v>
      </c>
      <c r="B13" s="37" t="s">
        <v>10</v>
      </c>
      <c r="C13" s="37" t="s">
        <v>11</v>
      </c>
      <c r="D13" s="32">
        <v>50</v>
      </c>
      <c r="E13" s="32"/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1" t="s">
        <v>131</v>
      </c>
      <c r="B14" s="25">
        <f t="shared" ref="B14" si="0">I14</f>
        <v>1</v>
      </c>
      <c r="C14" s="25"/>
      <c r="D14" s="25">
        <v>3100</v>
      </c>
      <c r="E14" s="35">
        <f>K14</f>
        <v>400</v>
      </c>
      <c r="F14" s="97" t="str">
        <f t="shared" ref="F14" si="1">C52</f>
        <v>CUB MESON FALDON</v>
      </c>
      <c r="G14" s="1"/>
      <c r="I14" s="3">
        <f>I35</f>
        <v>1</v>
      </c>
      <c r="J14" s="4">
        <f t="shared" ref="J14:K14" si="2">D52</f>
        <v>3000</v>
      </c>
      <c r="K14" s="4">
        <f t="shared" si="2"/>
        <v>400</v>
      </c>
    </row>
    <row r="15" spans="1:14" ht="15.6" x14ac:dyDescent="0.3">
      <c r="A15" s="91"/>
      <c r="B15" s="25"/>
      <c r="C15" s="25"/>
      <c r="D15" s="25">
        <v>3100</v>
      </c>
      <c r="E15" s="35">
        <v>432</v>
      </c>
      <c r="F15" s="97" t="s">
        <v>146</v>
      </c>
      <c r="G15" s="1"/>
      <c r="I15" s="132"/>
      <c r="J15" s="4">
        <v>3000</v>
      </c>
      <c r="K15" s="4">
        <v>432</v>
      </c>
    </row>
    <row r="16" spans="1:14" ht="15.6" x14ac:dyDescent="0.3">
      <c r="A16" s="51" t="s">
        <v>9</v>
      </c>
      <c r="B16" s="135" t="s">
        <v>10</v>
      </c>
      <c r="C16" s="135" t="s">
        <v>11</v>
      </c>
      <c r="D16" s="136">
        <v>50</v>
      </c>
      <c r="E16" s="136">
        <v>-2</v>
      </c>
      <c r="F16" s="135" t="s">
        <v>110</v>
      </c>
      <c r="G16" s="1"/>
      <c r="J16" s="5" t="s">
        <v>7</v>
      </c>
      <c r="K16" s="5" t="s">
        <v>8</v>
      </c>
    </row>
    <row r="17" spans="1:11" ht="15.6" x14ac:dyDescent="0.3">
      <c r="A17" s="131" t="s">
        <v>145</v>
      </c>
      <c r="B17" s="25">
        <f t="shared" ref="B17:B18" si="3">I17</f>
        <v>2</v>
      </c>
      <c r="C17" s="25"/>
      <c r="D17" s="25">
        <f>J17+D$16</f>
        <v>765</v>
      </c>
      <c r="E17" s="35">
        <f>K17+E$16</f>
        <v>295</v>
      </c>
      <c r="F17" s="97" t="str">
        <f>C53</f>
        <v>PR6</v>
      </c>
      <c r="G17" s="1"/>
      <c r="I17" s="3">
        <f t="shared" ref="I17:I27" si="4">I36</f>
        <v>2</v>
      </c>
      <c r="J17" s="4">
        <f>D53</f>
        <v>715</v>
      </c>
      <c r="K17" s="4">
        <f>E53</f>
        <v>297</v>
      </c>
    </row>
    <row r="18" spans="1:11" ht="15.6" x14ac:dyDescent="0.3">
      <c r="A18" s="91"/>
      <c r="B18" s="25">
        <f t="shared" si="3"/>
        <v>2</v>
      </c>
      <c r="C18" s="25"/>
      <c r="D18" s="25">
        <f t="shared" ref="D18:D27" si="5">J18+D$16</f>
        <v>765</v>
      </c>
      <c r="E18" s="35">
        <f t="shared" ref="E18:E27" si="6">K18+E$16</f>
        <v>445</v>
      </c>
      <c r="F18" s="97" t="str">
        <f>C54</f>
        <v>PR6</v>
      </c>
      <c r="G18" s="1"/>
      <c r="I18" s="3">
        <f t="shared" si="4"/>
        <v>2</v>
      </c>
      <c r="J18" s="4">
        <f>D54</f>
        <v>715</v>
      </c>
      <c r="K18" s="4">
        <f>E54</f>
        <v>447</v>
      </c>
    </row>
    <row r="19" spans="1:11" ht="15.6" x14ac:dyDescent="0.3">
      <c r="A19" s="91"/>
      <c r="B19" s="25">
        <f t="shared" ref="B19:B25" si="7">I19</f>
        <v>1</v>
      </c>
      <c r="C19" s="25"/>
      <c r="D19" s="25">
        <f t="shared" si="5"/>
        <v>570</v>
      </c>
      <c r="E19" s="35">
        <f t="shared" si="6"/>
        <v>445</v>
      </c>
      <c r="F19" s="97" t="str">
        <f t="shared" ref="F19:F25" si="8">C55</f>
        <v>PR6</v>
      </c>
      <c r="G19" s="1"/>
      <c r="I19" s="3">
        <f t="shared" si="4"/>
        <v>1</v>
      </c>
      <c r="J19" s="4">
        <f t="shared" ref="J19:K19" si="9">D55</f>
        <v>520</v>
      </c>
      <c r="K19" s="4">
        <f t="shared" si="9"/>
        <v>447</v>
      </c>
    </row>
    <row r="20" spans="1:11" ht="15.6" x14ac:dyDescent="0.3">
      <c r="A20" s="91"/>
      <c r="B20" s="25">
        <f t="shared" si="7"/>
        <v>1</v>
      </c>
      <c r="C20" s="25"/>
      <c r="D20" s="25">
        <f t="shared" si="5"/>
        <v>220</v>
      </c>
      <c r="E20" s="35">
        <f t="shared" si="6"/>
        <v>786</v>
      </c>
      <c r="F20" s="97" t="str">
        <f t="shared" si="8"/>
        <v>PR6</v>
      </c>
      <c r="G20" s="1"/>
      <c r="I20" s="3">
        <f t="shared" si="4"/>
        <v>1</v>
      </c>
      <c r="J20" s="4">
        <f t="shared" ref="J20:K20" si="10">D56</f>
        <v>170</v>
      </c>
      <c r="K20" s="4">
        <f t="shared" si="10"/>
        <v>788</v>
      </c>
    </row>
    <row r="21" spans="1:11" ht="15.6" x14ac:dyDescent="0.3">
      <c r="A21" s="91"/>
      <c r="B21" s="25">
        <f t="shared" si="7"/>
        <v>1</v>
      </c>
      <c r="C21" s="25"/>
      <c r="D21" s="25">
        <f t="shared" si="5"/>
        <v>648</v>
      </c>
      <c r="E21" s="35">
        <f t="shared" si="6"/>
        <v>596</v>
      </c>
      <c r="F21" s="97" t="str">
        <f t="shared" si="8"/>
        <v>PR6</v>
      </c>
      <c r="G21" s="1"/>
      <c r="I21" s="3">
        <f t="shared" si="4"/>
        <v>1</v>
      </c>
      <c r="J21" s="4">
        <f t="shared" ref="J21:K21" si="11">D57</f>
        <v>598</v>
      </c>
      <c r="K21" s="4">
        <f t="shared" si="11"/>
        <v>598</v>
      </c>
    </row>
    <row r="22" spans="1:11" ht="15.6" x14ac:dyDescent="0.3">
      <c r="A22" s="91"/>
      <c r="B22" s="25">
        <f t="shared" si="7"/>
        <v>1</v>
      </c>
      <c r="C22" s="25"/>
      <c r="D22" s="25">
        <f t="shared" si="5"/>
        <v>908</v>
      </c>
      <c r="E22" s="35">
        <f t="shared" si="6"/>
        <v>395</v>
      </c>
      <c r="F22" s="97" t="str">
        <f t="shared" si="8"/>
        <v>PR6</v>
      </c>
      <c r="G22" s="1"/>
      <c r="I22" s="3">
        <f t="shared" si="4"/>
        <v>1</v>
      </c>
      <c r="J22" s="4">
        <f t="shared" ref="J22:K22" si="12">D58</f>
        <v>858</v>
      </c>
      <c r="K22" s="4">
        <f t="shared" si="12"/>
        <v>397</v>
      </c>
    </row>
    <row r="23" spans="1:11" ht="15.6" x14ac:dyDescent="0.3">
      <c r="A23" s="91"/>
      <c r="B23" s="25">
        <f t="shared" si="7"/>
        <v>2</v>
      </c>
      <c r="C23" s="25"/>
      <c r="D23" s="25">
        <f t="shared" si="5"/>
        <v>908</v>
      </c>
      <c r="E23" s="35">
        <f t="shared" si="6"/>
        <v>445</v>
      </c>
      <c r="F23" s="97" t="str">
        <f t="shared" si="8"/>
        <v>PR6</v>
      </c>
      <c r="G23" s="1"/>
      <c r="I23" s="3">
        <f t="shared" si="4"/>
        <v>2</v>
      </c>
      <c r="J23" s="4">
        <f t="shared" ref="J23:K23" si="13">D59</f>
        <v>858</v>
      </c>
      <c r="K23" s="4">
        <f t="shared" si="13"/>
        <v>447</v>
      </c>
    </row>
    <row r="24" spans="1:11" ht="15.6" x14ac:dyDescent="0.3">
      <c r="A24" s="91"/>
      <c r="B24" s="25">
        <f t="shared" si="7"/>
        <v>4</v>
      </c>
      <c r="C24" s="25"/>
      <c r="D24" s="25">
        <f t="shared" si="5"/>
        <v>765</v>
      </c>
      <c r="E24" s="35">
        <f t="shared" si="6"/>
        <v>312</v>
      </c>
      <c r="F24" s="97" t="str">
        <f t="shared" si="8"/>
        <v>PR6</v>
      </c>
      <c r="G24" s="1"/>
      <c r="I24" s="3">
        <f t="shared" si="4"/>
        <v>4</v>
      </c>
      <c r="J24" s="4">
        <f t="shared" ref="J24:K24" si="14">D60</f>
        <v>715</v>
      </c>
      <c r="K24" s="4">
        <f t="shared" si="14"/>
        <v>314</v>
      </c>
    </row>
    <row r="25" spans="1:11" ht="15.6" x14ac:dyDescent="0.3">
      <c r="A25" s="91"/>
      <c r="B25" s="25">
        <f t="shared" si="7"/>
        <v>1</v>
      </c>
      <c r="C25" s="25"/>
      <c r="D25" s="25">
        <f t="shared" si="5"/>
        <v>220</v>
      </c>
      <c r="E25" s="35">
        <f t="shared" si="6"/>
        <v>445</v>
      </c>
      <c r="F25" s="97" t="str">
        <f t="shared" si="8"/>
        <v>PR6</v>
      </c>
      <c r="G25" s="1"/>
      <c r="I25" s="3">
        <f t="shared" si="4"/>
        <v>1</v>
      </c>
      <c r="J25" s="4">
        <f t="shared" ref="J25:K25" si="15">D61</f>
        <v>170</v>
      </c>
      <c r="K25" s="4">
        <f t="shared" si="15"/>
        <v>447</v>
      </c>
    </row>
    <row r="26" spans="1:11" ht="15.6" x14ac:dyDescent="0.3">
      <c r="A26" s="91"/>
      <c r="B26" s="25">
        <f t="shared" ref="B26:B27" si="16">I26</f>
        <v>1</v>
      </c>
      <c r="C26" s="25"/>
      <c r="D26" s="25">
        <f t="shared" si="5"/>
        <v>570</v>
      </c>
      <c r="E26" s="35">
        <f t="shared" si="6"/>
        <v>786</v>
      </c>
      <c r="F26" s="97" t="str">
        <f t="shared" ref="F26:F27" si="17">C62</f>
        <v>PR6</v>
      </c>
      <c r="G26" s="1"/>
      <c r="I26" s="3">
        <f t="shared" si="4"/>
        <v>1</v>
      </c>
      <c r="J26" s="4">
        <f t="shared" ref="J26:J27" si="18">D62</f>
        <v>520</v>
      </c>
      <c r="K26" s="4">
        <f t="shared" ref="K26:K27" si="19">E62</f>
        <v>788</v>
      </c>
    </row>
    <row r="27" spans="1:11" ht="15.6" x14ac:dyDescent="0.3">
      <c r="A27" s="91"/>
      <c r="B27" s="25">
        <f t="shared" si="16"/>
        <v>2</v>
      </c>
      <c r="C27" s="25"/>
      <c r="D27" s="25">
        <f t="shared" si="5"/>
        <v>765</v>
      </c>
      <c r="E27" s="35">
        <f t="shared" si="6"/>
        <v>312</v>
      </c>
      <c r="F27" s="97" t="str">
        <f t="shared" si="17"/>
        <v>PR6</v>
      </c>
      <c r="G27" s="1"/>
      <c r="I27" s="3">
        <f t="shared" si="4"/>
        <v>2</v>
      </c>
      <c r="J27" s="4">
        <f t="shared" si="18"/>
        <v>715</v>
      </c>
      <c r="K27" s="4">
        <f t="shared" si="19"/>
        <v>314</v>
      </c>
    </row>
    <row r="28" spans="1:11" ht="15.6" x14ac:dyDescent="0.3">
      <c r="A28" s="91"/>
      <c r="B28" s="128"/>
      <c r="C28" s="128"/>
      <c r="D28" s="128"/>
      <c r="E28" s="134"/>
      <c r="F28" s="129"/>
      <c r="G28" s="1"/>
      <c r="I28" s="132"/>
      <c r="J28" s="133"/>
      <c r="K28" s="133"/>
    </row>
    <row r="29" spans="1:11" ht="15.6" x14ac:dyDescent="0.3">
      <c r="A29" s="91"/>
      <c r="B29" s="128"/>
      <c r="C29" s="128"/>
      <c r="D29" s="128"/>
      <c r="E29" s="134"/>
      <c r="F29" s="129"/>
      <c r="G29" s="1"/>
      <c r="I29" s="132"/>
      <c r="J29" s="133"/>
      <c r="K29" s="133"/>
    </row>
    <row r="30" spans="1:11" ht="6.75" customHeight="1" x14ac:dyDescent="0.3">
      <c r="A30" s="1"/>
      <c r="B30" s="1"/>
      <c r="C30" s="1"/>
      <c r="D30" s="1"/>
      <c r="E30" s="1"/>
      <c r="F30" s="1"/>
      <c r="G30" s="1"/>
    </row>
    <row r="31" spans="1:11" ht="15.6" x14ac:dyDescent="0.3">
      <c r="A31" s="120" t="s">
        <v>14</v>
      </c>
      <c r="B31" s="120"/>
      <c r="C31" s="120"/>
      <c r="D31" s="120"/>
      <c r="E31" s="120"/>
      <c r="F31" s="120"/>
      <c r="G31" s="1"/>
    </row>
    <row r="32" spans="1:11" ht="10.5" customHeight="1" x14ac:dyDescent="0.3">
      <c r="A32" s="1"/>
      <c r="B32" s="1"/>
      <c r="C32" s="12"/>
      <c r="D32" s="1"/>
      <c r="E32" s="1"/>
      <c r="F32" s="1"/>
      <c r="G32" s="1"/>
    </row>
    <row r="33" spans="1:11" ht="15.6" x14ac:dyDescent="0.3">
      <c r="A33" s="1"/>
      <c r="B33" s="1"/>
      <c r="C33" s="1"/>
      <c r="D33" s="51" t="s">
        <v>7</v>
      </c>
      <c r="E33" s="51" t="s">
        <v>8</v>
      </c>
      <c r="F33" s="1"/>
      <c r="G33" s="1"/>
    </row>
    <row r="34" spans="1:11" ht="15.6" x14ac:dyDescent="0.3">
      <c r="A34" s="51" t="s">
        <v>9</v>
      </c>
      <c r="B34" s="36" t="s">
        <v>10</v>
      </c>
      <c r="C34" s="36" t="s">
        <v>11</v>
      </c>
      <c r="D34" s="21">
        <v>40</v>
      </c>
      <c r="E34" s="21">
        <v>90</v>
      </c>
      <c r="F34" s="36" t="s">
        <v>110</v>
      </c>
      <c r="G34" s="1"/>
      <c r="J34" s="5" t="s">
        <v>7</v>
      </c>
      <c r="K34" s="5" t="s">
        <v>8</v>
      </c>
    </row>
    <row r="35" spans="1:11" ht="15.6" x14ac:dyDescent="0.3">
      <c r="A35" s="91" t="s">
        <v>131</v>
      </c>
      <c r="B35" s="16">
        <f t="shared" ref="B35" si="20">I35</f>
        <v>1</v>
      </c>
      <c r="C35" s="16"/>
      <c r="D35" s="16">
        <v>3080</v>
      </c>
      <c r="E35" s="16">
        <v>1050</v>
      </c>
      <c r="F35" s="98" t="str">
        <f t="shared" ref="F35" si="21">C52</f>
        <v>CUB MESON FALDON</v>
      </c>
      <c r="G35" s="1"/>
      <c r="I35" s="3">
        <f t="shared" ref="I35" si="22">B52</f>
        <v>1</v>
      </c>
      <c r="J35" s="4">
        <f>D52</f>
        <v>3000</v>
      </c>
      <c r="K35" s="4">
        <f>E52</f>
        <v>400</v>
      </c>
    </row>
    <row r="36" spans="1:11" ht="15.6" x14ac:dyDescent="0.3">
      <c r="A36" s="131" t="s">
        <v>145</v>
      </c>
      <c r="B36" s="16">
        <f t="shared" ref="B36:B37" si="23">I36</f>
        <v>2</v>
      </c>
      <c r="C36" s="16"/>
      <c r="D36" s="16">
        <f t="shared" ref="D36:D37" si="24">J36+D$34</f>
        <v>755</v>
      </c>
      <c r="E36" s="16">
        <f>K36+E$34</f>
        <v>387</v>
      </c>
      <c r="F36" s="98" t="str">
        <f>C53</f>
        <v>PR6</v>
      </c>
      <c r="G36" s="1"/>
      <c r="I36" s="3">
        <f>B53</f>
        <v>2</v>
      </c>
      <c r="J36" s="4">
        <f t="shared" ref="J36:K36" si="25">D53</f>
        <v>715</v>
      </c>
      <c r="K36" s="4">
        <f t="shared" si="25"/>
        <v>297</v>
      </c>
    </row>
    <row r="37" spans="1:11" ht="15.6" x14ac:dyDescent="0.3">
      <c r="A37" s="91"/>
      <c r="B37" s="16">
        <f t="shared" si="23"/>
        <v>2</v>
      </c>
      <c r="C37" s="16"/>
      <c r="D37" s="16">
        <f t="shared" si="24"/>
        <v>755</v>
      </c>
      <c r="E37" s="16">
        <f t="shared" ref="E37:E46" si="26">K37+E$34</f>
        <v>537</v>
      </c>
      <c r="F37" s="98" t="str">
        <f>C54</f>
        <v>PR6</v>
      </c>
      <c r="G37" s="1"/>
      <c r="I37" s="3">
        <f>B54</f>
        <v>2</v>
      </c>
      <c r="J37" s="4">
        <f t="shared" ref="J37:K37" si="27">D54</f>
        <v>715</v>
      </c>
      <c r="K37" s="4">
        <f t="shared" si="27"/>
        <v>447</v>
      </c>
    </row>
    <row r="38" spans="1:11" ht="15.6" x14ac:dyDescent="0.3">
      <c r="A38" s="91"/>
      <c r="B38" s="16">
        <f t="shared" ref="B38:B46" si="28">I38</f>
        <v>1</v>
      </c>
      <c r="C38" s="16"/>
      <c r="D38" s="16">
        <f t="shared" ref="D38:D46" si="29">J38+D$34</f>
        <v>560</v>
      </c>
      <c r="E38" s="16">
        <f t="shared" si="26"/>
        <v>537</v>
      </c>
      <c r="F38" s="98" t="str">
        <f t="shared" ref="F38:F46" si="30">C55</f>
        <v>PR6</v>
      </c>
      <c r="G38" s="1"/>
      <c r="I38" s="3">
        <f t="shared" ref="I38:I46" si="31">B55</f>
        <v>1</v>
      </c>
      <c r="J38" s="4">
        <f t="shared" ref="J38:J46" si="32">D55</f>
        <v>520</v>
      </c>
      <c r="K38" s="4">
        <f t="shared" ref="K38:K46" si="33">E55</f>
        <v>447</v>
      </c>
    </row>
    <row r="39" spans="1:11" ht="15.6" x14ac:dyDescent="0.3">
      <c r="A39" s="91"/>
      <c r="B39" s="16">
        <f t="shared" si="28"/>
        <v>1</v>
      </c>
      <c r="C39" s="16"/>
      <c r="D39" s="16">
        <f t="shared" si="29"/>
        <v>210</v>
      </c>
      <c r="E39" s="16">
        <f t="shared" si="26"/>
        <v>878</v>
      </c>
      <c r="F39" s="98" t="str">
        <f t="shared" si="30"/>
        <v>PR6</v>
      </c>
      <c r="G39" s="1"/>
      <c r="I39" s="3">
        <f t="shared" si="31"/>
        <v>1</v>
      </c>
      <c r="J39" s="4">
        <f t="shared" si="32"/>
        <v>170</v>
      </c>
      <c r="K39" s="4">
        <f t="shared" si="33"/>
        <v>788</v>
      </c>
    </row>
    <row r="40" spans="1:11" ht="15.6" x14ac:dyDescent="0.3">
      <c r="A40" s="91"/>
      <c r="B40" s="16">
        <f t="shared" si="28"/>
        <v>1</v>
      </c>
      <c r="C40" s="16"/>
      <c r="D40" s="16">
        <f t="shared" si="29"/>
        <v>638</v>
      </c>
      <c r="E40" s="16">
        <f t="shared" si="26"/>
        <v>688</v>
      </c>
      <c r="F40" s="98" t="str">
        <f t="shared" si="30"/>
        <v>PR6</v>
      </c>
      <c r="G40" s="1"/>
      <c r="I40" s="3">
        <f t="shared" si="31"/>
        <v>1</v>
      </c>
      <c r="J40" s="4">
        <f t="shared" si="32"/>
        <v>598</v>
      </c>
      <c r="K40" s="4">
        <f t="shared" si="33"/>
        <v>598</v>
      </c>
    </row>
    <row r="41" spans="1:11" ht="15.6" x14ac:dyDescent="0.3">
      <c r="A41" s="91"/>
      <c r="B41" s="16">
        <f t="shared" si="28"/>
        <v>1</v>
      </c>
      <c r="C41" s="16"/>
      <c r="D41" s="16">
        <f t="shared" si="29"/>
        <v>898</v>
      </c>
      <c r="E41" s="16">
        <f t="shared" si="26"/>
        <v>487</v>
      </c>
      <c r="F41" s="98" t="str">
        <f t="shared" si="30"/>
        <v>PR6</v>
      </c>
      <c r="G41" s="1"/>
      <c r="I41" s="3">
        <f t="shared" si="31"/>
        <v>1</v>
      </c>
      <c r="J41" s="4">
        <f t="shared" si="32"/>
        <v>858</v>
      </c>
      <c r="K41" s="4">
        <f t="shared" si="33"/>
        <v>397</v>
      </c>
    </row>
    <row r="42" spans="1:11" ht="15.6" x14ac:dyDescent="0.3">
      <c r="A42" s="91"/>
      <c r="B42" s="16">
        <f t="shared" si="28"/>
        <v>2</v>
      </c>
      <c r="C42" s="16"/>
      <c r="D42" s="16">
        <f t="shared" si="29"/>
        <v>898</v>
      </c>
      <c r="E42" s="16">
        <f t="shared" si="26"/>
        <v>537</v>
      </c>
      <c r="F42" s="98" t="str">
        <f t="shared" si="30"/>
        <v>PR6</v>
      </c>
      <c r="G42" s="1"/>
      <c r="I42" s="3">
        <f t="shared" si="31"/>
        <v>2</v>
      </c>
      <c r="J42" s="4">
        <f t="shared" si="32"/>
        <v>858</v>
      </c>
      <c r="K42" s="4">
        <f t="shared" si="33"/>
        <v>447</v>
      </c>
    </row>
    <row r="43" spans="1:11" ht="15.6" x14ac:dyDescent="0.3">
      <c r="A43" s="91"/>
      <c r="B43" s="16">
        <f t="shared" si="28"/>
        <v>4</v>
      </c>
      <c r="C43" s="16"/>
      <c r="D43" s="16">
        <f t="shared" si="29"/>
        <v>755</v>
      </c>
      <c r="E43" s="16">
        <f t="shared" si="26"/>
        <v>404</v>
      </c>
      <c r="F43" s="98" t="str">
        <f t="shared" si="30"/>
        <v>PR6</v>
      </c>
      <c r="G43" s="1"/>
      <c r="I43" s="3">
        <f t="shared" si="31"/>
        <v>4</v>
      </c>
      <c r="J43" s="4">
        <f t="shared" si="32"/>
        <v>715</v>
      </c>
      <c r="K43" s="4">
        <f t="shared" si="33"/>
        <v>314</v>
      </c>
    </row>
    <row r="44" spans="1:11" ht="15.6" x14ac:dyDescent="0.3">
      <c r="A44" s="91"/>
      <c r="B44" s="16">
        <f t="shared" si="28"/>
        <v>1</v>
      </c>
      <c r="C44" s="16" t="s">
        <v>144</v>
      </c>
      <c r="D44" s="16">
        <f t="shared" si="29"/>
        <v>210</v>
      </c>
      <c r="E44" s="16">
        <f t="shared" si="26"/>
        <v>537</v>
      </c>
      <c r="F44" s="98" t="str">
        <f t="shared" si="30"/>
        <v>PR6</v>
      </c>
      <c r="G44" s="1"/>
      <c r="I44" s="3">
        <f t="shared" si="31"/>
        <v>1</v>
      </c>
      <c r="J44" s="4">
        <f t="shared" si="32"/>
        <v>170</v>
      </c>
      <c r="K44" s="4">
        <f t="shared" si="33"/>
        <v>447</v>
      </c>
    </row>
    <row r="45" spans="1:11" ht="15.6" x14ac:dyDescent="0.3">
      <c r="A45" s="91"/>
      <c r="B45" s="16">
        <f t="shared" si="28"/>
        <v>1</v>
      </c>
      <c r="C45" s="16" t="s">
        <v>144</v>
      </c>
      <c r="D45" s="16">
        <f t="shared" si="29"/>
        <v>560</v>
      </c>
      <c r="E45" s="16">
        <f t="shared" si="26"/>
        <v>878</v>
      </c>
      <c r="F45" s="98" t="str">
        <f t="shared" si="30"/>
        <v>PR6</v>
      </c>
      <c r="G45" s="1"/>
      <c r="I45" s="3">
        <f t="shared" si="31"/>
        <v>1</v>
      </c>
      <c r="J45" s="4">
        <f t="shared" si="32"/>
        <v>520</v>
      </c>
      <c r="K45" s="4">
        <f t="shared" si="33"/>
        <v>788</v>
      </c>
    </row>
    <row r="46" spans="1:11" ht="15.6" x14ac:dyDescent="0.3">
      <c r="A46" s="91"/>
      <c r="B46" s="16">
        <f t="shared" si="28"/>
        <v>2</v>
      </c>
      <c r="C46" s="16" t="s">
        <v>144</v>
      </c>
      <c r="D46" s="16">
        <f t="shared" si="29"/>
        <v>755</v>
      </c>
      <c r="E46" s="16">
        <f t="shared" si="26"/>
        <v>404</v>
      </c>
      <c r="F46" s="98" t="str">
        <f t="shared" si="30"/>
        <v>PR6</v>
      </c>
      <c r="G46" s="1"/>
      <c r="I46" s="3">
        <f t="shared" si="31"/>
        <v>2</v>
      </c>
      <c r="J46" s="4">
        <f t="shared" si="32"/>
        <v>715</v>
      </c>
      <c r="K46" s="4">
        <f t="shared" si="33"/>
        <v>314</v>
      </c>
    </row>
    <row r="47" spans="1:11" ht="15.6" x14ac:dyDescent="0.3">
      <c r="A47" s="91"/>
      <c r="B47" s="6"/>
      <c r="C47" s="6"/>
      <c r="D47" s="6"/>
      <c r="E47" s="6"/>
      <c r="F47" s="101"/>
      <c r="G47" s="1"/>
      <c r="I47" s="85"/>
      <c r="J47" s="2"/>
      <c r="K47" s="2"/>
    </row>
    <row r="48" spans="1:11" ht="16.2" thickBot="1" x14ac:dyDescent="0.35">
      <c r="A48" s="51"/>
      <c r="B48" s="6"/>
      <c r="C48" s="6"/>
      <c r="D48" s="6"/>
      <c r="E48" s="6"/>
      <c r="F48" s="6"/>
      <c r="G48" s="1"/>
      <c r="I48" s="2"/>
      <c r="J48" s="2"/>
      <c r="K48" s="2"/>
    </row>
    <row r="49" spans="1:11" ht="16.2" thickBot="1" x14ac:dyDescent="0.35">
      <c r="A49" s="51"/>
      <c r="B49" s="22" t="s">
        <v>107</v>
      </c>
      <c r="C49" s="23"/>
      <c r="D49" s="23"/>
      <c r="E49" s="23"/>
      <c r="F49" s="24"/>
      <c r="G49" s="1"/>
      <c r="I49" s="2"/>
      <c r="J49" s="2"/>
      <c r="K49" s="2"/>
    </row>
    <row r="50" spans="1:11" ht="10.5" customHeight="1" x14ac:dyDescent="0.3">
      <c r="A50" s="1"/>
      <c r="B50" s="1"/>
      <c r="C50" s="1"/>
      <c r="D50" s="1"/>
      <c r="E50" s="1"/>
      <c r="F50" s="1"/>
      <c r="G50" s="1"/>
    </row>
    <row r="51" spans="1:11" ht="15.6" x14ac:dyDescent="0.3">
      <c r="A51" s="51" t="s">
        <v>9</v>
      </c>
      <c r="B51" s="84" t="s">
        <v>10</v>
      </c>
      <c r="C51" s="84" t="s">
        <v>110</v>
      </c>
      <c r="D51" s="84" t="s">
        <v>7</v>
      </c>
      <c r="E51" s="84" t="s">
        <v>8</v>
      </c>
      <c r="F51" s="84" t="s">
        <v>23</v>
      </c>
      <c r="G51" s="1"/>
    </row>
    <row r="52" spans="1:11" ht="15.6" x14ac:dyDescent="0.3">
      <c r="A52" s="91" t="s">
        <v>136</v>
      </c>
      <c r="B52" s="25">
        <f>'4637'!B21</f>
        <v>1</v>
      </c>
      <c r="C52" s="97" t="str">
        <f>'4637'!C21</f>
        <v>CUB MESON FALDON</v>
      </c>
      <c r="D52" s="25">
        <f>'4637'!D21</f>
        <v>3000</v>
      </c>
      <c r="E52" s="25">
        <f>'4637'!E21</f>
        <v>400</v>
      </c>
      <c r="F52" s="25" t="str">
        <f>'4637'!F21</f>
        <v>WINTER SAMSARA MAPLE 14689 SF</v>
      </c>
      <c r="G52" s="1"/>
    </row>
    <row r="53" spans="1:11" ht="15.6" x14ac:dyDescent="0.3">
      <c r="A53" s="131" t="s">
        <v>145</v>
      </c>
      <c r="B53" s="25">
        <f>'4637'!B22</f>
        <v>2</v>
      </c>
      <c r="C53" s="97" t="str">
        <f>'4637'!C22</f>
        <v>PR6</v>
      </c>
      <c r="D53" s="130">
        <f>D85</f>
        <v>715</v>
      </c>
      <c r="E53" s="25">
        <f>'4637'!E22</f>
        <v>297</v>
      </c>
      <c r="F53" s="25" t="str">
        <f>'4637'!F22</f>
        <v>ORANGINE BR 2295</v>
      </c>
      <c r="G53" s="1"/>
    </row>
    <row r="54" spans="1:11" ht="15.6" x14ac:dyDescent="0.3">
      <c r="B54" s="25">
        <f>'4637'!B23</f>
        <v>2</v>
      </c>
      <c r="C54" s="97" t="str">
        <f>'4637'!C23</f>
        <v>PR6</v>
      </c>
      <c r="D54" s="130">
        <f>D86</f>
        <v>715</v>
      </c>
      <c r="E54" s="25">
        <f>'4637'!E23</f>
        <v>447</v>
      </c>
      <c r="F54" s="25" t="str">
        <f>'4637'!F23</f>
        <v>ORANGINE BR 2295</v>
      </c>
      <c r="G54" s="1"/>
    </row>
    <row r="55" spans="1:11" ht="15.6" x14ac:dyDescent="0.3">
      <c r="A55" s="91"/>
      <c r="B55" s="25">
        <f>'4637'!B24</f>
        <v>1</v>
      </c>
      <c r="C55" s="97" t="str">
        <f>'4637'!C24</f>
        <v>PR6</v>
      </c>
      <c r="D55" s="130">
        <f>D87</f>
        <v>520</v>
      </c>
      <c r="E55" s="25">
        <f>'4637'!E24</f>
        <v>447</v>
      </c>
      <c r="F55" s="25" t="str">
        <f>'4637'!F24</f>
        <v>ORANGINE BR 2295</v>
      </c>
      <c r="G55" s="1"/>
    </row>
    <row r="56" spans="1:11" ht="15.6" x14ac:dyDescent="0.3">
      <c r="A56" s="91"/>
      <c r="B56" s="25">
        <f>'4637'!B25</f>
        <v>1</v>
      </c>
      <c r="C56" s="97" t="str">
        <f>'4637'!C25</f>
        <v>PR6</v>
      </c>
      <c r="D56" s="130">
        <f>D88</f>
        <v>170</v>
      </c>
      <c r="E56" s="25">
        <f>'4637'!E25</f>
        <v>788</v>
      </c>
      <c r="F56" s="25" t="str">
        <f>'4637'!F25</f>
        <v>ORANGINE BR 2295</v>
      </c>
      <c r="G56" s="1"/>
    </row>
    <row r="57" spans="1:11" ht="15.6" x14ac:dyDescent="0.3">
      <c r="A57" s="91"/>
      <c r="B57" s="25">
        <f>'4637'!B26</f>
        <v>1</v>
      </c>
      <c r="C57" s="97" t="str">
        <f>'4637'!C26</f>
        <v>PR6</v>
      </c>
      <c r="D57" s="130">
        <f>D89</f>
        <v>598</v>
      </c>
      <c r="E57" s="25">
        <f>'4637'!E26</f>
        <v>598</v>
      </c>
      <c r="F57" s="25" t="str">
        <f>'4637'!F26</f>
        <v>ORANGINE BR 2295</v>
      </c>
      <c r="G57" s="1"/>
    </row>
    <row r="58" spans="1:11" ht="15.6" x14ac:dyDescent="0.3">
      <c r="A58" s="91"/>
      <c r="B58" s="25">
        <f>'4637'!B27</f>
        <v>1</v>
      </c>
      <c r="C58" s="97" t="str">
        <f>'4637'!C27</f>
        <v>PR6</v>
      </c>
      <c r="D58" s="130">
        <f>D90</f>
        <v>858</v>
      </c>
      <c r="E58" s="25">
        <f>'4637'!E27</f>
        <v>397</v>
      </c>
      <c r="F58" s="25" t="str">
        <f>'4637'!F27</f>
        <v>ORANGINE BR 2295</v>
      </c>
      <c r="G58" s="1"/>
    </row>
    <row r="59" spans="1:11" ht="15.6" x14ac:dyDescent="0.3">
      <c r="A59" s="91"/>
      <c r="B59" s="25">
        <f>'4637'!B28</f>
        <v>2</v>
      </c>
      <c r="C59" s="97" t="str">
        <f>'4637'!C28</f>
        <v>PR6</v>
      </c>
      <c r="D59" s="130">
        <f>D91</f>
        <v>858</v>
      </c>
      <c r="E59" s="25">
        <f>'4637'!E28</f>
        <v>447</v>
      </c>
      <c r="F59" s="25" t="str">
        <f>'4637'!F28</f>
        <v>ORANGINE BR 2295</v>
      </c>
      <c r="G59" s="1"/>
    </row>
    <row r="60" spans="1:11" ht="15.6" x14ac:dyDescent="0.3">
      <c r="A60" s="91"/>
      <c r="B60" s="25">
        <f>'4637'!B29</f>
        <v>4</v>
      </c>
      <c r="C60" s="97" t="str">
        <f>'4637'!C29</f>
        <v>PR6</v>
      </c>
      <c r="D60" s="130">
        <f>D92</f>
        <v>715</v>
      </c>
      <c r="E60" s="25">
        <f>'4637'!E29</f>
        <v>314</v>
      </c>
      <c r="F60" s="25" t="str">
        <f>'4637'!F29</f>
        <v>ORANGINE BR 2295</v>
      </c>
      <c r="G60" s="1"/>
    </row>
    <row r="61" spans="1:11" ht="15.6" x14ac:dyDescent="0.3">
      <c r="A61" s="91"/>
      <c r="B61" s="25">
        <f>'4637'!B30</f>
        <v>1</v>
      </c>
      <c r="C61" s="97" t="str">
        <f>'4637'!C30</f>
        <v>PR6</v>
      </c>
      <c r="D61" s="130">
        <f>D93</f>
        <v>170</v>
      </c>
      <c r="E61" s="25">
        <f>'4637'!E30</f>
        <v>447</v>
      </c>
      <c r="F61" s="25" t="str">
        <f>'4637'!F30</f>
        <v>SUPER TITAN</v>
      </c>
      <c r="G61" s="1"/>
    </row>
    <row r="62" spans="1:11" ht="15.6" x14ac:dyDescent="0.3">
      <c r="A62" s="91"/>
      <c r="B62" s="25">
        <f>'4637'!B31</f>
        <v>1</v>
      </c>
      <c r="C62" s="97" t="str">
        <f>'4637'!C31</f>
        <v>PR6</v>
      </c>
      <c r="D62" s="130">
        <f>D94</f>
        <v>520</v>
      </c>
      <c r="E62" s="25">
        <f>'4637'!E31</f>
        <v>788</v>
      </c>
      <c r="F62" s="25" t="str">
        <f>'4637'!F31</f>
        <v>SUPER TITAN</v>
      </c>
      <c r="G62" s="1"/>
    </row>
    <row r="63" spans="1:11" ht="15.6" x14ac:dyDescent="0.3">
      <c r="A63" s="91"/>
      <c r="B63" s="25">
        <f>'4637'!B32</f>
        <v>2</v>
      </c>
      <c r="C63" s="97" t="str">
        <f>'4637'!C32</f>
        <v>PR6</v>
      </c>
      <c r="D63" s="130">
        <f>D95</f>
        <v>715</v>
      </c>
      <c r="E63" s="25">
        <f>'4637'!E32</f>
        <v>314</v>
      </c>
      <c r="F63" s="25" t="str">
        <f>'4637'!F32</f>
        <v>SUPER TITAN</v>
      </c>
      <c r="G63" s="1"/>
    </row>
    <row r="64" spans="1:11" ht="15.6" x14ac:dyDescent="0.3">
      <c r="A64" s="51"/>
      <c r="B64" s="6"/>
      <c r="C64" s="6"/>
      <c r="D64" s="6"/>
      <c r="E64" s="6"/>
      <c r="F64" s="6"/>
      <c r="G64" s="1"/>
    </row>
    <row r="65" spans="1:7" ht="15.6" x14ac:dyDescent="0.3">
      <c r="A65" s="1"/>
      <c r="B65" s="6"/>
      <c r="C65" s="6"/>
      <c r="D65" s="6"/>
      <c r="E65" s="6"/>
      <c r="F65" s="6"/>
      <c r="G65" s="1"/>
    </row>
    <row r="66" spans="1:7" ht="15.6" x14ac:dyDescent="0.3">
      <c r="A66" s="1"/>
      <c r="B66" s="6"/>
      <c r="C66" s="6"/>
      <c r="D66" s="6"/>
      <c r="E66" s="6"/>
      <c r="F66" s="6"/>
      <c r="G66" s="1"/>
    </row>
    <row r="67" spans="1:7" ht="15.6" x14ac:dyDescent="0.3">
      <c r="A67" s="1"/>
      <c r="B67" s="6"/>
      <c r="C67" s="6"/>
      <c r="D67" s="6"/>
      <c r="E67" s="6"/>
      <c r="F67" s="6"/>
      <c r="G67" s="1"/>
    </row>
    <row r="68" spans="1:7" ht="15.6" x14ac:dyDescent="0.3">
      <c r="A68" s="1"/>
      <c r="B68" s="6"/>
      <c r="C68" s="6"/>
      <c r="D68" s="6"/>
      <c r="E68" s="6"/>
      <c r="F68" s="6"/>
      <c r="G68" s="1"/>
    </row>
    <row r="69" spans="1:7" ht="15.6" x14ac:dyDescent="0.3">
      <c r="A69" s="1"/>
      <c r="B69" s="6"/>
      <c r="C69" s="6"/>
      <c r="D69" s="6"/>
      <c r="E69" s="6"/>
      <c r="F69" s="6"/>
      <c r="G69" s="1"/>
    </row>
    <row r="70" spans="1:7" ht="15.6" x14ac:dyDescent="0.3">
      <c r="A70" s="1"/>
      <c r="B70" s="6"/>
      <c r="C70" s="6"/>
      <c r="D70" s="6"/>
      <c r="E70" s="6"/>
      <c r="F70" s="6"/>
      <c r="G70" s="1"/>
    </row>
    <row r="71" spans="1:7" ht="15.6" x14ac:dyDescent="0.3">
      <c r="A71" s="1"/>
      <c r="B71" s="6"/>
      <c r="C71" s="6"/>
      <c r="D71" s="6"/>
      <c r="E71" s="6"/>
      <c r="F71" s="6"/>
      <c r="G71" s="1"/>
    </row>
    <row r="72" spans="1:7" ht="15.6" x14ac:dyDescent="0.3">
      <c r="A72" s="1"/>
      <c r="B72" s="6"/>
      <c r="C72" s="6"/>
      <c r="D72" s="6"/>
      <c r="E72" s="6"/>
      <c r="F72" s="6"/>
      <c r="G72" s="1"/>
    </row>
    <row r="73" spans="1:7" ht="15.6" x14ac:dyDescent="0.3">
      <c r="A73" s="1"/>
      <c r="B73" s="1"/>
      <c r="C73" s="1"/>
      <c r="D73" s="1"/>
      <c r="E73" s="1"/>
      <c r="F73" s="1"/>
      <c r="G73" s="1"/>
    </row>
    <row r="74" spans="1:7" ht="15.6" x14ac:dyDescent="0.3">
      <c r="A74" s="1"/>
      <c r="B74" s="1"/>
      <c r="C74" s="39" t="s">
        <v>27</v>
      </c>
      <c r="D74" s="14">
        <f>'4637'!G8</f>
        <v>7126</v>
      </c>
      <c r="E74" s="1"/>
      <c r="F74" s="1"/>
      <c r="G74" s="1"/>
    </row>
    <row r="75" spans="1:7" ht="17.25" customHeight="1" x14ac:dyDescent="0.3">
      <c r="A75" s="1"/>
      <c r="B75" s="1"/>
      <c r="C75" s="40" t="s">
        <v>67</v>
      </c>
      <c r="D75" s="41" t="str">
        <f>'4637'!C10</f>
        <v>PATRICIO ESCOBAR</v>
      </c>
      <c r="E75" s="42"/>
      <c r="F75" s="42"/>
      <c r="G75" s="1"/>
    </row>
    <row r="76" spans="1:7" ht="4.5" customHeight="1" x14ac:dyDescent="0.3">
      <c r="A76" s="1"/>
      <c r="B76" s="1"/>
      <c r="C76" s="43"/>
      <c r="D76" s="44"/>
      <c r="E76" s="1"/>
      <c r="F76" s="1"/>
      <c r="G76" s="1"/>
    </row>
    <row r="77" spans="1:7" ht="15.6" x14ac:dyDescent="0.3">
      <c r="A77" s="1"/>
      <c r="B77" s="1"/>
      <c r="C77" s="45" t="str">
        <f>'4637'!F11</f>
        <v>FECHA LIMITE :</v>
      </c>
      <c r="D77" s="13">
        <f>'4637'!G11</f>
        <v>45611</v>
      </c>
      <c r="E77" s="1"/>
      <c r="F77" s="1"/>
      <c r="G77" s="1"/>
    </row>
    <row r="78" spans="1:7" ht="15.6" x14ac:dyDescent="0.3">
      <c r="A78" s="1"/>
      <c r="B78" s="1"/>
      <c r="C78" s="1"/>
      <c r="D78" s="1"/>
      <c r="E78" s="1"/>
      <c r="F78" s="1"/>
      <c r="G78" s="1"/>
    </row>
    <row r="79" spans="1:7" ht="15.6" x14ac:dyDescent="0.3">
      <c r="A79" s="1"/>
      <c r="B79" s="1"/>
      <c r="C79" s="1"/>
      <c r="D79" s="1"/>
      <c r="E79" s="1"/>
      <c r="F79" s="1"/>
      <c r="G79" s="1"/>
    </row>
    <row r="80" spans="1:7" ht="15.6" x14ac:dyDescent="0.3">
      <c r="A80" s="120" t="s">
        <v>68</v>
      </c>
      <c r="B80" s="120"/>
      <c r="C80" s="120"/>
      <c r="D80" s="120"/>
      <c r="E80" s="120"/>
      <c r="F80" s="120"/>
      <c r="G80" s="1"/>
    </row>
    <row r="81" spans="1:7" ht="15.6" x14ac:dyDescent="0.3">
      <c r="A81" s="1"/>
      <c r="B81" s="1"/>
      <c r="C81" s="1"/>
      <c r="D81" s="1"/>
      <c r="E81" s="1"/>
      <c r="F81" s="1"/>
      <c r="G81" s="1"/>
    </row>
    <row r="82" spans="1:7" ht="15.75" customHeight="1" x14ac:dyDescent="0.3">
      <c r="A82" s="1"/>
      <c r="B82" s="121" t="s">
        <v>69</v>
      </c>
      <c r="C82" s="122"/>
      <c r="D82" s="123"/>
      <c r="E82" s="123"/>
      <c r="F82" s="124"/>
      <c r="G82" s="1"/>
    </row>
    <row r="83" spans="1:7" s="15" customFormat="1" ht="12.75" customHeight="1" x14ac:dyDescent="0.3">
      <c r="A83" s="1"/>
      <c r="B83" s="36" t="s">
        <v>10</v>
      </c>
      <c r="C83" s="46" t="s">
        <v>11</v>
      </c>
      <c r="D83" s="47" t="s">
        <v>7</v>
      </c>
      <c r="E83" s="47" t="s">
        <v>8</v>
      </c>
      <c r="F83" s="48" t="s">
        <v>12</v>
      </c>
      <c r="G83" s="1"/>
    </row>
    <row r="84" spans="1:7" s="15" customFormat="1" ht="15" customHeight="1" x14ac:dyDescent="0.35">
      <c r="A84" s="91"/>
      <c r="B84" s="38">
        <f>'4637'!B21</f>
        <v>1</v>
      </c>
      <c r="C84" s="96" t="str">
        <f>'4637'!C21</f>
        <v>CUB MESON FALDON</v>
      </c>
      <c r="D84" s="126">
        <f>'4637'!D21</f>
        <v>3000</v>
      </c>
      <c r="E84" s="126">
        <f>'4637'!E21</f>
        <v>400</v>
      </c>
      <c r="F84" s="38" t="str">
        <f>'4637'!F21</f>
        <v>WINTER SAMSARA MAPLE 14689 SF</v>
      </c>
      <c r="G84" s="1"/>
    </row>
    <row r="85" spans="1:7" s="15" customFormat="1" ht="15" customHeight="1" x14ac:dyDescent="0.35">
      <c r="A85" s="91"/>
      <c r="B85" s="38">
        <f>'4637'!B22</f>
        <v>2</v>
      </c>
      <c r="C85" s="96" t="str">
        <f>'4637'!C22</f>
        <v>PR6</v>
      </c>
      <c r="D85" s="127">
        <f>'4637'!D22</f>
        <v>715</v>
      </c>
      <c r="E85" s="126">
        <f>'4637'!E22</f>
        <v>297</v>
      </c>
      <c r="F85" s="38" t="str">
        <f>'4637'!F22</f>
        <v>ORANGINE BR 2295</v>
      </c>
      <c r="G85" s="1"/>
    </row>
    <row r="86" spans="1:7" s="15" customFormat="1" ht="15" customHeight="1" x14ac:dyDescent="0.35">
      <c r="A86" s="91"/>
      <c r="B86" s="38">
        <f>'4637'!B23</f>
        <v>2</v>
      </c>
      <c r="C86" s="96" t="str">
        <f>'4637'!C23</f>
        <v>PR6</v>
      </c>
      <c r="D86" s="127">
        <f>'4637'!D23</f>
        <v>715</v>
      </c>
      <c r="E86" s="126">
        <f>'4637'!E23</f>
        <v>447</v>
      </c>
      <c r="F86" s="38" t="str">
        <f>'4637'!F23</f>
        <v>ORANGINE BR 2295</v>
      </c>
      <c r="G86" s="1"/>
    </row>
    <row r="87" spans="1:7" s="15" customFormat="1" ht="15" customHeight="1" x14ac:dyDescent="0.35">
      <c r="A87" s="91"/>
      <c r="B87" s="38">
        <f>'4637'!B24</f>
        <v>1</v>
      </c>
      <c r="C87" s="96" t="str">
        <f>'4637'!C24</f>
        <v>PR6</v>
      </c>
      <c r="D87" s="127">
        <f>'4637'!D24</f>
        <v>520</v>
      </c>
      <c r="E87" s="126">
        <f>'4637'!E24</f>
        <v>447</v>
      </c>
      <c r="F87" s="38" t="str">
        <f>'4637'!F24</f>
        <v>ORANGINE BR 2295</v>
      </c>
      <c r="G87" s="1"/>
    </row>
    <row r="88" spans="1:7" s="15" customFormat="1" ht="15" customHeight="1" x14ac:dyDescent="0.35">
      <c r="A88" s="91"/>
      <c r="B88" s="38">
        <f>'4637'!B25</f>
        <v>1</v>
      </c>
      <c r="C88" s="96" t="str">
        <f>'4637'!C25</f>
        <v>PR6</v>
      </c>
      <c r="D88" s="127">
        <f>'4637'!D25</f>
        <v>170</v>
      </c>
      <c r="E88" s="126">
        <f>'4637'!E25</f>
        <v>788</v>
      </c>
      <c r="F88" s="38" t="str">
        <f>'4637'!F25</f>
        <v>ORANGINE BR 2295</v>
      </c>
      <c r="G88" s="1"/>
    </row>
    <row r="89" spans="1:7" s="15" customFormat="1" ht="15" customHeight="1" x14ac:dyDescent="0.35">
      <c r="A89" s="91"/>
      <c r="B89" s="38">
        <f>'4637'!B26</f>
        <v>1</v>
      </c>
      <c r="C89" s="96" t="str">
        <f>'4637'!C26</f>
        <v>PR6</v>
      </c>
      <c r="D89" s="127">
        <f>'4637'!D26</f>
        <v>598</v>
      </c>
      <c r="E89" s="126">
        <f>'4637'!E26</f>
        <v>598</v>
      </c>
      <c r="F89" s="38" t="str">
        <f>'4637'!F26</f>
        <v>ORANGINE BR 2295</v>
      </c>
      <c r="G89" s="1"/>
    </row>
    <row r="90" spans="1:7" s="15" customFormat="1" ht="15" customHeight="1" x14ac:dyDescent="0.35">
      <c r="A90" s="91"/>
      <c r="B90" s="38">
        <f>'4637'!B27</f>
        <v>1</v>
      </c>
      <c r="C90" s="96" t="str">
        <f>'4637'!C27</f>
        <v>PR6</v>
      </c>
      <c r="D90" s="127">
        <f>'4637'!D27</f>
        <v>858</v>
      </c>
      <c r="E90" s="126">
        <f>'4637'!E27</f>
        <v>397</v>
      </c>
      <c r="F90" s="38" t="str">
        <f>'4637'!F27</f>
        <v>ORANGINE BR 2295</v>
      </c>
      <c r="G90" s="1"/>
    </row>
    <row r="91" spans="1:7" s="15" customFormat="1" ht="15" customHeight="1" x14ac:dyDescent="0.35">
      <c r="A91" s="91"/>
      <c r="B91" s="38">
        <f>'4637'!B28</f>
        <v>2</v>
      </c>
      <c r="C91" s="96" t="str">
        <f>'4637'!C28</f>
        <v>PR6</v>
      </c>
      <c r="D91" s="127">
        <f>'4637'!D28</f>
        <v>858</v>
      </c>
      <c r="E91" s="126">
        <f>'4637'!E28</f>
        <v>447</v>
      </c>
      <c r="F91" s="38" t="str">
        <f>'4637'!F28</f>
        <v>ORANGINE BR 2295</v>
      </c>
      <c r="G91" s="1"/>
    </row>
    <row r="92" spans="1:7" s="15" customFormat="1" ht="15" customHeight="1" x14ac:dyDescent="0.35">
      <c r="A92" s="91"/>
      <c r="B92" s="38">
        <f>'4637'!B29</f>
        <v>4</v>
      </c>
      <c r="C92" s="96" t="str">
        <f>'4637'!C29</f>
        <v>PR6</v>
      </c>
      <c r="D92" s="127">
        <f>'4637'!D29</f>
        <v>715</v>
      </c>
      <c r="E92" s="126">
        <f>'4637'!E29</f>
        <v>314</v>
      </c>
      <c r="F92" s="38" t="str">
        <f>'4637'!F29</f>
        <v>ORANGINE BR 2295</v>
      </c>
      <c r="G92" s="1"/>
    </row>
    <row r="93" spans="1:7" s="15" customFormat="1" ht="15" customHeight="1" x14ac:dyDescent="0.35">
      <c r="A93" s="91"/>
      <c r="B93" s="38">
        <f>'4637'!B30</f>
        <v>1</v>
      </c>
      <c r="C93" s="96" t="str">
        <f>'4637'!C30</f>
        <v>PR6</v>
      </c>
      <c r="D93" s="127">
        <f>'4637'!D30</f>
        <v>170</v>
      </c>
      <c r="E93" s="126">
        <f>'4637'!E30</f>
        <v>447</v>
      </c>
      <c r="F93" s="38" t="str">
        <f>'4637'!F30</f>
        <v>SUPER TITAN</v>
      </c>
      <c r="G93" s="1"/>
    </row>
    <row r="94" spans="1:7" s="15" customFormat="1" ht="15" customHeight="1" x14ac:dyDescent="0.35">
      <c r="A94" s="91"/>
      <c r="B94" s="38">
        <f>'4637'!B31</f>
        <v>1</v>
      </c>
      <c r="C94" s="96" t="str">
        <f>'4637'!C31</f>
        <v>PR6</v>
      </c>
      <c r="D94" s="127">
        <f>'4637'!D31</f>
        <v>520</v>
      </c>
      <c r="E94" s="126">
        <f>'4637'!E31</f>
        <v>788</v>
      </c>
      <c r="F94" s="38" t="str">
        <f>'4637'!F31</f>
        <v>SUPER TITAN</v>
      </c>
      <c r="G94" s="1"/>
    </row>
    <row r="95" spans="1:7" s="15" customFormat="1" ht="15" customHeight="1" x14ac:dyDescent="0.35">
      <c r="A95" s="91"/>
      <c r="B95" s="38">
        <f>'4637'!B32</f>
        <v>2</v>
      </c>
      <c r="C95" s="96" t="str">
        <f>'4637'!C32</f>
        <v>PR6</v>
      </c>
      <c r="D95" s="127">
        <f>'4637'!D32</f>
        <v>715</v>
      </c>
      <c r="E95" s="126">
        <f>'4637'!E32</f>
        <v>314</v>
      </c>
      <c r="F95" s="38" t="str">
        <f>'4637'!F32</f>
        <v>SUPER TITAN</v>
      </c>
      <c r="G95" s="1"/>
    </row>
    <row r="96" spans="1:7" s="15" customFormat="1" ht="15" customHeight="1" x14ac:dyDescent="0.3">
      <c r="A96" s="91"/>
      <c r="B96" s="51"/>
      <c r="C96" s="106"/>
      <c r="D96" s="51"/>
      <c r="E96" s="51"/>
      <c r="F96" s="51"/>
      <c r="G96" s="1"/>
    </row>
    <row r="97" spans="1:7" s="15" customFormat="1" ht="15" customHeight="1" x14ac:dyDescent="0.3">
      <c r="A97" s="49"/>
      <c r="B97" s="51"/>
      <c r="C97" s="51"/>
      <c r="D97" s="51"/>
      <c r="E97" s="51"/>
      <c r="F97" s="51"/>
      <c r="G97" s="1"/>
    </row>
    <row r="98" spans="1:7" ht="15.6" x14ac:dyDescent="0.3">
      <c r="A98" s="6"/>
      <c r="B98" s="6"/>
      <c r="C98" s="1"/>
      <c r="D98" s="6"/>
      <c r="E98" s="6"/>
      <c r="F98" s="43"/>
      <c r="G98" s="1"/>
    </row>
    <row r="99" spans="1:7" ht="15.6" x14ac:dyDescent="0.3">
      <c r="A99" s="6"/>
      <c r="B99" s="6"/>
      <c r="C99" s="1"/>
      <c r="D99" s="6"/>
      <c r="E99" s="6"/>
      <c r="F99" s="6"/>
      <c r="G99" s="1"/>
    </row>
    <row r="100" spans="1:7" ht="15.6" x14ac:dyDescent="0.3">
      <c r="A100" s="1"/>
      <c r="B100" s="1"/>
      <c r="C100" s="1"/>
      <c r="D100" s="1"/>
      <c r="E100" s="1"/>
      <c r="F100" s="1"/>
      <c r="G100" s="1"/>
    </row>
    <row r="101" spans="1:7" ht="15.6" x14ac:dyDescent="0.3">
      <c r="A101" s="1"/>
      <c r="B101" s="1"/>
      <c r="C101" s="1"/>
      <c r="D101" s="1"/>
      <c r="E101" s="1"/>
      <c r="F101" s="1"/>
      <c r="G101" s="1"/>
    </row>
    <row r="102" spans="1:7" ht="15.6" x14ac:dyDescent="0.3">
      <c r="A102" s="1"/>
      <c r="B102" s="1"/>
      <c r="C102" s="1"/>
      <c r="D102" s="1"/>
      <c r="E102" s="1"/>
      <c r="F102" s="1"/>
      <c r="G102" s="1"/>
    </row>
    <row r="103" spans="1:7" ht="15" customHeight="1" x14ac:dyDescent="0.3">
      <c r="A103" s="1"/>
      <c r="B103" s="1"/>
      <c r="C103" s="1"/>
      <c r="D103" s="1"/>
      <c r="E103" s="1"/>
      <c r="F103" s="1"/>
      <c r="G103" s="1"/>
    </row>
    <row r="104" spans="1:7" ht="15.6" x14ac:dyDescent="0.3">
      <c r="A104" s="1"/>
      <c r="B104" s="1"/>
      <c r="C104" s="1"/>
      <c r="D104" s="1"/>
      <c r="E104" s="1"/>
      <c r="F104" s="1"/>
      <c r="G104" s="1"/>
    </row>
    <row r="105" spans="1:7" ht="15.6" x14ac:dyDescent="0.3">
      <c r="A105" s="6"/>
      <c r="B105" s="50"/>
      <c r="C105" s="1"/>
      <c r="D105" s="1"/>
      <c r="E105" s="1"/>
      <c r="F105" s="1"/>
      <c r="G105" s="1"/>
    </row>
    <row r="106" spans="1:7" ht="15.6" x14ac:dyDescent="0.3">
      <c r="A106" s="1"/>
      <c r="B106" s="1"/>
      <c r="C106" s="1"/>
      <c r="D106" s="1"/>
      <c r="E106" s="1"/>
      <c r="F106" s="1"/>
      <c r="G106" s="1"/>
    </row>
    <row r="107" spans="1:7" x14ac:dyDescent="0.3">
      <c r="B107" s="20"/>
      <c r="C107" s="20"/>
      <c r="D107" s="20"/>
      <c r="E107" s="20"/>
      <c r="F107" s="20"/>
    </row>
    <row r="108" spans="1:7" x14ac:dyDescent="0.3">
      <c r="B108" s="20"/>
      <c r="C108" s="20"/>
      <c r="E108" s="20"/>
      <c r="F108" s="20"/>
    </row>
  </sheetData>
  <mergeCells count="6">
    <mergeCell ref="M3:N3"/>
    <mergeCell ref="A31:F31"/>
    <mergeCell ref="A10:F10"/>
    <mergeCell ref="A80:F80"/>
    <mergeCell ref="B82:F82"/>
    <mergeCell ref="K3:L3"/>
  </mergeCells>
  <pageMargins left="0.70866141732283472" right="0.70866141732283472" top="0.74803149606299213" bottom="0.74803149606299213" header="0.31496062992125984" footer="0.31496062992125984"/>
  <pageSetup scale="63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2024-11-14T11:44:29Z</cp:lastPrinted>
  <dcterms:created xsi:type="dcterms:W3CDTF">2013-03-19T12:54:14Z</dcterms:created>
  <dcterms:modified xsi:type="dcterms:W3CDTF">2024-11-14T11:44:46Z</dcterms:modified>
</cp:coreProperties>
</file>