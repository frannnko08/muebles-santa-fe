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5 MAYO 2024\"/>
    </mc:Choice>
  </mc:AlternateContent>
  <xr:revisionPtr revIDLastSave="0" documentId="13_ncr:1_{B371503C-AA33-4A36-96DD-A9EF99E24F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1" i="3"/>
  <c r="I24" i="3" s="1"/>
  <c r="B24" i="3" s="1"/>
  <c r="C31" i="3"/>
  <c r="F24" i="3" s="1"/>
  <c r="D31" i="3"/>
  <c r="J24" i="3" s="1"/>
  <c r="D24" i="3" s="1"/>
  <c r="E31" i="3"/>
  <c r="K24" i="3" s="1"/>
  <c r="E24" i="3" s="1"/>
  <c r="F31" i="3"/>
  <c r="B53" i="3"/>
  <c r="C53" i="3"/>
  <c r="D53" i="3"/>
  <c r="E53" i="3"/>
  <c r="F53" i="3"/>
  <c r="H22" i="4"/>
  <c r="H21" i="4"/>
  <c r="H25" i="4" l="1"/>
  <c r="B52" i="3"/>
  <c r="C52" i="3"/>
  <c r="D52" i="3"/>
  <c r="E52" i="3"/>
  <c r="F52" i="3"/>
  <c r="B30" i="3"/>
  <c r="C30" i="3"/>
  <c r="F23" i="3" s="1"/>
  <c r="D30" i="3"/>
  <c r="J14" i="3" s="1"/>
  <c r="D14" i="3" s="1"/>
  <c r="E30" i="3"/>
  <c r="K14" i="3" s="1"/>
  <c r="E14" i="3" s="1"/>
  <c r="F30" i="3"/>
  <c r="H26" i="4" l="1"/>
  <c r="I23" i="3"/>
  <c r="F14" i="3"/>
  <c r="K23" i="3"/>
  <c r="E23" i="3" s="1"/>
  <c r="J23" i="3"/>
  <c r="D23" i="3" s="1"/>
  <c r="B23" i="3" l="1"/>
  <c r="I14" i="3"/>
  <c r="B14" i="3" s="1"/>
  <c r="H27" i="4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<sst xmlns="http://schemas.openxmlformats.org/spreadsheetml/2006/main" count="249" uniqueCount="144">
  <si>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</si>
  <si>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</si>
  <si>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</si>
  <si>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</si>
  <si>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</si>
  <si>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</si>
  <si>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</si>
  <si>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</si>
  <si>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</si>
  <si>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</si>
  <si>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</si>
  <si>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</si>
  <si>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</si>
  <si>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</si>
  <si>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</si>
  <si>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</si>
  <si>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</si>
  <si>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</si>
  <si>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</si>
  <si>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</si>
  <si>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</si>
  <si>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</si>
  <si>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</si>
  <si>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</si>
  <si>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</si>
  <si>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</si>
  <si>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</si>
  <si>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</si>
  <si>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</si>
  <si>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</si>
  <si>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</si>
  <si>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</si>
  <si>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</si>
  <si>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</si>
  <si>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</si>
  <si>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</si>
  <si>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</si>
  <si>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</si>
  <si>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</si>
  <si>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</si>
  <si>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</si>
  <si>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</si>
  <si>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</si>
  <si>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</si>
  <si>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</si>
  <si>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</si>
  <si>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</si>
  <si>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</si>
  <si>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</si>
  <si>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</si>
  <si>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</si>
  <si>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</si>
  <si>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</si>
  <si>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</si>
  <si>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</si>
  <si>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</si>
  <si>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</si>
  <si>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</si>
  <si>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</si>
  <si>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</si>
  <si>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</si>
  <si>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</si>
  <si>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</si>
  <si>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</si>
  <si>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</si>
  <si>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</si>
  <si>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</si>
  <si>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</si>
  <si>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</si>
  <si>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</si>
  <si>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</si>
  <si>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</si>
  <si>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</si>
  <si>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</si>
  <si>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</si>
  <si>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</si>
  <si>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</si>
  <si>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</si>
  <si>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</si>
  <si>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</si>
  <si>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</si>
  <si>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</si>
  <si>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</si>
  <si>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</si>
  <si>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</si>
  <si>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</si>
  <si>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</si>
  <si>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</si>
  <si>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</si>
  <si>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</si>
  <si>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</si>
  <si>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</si>
  <si>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</si>
  <si>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</si>
  <si>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</si>
  <si>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</si>
  <si>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</si>
  <si>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</si>
  <si>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</si>
  <si>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</si>
  <si>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</si>
  <si>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</si>
  <si>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</si>
  <si>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</si>
  <si>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</si>
  <si>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</si>
  <si>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</si>
  <si>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</si>
  <si>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</si>
  <si>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</si>
  <si>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</si>
  <si>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</si>
  <si>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</si>
  <si>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</si>
  <si>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</si>
  <si>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</si>
  <si>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</si>
  <si>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</si>
  <si>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</si>
  <si>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</si>
  <si>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</si>
  <si>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</si>
  <si>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</si>
  <si>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</si>
  <si>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</si>
  <si>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</si>
  <si>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</si>
  <si>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</si>
  <si>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</si>
  <si>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</si>
  <si>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</si>
  <si>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</si>
  <si>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</si>
  <si>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</si>
  <si>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</si>
  <si>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</si>
  <si>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</si>
  <si>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N°10959</t>
  </si>
  <si>
    <t xml:space="preserve">FORD MUEBLES </t>
  </si>
  <si>
    <t>ENRIQUE FORD</t>
  </si>
  <si>
    <t>+569 8293 1990</t>
  </si>
  <si>
    <t>CUB CON RESPALDO 180°</t>
  </si>
  <si>
    <t>ASTRAL 3030 MT</t>
  </si>
  <si>
    <t>76.380.557-3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</si>
</sst>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" fillId="8" borderId="9" xfId="2" applyFont="1" applyFill="1" applyBorder="1" applyAlignment="1">
      <alignment horizontal="left"/>
    </xf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0" borderId="0" xfId="2" quotePrefix="1" applyFont="1" applyFill="1" applyBorder="1" applyAlignment="1">
      <alignment horizontal="left"/>
    </xf>
    <xf numFmtId="0" fontId="16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</a:t>
          </a:r>
          <a:r>
            <a:rPr lang="es-CL" sz="900" b="1" i="1" baseline="0"/>
            <a:t>O $ 114.062. 17/05-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58</xdr:row>
      <xdr:rowOff>24765</xdr:rowOff>
    </xdr:from>
    <xdr:to>
      <xdr:col>5</xdr:col>
      <xdr:colOff>2404110</xdr:colOff>
      <xdr:row>62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38100</xdr:colOff>
      <xdr:row>38</xdr:row>
      <xdr:rowOff>163830</xdr:rowOff>
    </xdr:from>
    <xdr:to>
      <xdr:col>1</xdr:col>
      <xdr:colOff>908443</xdr:colOff>
      <xdr:row>45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5" t="s">
        <v>138</v>
      </c>
      <c r="D10" s="50"/>
      <c r="E10" s="50"/>
      <c r="F10" s="51" t="s">
        <v>28</v>
      </c>
      <c r="G10" s="52">
        <v>45429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6" t="s">
        <v>143</v>
      </c>
      <c r="D11" s="55"/>
      <c r="E11" s="55"/>
      <c r="F11" s="55" t="s">
        <v>124</v>
      </c>
      <c r="G11" s="56">
        <v>45436</v>
      </c>
      <c r="H11" s="57"/>
      <c r="I11" s="1"/>
    </row>
    <row r="12" spans="1:17" ht="15.6" x14ac:dyDescent="0.3">
      <c r="A12" s="1"/>
      <c r="B12" s="58" t="s">
        <v>132</v>
      </c>
      <c r="C12" s="98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t="s">
        <v>139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24" t="s">
        <v>140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7" t="s">
        <v>133</v>
      </c>
      <c r="D16" s="64"/>
      <c r="E16" s="65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99">
        <v>1</v>
      </c>
      <c r="C21" s="108" t="s">
        <v>141</v>
      </c>
      <c r="D21" s="109">
        <v>1850</v>
      </c>
      <c r="E21" s="109">
        <v>550</v>
      </c>
      <c r="F21" s="100" t="s">
        <v>142</v>
      </c>
      <c r="G21" s="110">
        <v>130188</v>
      </c>
      <c r="H21" s="94">
        <f>G21*B21</f>
        <v>130188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99">
        <v>1</v>
      </c>
      <c r="C22" s="108" t="s">
        <v>141</v>
      </c>
      <c r="D22" s="109">
        <v>1250</v>
      </c>
      <c r="E22" s="109">
        <v>600</v>
      </c>
      <c r="F22" s="100" t="s">
        <v>142</v>
      </c>
      <c r="G22" s="110">
        <v>97935</v>
      </c>
      <c r="H22" s="94">
        <f>G22*B22</f>
        <v>97935</v>
      </c>
      <c r="I22" s="1"/>
      <c r="K22" s="16"/>
      <c r="L22" s="24"/>
      <c r="M22" s="16"/>
      <c r="N22" s="16"/>
      <c r="O22" s="24"/>
      <c r="P22" s="31"/>
    </row>
    <row r="23" spans="1:16" ht="18" customHeight="1" x14ac:dyDescent="0.3">
      <c r="A23" s="1"/>
      <c r="B23" s="93"/>
      <c r="C23" s="93"/>
      <c r="D23" s="93"/>
      <c r="E23" s="93"/>
      <c r="F23" s="93"/>
      <c r="G23" s="91"/>
      <c r="H23" s="91"/>
      <c r="I23" s="1"/>
      <c r="K23" s="16"/>
      <c r="L23" s="24"/>
      <c r="M23" s="16"/>
      <c r="N23" s="16"/>
      <c r="O23" s="24"/>
      <c r="P23" s="31"/>
    </row>
    <row r="24" spans="1:16" ht="8.25" customHeight="1" thickBot="1" x14ac:dyDescent="0.35">
      <c r="A24" s="1"/>
      <c r="B24" s="69"/>
      <c r="C24" s="69"/>
      <c r="D24" s="69"/>
      <c r="E24" s="69"/>
      <c r="F24" s="69"/>
      <c r="G24" s="70"/>
      <c r="H24" s="70"/>
      <c r="I24" s="1"/>
    </row>
    <row r="25" spans="1:16" ht="15.6" x14ac:dyDescent="0.3">
      <c r="A25" s="1"/>
      <c r="B25" s="1"/>
      <c r="C25" s="1"/>
      <c r="D25" s="1"/>
      <c r="E25" s="1"/>
      <c r="F25" s="1"/>
      <c r="G25" s="71" t="s">
        <v>5</v>
      </c>
      <c r="H25" s="72">
        <f>SUM(H21:H24)</f>
        <v>228123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3" t="s">
        <v>6</v>
      </c>
      <c r="H26" s="74">
        <f>H25*19%</f>
        <v>43343.37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5" t="s">
        <v>4</v>
      </c>
      <c r="H27" s="76">
        <f>H25+H26</f>
        <v>271466.37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47"/>
      <c r="H28" s="92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7" t="s">
        <v>123</v>
      </c>
      <c r="C30" s="78"/>
      <c r="D30" s="79"/>
      <c r="E30" s="79"/>
      <c r="F30" s="69"/>
      <c r="G30" s="1"/>
      <c r="H30" s="1"/>
      <c r="I30" s="1"/>
    </row>
    <row r="31" spans="1:16" ht="15.6" x14ac:dyDescent="0.3">
      <c r="A31" s="1"/>
      <c r="B31" s="77" t="s">
        <v>122</v>
      </c>
      <c r="C31" s="78"/>
      <c r="D31" s="79"/>
      <c r="E31" s="79"/>
      <c r="F31" s="69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0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7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abSelected="1" zoomScaleNormal="100" workbookViewId="0">
      <selection sqref="A1:G39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5" t="s">
        <v>27</v>
      </c>
      <c r="D4" s="14">
        <f>'4637'!G8</f>
        <v>7078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 xml:space="preserve">FORD MUEBLES 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45436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03">
        <f t="shared" ref="B14" si="0">I14</f>
        <v>1</v>
      </c>
      <c r="C14" s="103"/>
      <c r="D14" s="103">
        <f>J14+D$13</f>
        <v>1900</v>
      </c>
      <c r="E14" s="105">
        <f>K14+E$13</f>
        <v>520</v>
      </c>
      <c r="F14" s="103" t="str">
        <f>C30</f>
        <v>CUB CON RESPALDO 180°</v>
      </c>
      <c r="G14" s="1"/>
      <c r="I14" s="3">
        <f>I23</f>
        <v>1</v>
      </c>
      <c r="J14" s="4">
        <f t="shared" ref="J14:K14" si="1">D30</f>
        <v>1850</v>
      </c>
      <c r="K14" s="4">
        <f t="shared" si="1"/>
        <v>550</v>
      </c>
    </row>
    <row r="15" spans="1:14" ht="18" x14ac:dyDescent="0.35">
      <c r="A15" s="90"/>
      <c r="B15" s="103">
        <f t="shared" ref="B15" si="2">I15</f>
        <v>1</v>
      </c>
      <c r="C15" s="103"/>
      <c r="D15" s="103">
        <f>J15+D$13</f>
        <v>1300</v>
      </c>
      <c r="E15" s="105">
        <f>K15+E$13</f>
        <v>570</v>
      </c>
      <c r="F15" s="103" t="str">
        <f>C31</f>
        <v>CUB CON RESPALDO 180°</v>
      </c>
      <c r="G15" s="1"/>
      <c r="I15" s="3">
        <f>I24</f>
        <v>1</v>
      </c>
      <c r="J15" s="4">
        <f t="shared" ref="J15" si="3">D31</f>
        <v>1250</v>
      </c>
      <c r="K15" s="4">
        <f t="shared" ref="K15" si="4">E31</f>
        <v>600</v>
      </c>
    </row>
    <row r="16" spans="1:14" ht="18" x14ac:dyDescent="0.35">
      <c r="A16" s="90"/>
      <c r="B16" s="106"/>
      <c r="C16" s="106"/>
      <c r="D16" s="106"/>
      <c r="E16" s="107"/>
      <c r="F16" s="106"/>
      <c r="G16" s="1"/>
      <c r="I16" s="84"/>
      <c r="J16" s="2"/>
      <c r="K16" s="2"/>
    </row>
    <row r="17" spans="1:11" ht="15.6" x14ac:dyDescent="0.3">
      <c r="A17" s="47"/>
      <c r="B17" s="6"/>
      <c r="C17" s="6"/>
      <c r="D17" s="6"/>
      <c r="E17" s="83"/>
      <c r="F17" s="6"/>
      <c r="G17" s="1"/>
      <c r="I17" s="84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47" t="s">
        <v>7</v>
      </c>
      <c r="E21" s="47" t="s">
        <v>8</v>
      </c>
      <c r="F21" s="1"/>
      <c r="G21" s="1"/>
    </row>
    <row r="22" spans="1:11" ht="15.6" x14ac:dyDescent="0.3">
      <c r="A22" s="47" t="s">
        <v>9</v>
      </c>
      <c r="B22" s="33" t="s">
        <v>10</v>
      </c>
      <c r="C22" s="33" t="s">
        <v>11</v>
      </c>
      <c r="D22" s="20">
        <v>40</v>
      </c>
      <c r="E22" s="20">
        <v>150</v>
      </c>
      <c r="F22" s="33" t="s">
        <v>110</v>
      </c>
      <c r="G22" s="1"/>
      <c r="J22" s="5" t="s">
        <v>7</v>
      </c>
      <c r="K22" s="5" t="s">
        <v>8</v>
      </c>
    </row>
    <row r="23" spans="1:11" ht="18" x14ac:dyDescent="0.35">
      <c r="A23" s="90" t="s">
        <v>135</v>
      </c>
      <c r="B23" s="104">
        <f t="shared" ref="B23" si="5">I23</f>
        <v>1</v>
      </c>
      <c r="C23" s="104"/>
      <c r="D23" s="104">
        <f>J23+D$22</f>
        <v>1890</v>
      </c>
      <c r="E23" s="104">
        <f>K23+E$22</f>
        <v>700</v>
      </c>
      <c r="F23" s="104" t="str">
        <f>C30</f>
        <v>CUB CON RESPALDO 180°</v>
      </c>
      <c r="G23" s="1"/>
      <c r="I23" s="3">
        <f>B30</f>
        <v>1</v>
      </c>
      <c r="J23" s="4">
        <f>D30</f>
        <v>1850</v>
      </c>
      <c r="K23" s="4">
        <f>E30</f>
        <v>550</v>
      </c>
    </row>
    <row r="24" spans="1:11" ht="18" x14ac:dyDescent="0.35">
      <c r="A24" s="90"/>
      <c r="B24" s="104">
        <f t="shared" ref="B24" si="6">I24</f>
        <v>1</v>
      </c>
      <c r="C24" s="104"/>
      <c r="D24" s="104">
        <f>J24+D$22</f>
        <v>1290</v>
      </c>
      <c r="E24" s="104">
        <f>K24+E$22</f>
        <v>750</v>
      </c>
      <c r="F24" s="104" t="str">
        <f>C31</f>
        <v>CUB CON RESPALDO 180°</v>
      </c>
      <c r="G24" s="1"/>
      <c r="I24" s="3">
        <f>B31</f>
        <v>1</v>
      </c>
      <c r="J24" s="4">
        <f>D31</f>
        <v>1250</v>
      </c>
      <c r="K24" s="4">
        <f>E31</f>
        <v>600</v>
      </c>
    </row>
    <row r="25" spans="1:11" ht="18" x14ac:dyDescent="0.35">
      <c r="A25" s="90"/>
      <c r="B25" s="106"/>
      <c r="C25" s="106"/>
      <c r="D25" s="106"/>
      <c r="E25" s="106"/>
      <c r="F25" s="106"/>
      <c r="G25" s="1"/>
      <c r="I25" s="84"/>
      <c r="J25" s="2"/>
      <c r="K25" s="2"/>
    </row>
    <row r="26" spans="1:11" ht="16.2" thickBot="1" x14ac:dyDescent="0.35">
      <c r="A26" s="47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47"/>
      <c r="B27" s="21" t="s">
        <v>107</v>
      </c>
      <c r="C27" s="22"/>
      <c r="D27" s="22"/>
      <c r="E27" s="22"/>
      <c r="F27" s="23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47" t="s">
        <v>9</v>
      </c>
      <c r="B29" s="82" t="s">
        <v>10</v>
      </c>
      <c r="C29" s="82" t="s">
        <v>110</v>
      </c>
      <c r="D29" s="82" t="s">
        <v>7</v>
      </c>
      <c r="E29" s="82" t="s">
        <v>8</v>
      </c>
      <c r="F29" s="82" t="s">
        <v>23</v>
      </c>
      <c r="G29" s="1"/>
    </row>
    <row r="30" spans="1:11" ht="18" x14ac:dyDescent="0.35">
      <c r="A30" s="90" t="s">
        <v>135</v>
      </c>
      <c r="B30" s="103">
        <f>'4637'!B21</f>
        <v>1</v>
      </c>
      <c r="C30" s="103" t="str">
        <f>'4637'!C21</f>
        <v>CUB CON RESPALDO 180°</v>
      </c>
      <c r="D30" s="103">
        <f>'4637'!D21</f>
        <v>1850</v>
      </c>
      <c r="E30" s="103">
        <f>'4637'!E21</f>
        <v>550</v>
      </c>
      <c r="F30" s="103" t="str">
        <f>'4637'!F21</f>
        <v>ASTRAL 3030 MT</v>
      </c>
      <c r="G30" s="1"/>
    </row>
    <row r="31" spans="1:11" ht="18" x14ac:dyDescent="0.35">
      <c r="A31" s="90"/>
      <c r="B31" s="103">
        <f>'4637'!B22</f>
        <v>1</v>
      </c>
      <c r="C31" s="103" t="str">
        <f>'4637'!C22</f>
        <v>CUB CON RESPALDO 180°</v>
      </c>
      <c r="D31" s="103">
        <f>'4637'!D22</f>
        <v>1250</v>
      </c>
      <c r="E31" s="103">
        <f>'4637'!E22</f>
        <v>600</v>
      </c>
      <c r="F31" s="103" t="str">
        <f>'4637'!F22</f>
        <v>ASTRAL 3030 MT</v>
      </c>
      <c r="G31" s="1"/>
    </row>
    <row r="32" spans="1:11" ht="15.6" x14ac:dyDescent="0.3">
      <c r="A32" s="47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35" t="s">
        <v>27</v>
      </c>
      <c r="D42" s="14">
        <f>'4637'!G8</f>
        <v>7078</v>
      </c>
      <c r="E42" s="1"/>
      <c r="F42" s="1"/>
      <c r="G42" s="1"/>
    </row>
    <row r="43" spans="1:7" ht="17.25" customHeight="1" x14ac:dyDescent="0.3">
      <c r="A43" s="1"/>
      <c r="B43" s="1"/>
      <c r="C43" s="36" t="s">
        <v>67</v>
      </c>
      <c r="D43" s="37" t="str">
        <f>'4637'!C10</f>
        <v xml:space="preserve">FORD MUEBLES </v>
      </c>
      <c r="E43" s="38"/>
      <c r="F43" s="38"/>
      <c r="G43" s="1"/>
    </row>
    <row r="44" spans="1:7" ht="4.5" customHeight="1" x14ac:dyDescent="0.3">
      <c r="A44" s="1"/>
      <c r="B44" s="1"/>
      <c r="C44" s="39"/>
      <c r="D44" s="40"/>
      <c r="E44" s="1"/>
      <c r="F44" s="1"/>
      <c r="G44" s="1"/>
    </row>
    <row r="45" spans="1:7" ht="15.6" x14ac:dyDescent="0.3">
      <c r="A45" s="1"/>
      <c r="B45" s="1"/>
      <c r="C45" s="41" t="str">
        <f>'4637'!F11</f>
        <v>FECHA LIMITE :</v>
      </c>
      <c r="D45" s="13">
        <f>'4637'!G11</f>
        <v>45436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19" t="s">
        <v>68</v>
      </c>
      <c r="B48" s="119"/>
      <c r="C48" s="119"/>
      <c r="D48" s="119"/>
      <c r="E48" s="119"/>
      <c r="F48" s="119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0" t="s">
        <v>69</v>
      </c>
      <c r="C50" s="121"/>
      <c r="D50" s="122"/>
      <c r="E50" s="122"/>
      <c r="F50" s="123"/>
      <c r="G50" s="1"/>
    </row>
    <row r="51" spans="1:7" s="15" customFormat="1" ht="12.75" customHeight="1" x14ac:dyDescent="0.3">
      <c r="A51" s="1"/>
      <c r="B51" s="33" t="s">
        <v>10</v>
      </c>
      <c r="C51" s="42" t="s">
        <v>11</v>
      </c>
      <c r="D51" s="43" t="s">
        <v>7</v>
      </c>
      <c r="E51" s="43" t="s">
        <v>8</v>
      </c>
      <c r="F51" s="44" t="s">
        <v>12</v>
      </c>
      <c r="G51" s="1"/>
    </row>
    <row r="52" spans="1:7" s="15" customFormat="1" ht="15" customHeight="1" x14ac:dyDescent="0.35">
      <c r="A52" s="90" t="s">
        <v>135</v>
      </c>
      <c r="B52" s="101">
        <f>'4637'!B21</f>
        <v>1</v>
      </c>
      <c r="C52" s="101" t="str">
        <f>'4637'!C21</f>
        <v>CUB CON RESPALDO 180°</v>
      </c>
      <c r="D52" s="102">
        <f>'4637'!D21</f>
        <v>1850</v>
      </c>
      <c r="E52" s="102">
        <f>'4637'!E21</f>
        <v>550</v>
      </c>
      <c r="F52" s="101" t="str">
        <f>'4637'!F21</f>
        <v>ASTRAL 3030 MT</v>
      </c>
      <c r="G52" s="1"/>
    </row>
    <row r="53" spans="1:7" s="15" customFormat="1" ht="15" customHeight="1" x14ac:dyDescent="0.35">
      <c r="A53" s="90"/>
      <c r="B53" s="101">
        <f>'4637'!B22</f>
        <v>1</v>
      </c>
      <c r="C53" s="101" t="str">
        <f>'4637'!C22</f>
        <v>CUB CON RESPALDO 180°</v>
      </c>
      <c r="D53" s="102">
        <f>'4637'!D22</f>
        <v>1250</v>
      </c>
      <c r="E53" s="102">
        <f>'4637'!E22</f>
        <v>600</v>
      </c>
      <c r="F53" s="101" t="str">
        <f>'4637'!F22</f>
        <v>ASTRAL 3030 MT</v>
      </c>
      <c r="G53" s="1"/>
    </row>
    <row r="54" spans="1:7" s="15" customFormat="1" ht="15" customHeight="1" x14ac:dyDescent="0.35">
      <c r="A54" s="90"/>
      <c r="B54" s="125"/>
      <c r="C54" s="125"/>
      <c r="D54" s="125"/>
      <c r="E54" s="125"/>
      <c r="F54" s="125"/>
      <c r="G54" s="1"/>
    </row>
    <row r="55" spans="1:7" s="15" customFormat="1" ht="15" customHeight="1" x14ac:dyDescent="0.3">
      <c r="A55" s="45"/>
      <c r="B55" s="47"/>
      <c r="C55" s="47"/>
      <c r="D55" s="47"/>
      <c r="E55" s="47"/>
      <c r="F55" s="47"/>
      <c r="G55" s="1"/>
    </row>
    <row r="56" spans="1:7" ht="15.6" x14ac:dyDescent="0.3">
      <c r="A56" s="6"/>
      <c r="B56" s="6"/>
      <c r="C56" s="1"/>
      <c r="D56" s="6"/>
      <c r="E56" s="6"/>
      <c r="F56" s="39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46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19"/>
      <c r="C65" s="19"/>
      <c r="D65" s="19"/>
      <c r="E65" s="19"/>
      <c r="F65" s="19"/>
    </row>
    <row r="66" spans="2:6" x14ac:dyDescent="0.3">
      <c r="B66" s="19"/>
      <c r="C66" s="19"/>
      <c r="E66" s="19"/>
      <c r="F66" s="19"/>
    </row>
  </sheetData>
  <mergeCells count="6">
    <mergeCell ref="M3:N3"/>
    <mergeCell ref="A19:F19"/>
    <mergeCell ref="A10:F10"/>
    <mergeCell ref="A48:F48"/>
    <mergeCell ref="B50:F50"/>
    <mergeCell ref="K3:L3"/>
  </mergeCells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2024-05-22T20:00:35Z</cp:lastPrinted>
  <dcterms:created xsi:type="dcterms:W3CDTF">2013-03-19T12:54:14Z</dcterms:created>
  <dcterms:modified xsi:type="dcterms:W3CDTF">2024-05-22T20:00:42Z</dcterms:modified>
</cp:coreProperties>
</file>