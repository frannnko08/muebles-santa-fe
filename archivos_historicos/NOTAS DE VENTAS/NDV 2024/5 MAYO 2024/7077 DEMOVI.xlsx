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5 MAYO 2024\"/>
    </mc:Choice>
  </mc:AlternateContent>
  <xr:revisionPtr revIDLastSave="0" documentId="13_ncr:1_{7C1C2FEF-9B95-4855-9BCB-1A3A4502C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5" i="4" l="1"/>
  <c r="I22" i="3"/>
  <c r="F14" i="3"/>
  <c r="K22" i="3"/>
  <c r="E22" i="3" s="1"/>
  <c r="J22" i="3"/>
  <c r="D22" i="3" s="1"/>
  <c r="B22" i="3" l="1"/>
  <c r="I14" i="3"/>
  <c r="B14" i="3" s="1"/>
  <c r="H26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<sst xmlns="http://schemas.openxmlformats.org/spreadsheetml/2006/main" count="249" uniqueCount="146">
  <si>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</si>
  <si>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</si>
  <si>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</si>
  <si>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</si>
  <si>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</si>
  <si>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</si>
  <si>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</si>
  <si>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</si>
  <si>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</si>
  <si>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</si>
  <si>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</si>
  <si>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</si>
  <si>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</si>
  <si>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</si>
  <si>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</si>
  <si>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</si>
  <si>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</si>
  <si>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</si>
  <si>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</si>
  <si>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</si>
  <si>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</si>
  <si>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</si>
  <si>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</si>
  <si>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</si>
  <si>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</si>
  <si>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</si>
  <si>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</si>
  <si>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</si>
  <si>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</si>
  <si>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</si>
  <si>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</si>
  <si>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</si>
  <si>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</si>
  <si>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</si>
  <si>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</si>
  <si>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</si>
  <si>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</si>
  <si>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</si>
  <si>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</si>
  <si>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</si>
  <si>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</si>
  <si>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</si>
  <si>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</si>
  <si>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</si>
  <si>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</si>
  <si>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</si>
  <si>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</si>
  <si>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</si>
  <si>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</si>
  <si>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</si>
  <si>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</si>
  <si>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</si>
  <si>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</si>
  <si>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</si>
  <si>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</si>
  <si>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</si>
  <si>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</si>
  <si>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</si>
  <si>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</si>
  <si>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</si>
  <si>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</si>
  <si>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</si>
  <si>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</si>
  <si>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</si>
  <si>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</si>
  <si>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</si>
  <si>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</si>
  <si>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</si>
  <si>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</si>
  <si>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</si>
  <si>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</si>
  <si>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</si>
  <si>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</si>
  <si>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</si>
  <si>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</si>
  <si>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</si>
  <si>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</si>
  <si>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</si>
  <si>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</si>
  <si>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</si>
  <si>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</si>
  <si>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</si>
  <si>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</si>
  <si>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</si>
  <si>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</si>
  <si>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</si>
  <si>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</si>
  <si>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</si>
  <si>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</si>
  <si>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</si>
  <si>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</si>
  <si>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</si>
  <si>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</si>
  <si>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</si>
  <si>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</si>
  <si>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</si>
  <si>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</si>
  <si>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</si>
  <si>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</si>
  <si>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</si>
  <si>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</si>
  <si>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</si>
  <si>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</si>
  <si>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</si>
  <si>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</si>
  <si>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</si>
  <si>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</si>
  <si>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</si>
  <si>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</si>
  <si>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</si>
  <si>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</si>
  <si>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</si>
  <si>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</si>
  <si>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</si>
  <si>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</si>
  <si>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</si>
  <si>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</si>
  <si>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</si>
  <si>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</si>
  <si>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</si>
  <si>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</si>
  <si>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</si>
  <si>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</si>
  <si>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</si>
  <si>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</si>
  <si>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</si>
  <si>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</si>
  <si>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</si>
  <si>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</si>
  <si>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</si>
  <si>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</si>
  <si>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</si>
  <si>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</si>
  <si>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</si>
  <si>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</si>
  <si>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</si>
  <si>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</si>
  <si>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D HOME  DESIGN SPA</t>
  </si>
  <si>
    <t>77.855.367-8</t>
  </si>
  <si>
    <t>VENTA DE MUEBLES</t>
  </si>
  <si>
    <t>JUAN GONZALEZ</t>
  </si>
  <si>
    <t>AV. PORTALES 4311 SAN BERNARDO</t>
  </si>
  <si>
    <t>CUB CON RESPALDO R8</t>
  </si>
  <si>
    <t>DARK STEEL 2315 MT</t>
  </si>
  <si>
    <t>0-05-2024</t>
  </si>
  <si>
    <t>N°10949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</si>
</sst>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5" fillId="3" borderId="4" xfId="0" applyFont="1" applyFill="1" applyBorder="1"/>
    <xf numFmtId="0" fontId="19" fillId="0" borderId="0" xfId="0" applyFont="1"/>
    <xf numFmtId="0" fontId="20" fillId="0" borderId="0" xfId="2" quotePrefix="1" applyFont="1" applyFill="1" applyBorder="1" applyAlignment="1">
      <alignment horizontal="left"/>
    </xf>
    <xf numFmtId="0" fontId="21" fillId="3" borderId="9" xfId="2" applyFont="1" applyFill="1" applyBorder="1" applyAlignment="1">
      <alignment horizontal="left"/>
    </xf>
    <xf numFmtId="166" fontId="3" fillId="0" borderId="3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54</xdr:row>
      <xdr:rowOff>24765</xdr:rowOff>
    </xdr:from>
    <xdr:to>
      <xdr:col>5</xdr:col>
      <xdr:colOff>2404110</xdr:colOff>
      <xdr:row>58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35</xdr:row>
      <xdr:rowOff>163830</xdr:rowOff>
    </xdr:from>
    <xdr:to>
      <xdr:col>1</xdr:col>
      <xdr:colOff>908443</xdr:colOff>
      <xdr:row>42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J14" sqref="J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145</v>
      </c>
      <c r="E8" s="1"/>
      <c r="F8" s="88" t="s">
        <v>27</v>
      </c>
      <c r="G8" s="89">
        <v>7077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107" t="s">
        <v>137</v>
      </c>
      <c r="D10" s="50"/>
      <c r="E10" s="50"/>
      <c r="F10" s="51" t="s">
        <v>28</v>
      </c>
      <c r="G10" s="52">
        <v>45419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4" t="s">
        <v>2</v>
      </c>
      <c r="C11" s="108" t="s">
        <v>138</v>
      </c>
      <c r="D11" s="55"/>
      <c r="E11" s="55"/>
      <c r="F11" s="55" t="s">
        <v>124</v>
      </c>
      <c r="G11" s="56" t="s">
        <v>144</v>
      </c>
      <c r="H11" s="57"/>
      <c r="I11" s="1"/>
    </row>
    <row r="12" spans="1:17" ht="16.8" x14ac:dyDescent="0.4">
      <c r="A12" s="1"/>
      <c r="B12" s="58" t="s">
        <v>132</v>
      </c>
      <c r="C12" s="108" t="s">
        <v>139</v>
      </c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t="s">
        <v>140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9">
        <v>56942194105</v>
      </c>
      <c r="D14" s="61"/>
      <c r="E14" s="55"/>
      <c r="F14" s="55" t="s">
        <v>29</v>
      </c>
      <c r="G14" s="55"/>
      <c r="H14" s="57"/>
      <c r="I14" s="1"/>
    </row>
    <row r="15" spans="1:17" ht="16.8" x14ac:dyDescent="0.4">
      <c r="A15" s="1"/>
      <c r="B15" s="58" t="s">
        <v>1</v>
      </c>
      <c r="C15" s="108" t="s">
        <v>141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110" t="s">
        <v>133</v>
      </c>
      <c r="D16" s="64"/>
      <c r="E16" s="65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95">
        <v>2</v>
      </c>
      <c r="C21" s="105" t="s">
        <v>142</v>
      </c>
      <c r="D21" s="106">
        <v>2450</v>
      </c>
      <c r="E21" s="106">
        <v>540</v>
      </c>
      <c r="F21" s="96" t="s">
        <v>143</v>
      </c>
      <c r="G21" s="111">
        <v>147664</v>
      </c>
      <c r="H21" s="94">
        <f>G21*B21</f>
        <v>295328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93"/>
      <c r="C22" s="93"/>
      <c r="D22" s="93"/>
      <c r="E22" s="93"/>
      <c r="F22" s="93"/>
      <c r="G22" s="91"/>
      <c r="H22" s="91"/>
      <c r="I22" s="1"/>
      <c r="K22" s="16"/>
      <c r="L22" s="24"/>
      <c r="M22" s="16"/>
      <c r="N22" s="16"/>
      <c r="O22" s="24"/>
      <c r="P22" s="31"/>
    </row>
    <row r="23" spans="1:16" ht="8.25" customHeight="1" thickBot="1" x14ac:dyDescent="0.35">
      <c r="A23" s="1"/>
      <c r="B23" s="69"/>
      <c r="C23" s="69"/>
      <c r="D23" s="69"/>
      <c r="E23" s="69"/>
      <c r="F23" s="69"/>
      <c r="G23" s="70"/>
      <c r="H23" s="70"/>
      <c r="I23" s="1"/>
    </row>
    <row r="24" spans="1:16" ht="15.6" x14ac:dyDescent="0.3">
      <c r="A24" s="1"/>
      <c r="B24" s="1"/>
      <c r="C24" s="1"/>
      <c r="D24" s="1"/>
      <c r="E24" s="1"/>
      <c r="F24" s="1"/>
      <c r="G24" s="71" t="s">
        <v>5</v>
      </c>
      <c r="H24" s="72">
        <f>SUM(H21:H23)</f>
        <v>295328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3" t="s">
        <v>6</v>
      </c>
      <c r="H25" s="74">
        <f>H24*19%</f>
        <v>56112.32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5" t="s">
        <v>4</v>
      </c>
      <c r="H26" s="76">
        <f>H24+H25</f>
        <v>351440.32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47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7" t="s">
        <v>123</v>
      </c>
      <c r="C29" s="78"/>
      <c r="D29" s="79"/>
      <c r="E29" s="79"/>
      <c r="F29" s="69"/>
      <c r="G29" s="1"/>
      <c r="H29" s="1"/>
      <c r="I29" s="1"/>
    </row>
    <row r="30" spans="1:16" ht="15.6" x14ac:dyDescent="0.3">
      <c r="A30" s="1"/>
      <c r="B30" s="77" t="s">
        <v>122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0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7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sqref="A1:F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5" t="s">
        <v>27</v>
      </c>
      <c r="D4" s="14">
        <f>'4637'!G8</f>
        <v>7077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D HOME  DESIGN SPA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 t="str">
        <f>'4637'!G11</f>
        <v>0-05-2024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0">
        <f t="shared" ref="B14" si="0">I14</f>
        <v>2</v>
      </c>
      <c r="C14" s="100"/>
      <c r="D14" s="100">
        <f>J14+D$13</f>
        <v>2500</v>
      </c>
      <c r="E14" s="102">
        <f>K14+E$13</f>
        <v>510</v>
      </c>
      <c r="F14" s="100" t="str">
        <f>C28</f>
        <v>CUB CON RESPALDO R8</v>
      </c>
      <c r="G14" s="1"/>
      <c r="I14" s="3">
        <f>I22</f>
        <v>2</v>
      </c>
      <c r="J14" s="4">
        <f t="shared" ref="J14:K14" si="1">D28</f>
        <v>2450</v>
      </c>
      <c r="K14" s="4">
        <f t="shared" si="1"/>
        <v>540</v>
      </c>
    </row>
    <row r="15" spans="1:14" ht="18" x14ac:dyDescent="0.35">
      <c r="A15" s="90"/>
      <c r="B15" s="103"/>
      <c r="C15" s="103"/>
      <c r="D15" s="103"/>
      <c r="E15" s="104"/>
      <c r="F15" s="103"/>
      <c r="G15" s="1"/>
      <c r="I15" s="84"/>
      <c r="J15" s="2"/>
      <c r="K15" s="2"/>
    </row>
    <row r="16" spans="1:14" ht="15.6" x14ac:dyDescent="0.3">
      <c r="A16" s="47"/>
      <c r="B16" s="6"/>
      <c r="C16" s="6"/>
      <c r="D16" s="6"/>
      <c r="E16" s="83"/>
      <c r="F16" s="6"/>
      <c r="G16" s="1"/>
      <c r="I16" s="84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7" t="s">
        <v>7</v>
      </c>
      <c r="E20" s="47" t="s">
        <v>8</v>
      </c>
      <c r="F20" s="1"/>
      <c r="G20" s="1"/>
    </row>
    <row r="21" spans="1:11" ht="15.6" x14ac:dyDescent="0.3">
      <c r="A21" s="47" t="s">
        <v>9</v>
      </c>
      <c r="B21" s="33" t="s">
        <v>10</v>
      </c>
      <c r="C21" s="33" t="s">
        <v>11</v>
      </c>
      <c r="D21" s="20">
        <v>40</v>
      </c>
      <c r="E21" s="20">
        <v>130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90" t="s">
        <v>135</v>
      </c>
      <c r="B22" s="101">
        <f t="shared" ref="B22" si="2">I22</f>
        <v>2</v>
      </c>
      <c r="C22" s="101"/>
      <c r="D22" s="101">
        <f>J22+D$21</f>
        <v>2490</v>
      </c>
      <c r="E22" s="101">
        <f>K22+E$21</f>
        <v>670</v>
      </c>
      <c r="F22" s="101" t="str">
        <f>C28</f>
        <v>CUB CON RESPALDO R8</v>
      </c>
      <c r="G22" s="1"/>
      <c r="I22" s="3">
        <f>B28</f>
        <v>2</v>
      </c>
      <c r="J22" s="4">
        <f>D28</f>
        <v>2450</v>
      </c>
      <c r="K22" s="4">
        <f>E28</f>
        <v>540</v>
      </c>
    </row>
    <row r="23" spans="1:11" ht="18" x14ac:dyDescent="0.35">
      <c r="A23" s="90"/>
      <c r="B23" s="103"/>
      <c r="C23" s="103"/>
      <c r="D23" s="103"/>
      <c r="E23" s="103"/>
      <c r="F23" s="103"/>
      <c r="G23" s="1"/>
      <c r="I23" s="84"/>
      <c r="J23" s="2"/>
      <c r="K23" s="2"/>
    </row>
    <row r="24" spans="1:11" ht="16.2" thickBot="1" x14ac:dyDescent="0.35">
      <c r="A24" s="47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7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7" t="s">
        <v>9</v>
      </c>
      <c r="B27" s="82" t="s">
        <v>10</v>
      </c>
      <c r="C27" s="82" t="s">
        <v>110</v>
      </c>
      <c r="D27" s="82" t="s">
        <v>7</v>
      </c>
      <c r="E27" s="82" t="s">
        <v>8</v>
      </c>
      <c r="F27" s="82" t="s">
        <v>23</v>
      </c>
      <c r="G27" s="1"/>
    </row>
    <row r="28" spans="1:11" ht="18" x14ac:dyDescent="0.35">
      <c r="A28" s="90" t="s">
        <v>135</v>
      </c>
      <c r="B28" s="100">
        <f>'4637'!B21</f>
        <v>2</v>
      </c>
      <c r="C28" s="100" t="str">
        <f>'4637'!C21</f>
        <v>CUB CON RESPALDO R8</v>
      </c>
      <c r="D28" s="100">
        <f>'4637'!D21</f>
        <v>2450</v>
      </c>
      <c r="E28" s="100">
        <f>'4637'!E21</f>
        <v>540</v>
      </c>
      <c r="F28" s="100" t="str">
        <f>'4637'!F21</f>
        <v>DARK STEEL 2315 MT</v>
      </c>
      <c r="G28" s="1"/>
    </row>
    <row r="29" spans="1:11" ht="15.6" x14ac:dyDescent="0.3">
      <c r="A29" s="47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7077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D HOME  DESIGN SPA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 t="str">
        <f>'4637'!G11</f>
        <v>0-05-2024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44" t="s">
        <v>12</v>
      </c>
      <c r="G48" s="1"/>
    </row>
    <row r="49" spans="1:7" s="15" customFormat="1" ht="15" customHeight="1" x14ac:dyDescent="0.35">
      <c r="A49" s="90" t="s">
        <v>135</v>
      </c>
      <c r="B49" s="98">
        <f>'4637'!B21</f>
        <v>2</v>
      </c>
      <c r="C49" s="98" t="str">
        <f>'4637'!C21</f>
        <v>CUB CON RESPALDO R8</v>
      </c>
      <c r="D49" s="99">
        <f>'4637'!D21</f>
        <v>2450</v>
      </c>
      <c r="E49" s="99">
        <f>'4637'!E21</f>
        <v>540</v>
      </c>
      <c r="F49" s="98" t="str">
        <f>'4637'!F21</f>
        <v>DARK STEEL 2315 MT</v>
      </c>
      <c r="G49" s="1"/>
    </row>
    <row r="50" spans="1:7" s="15" customFormat="1" ht="15" customHeight="1" x14ac:dyDescent="0.3">
      <c r="A50" s="90"/>
      <c r="B50" s="47"/>
      <c r="C50" s="97"/>
      <c r="D50" s="47"/>
      <c r="E50" s="47"/>
      <c r="F50" s="47"/>
      <c r="G50" s="1"/>
    </row>
    <row r="51" spans="1:7" s="15" customFormat="1" ht="15" customHeight="1" x14ac:dyDescent="0.3">
      <c r="A51" s="45"/>
      <c r="B51" s="47"/>
      <c r="C51" s="47"/>
      <c r="D51" s="47"/>
      <c r="E51" s="47"/>
      <c r="F51" s="47"/>
      <c r="G51" s="1"/>
    </row>
    <row r="52" spans="1:7" ht="15.6" x14ac:dyDescent="0.3">
      <c r="A52" s="6"/>
      <c r="B52" s="6"/>
      <c r="C52" s="1"/>
      <c r="D52" s="6"/>
      <c r="E52" s="6"/>
      <c r="F52" s="39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6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19"/>
      <c r="C61" s="19"/>
      <c r="D61" s="19"/>
      <c r="E61" s="19"/>
      <c r="F61" s="19"/>
    </row>
    <row r="62" spans="1:7" x14ac:dyDescent="0.3">
      <c r="B62" s="19"/>
      <c r="C62" s="19"/>
      <c r="E62" s="19"/>
      <c r="F62" s="19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2024-05-08T13:58:03Z</cp:lastPrinted>
  <dcterms:created xsi:type="dcterms:W3CDTF">2013-03-19T12:54:14Z</dcterms:created>
  <dcterms:modified xsi:type="dcterms:W3CDTF">2024-05-22T19:35:45Z</dcterms:modified>
</cp:coreProperties>
</file>