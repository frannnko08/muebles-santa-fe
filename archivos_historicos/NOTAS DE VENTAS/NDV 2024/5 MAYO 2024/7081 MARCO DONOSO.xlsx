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5 MAYO 2024\"/>
    </mc:Choice>
  </mc:AlternateContent>
  <xr:revisionPtr revIDLastSave="0" documentId="13_ncr:1_{F3DE2236-3B65-4D83-B579-261116D18FC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CUBIERTA!$A$35:$F$60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5" i="4" l="1"/>
  <c r="I22" i="3"/>
  <c r="F14" i="3"/>
  <c r="K22" i="3"/>
  <c r="E22" i="3" s="1"/>
  <c r="J22" i="3"/>
  <c r="D22" i="3" s="1"/>
  <c r="B22" i="3" l="1"/>
  <c r="I14" i="3"/>
  <c r="B14" i="3" s="1"/>
  <c r="H26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<sst xmlns="http://schemas.openxmlformats.org/spreadsheetml/2006/main" count="245" uniqueCount="142">
  <si>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</si>
  <si>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</si>
  <si>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</si>
  <si>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</si>
  <si>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</si>
  <si>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</si>
  <si>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</si>
  <si>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</si>
  <si>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</si>
  <si>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</si>
  <si>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</si>
  <si>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</si>
  <si>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</si>
  <si>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</si>
  <si>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</si>
  <si>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</si>
  <si>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</si>
  <si>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</si>
  <si>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</si>
  <si>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</si>
  <si>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</si>
  <si>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</si>
  <si>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</si>
  <si>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</si>
  <si>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</si>
  <si>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</si>
  <si>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</si>
  <si>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</si>
  <si>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</si>
  <si>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</si>
  <si>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</si>
  <si>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</si>
  <si>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</si>
  <si>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</si>
  <si>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</si>
  <si>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</si>
  <si>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</si>
  <si>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</si>
  <si>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</si>
  <si>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</si>
  <si>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</si>
  <si>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</si>
  <si>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</si>
  <si>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</si>
  <si>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</si>
  <si>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</si>
  <si>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</si>
  <si>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</si>
  <si>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</si>
  <si>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</si>
  <si>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</si>
  <si>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</si>
  <si>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</si>
  <si>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</si>
  <si>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</si>
  <si>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</si>
  <si>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</si>
  <si>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</si>
  <si>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</si>
  <si>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</si>
  <si>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</si>
  <si>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</si>
  <si>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</si>
  <si>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</si>
  <si>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</si>
  <si>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</si>
  <si>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</si>
  <si>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</si>
  <si>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</si>
  <si>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</si>
  <si>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</si>
  <si>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</si>
  <si>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</si>
  <si>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</si>
  <si>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</si>
  <si>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</si>
  <si>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</si>
  <si>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</si>
  <si>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</si>
  <si>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</si>
  <si>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</si>
  <si>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</si>
  <si>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</si>
  <si>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</si>
  <si>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</si>
  <si>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</si>
  <si>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</si>
  <si>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</si>
  <si>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</si>
  <si>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</si>
  <si>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</si>
  <si>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</si>
  <si>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</si>
  <si>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</si>
  <si>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</si>
  <si>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</si>
  <si>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</si>
  <si>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</si>
  <si>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</si>
  <si>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</si>
  <si>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</si>
  <si>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</si>
  <si>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</si>
  <si>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</si>
  <si>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</si>
  <si>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</si>
  <si>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</si>
  <si>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</si>
  <si>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</si>
  <si>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</si>
  <si>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</si>
  <si>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</si>
  <si>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</si>
  <si>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</si>
  <si>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</si>
  <si>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</si>
  <si>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</si>
  <si>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</si>
  <si>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</si>
  <si>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</si>
  <si>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</si>
  <si>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</si>
  <si>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</si>
  <si>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</si>
  <si>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</si>
  <si>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</si>
  <si>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</si>
  <si>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</si>
  <si>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</si>
  <si>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</si>
  <si>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</si>
  <si>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</si>
  <si>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</si>
  <si>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</si>
  <si>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</si>
  <si>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</si>
  <si>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</si>
  <si>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N°10967</t>
  </si>
  <si>
    <t>MARCO DONOSO</t>
  </si>
  <si>
    <t>+569 9128 9904</t>
  </si>
  <si>
    <t>BLANCO OPACO</t>
  </si>
  <si>
    <t>CUB CON RESPALDO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</si>
</sst>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5" fillId="9" borderId="4" xfId="0" applyFont="1" applyFill="1" applyBorder="1"/>
    <xf numFmtId="0" fontId="1" fillId="8" borderId="0" xfId="0" applyFont="1" applyFill="1"/>
    <xf numFmtId="0" fontId="1" fillId="8" borderId="9" xfId="2" applyFont="1" applyFill="1" applyBorder="1" applyAlignment="1">
      <alignment horizontal="left"/>
    </xf>
    <xf numFmtId="0" fontId="5" fillId="9" borderId="0" xfId="0" applyFont="1" applyFill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3" borderId="0" xfId="0" applyFont="1" applyFill="1" applyAlignment="1">
      <alignment horizontal="center"/>
    </xf>
    <xf numFmtId="0" fontId="18" fillId="0" borderId="0" xfId="2" quotePrefix="1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5715</xdr:colOff>
      <xdr:row>54</xdr:row>
      <xdr:rowOff>24765</xdr:rowOff>
    </xdr:from>
    <xdr:to>
      <xdr:col>5</xdr:col>
      <xdr:colOff>2404110</xdr:colOff>
      <xdr:row>58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9615" y="1243012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1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38100</xdr:colOff>
      <xdr:row>35</xdr:row>
      <xdr:rowOff>163830</xdr:rowOff>
    </xdr:from>
    <xdr:to>
      <xdr:col>1</xdr:col>
      <xdr:colOff>908443</xdr:colOff>
      <xdr:row>42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10" workbookViewId="0">
      <selection activeCell="A22" sqref="A22:XFD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137</v>
      </c>
      <c r="E8" s="1"/>
      <c r="F8" s="88" t="s">
        <v>27</v>
      </c>
      <c r="G8" s="89">
        <v>7081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95" t="s">
        <v>138</v>
      </c>
      <c r="D10" s="50"/>
      <c r="E10" s="50"/>
      <c r="F10" s="51" t="s">
        <v>28</v>
      </c>
      <c r="G10" s="52">
        <v>45435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96"/>
      <c r="D11" s="55"/>
      <c r="E11" s="55"/>
      <c r="F11" s="55" t="s">
        <v>124</v>
      </c>
      <c r="G11" s="56">
        <v>45440</v>
      </c>
      <c r="H11" s="57"/>
      <c r="I11" s="1"/>
    </row>
    <row r="12" spans="1:17" ht="15.6" x14ac:dyDescent="0.3">
      <c r="A12" s="1"/>
      <c r="B12" s="58" t="s">
        <v>132</v>
      </c>
      <c r="C12" s="98"/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134</v>
      </c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108" t="s">
        <v>139</v>
      </c>
      <c r="D14" s="61"/>
      <c r="E14" s="55"/>
      <c r="F14" s="55" t="s">
        <v>29</v>
      </c>
      <c r="G14" s="55"/>
      <c r="H14" s="57"/>
      <c r="I14" s="1"/>
    </row>
    <row r="15" spans="1:17" ht="15.6" x14ac:dyDescent="0.3">
      <c r="A15" s="1"/>
      <c r="B15" s="58" t="s">
        <v>1</v>
      </c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97" t="s">
        <v>133</v>
      </c>
      <c r="D16" s="64"/>
      <c r="E16" s="65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x14ac:dyDescent="0.3">
      <c r="A21" s="1"/>
      <c r="B21" s="99">
        <v>1</v>
      </c>
      <c r="C21" s="100" t="s">
        <v>141</v>
      </c>
      <c r="D21" s="110">
        <v>1250</v>
      </c>
      <c r="E21" s="110">
        <v>650</v>
      </c>
      <c r="F21" s="100" t="s">
        <v>140</v>
      </c>
      <c r="G21" s="111">
        <v>56436</v>
      </c>
      <c r="H21" s="94">
        <f>G21*B21</f>
        <v>56436</v>
      </c>
      <c r="I21" s="1"/>
      <c r="K21" s="16"/>
      <c r="L21" s="24"/>
      <c r="M21" s="16"/>
      <c r="N21" s="16"/>
      <c r="O21" s="24"/>
      <c r="P21" s="31"/>
    </row>
    <row r="22" spans="1:16" ht="18" customHeight="1" x14ac:dyDescent="0.3">
      <c r="A22" s="1"/>
      <c r="B22" s="93"/>
      <c r="C22" s="93"/>
      <c r="D22" s="93"/>
      <c r="E22" s="93"/>
      <c r="F22" s="93"/>
      <c r="G22" s="91"/>
      <c r="H22" s="91"/>
      <c r="I22" s="1"/>
      <c r="K22" s="16"/>
      <c r="L22" s="24"/>
      <c r="M22" s="16"/>
      <c r="N22" s="16"/>
      <c r="O22" s="24"/>
      <c r="P22" s="31"/>
    </row>
    <row r="23" spans="1:16" ht="8.25" customHeight="1" thickBot="1" x14ac:dyDescent="0.35">
      <c r="A23" s="1"/>
      <c r="B23" s="69"/>
      <c r="C23" s="69"/>
      <c r="D23" s="69"/>
      <c r="E23" s="69"/>
      <c r="F23" s="69"/>
      <c r="G23" s="70"/>
      <c r="H23" s="70"/>
      <c r="I23" s="1"/>
    </row>
    <row r="24" spans="1:16" ht="15.6" x14ac:dyDescent="0.3">
      <c r="A24" s="1"/>
      <c r="B24" s="1"/>
      <c r="C24" s="1"/>
      <c r="D24" s="1"/>
      <c r="E24" s="1"/>
      <c r="F24" s="1"/>
      <c r="G24" s="71" t="s">
        <v>5</v>
      </c>
      <c r="H24" s="72">
        <f>SUM(H21:H23)</f>
        <v>56436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3" t="s">
        <v>6</v>
      </c>
      <c r="H25" s="74">
        <f>H24*19%</f>
        <v>10722.84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5" t="s">
        <v>4</v>
      </c>
      <c r="H26" s="76">
        <f>H24+H25</f>
        <v>67158.84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47"/>
      <c r="H27" s="92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77" t="s">
        <v>123</v>
      </c>
      <c r="C29" s="78"/>
      <c r="D29" s="79"/>
      <c r="E29" s="79"/>
      <c r="F29" s="69"/>
      <c r="G29" s="1"/>
      <c r="H29" s="1"/>
      <c r="I29" s="1"/>
    </row>
    <row r="30" spans="1:16" ht="15.6" x14ac:dyDescent="0.3">
      <c r="A30" s="1"/>
      <c r="B30" s="77" t="s">
        <v>122</v>
      </c>
      <c r="C30" s="78"/>
      <c r="D30" s="79"/>
      <c r="E30" s="79"/>
      <c r="F30" s="69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0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7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24" zoomScaleNormal="100" workbookViewId="0">
      <selection activeCell="A35" sqref="A35:F6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35" t="s">
        <v>27</v>
      </c>
      <c r="D4" s="14">
        <f>'4637'!G8</f>
        <v>7081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MARCO DONOSO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45440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136</v>
      </c>
      <c r="B14" s="103">
        <f t="shared" ref="B14" si="0">I14</f>
        <v>1</v>
      </c>
      <c r="C14" s="103"/>
      <c r="D14" s="103">
        <f>J14+D$13</f>
        <v>1300</v>
      </c>
      <c r="E14" s="105">
        <f>K14+E$13</f>
        <v>620</v>
      </c>
      <c r="F14" s="103" t="str">
        <f>C28</f>
        <v>CUB CON RESPALDO R8</v>
      </c>
      <c r="G14" s="1"/>
      <c r="I14" s="3">
        <f>I22</f>
        <v>1</v>
      </c>
      <c r="J14" s="4">
        <f t="shared" ref="J14:K14" si="1">D28</f>
        <v>1250</v>
      </c>
      <c r="K14" s="4">
        <f t="shared" si="1"/>
        <v>650</v>
      </c>
    </row>
    <row r="15" spans="1:14" ht="18" x14ac:dyDescent="0.35">
      <c r="A15" s="90"/>
      <c r="B15" s="106"/>
      <c r="C15" s="106"/>
      <c r="D15" s="106"/>
      <c r="E15" s="107"/>
      <c r="F15" s="106"/>
      <c r="G15" s="1"/>
      <c r="I15" s="84"/>
      <c r="J15" s="2"/>
      <c r="K15" s="2"/>
    </row>
    <row r="16" spans="1:14" ht="15.6" x14ac:dyDescent="0.3">
      <c r="A16" s="47"/>
      <c r="B16" s="6"/>
      <c r="C16" s="6"/>
      <c r="D16" s="6"/>
      <c r="E16" s="83"/>
      <c r="F16" s="6"/>
      <c r="G16" s="1"/>
      <c r="I16" s="84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47" t="s">
        <v>7</v>
      </c>
      <c r="E20" s="47" t="s">
        <v>8</v>
      </c>
      <c r="F20" s="1"/>
      <c r="G20" s="1"/>
    </row>
    <row r="21" spans="1:11" ht="15.6" x14ac:dyDescent="0.3">
      <c r="A21" s="47" t="s">
        <v>9</v>
      </c>
      <c r="B21" s="33" t="s">
        <v>10</v>
      </c>
      <c r="C21" s="33" t="s">
        <v>11</v>
      </c>
      <c r="D21" s="20">
        <v>40</v>
      </c>
      <c r="E21" s="20">
        <v>130</v>
      </c>
      <c r="F21" s="33" t="s">
        <v>110</v>
      </c>
      <c r="G21" s="1"/>
      <c r="J21" s="5" t="s">
        <v>7</v>
      </c>
      <c r="K21" s="5" t="s">
        <v>8</v>
      </c>
    </row>
    <row r="22" spans="1:11" ht="18" x14ac:dyDescent="0.35">
      <c r="A22" s="90" t="s">
        <v>135</v>
      </c>
      <c r="B22" s="104">
        <f t="shared" ref="B22" si="2">I22</f>
        <v>1</v>
      </c>
      <c r="C22" s="104"/>
      <c r="D22" s="104">
        <f>J22+D$21</f>
        <v>1290</v>
      </c>
      <c r="E22" s="104">
        <f>K22+E$21</f>
        <v>780</v>
      </c>
      <c r="F22" s="104" t="str">
        <f>C28</f>
        <v>CUB CON RESPALDO R8</v>
      </c>
      <c r="G22" s="1"/>
      <c r="I22" s="3">
        <f>B28</f>
        <v>1</v>
      </c>
      <c r="J22" s="4">
        <f>D28</f>
        <v>1250</v>
      </c>
      <c r="K22" s="4">
        <f>E28</f>
        <v>650</v>
      </c>
    </row>
    <row r="23" spans="1:11" ht="18" x14ac:dyDescent="0.35">
      <c r="A23" s="90"/>
      <c r="B23" s="106"/>
      <c r="C23" s="106"/>
      <c r="D23" s="106"/>
      <c r="E23" s="106"/>
      <c r="F23" s="106"/>
      <c r="G23" s="1"/>
      <c r="I23" s="84"/>
      <c r="J23" s="2"/>
      <c r="K23" s="2"/>
    </row>
    <row r="24" spans="1:11" ht="16.2" thickBot="1" x14ac:dyDescent="0.35">
      <c r="A24" s="47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47"/>
      <c r="B25" s="21" t="s">
        <v>107</v>
      </c>
      <c r="C25" s="22"/>
      <c r="D25" s="22"/>
      <c r="E25" s="22"/>
      <c r="F25" s="23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47" t="s">
        <v>9</v>
      </c>
      <c r="B27" s="82" t="s">
        <v>10</v>
      </c>
      <c r="C27" s="82" t="s">
        <v>110</v>
      </c>
      <c r="D27" s="82" t="s">
        <v>7</v>
      </c>
      <c r="E27" s="82" t="s">
        <v>8</v>
      </c>
      <c r="F27" s="82" t="s">
        <v>23</v>
      </c>
      <c r="G27" s="1"/>
    </row>
    <row r="28" spans="1:11" ht="18" x14ac:dyDescent="0.35">
      <c r="A28" s="90" t="s">
        <v>135</v>
      </c>
      <c r="B28" s="103">
        <f>'4637'!B21</f>
        <v>1</v>
      </c>
      <c r="C28" s="103" t="str">
        <f>'4637'!C21</f>
        <v>CUB CON RESPALDO R8</v>
      </c>
      <c r="D28" s="103">
        <f>'4637'!D21</f>
        <v>1250</v>
      </c>
      <c r="E28" s="103">
        <f>'4637'!E21</f>
        <v>650</v>
      </c>
      <c r="F28" s="103" t="str">
        <f>'4637'!F21</f>
        <v>BLANCO OPACO</v>
      </c>
      <c r="G28" s="1"/>
    </row>
    <row r="29" spans="1:11" ht="15.6" x14ac:dyDescent="0.3">
      <c r="A29" s="47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5" t="s">
        <v>27</v>
      </c>
      <c r="D39" s="14">
        <f>'4637'!G8</f>
        <v>7081</v>
      </c>
      <c r="E39" s="1"/>
      <c r="F39" s="1"/>
      <c r="G39" s="1"/>
    </row>
    <row r="40" spans="1:7" ht="17.25" customHeight="1" x14ac:dyDescent="0.3">
      <c r="A40" s="1"/>
      <c r="B40" s="1"/>
      <c r="C40" s="36" t="s">
        <v>67</v>
      </c>
      <c r="D40" s="37" t="str">
        <f>'4637'!C10</f>
        <v>MARCO DONOSO</v>
      </c>
      <c r="E40" s="38"/>
      <c r="F40" s="38"/>
      <c r="G40" s="1"/>
    </row>
    <row r="41" spans="1:7" ht="4.5" customHeight="1" x14ac:dyDescent="0.3">
      <c r="A41" s="1"/>
      <c r="B41" s="1"/>
      <c r="C41" s="39"/>
      <c r="D41" s="40"/>
      <c r="E41" s="1"/>
      <c r="F41" s="1"/>
      <c r="G41" s="1"/>
    </row>
    <row r="42" spans="1:7" ht="15.6" x14ac:dyDescent="0.3">
      <c r="A42" s="1"/>
      <c r="B42" s="1"/>
      <c r="C42" s="41" t="str">
        <f>'4637'!F11</f>
        <v>FECHA LIMITE :</v>
      </c>
      <c r="D42" s="13">
        <f>'4637'!G11</f>
        <v>45440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3" t="s">
        <v>10</v>
      </c>
      <c r="C48" s="42" t="s">
        <v>11</v>
      </c>
      <c r="D48" s="43" t="s">
        <v>7</v>
      </c>
      <c r="E48" s="43" t="s">
        <v>8</v>
      </c>
      <c r="F48" s="44" t="s">
        <v>12</v>
      </c>
      <c r="G48" s="1"/>
    </row>
    <row r="49" spans="1:7" s="15" customFormat="1" ht="15" customHeight="1" x14ac:dyDescent="0.35">
      <c r="A49" s="90" t="s">
        <v>135</v>
      </c>
      <c r="B49" s="101">
        <f>'4637'!B21</f>
        <v>1</v>
      </c>
      <c r="C49" s="101" t="str">
        <f>'4637'!C21</f>
        <v>CUB CON RESPALDO R8</v>
      </c>
      <c r="D49" s="102">
        <f>'4637'!D21</f>
        <v>1250</v>
      </c>
      <c r="E49" s="102">
        <f>'4637'!E21</f>
        <v>650</v>
      </c>
      <c r="F49" s="101" t="str">
        <f>'4637'!F21</f>
        <v>BLANCO OPACO</v>
      </c>
      <c r="G49" s="1"/>
    </row>
    <row r="50" spans="1:7" s="15" customFormat="1" ht="15" customHeight="1" x14ac:dyDescent="0.35">
      <c r="A50" s="90"/>
      <c r="B50" s="109"/>
      <c r="C50" s="109"/>
      <c r="D50" s="109"/>
      <c r="E50" s="109"/>
      <c r="F50" s="109"/>
      <c r="G50" s="1"/>
    </row>
    <row r="51" spans="1:7" s="15" customFormat="1" ht="15" customHeight="1" x14ac:dyDescent="0.3">
      <c r="A51" s="45"/>
      <c r="B51" s="47"/>
      <c r="C51" s="47"/>
      <c r="D51" s="47"/>
      <c r="E51" s="47"/>
      <c r="F51" s="47"/>
      <c r="G51" s="1"/>
    </row>
    <row r="52" spans="1:7" ht="15.6" x14ac:dyDescent="0.3">
      <c r="A52" s="6"/>
      <c r="B52" s="6"/>
      <c r="C52" s="1"/>
      <c r="D52" s="6"/>
      <c r="E52" s="6"/>
      <c r="F52" s="39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46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19"/>
      <c r="C61" s="19"/>
      <c r="D61" s="19"/>
      <c r="E61" s="19"/>
      <c r="F61" s="19"/>
    </row>
    <row r="62" spans="1:7" x14ac:dyDescent="0.3">
      <c r="B62" s="19"/>
      <c r="C62" s="19"/>
      <c r="E62" s="19"/>
      <c r="F62" s="19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2024-05-29T21:32:28Z</cp:lastPrinted>
  <dcterms:created xsi:type="dcterms:W3CDTF">2013-03-19T12:54:14Z</dcterms:created>
  <dcterms:modified xsi:type="dcterms:W3CDTF">2024-05-29T21:32:43Z</dcterms:modified>
</cp:coreProperties>
</file>