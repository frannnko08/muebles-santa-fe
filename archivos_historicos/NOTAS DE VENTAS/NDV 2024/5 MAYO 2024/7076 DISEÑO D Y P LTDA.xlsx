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4 ABRIL 2024\"/>
    </mc:Choice>
  </mc:AlternateContent>
  <xr:revisionPtr revIDLastSave="0" documentId="13_ncr:1_{7E70F792-172C-401D-92F4-3EED2E6243E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CUBIERTA!$A$35:$F$60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l="1"/>
  <c r="B49" i="3"/>
  <c r="C49" i="3"/>
  <c r="D49" i="3"/>
  <c r="E49" i="3"/>
  <c r="F49" i="3"/>
  <c r="B28" i="3"/>
  <c r="C28" i="3"/>
  <c r="F22" i="3" s="1"/>
  <c r="D28" i="3"/>
  <c r="J14" i="3" s="1"/>
  <c r="D14" i="3" s="1"/>
  <c r="E28" i="3"/>
  <c r="K14" i="3" s="1"/>
  <c r="E14" i="3" s="1"/>
  <c r="F28" i="3"/>
  <c r="H25" i="4" l="1"/>
  <c r="I22" i="3"/>
  <c r="F14" i="3"/>
  <c r="K22" i="3"/>
  <c r="E22" i="3" s="1"/>
  <c r="J22" i="3"/>
  <c r="D22" i="3" s="1"/>
  <c r="B22" i="3" l="1"/>
  <c r="I14" i="3"/>
  <c r="B14" i="3" s="1"/>
  <c r="H26" i="4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<sst xmlns="http://schemas.openxmlformats.org/spreadsheetml/2006/main" count="248" uniqueCount="145">
  <si>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</si>
  <si>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</si>
  <si>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</si>
  <si>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</si>
  <si>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</si>
  <si>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</si>
  <si>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</si>
  <si>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</si>
  <si>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</si>
  <si>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</si>
  <si>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</si>
  <si>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</si>
  <si>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</si>
  <si>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</si>
  <si>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</si>
  <si>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</si>
  <si>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</si>
  <si>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</si>
  <si>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</si>
  <si>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</si>
  <si>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</si>
  <si>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</si>
  <si>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</si>
  <si>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</si>
  <si>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</si>
  <si>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</si>
  <si>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</si>
  <si>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</si>
  <si>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</si>
  <si>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</si>
  <si>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</si>
  <si>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</si>
  <si>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</si>
  <si>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</si>
  <si>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</si>
  <si>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</si>
  <si>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</si>
  <si>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</si>
  <si>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</si>
  <si>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</si>
  <si>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</si>
  <si>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</si>
  <si>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</si>
  <si>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</si>
  <si>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</si>
  <si>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</si>
  <si>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</si>
  <si>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</si>
  <si>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</si>
  <si>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</si>
  <si>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</si>
  <si>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</si>
  <si>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</si>
  <si>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</si>
  <si>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</si>
  <si>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</si>
  <si>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</si>
  <si>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</si>
  <si>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</si>
  <si>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</si>
  <si>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</si>
  <si>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</si>
  <si>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</si>
  <si>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</si>
  <si>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</si>
  <si>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</si>
  <si>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</si>
  <si>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</si>
  <si>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</si>
  <si>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</si>
  <si>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</si>
  <si>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</si>
  <si>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</si>
  <si>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</si>
  <si>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</si>
  <si>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</si>
  <si>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</si>
  <si>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</si>
  <si>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</si>
  <si>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</si>
  <si>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</si>
  <si>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</si>
  <si>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</si>
  <si>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</si>
  <si>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</si>
  <si>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</si>
  <si>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</si>
  <si>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</si>
  <si>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</si>
  <si>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</si>
  <si>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</si>
  <si>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</si>
  <si>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</si>
  <si>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</si>
  <si>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</si>
  <si>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</si>
  <si>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</si>
  <si>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</si>
  <si>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</si>
  <si>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</si>
  <si>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</si>
  <si>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</si>
  <si>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</si>
  <si>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</si>
  <si>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</si>
  <si>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</si>
  <si>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</si>
  <si>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</si>
  <si>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</si>
  <si>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</si>
  <si>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</si>
  <si>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</si>
  <si>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</si>
  <si>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</si>
  <si>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</si>
  <si>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</si>
  <si>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</si>
  <si>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</si>
  <si>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</si>
  <si>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</si>
  <si>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</si>
  <si>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</si>
  <si>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</si>
  <si>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</si>
  <si>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</si>
  <si>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</si>
  <si>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</si>
  <si>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</si>
  <si>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</si>
  <si>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</si>
  <si>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</si>
  <si>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</si>
  <si>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</si>
  <si>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</si>
  <si>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</si>
  <si>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MDF 18MM</t>
  </si>
  <si>
    <t>MDF18MM</t>
  </si>
  <si>
    <t>N°10624</t>
  </si>
  <si>
    <t>DISEÑO D Y P LTDA</t>
  </si>
  <si>
    <t>77.895.648-9</t>
  </si>
  <si>
    <t>PAULA CAMPOS</t>
  </si>
  <si>
    <t>CUB CON RESPALDO R2</t>
  </si>
  <si>
    <t>VAINILLA 2109 MT</t>
  </si>
  <si>
    <t>BENAVENTE 13 DP BB ÑUÑOA</t>
  </si>
  <si>
    <t>+56 9 9678 7442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</si>
</sst>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1F497D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5" fillId="0" borderId="0" xfId="0" applyFont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5" fillId="9" borderId="4" xfId="0" applyFont="1" applyFill="1" applyBorder="1"/>
    <xf numFmtId="0" fontId="1" fillId="8" borderId="0" xfId="0" applyFont="1" applyFill="1"/>
    <xf numFmtId="0" fontId="17" fillId="9" borderId="0" xfId="0" applyFont="1" applyFill="1"/>
    <xf numFmtId="0" fontId="1" fillId="8" borderId="9" xfId="2" applyFont="1" applyFill="1" applyBorder="1" applyAlignment="1">
      <alignment horizontal="left"/>
    </xf>
    <xf numFmtId="0" fontId="18" fillId="0" borderId="0" xfId="0" quotePrefix="1" applyFont="1"/>
    <xf numFmtId="0" fontId="5" fillId="9" borderId="0" xfId="0" applyFont="1" applyFill="1"/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3" borderId="0" xfId="0" applyFont="1" applyFill="1" applyAlignment="1">
      <alignment horizontal="center"/>
    </xf>
    <xf numFmtId="0" fontId="15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5715</xdr:colOff>
      <xdr:row>54</xdr:row>
      <xdr:rowOff>24765</xdr:rowOff>
    </xdr:from>
    <xdr:to>
      <xdr:col>5</xdr:col>
      <xdr:colOff>2404110</xdr:colOff>
      <xdr:row>58</xdr:row>
      <xdr:rowOff>144780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9615" y="1243012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100" b="1" i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38100</xdr:colOff>
      <xdr:row>35</xdr:row>
      <xdr:rowOff>163830</xdr:rowOff>
    </xdr:from>
    <xdr:to>
      <xdr:col>1</xdr:col>
      <xdr:colOff>908443</xdr:colOff>
      <xdr:row>42</xdr:row>
      <xdr:rowOff>60960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34187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8" workbookViewId="0">
      <selection activeCell="G12" sqref="G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2.777343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5" t="s">
        <v>16</v>
      </c>
      <c r="C8" s="86"/>
      <c r="D8" s="87" t="s">
        <v>137</v>
      </c>
      <c r="E8" s="1"/>
      <c r="F8" s="88" t="s">
        <v>27</v>
      </c>
      <c r="G8" s="89">
        <v>7071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9" t="s">
        <v>130</v>
      </c>
      <c r="C10" s="95" t="s">
        <v>138</v>
      </c>
      <c r="D10" s="50"/>
      <c r="E10" s="50"/>
      <c r="F10" s="51" t="s">
        <v>28</v>
      </c>
      <c r="G10" s="52">
        <v>45415</v>
      </c>
      <c r="H10" s="53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4" t="s">
        <v>2</v>
      </c>
      <c r="C11" s="96" t="s">
        <v>139</v>
      </c>
      <c r="D11" s="55"/>
      <c r="E11" s="55"/>
      <c r="F11" s="55" t="s">
        <v>124</v>
      </c>
      <c r="G11" s="56">
        <v>45418</v>
      </c>
      <c r="H11" s="57"/>
      <c r="I11" s="1"/>
    </row>
    <row r="12" spans="1:17" ht="15.6" x14ac:dyDescent="0.3">
      <c r="A12" s="1"/>
      <c r="B12" s="58" t="s">
        <v>132</v>
      </c>
      <c r="C12" s="100"/>
      <c r="D12" s="38"/>
      <c r="E12" s="38"/>
      <c r="F12" s="38" t="s">
        <v>30</v>
      </c>
      <c r="G12" s="59"/>
      <c r="H12" s="60"/>
      <c r="I12" s="1"/>
    </row>
    <row r="13" spans="1:17" ht="15.6" x14ac:dyDescent="0.3">
      <c r="A13" s="1"/>
      <c r="B13" s="58" t="s">
        <v>134</v>
      </c>
      <c r="C13" s="100" t="s">
        <v>140</v>
      </c>
      <c r="D13" s="38"/>
      <c r="E13" s="38"/>
      <c r="F13" s="38" t="s">
        <v>129</v>
      </c>
      <c r="G13" s="59" t="s">
        <v>131</v>
      </c>
      <c r="H13" s="60"/>
      <c r="I13" s="1"/>
    </row>
    <row r="14" spans="1:17" ht="15.6" x14ac:dyDescent="0.3">
      <c r="A14" s="1"/>
      <c r="B14" s="54" t="s">
        <v>17</v>
      </c>
      <c r="C14" s="99" t="s">
        <v>144</v>
      </c>
      <c r="D14" s="61"/>
      <c r="E14" s="55"/>
      <c r="F14" s="55" t="s">
        <v>29</v>
      </c>
      <c r="G14" s="55"/>
      <c r="H14" s="57"/>
      <c r="I14" s="1"/>
    </row>
    <row r="15" spans="1:17" ht="15.6" x14ac:dyDescent="0.3">
      <c r="A15" s="1"/>
      <c r="B15" s="58" t="s">
        <v>1</v>
      </c>
      <c r="C15" s="97" t="s">
        <v>143</v>
      </c>
      <c r="D15" s="38"/>
      <c r="E15" s="38"/>
      <c r="F15" s="62" t="s">
        <v>75</v>
      </c>
      <c r="G15" s="62" t="s">
        <v>127</v>
      </c>
      <c r="H15" s="60"/>
      <c r="I15" s="1"/>
    </row>
    <row r="16" spans="1:17" ht="16.2" thickBot="1" x14ac:dyDescent="0.35">
      <c r="A16" s="1"/>
      <c r="B16" s="63" t="s">
        <v>3</v>
      </c>
      <c r="C16" s="98" t="s">
        <v>133</v>
      </c>
      <c r="D16" s="64"/>
      <c r="E16" s="65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6.2" thickBot="1" x14ac:dyDescent="0.35">
      <c r="A20" s="1"/>
      <c r="B20" s="66" t="s">
        <v>20</v>
      </c>
      <c r="C20" s="67" t="s">
        <v>21</v>
      </c>
      <c r="D20" s="67" t="s">
        <v>22</v>
      </c>
      <c r="E20" s="67" t="s">
        <v>8</v>
      </c>
      <c r="F20" s="68" t="s">
        <v>23</v>
      </c>
      <c r="G20" s="66" t="s">
        <v>24</v>
      </c>
      <c r="H20" s="68" t="s">
        <v>4</v>
      </c>
      <c r="I20" s="1"/>
    </row>
    <row r="21" spans="1:16" ht="18" customHeight="1" thickBot="1" x14ac:dyDescent="0.35">
      <c r="A21" s="1"/>
      <c r="B21" s="101">
        <v>1</v>
      </c>
      <c r="C21" s="111" t="s">
        <v>141</v>
      </c>
      <c r="D21" s="112">
        <v>310</v>
      </c>
      <c r="E21" s="112">
        <v>520</v>
      </c>
      <c r="F21" s="102" t="s">
        <v>142</v>
      </c>
      <c r="G21" s="113">
        <v>20000</v>
      </c>
      <c r="H21" s="94">
        <f>G21*B21</f>
        <v>20000</v>
      </c>
      <c r="I21" s="1"/>
      <c r="K21" s="16"/>
      <c r="L21" s="24"/>
      <c r="M21" s="16"/>
      <c r="N21" s="16"/>
      <c r="O21" s="24"/>
      <c r="P21" s="31"/>
    </row>
    <row r="22" spans="1:16" ht="18" customHeight="1" x14ac:dyDescent="0.3">
      <c r="A22" s="1"/>
      <c r="B22" s="93"/>
      <c r="C22" s="93"/>
      <c r="D22" s="93"/>
      <c r="E22" s="93"/>
      <c r="F22" s="93"/>
      <c r="G22" s="91"/>
      <c r="H22" s="91"/>
      <c r="I22" s="1"/>
      <c r="K22" s="16"/>
      <c r="L22" s="24"/>
      <c r="M22" s="16"/>
      <c r="N22" s="16"/>
      <c r="O22" s="24"/>
      <c r="P22" s="31"/>
    </row>
    <row r="23" spans="1:16" ht="8.25" customHeight="1" thickBot="1" x14ac:dyDescent="0.35">
      <c r="A23" s="1"/>
      <c r="B23" s="69"/>
      <c r="C23" s="69"/>
      <c r="D23" s="69"/>
      <c r="E23" s="69"/>
      <c r="F23" s="69"/>
      <c r="G23" s="70"/>
      <c r="H23" s="70"/>
      <c r="I23" s="1"/>
    </row>
    <row r="24" spans="1:16" ht="15.6" x14ac:dyDescent="0.3">
      <c r="A24" s="1"/>
      <c r="B24" s="1"/>
      <c r="C24" s="1"/>
      <c r="D24" s="1"/>
      <c r="E24" s="1"/>
      <c r="F24" s="1"/>
      <c r="G24" s="71" t="s">
        <v>5</v>
      </c>
      <c r="H24" s="72">
        <f>SUM(H21:H23)</f>
        <v>20000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3" t="s">
        <v>6</v>
      </c>
      <c r="H25" s="74">
        <f>H24*19%</f>
        <v>3800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5" t="s">
        <v>4</v>
      </c>
      <c r="H26" s="76">
        <f>H24+H25</f>
        <v>23800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47"/>
      <c r="H27" s="92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77" t="s">
        <v>123</v>
      </c>
      <c r="C29" s="78"/>
      <c r="D29" s="79"/>
      <c r="E29" s="79"/>
      <c r="F29" s="69"/>
      <c r="G29" s="1"/>
      <c r="H29" s="1"/>
      <c r="I29" s="1"/>
    </row>
    <row r="30" spans="1:16" ht="15.6" x14ac:dyDescent="0.3">
      <c r="A30" s="1"/>
      <c r="B30" s="77" t="s">
        <v>122</v>
      </c>
      <c r="C30" s="78"/>
      <c r="D30" s="79"/>
      <c r="E30" s="79"/>
      <c r="F30" s="69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0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7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7">
        <v>50</v>
      </c>
      <c r="H4" s="27">
        <v>100</v>
      </c>
      <c r="I4" s="28" t="s">
        <v>113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7">
        <v>50</v>
      </c>
      <c r="H5" s="27"/>
      <c r="I5" s="28" t="s">
        <v>115</v>
      </c>
      <c r="J5" s="29" t="s">
        <v>117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topLeftCell="A23" zoomScaleNormal="100" workbookViewId="0">
      <selection activeCell="A35" sqref="A35:F60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6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2" t="s">
        <v>126</v>
      </c>
      <c r="L2" s="32"/>
      <c r="M2" s="32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35" t="s">
        <v>27</v>
      </c>
      <c r="D4" s="14">
        <f>'4637'!G8</f>
        <v>7071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6" t="s">
        <v>67</v>
      </c>
      <c r="D5" s="37" t="str">
        <f>'4637'!C10</f>
        <v>DISEÑO D Y P LTDA</v>
      </c>
      <c r="E5" s="38"/>
      <c r="F5" s="38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39"/>
      <c r="D6" s="40"/>
      <c r="E6" s="1"/>
      <c r="F6" s="1"/>
      <c r="G6" s="1"/>
    </row>
    <row r="7" spans="1:14" ht="15.6" x14ac:dyDescent="0.3">
      <c r="A7" s="1"/>
      <c r="B7" s="1"/>
      <c r="C7" s="81" t="str">
        <f>'4637'!F11</f>
        <v>FECHA LIMITE :</v>
      </c>
      <c r="D7" s="13">
        <f>'4637'!G11</f>
        <v>45418</v>
      </c>
      <c r="E7" s="1"/>
      <c r="F7" s="1"/>
      <c r="G7" s="1"/>
    </row>
    <row r="8" spans="1:14" ht="15.6" x14ac:dyDescent="0.3">
      <c r="A8" s="1"/>
      <c r="B8" s="1"/>
      <c r="C8" s="48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47" t="s">
        <v>7</v>
      </c>
      <c r="E12" s="47" t="s">
        <v>8</v>
      </c>
      <c r="F12" s="1"/>
      <c r="G12" s="1"/>
    </row>
    <row r="13" spans="1:14" ht="15.6" x14ac:dyDescent="0.3">
      <c r="A13" s="47" t="s">
        <v>9</v>
      </c>
      <c r="B13" s="34" t="s">
        <v>10</v>
      </c>
      <c r="C13" s="34" t="s">
        <v>11</v>
      </c>
      <c r="D13" s="30">
        <v>50</v>
      </c>
      <c r="E13" s="30">
        <v>-30</v>
      </c>
      <c r="F13" s="34" t="s">
        <v>110</v>
      </c>
      <c r="G13" s="1"/>
      <c r="J13" s="5" t="s">
        <v>7</v>
      </c>
      <c r="K13" s="5" t="s">
        <v>8</v>
      </c>
    </row>
    <row r="14" spans="1:14" ht="18" x14ac:dyDescent="0.35">
      <c r="A14" s="90" t="s">
        <v>136</v>
      </c>
      <c r="B14" s="106">
        <f t="shared" ref="B14" si="0">I14</f>
        <v>1</v>
      </c>
      <c r="C14" s="106"/>
      <c r="D14" s="106">
        <f>J14+D$13</f>
        <v>360</v>
      </c>
      <c r="E14" s="108">
        <f>K14+E$13</f>
        <v>490</v>
      </c>
      <c r="F14" s="106" t="str">
        <f>C28</f>
        <v>CUB CON RESPALDO R2</v>
      </c>
      <c r="G14" s="1"/>
      <c r="I14" s="3">
        <f>I22</f>
        <v>1</v>
      </c>
      <c r="J14" s="4">
        <f t="shared" ref="J14:K14" si="1">D28</f>
        <v>310</v>
      </c>
      <c r="K14" s="4">
        <f t="shared" si="1"/>
        <v>520</v>
      </c>
    </row>
    <row r="15" spans="1:14" ht="18" x14ac:dyDescent="0.35">
      <c r="A15" s="90"/>
      <c r="B15" s="109"/>
      <c r="C15" s="109"/>
      <c r="D15" s="109"/>
      <c r="E15" s="110"/>
      <c r="F15" s="109"/>
      <c r="G15" s="1"/>
      <c r="I15" s="84"/>
      <c r="J15" s="2"/>
      <c r="K15" s="2"/>
    </row>
    <row r="16" spans="1:14" ht="15.6" x14ac:dyDescent="0.3">
      <c r="A16" s="47"/>
      <c r="B16" s="6"/>
      <c r="C16" s="6"/>
      <c r="D16" s="6"/>
      <c r="E16" s="83"/>
      <c r="F16" s="6"/>
      <c r="G16" s="1"/>
      <c r="I16" s="84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2" t="s">
        <v>14</v>
      </c>
      <c r="B18" s="122"/>
      <c r="C18" s="122"/>
      <c r="D18" s="122"/>
      <c r="E18" s="122"/>
      <c r="F18" s="122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47" t="s">
        <v>7</v>
      </c>
      <c r="E20" s="47" t="s">
        <v>8</v>
      </c>
      <c r="F20" s="1"/>
      <c r="G20" s="1"/>
    </row>
    <row r="21" spans="1:11" ht="15.6" x14ac:dyDescent="0.3">
      <c r="A21" s="47" t="s">
        <v>9</v>
      </c>
      <c r="B21" s="33" t="s">
        <v>10</v>
      </c>
      <c r="C21" s="33" t="s">
        <v>11</v>
      </c>
      <c r="D21" s="20">
        <v>40</v>
      </c>
      <c r="E21" s="20">
        <v>130</v>
      </c>
      <c r="F21" s="33" t="s">
        <v>110</v>
      </c>
      <c r="G21" s="1"/>
      <c r="J21" s="5" t="s">
        <v>7</v>
      </c>
      <c r="K21" s="5" t="s">
        <v>8</v>
      </c>
    </row>
    <row r="22" spans="1:11" ht="18" x14ac:dyDescent="0.35">
      <c r="A22" s="90" t="s">
        <v>135</v>
      </c>
      <c r="B22" s="107">
        <f t="shared" ref="B22" si="2">I22</f>
        <v>1</v>
      </c>
      <c r="C22" s="107"/>
      <c r="D22" s="107">
        <f>J22+D$21</f>
        <v>350</v>
      </c>
      <c r="E22" s="107">
        <f>K22+E$21</f>
        <v>650</v>
      </c>
      <c r="F22" s="107" t="str">
        <f>C28</f>
        <v>CUB CON RESPALDO R2</v>
      </c>
      <c r="G22" s="1"/>
      <c r="I22" s="3">
        <f>B28</f>
        <v>1</v>
      </c>
      <c r="J22" s="4">
        <f>D28</f>
        <v>310</v>
      </c>
      <c r="K22" s="4">
        <f>E28</f>
        <v>520</v>
      </c>
    </row>
    <row r="23" spans="1:11" ht="18" x14ac:dyDescent="0.35">
      <c r="A23" s="90"/>
      <c r="B23" s="109"/>
      <c r="C23" s="109"/>
      <c r="D23" s="109"/>
      <c r="E23" s="109"/>
      <c r="F23" s="109"/>
      <c r="G23" s="1"/>
      <c r="I23" s="84"/>
      <c r="J23" s="2"/>
      <c r="K23" s="2"/>
    </row>
    <row r="24" spans="1:11" ht="16.2" thickBot="1" x14ac:dyDescent="0.35">
      <c r="A24" s="47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47"/>
      <c r="B25" s="21" t="s">
        <v>107</v>
      </c>
      <c r="C25" s="22"/>
      <c r="D25" s="22"/>
      <c r="E25" s="22"/>
      <c r="F25" s="23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47" t="s">
        <v>9</v>
      </c>
      <c r="B27" s="82" t="s">
        <v>10</v>
      </c>
      <c r="C27" s="82" t="s">
        <v>110</v>
      </c>
      <c r="D27" s="82" t="s">
        <v>7</v>
      </c>
      <c r="E27" s="82" t="s">
        <v>8</v>
      </c>
      <c r="F27" s="82" t="s">
        <v>23</v>
      </c>
      <c r="G27" s="1"/>
    </row>
    <row r="28" spans="1:11" ht="18" x14ac:dyDescent="0.35">
      <c r="A28" s="90" t="s">
        <v>135</v>
      </c>
      <c r="B28" s="106">
        <f>'4637'!B21</f>
        <v>1</v>
      </c>
      <c r="C28" s="106" t="str">
        <f>'4637'!C21</f>
        <v>CUB CON RESPALDO R2</v>
      </c>
      <c r="D28" s="106">
        <f>'4637'!D21</f>
        <v>310</v>
      </c>
      <c r="E28" s="106">
        <f>'4637'!E21</f>
        <v>520</v>
      </c>
      <c r="F28" s="106" t="str">
        <f>'4637'!F21</f>
        <v>VAINILLA 2109 MT</v>
      </c>
      <c r="G28" s="1"/>
    </row>
    <row r="29" spans="1:11" ht="15.6" x14ac:dyDescent="0.3">
      <c r="A29" s="47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35" t="s">
        <v>27</v>
      </c>
      <c r="D39" s="14">
        <f>'4637'!G8</f>
        <v>7071</v>
      </c>
      <c r="E39" s="1"/>
      <c r="F39" s="1"/>
      <c r="G39" s="1"/>
    </row>
    <row r="40" spans="1:7" ht="17.25" customHeight="1" x14ac:dyDescent="0.3">
      <c r="A40" s="1"/>
      <c r="B40" s="1"/>
      <c r="C40" s="36" t="s">
        <v>67</v>
      </c>
      <c r="D40" s="37" t="str">
        <f>'4637'!C10</f>
        <v>DISEÑO D Y P LTDA</v>
      </c>
      <c r="E40" s="38"/>
      <c r="F40" s="38"/>
      <c r="G40" s="1"/>
    </row>
    <row r="41" spans="1:7" ht="4.5" customHeight="1" x14ac:dyDescent="0.3">
      <c r="A41" s="1"/>
      <c r="B41" s="1"/>
      <c r="C41" s="39"/>
      <c r="D41" s="40"/>
      <c r="E41" s="1"/>
      <c r="F41" s="1"/>
      <c r="G41" s="1"/>
    </row>
    <row r="42" spans="1:7" ht="15.6" x14ac:dyDescent="0.3">
      <c r="A42" s="1"/>
      <c r="B42" s="1"/>
      <c r="C42" s="41" t="str">
        <f>'4637'!F11</f>
        <v>FECHA LIMITE :</v>
      </c>
      <c r="D42" s="13">
        <f>'4637'!G11</f>
        <v>45418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2" t="s">
        <v>68</v>
      </c>
      <c r="B45" s="122"/>
      <c r="C45" s="122"/>
      <c r="D45" s="122"/>
      <c r="E45" s="122"/>
      <c r="F45" s="122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3" t="s">
        <v>69</v>
      </c>
      <c r="C47" s="124"/>
      <c r="D47" s="125"/>
      <c r="E47" s="125"/>
      <c r="F47" s="126"/>
      <c r="G47" s="1"/>
    </row>
    <row r="48" spans="1:7" s="15" customFormat="1" ht="12.75" customHeight="1" x14ac:dyDescent="0.3">
      <c r="A48" s="1"/>
      <c r="B48" s="33" t="s">
        <v>10</v>
      </c>
      <c r="C48" s="42" t="s">
        <v>11</v>
      </c>
      <c r="D48" s="43" t="s">
        <v>7</v>
      </c>
      <c r="E48" s="43" t="s">
        <v>8</v>
      </c>
      <c r="F48" s="44" t="s">
        <v>12</v>
      </c>
      <c r="G48" s="1"/>
    </row>
    <row r="49" spans="1:7" s="15" customFormat="1" ht="15" customHeight="1" x14ac:dyDescent="0.35">
      <c r="A49" s="90" t="s">
        <v>135</v>
      </c>
      <c r="B49" s="104">
        <f>'4637'!B21</f>
        <v>1</v>
      </c>
      <c r="C49" s="104" t="str">
        <f>'4637'!C21</f>
        <v>CUB CON RESPALDO R2</v>
      </c>
      <c r="D49" s="105">
        <f>'4637'!D21</f>
        <v>310</v>
      </c>
      <c r="E49" s="105">
        <f>'4637'!E21</f>
        <v>520</v>
      </c>
      <c r="F49" s="104" t="str">
        <f>'4637'!F21</f>
        <v>VAINILLA 2109 MT</v>
      </c>
      <c r="G49" s="1"/>
    </row>
    <row r="50" spans="1:7" s="15" customFormat="1" ht="15" customHeight="1" x14ac:dyDescent="0.3">
      <c r="A50" s="90"/>
      <c r="B50" s="47"/>
      <c r="C50" s="103"/>
      <c r="D50" s="47"/>
      <c r="E50" s="47"/>
      <c r="F50" s="47"/>
      <c r="G50" s="1"/>
    </row>
    <row r="51" spans="1:7" s="15" customFormat="1" ht="15" customHeight="1" x14ac:dyDescent="0.3">
      <c r="A51" s="45"/>
      <c r="B51" s="47"/>
      <c r="C51" s="47"/>
      <c r="D51" s="47"/>
      <c r="E51" s="47"/>
      <c r="F51" s="47"/>
      <c r="G51" s="1"/>
    </row>
    <row r="52" spans="1:7" ht="15.6" x14ac:dyDescent="0.3">
      <c r="A52" s="6"/>
      <c r="B52" s="6"/>
      <c r="C52" s="1"/>
      <c r="D52" s="6"/>
      <c r="E52" s="6"/>
      <c r="F52" s="39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46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19"/>
      <c r="C61" s="19"/>
      <c r="D61" s="19"/>
      <c r="E61" s="19"/>
      <c r="F61" s="19"/>
    </row>
    <row r="62" spans="1:7" x14ac:dyDescent="0.3">
      <c r="B62" s="19"/>
      <c r="C62" s="19"/>
      <c r="E62" s="19"/>
      <c r="F62" s="19"/>
    </row>
  </sheetData>
  <mergeCells count="6">
    <mergeCell ref="M3:N3"/>
    <mergeCell ref="A18:F18"/>
    <mergeCell ref="A10:F10"/>
    <mergeCell ref="A45:F45"/>
    <mergeCell ref="B47:F47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2024-05-03T13:52:02Z</cp:lastPrinted>
  <dcterms:created xsi:type="dcterms:W3CDTF">2013-03-19T12:54:14Z</dcterms:created>
  <dcterms:modified xsi:type="dcterms:W3CDTF">2024-05-03T13:52:15Z</dcterms:modified>
</cp:coreProperties>
</file>