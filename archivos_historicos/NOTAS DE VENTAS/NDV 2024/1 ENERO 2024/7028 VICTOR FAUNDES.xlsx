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NOTAS DE VENTAS TOPMOBILI\AÑOS ANTERIORES\NDV 2024\2024 ENERO 2024\"/>
    </mc:Choice>
  </mc:AlternateContent>
  <xr:revisionPtr revIDLastSave="0" documentId="13_ncr:1_{864F733F-1528-4730-9F11-D1D1EC5852A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5770" sheetId="4" r:id="rId1"/>
    <sheet name="CUBIERTA" sheetId="3" r:id="rId2"/>
  </sheets>
  <externalReferences>
    <externalReference r:id="rId3"/>
  </externalReferences>
  <definedNames>
    <definedName name="_xlnm.Print_Area" localSheetId="0">'5770'!$B$1:$H$31</definedName>
    <definedName name="_xlnm.Print_Area" localSheetId="1">CUBIERTA!$A$34:$F$56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6" i="3" l="1"/>
  <c r="F27" i="3" s="1"/>
  <c r="H20" i="4"/>
  <c r="H23" i="4" s="1"/>
  <c r="P14" i="3"/>
  <c r="B27" i="3" l="1"/>
  <c r="B21" i="3" s="1"/>
  <c r="C27" i="3"/>
  <c r="D27" i="3"/>
  <c r="J21" i="3" s="1"/>
  <c r="D21" i="3" s="1"/>
  <c r="E27" i="3"/>
  <c r="K21" i="3" s="1"/>
  <c r="E21" i="3" s="1"/>
  <c r="B46" i="3"/>
  <c r="C46" i="3"/>
  <c r="D46" i="3"/>
  <c r="E46" i="3"/>
  <c r="F21" i="3" l="1"/>
  <c r="F14" i="3"/>
  <c r="K14" i="3"/>
  <c r="E14" i="3" s="1"/>
  <c r="J14" i="3"/>
  <c r="D14" i="3" s="1"/>
  <c r="I21" i="3"/>
  <c r="I14" i="3" s="1"/>
  <c r="B14" i="3" l="1"/>
  <c r="Q14" i="3"/>
  <c r="Q15" i="3" s="1"/>
  <c r="F40" i="3"/>
  <c r="E40" i="3"/>
  <c r="D37" i="3" l="1"/>
  <c r="E39" i="3"/>
  <c r="E36" i="3"/>
  <c r="E7" i="3"/>
  <c r="E4" i="3"/>
  <c r="D5" i="3"/>
  <c r="C39" i="3"/>
  <c r="C7" i="3"/>
  <c r="H25" i="4" l="1"/>
</calcChain>
</file>

<file path=xl/sharedStrings.xml><?xml version="1.0" encoding="utf-8"?>
<sst xmlns="http://schemas.openxmlformats.org/spreadsheetml/2006/main" count="85" uniqueCount="58">
  <si>
    <t>SEPTIMA AVENIDA 1631, SAN MIGUEL</t>
  </si>
  <si>
    <t>DIRECCION:</t>
  </si>
  <si>
    <t>RUT:</t>
  </si>
  <si>
    <t>CIUDAD:</t>
  </si>
  <si>
    <t>DETALLE</t>
  </si>
  <si>
    <t>TOTAL</t>
  </si>
  <si>
    <t>NETO</t>
  </si>
  <si>
    <t>I.V.A.</t>
  </si>
  <si>
    <t>CLIENTE:</t>
  </si>
  <si>
    <t>ALTO</t>
  </si>
  <si>
    <t>ANCHO</t>
  </si>
  <si>
    <t>MATERIAL</t>
  </si>
  <si>
    <t>CANTIDAD</t>
  </si>
  <si>
    <t>CORTE</t>
  </si>
  <si>
    <t>DESCRIPCION</t>
  </si>
  <si>
    <t>Observaciones:</t>
  </si>
  <si>
    <t>LAMINADO</t>
  </si>
  <si>
    <t>FONO 22521 6502</t>
  </si>
  <si>
    <t>P R E S U P U E S T O</t>
  </si>
  <si>
    <t>N°4601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</si>
  <si>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</si>
  <si>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</si>
  <si>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</si>
  <si>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</si>
  <si>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</si>
  <si>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</si>
  <si>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</si>
  <si>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</si>
  <si>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</si>
  <si>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</si>
  <si>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</si>
  <si>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 xml:space="preserve">CUENTA VISTA DEL BANCO ESTADO N° 35571043040 A NOMBRE DE </t>
  </si>
  <si>
    <t>"TOPMOBILI LTDA." - RUT : 76.685.535-0, VENTAS@TOPMOBILI.CL</t>
  </si>
  <si>
    <t>FECHA ENTREGA :</t>
  </si>
  <si>
    <t>FECHA :</t>
  </si>
  <si>
    <t>CLIENTE :</t>
  </si>
  <si>
    <t>SUSTRATO</t>
  </si>
  <si>
    <t>DESCRIPCIÓN</t>
  </si>
  <si>
    <t>MEDIDAS ORIGINALES</t>
  </si>
  <si>
    <t>PRODUCCIÓN</t>
  </si>
  <si>
    <t xml:space="preserve"> </t>
  </si>
  <si>
    <t xml:space="preserve">OBSERVACIONES: </t>
  </si>
  <si>
    <t xml:space="preserve">  </t>
  </si>
  <si>
    <t>MUEBLES SANTA FE SPA</t>
  </si>
  <si>
    <t>VENTAS POR MENOR DE MUEBLES</t>
  </si>
  <si>
    <t>RUT: 77.054.606-0</t>
  </si>
  <si>
    <t>E-MAIL: ventas@mueblesantafe.cl</t>
  </si>
  <si>
    <t xml:space="preserve">CONTACTO: </t>
  </si>
  <si>
    <t xml:space="preserve">DESPACHO: </t>
  </si>
  <si>
    <t>ORDEN DE COMPRA</t>
  </si>
  <si>
    <t>NO</t>
  </si>
  <si>
    <t>MDF18MM</t>
  </si>
  <si>
    <t>MDF 18MM</t>
  </si>
  <si>
    <t>FORMA DE PAGO : CONTADO</t>
  </si>
  <si>
    <t>FLORENTINO AZUL BR</t>
  </si>
  <si>
    <t>VICTOR FAUNDES</t>
  </si>
  <si>
    <t>+569 4126 9607</t>
  </si>
  <si>
    <t>CUB C/R R8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</si>
</sst>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i/>
      <sz val="10.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Segoe UI"/>
      <family val="2"/>
    </font>
    <font>
      <b/>
      <u/>
      <sz val="11"/>
      <name val="Calibri"/>
      <family val="2"/>
      <scheme val="minor"/>
    </font>
    <font>
      <sz val="14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5" fillId="0" borderId="0" applyFont="0" applyFill="0" applyBorder="0" applyAlignment="0" applyProtection="0"/>
    <xf numFmtId="0" fontId="7" fillId="0" borderId="0" applyNumberFormat="0" applyFill="0" applyBorder="0" applyAlignment="0" applyProtection="0"/>
    <xf numFmtId="42" fontId="5" fillId="0" borderId="0" applyFont="0" applyFill="0" applyBorder="0" applyAlignment="0" applyProtection="0"/>
  </cellStyleXfs>
  <cellXfs count="13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vertical="center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4" fillId="0" borderId="0" xfId="0" applyFont="1"/>
    <xf numFmtId="0" fontId="4" fillId="0" borderId="7" xfId="0" applyFont="1" applyBorder="1"/>
    <xf numFmtId="0" fontId="4" fillId="0" borderId="9" xfId="0" applyFont="1" applyBorder="1"/>
    <xf numFmtId="0" fontId="4" fillId="0" borderId="10" xfId="0" applyFont="1" applyBorder="1"/>
    <xf numFmtId="0" fontId="8" fillId="0" borderId="0" xfId="0" applyFont="1" applyAlignment="1">
      <alignment horizontal="center"/>
    </xf>
    <xf numFmtId="0" fontId="1" fillId="0" borderId="0" xfId="0" applyFont="1"/>
    <xf numFmtId="0" fontId="6" fillId="3" borderId="3" xfId="0" applyFont="1" applyFill="1" applyBorder="1"/>
    <xf numFmtId="0" fontId="6" fillId="3" borderId="4" xfId="0" applyFont="1" applyFill="1" applyBorder="1"/>
    <xf numFmtId="0" fontId="0" fillId="3" borderId="4" xfId="0" applyFill="1" applyBorder="1"/>
    <xf numFmtId="0" fontId="0" fillId="3" borderId="4" xfId="0" applyFill="1" applyBorder="1" applyAlignment="1">
      <alignment horizontal="left"/>
    </xf>
    <xf numFmtId="14" fontId="0" fillId="3" borderId="4" xfId="0" applyNumberFormat="1" applyFill="1" applyBorder="1" applyAlignment="1">
      <alignment horizontal="left"/>
    </xf>
    <xf numFmtId="0" fontId="0" fillId="3" borderId="5" xfId="0" applyFill="1" applyBorder="1"/>
    <xf numFmtId="0" fontId="0" fillId="4" borderId="6" xfId="0" applyFill="1" applyBorder="1"/>
    <xf numFmtId="0" fontId="0" fillId="4" borderId="0" xfId="0" applyFill="1"/>
    <xf numFmtId="14" fontId="0" fillId="4" borderId="0" xfId="0" applyNumberFormat="1" applyFill="1" applyAlignment="1">
      <alignment horizontal="left"/>
    </xf>
    <xf numFmtId="0" fontId="0" fillId="4" borderId="7" xfId="0" applyFill="1" applyBorder="1"/>
    <xf numFmtId="0" fontId="0" fillId="3" borderId="6" xfId="0" applyFill="1" applyBorder="1"/>
    <xf numFmtId="0" fontId="0" fillId="3" borderId="0" xfId="0" applyFill="1"/>
    <xf numFmtId="0" fontId="0" fillId="3" borderId="7" xfId="0" applyFill="1" applyBorder="1"/>
    <xf numFmtId="0" fontId="0" fillId="4" borderId="0" xfId="0" applyFill="1" applyAlignment="1">
      <alignment horizontal="left"/>
    </xf>
    <xf numFmtId="0" fontId="6" fillId="3" borderId="0" xfId="0" applyFont="1" applyFill="1"/>
    <xf numFmtId="0" fontId="0" fillId="4" borderId="8" xfId="0" applyFill="1" applyBorder="1"/>
    <xf numFmtId="0" fontId="0" fillId="4" borderId="9" xfId="2" applyFont="1" applyFill="1" applyBorder="1" applyAlignment="1">
      <alignment horizontal="left"/>
    </xf>
    <xf numFmtId="0" fontId="0" fillId="4" borderId="9" xfId="0" applyFill="1" applyBorder="1"/>
    <xf numFmtId="165" fontId="0" fillId="0" borderId="0" xfId="0" applyNumberForma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left" vertical="center"/>
    </xf>
    <xf numFmtId="0" fontId="8" fillId="0" borderId="0" xfId="0" applyFont="1"/>
    <xf numFmtId="0" fontId="13" fillId="0" borderId="0" xfId="2" applyFont="1" applyFill="1" applyBorder="1" applyAlignment="1">
      <alignment horizontal="left" vertical="center" indent="1"/>
    </xf>
    <xf numFmtId="0" fontId="1" fillId="0" borderId="2" xfId="0" applyFont="1" applyBorder="1"/>
    <xf numFmtId="0" fontId="3" fillId="3" borderId="0" xfId="0" applyFont="1" applyFill="1"/>
    <xf numFmtId="0" fontId="0" fillId="0" borderId="0" xfId="0" applyAlignment="1">
      <alignment horizontal="center" vertical="center"/>
    </xf>
    <xf numFmtId="0" fontId="3" fillId="0" borderId="0" xfId="0" applyFont="1" applyAlignment="1">
      <alignment shrinkToFit="1"/>
    </xf>
    <xf numFmtId="0" fontId="15" fillId="0" borderId="0" xfId="0" applyFont="1" applyAlignment="1">
      <alignment horizontal="left" indent="1"/>
    </xf>
    <xf numFmtId="0" fontId="1" fillId="0" borderId="0" xfId="0" applyFont="1" applyAlignment="1">
      <alignment horizontal="left"/>
    </xf>
    <xf numFmtId="0" fontId="15" fillId="3" borderId="0" xfId="0" applyFont="1" applyFill="1" applyAlignment="1">
      <alignment horizontal="left" indent="1"/>
    </xf>
    <xf numFmtId="0" fontId="16" fillId="3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0" fillId="0" borderId="0" xfId="0" applyNumberFormat="1" applyAlignment="1">
      <alignment horizontal="right" vertical="top"/>
    </xf>
    <xf numFmtId="14" fontId="15" fillId="0" borderId="0" xfId="0" applyNumberFormat="1" applyFont="1" applyAlignment="1">
      <alignment horizontal="left" indent="1"/>
    </xf>
    <xf numFmtId="14" fontId="1" fillId="0" borderId="0" xfId="0" applyNumberFormat="1" applyFont="1" applyAlignment="1">
      <alignment horizontal="left" wrapText="1" shrinkToFit="1"/>
    </xf>
    <xf numFmtId="0" fontId="17" fillId="0" borderId="0" xfId="0" applyFont="1"/>
    <xf numFmtId="0" fontId="18" fillId="0" borderId="0" xfId="0" applyFont="1" applyAlignment="1">
      <alignment horizontal="center"/>
    </xf>
    <xf numFmtId="0" fontId="3" fillId="5" borderId="19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7" fillId="0" borderId="20" xfId="0" applyFont="1" applyBorder="1"/>
    <xf numFmtId="0" fontId="17" fillId="0" borderId="21" xfId="0" applyFont="1" applyBorder="1"/>
    <xf numFmtId="0" fontId="16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19" fillId="0" borderId="25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2" fillId="0" borderId="0" xfId="0" applyFont="1" applyAlignment="1">
      <alignment horizontal="center"/>
    </xf>
    <xf numFmtId="0" fontId="18" fillId="0" borderId="3" xfId="0" applyFont="1" applyBorder="1" applyAlignment="1">
      <alignment wrapText="1"/>
    </xf>
    <xf numFmtId="0" fontId="20" fillId="0" borderId="4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6" fillId="0" borderId="0" xfId="0" applyFont="1"/>
    <xf numFmtId="0" fontId="21" fillId="0" borderId="0" xfId="0" applyFont="1" applyAlignment="1">
      <alignment horizontal="left" vertical="center"/>
    </xf>
    <xf numFmtId="0" fontId="0" fillId="6" borderId="7" xfId="0" applyFill="1" applyBorder="1"/>
    <xf numFmtId="0" fontId="0" fillId="0" borderId="0" xfId="0" applyAlignment="1">
      <alignment horizontal="right" vertical="center"/>
    </xf>
    <xf numFmtId="0" fontId="1" fillId="0" borderId="2" xfId="0" applyFont="1" applyBorder="1" applyAlignment="1">
      <alignment horizontal="center"/>
    </xf>
    <xf numFmtId="0" fontId="0" fillId="0" borderId="0" xfId="0" applyAlignment="1">
      <alignment horizontal="left" vertical="center"/>
    </xf>
    <xf numFmtId="166" fontId="0" fillId="0" borderId="0" xfId="1" applyNumberFormat="1" applyFont="1" applyFill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3" fillId="0" borderId="11" xfId="0" applyFont="1" applyBorder="1" applyAlignment="1">
      <alignment horizontal="center"/>
    </xf>
    <xf numFmtId="166" fontId="3" fillId="0" borderId="12" xfId="1" applyNumberFormat="1" applyFont="1" applyFill="1" applyBorder="1"/>
    <xf numFmtId="3" fontId="3" fillId="3" borderId="13" xfId="0" applyNumberFormat="1" applyFont="1" applyFill="1" applyBorder="1" applyAlignment="1">
      <alignment horizontal="center"/>
    </xf>
    <xf numFmtId="166" fontId="3" fillId="3" borderId="14" xfId="1" applyNumberFormat="1" applyFont="1" applyFill="1" applyBorder="1"/>
    <xf numFmtId="0" fontId="3" fillId="0" borderId="15" xfId="0" applyFont="1" applyBorder="1" applyAlignment="1">
      <alignment horizontal="center"/>
    </xf>
    <xf numFmtId="166" fontId="3" fillId="0" borderId="16" xfId="1" applyNumberFormat="1" applyFont="1" applyFill="1" applyBorder="1"/>
    <xf numFmtId="0" fontId="16" fillId="0" borderId="19" xfId="0" applyFont="1" applyBorder="1" applyAlignment="1">
      <alignment horizontal="center"/>
    </xf>
    <xf numFmtId="0" fontId="16" fillId="0" borderId="27" xfId="0" applyFont="1" applyBorder="1" applyAlignment="1">
      <alignment horizontal="center"/>
    </xf>
    <xf numFmtId="166" fontId="0" fillId="0" borderId="0" xfId="0" applyNumberFormat="1"/>
    <xf numFmtId="0" fontId="6" fillId="6" borderId="15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23" fillId="3" borderId="0" xfId="0" applyFont="1" applyFill="1" applyAlignment="1">
      <alignment horizontal="left"/>
    </xf>
    <xf numFmtId="0" fontId="24" fillId="0" borderId="0" xfId="0" applyFont="1"/>
    <xf numFmtId="0" fontId="25" fillId="0" borderId="0" xfId="2" quotePrefix="1" applyFont="1" applyFill="1" applyBorder="1"/>
    <xf numFmtId="0" fontId="3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1" fontId="22" fillId="0" borderId="0" xfId="0" applyNumberFormat="1" applyFont="1" applyAlignment="1">
      <alignment horizontal="center" vertical="center"/>
    </xf>
    <xf numFmtId="0" fontId="0" fillId="2" borderId="0" xfId="0" applyFill="1" applyAlignment="1">
      <alignment horizontal="center"/>
    </xf>
    <xf numFmtId="0" fontId="3" fillId="3" borderId="0" xfId="0" applyFont="1" applyFill="1" applyAlignment="1">
      <alignment horizontal="center"/>
    </xf>
    <xf numFmtId="42" fontId="4" fillId="0" borderId="0" xfId="3" applyFont="1" applyFill="1" applyBorder="1" applyAlignment="1">
      <alignment horizontal="center" vertical="center"/>
    </xf>
    <xf numFmtId="0" fontId="4" fillId="0" borderId="26" xfId="0" applyFont="1" applyBorder="1" applyAlignment="1">
      <alignment horizontal="center"/>
    </xf>
    <xf numFmtId="0" fontId="19" fillId="6" borderId="2" xfId="0" applyFont="1" applyFill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6" fillId="6" borderId="2" xfId="0" applyFont="1" applyFill="1" applyBorder="1" applyAlignment="1">
      <alignment horizontal="center" vertical="center"/>
    </xf>
    <xf numFmtId="0" fontId="3" fillId="6" borderId="19" xfId="0" applyFont="1" applyFill="1" applyBorder="1" applyAlignment="1">
      <alignment horizontal="center"/>
    </xf>
    <xf numFmtId="0" fontId="10" fillId="4" borderId="9" xfId="0" applyFont="1" applyFill="1" applyBorder="1" applyAlignment="1">
      <alignment horizontal="left"/>
    </xf>
    <xf numFmtId="0" fontId="10" fillId="4" borderId="10" xfId="0" applyFont="1" applyFill="1" applyBorder="1" applyAlignment="1">
      <alignment horizontal="left"/>
    </xf>
    <xf numFmtId="0" fontId="11" fillId="3" borderId="11" xfId="0" applyFont="1" applyFill="1" applyBorder="1" applyAlignment="1">
      <alignment horizontal="center" vertical="center"/>
    </xf>
    <xf numFmtId="0" fontId="11" fillId="3" borderId="17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9" fillId="3" borderId="22" xfId="0" applyFont="1" applyFill="1" applyBorder="1" applyAlignment="1">
      <alignment horizontal="left" vertical="top" indent="28"/>
    </xf>
    <xf numFmtId="0" fontId="19" fillId="3" borderId="23" xfId="0" applyFont="1" applyFill="1" applyBorder="1" applyAlignment="1">
      <alignment horizontal="left" vertical="top" indent="28"/>
    </xf>
    <xf numFmtId="0" fontId="19" fillId="3" borderId="24" xfId="0" applyFont="1" applyFill="1" applyBorder="1" applyAlignment="1">
      <alignment horizontal="left" vertical="top" indent="28"/>
    </xf>
    <xf numFmtId="0" fontId="19" fillId="3" borderId="25" xfId="0" applyFont="1" applyFill="1" applyBorder="1" applyAlignment="1">
      <alignment horizontal="left" vertical="top" indent="28"/>
    </xf>
    <xf numFmtId="42" fontId="2" fillId="0" borderId="0" xfId="3" applyFont="1" applyFill="1" applyBorder="1" applyAlignment="1">
      <alignment horizontal="center" vertical="center"/>
    </xf>
    <xf numFmtId="166" fontId="4" fillId="0" borderId="0" xfId="0" applyNumberFormat="1" applyFont="1" applyBorder="1" applyAlignment="1">
      <alignment horizontal="center" vertical="center"/>
    </xf>
    <xf numFmtId="1" fontId="26" fillId="0" borderId="29" xfId="0" applyNumberFormat="1" applyFont="1" applyBorder="1" applyAlignment="1">
      <alignment horizontal="center" vertical="center"/>
    </xf>
    <xf numFmtId="165" fontId="27" fillId="0" borderId="30" xfId="0" applyNumberFormat="1" applyFont="1" applyBorder="1" applyAlignment="1">
      <alignment horizontal="center" vertical="center"/>
    </xf>
    <xf numFmtId="1" fontId="26" fillId="0" borderId="30" xfId="0" applyNumberFormat="1" applyFont="1" applyBorder="1" applyAlignment="1">
      <alignment horizontal="center" vertical="center"/>
    </xf>
    <xf numFmtId="165" fontId="26" fillId="0" borderId="30" xfId="0" applyNumberFormat="1" applyFont="1" applyBorder="1" applyAlignment="1">
      <alignment horizontal="center" vertical="center"/>
    </xf>
    <xf numFmtId="42" fontId="4" fillId="0" borderId="30" xfId="3" applyFont="1" applyFill="1" applyBorder="1" applyAlignment="1">
      <alignment horizontal="center" vertical="center"/>
    </xf>
    <xf numFmtId="42" fontId="4" fillId="0" borderId="31" xfId="3" applyFont="1" applyFill="1" applyBorder="1" applyAlignment="1">
      <alignment horizontal="center" vertical="center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B868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7</xdr:row>
      <xdr:rowOff>59055</xdr:rowOff>
    </xdr:from>
    <xdr:to>
      <xdr:col>4</xdr:col>
      <xdr:colOff>59055</xdr:colOff>
      <xdr:row>8</xdr:row>
      <xdr:rowOff>13335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264795" y="1354455"/>
          <a:ext cx="2872740" cy="22098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ES" sz="1200" b="1"/>
            <a:t>P</a:t>
          </a:r>
          <a:r>
            <a:rPr lang="es-ES" sz="1200" b="1" baseline="0"/>
            <a:t>RESUPUESTO        N° 10544</a:t>
          </a:r>
          <a:endParaRPr lang="es-ES" sz="1200" b="1"/>
        </a:p>
      </xdr:txBody>
    </xdr:sp>
    <xdr:clientData/>
  </xdr:twoCellAnchor>
  <xdr:twoCellAnchor editAs="oneCell">
    <xdr:from>
      <xdr:col>1</xdr:col>
      <xdr:colOff>342900</xdr:colOff>
      <xdr:row>0</xdr:row>
      <xdr:rowOff>160020</xdr:rowOff>
    </xdr:from>
    <xdr:to>
      <xdr:col>2</xdr:col>
      <xdr:colOff>1175143</xdr:colOff>
      <xdr:row>7</xdr:row>
      <xdr:rowOff>13335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020" y="160020"/>
          <a:ext cx="1586623" cy="1148715"/>
        </a:xfrm>
        <a:prstGeom prst="rect">
          <a:avLst/>
        </a:prstGeom>
      </xdr:spPr>
    </xdr:pic>
    <xdr:clientData/>
  </xdr:twoCellAnchor>
  <xdr:twoCellAnchor>
    <xdr:from>
      <xdr:col>0</xdr:col>
      <xdr:colOff>182880</xdr:colOff>
      <xdr:row>21</xdr:row>
      <xdr:rowOff>0</xdr:rowOff>
    </xdr:from>
    <xdr:to>
      <xdr:col>5</xdr:col>
      <xdr:colOff>2065020</xdr:colOff>
      <xdr:row>24</xdr:row>
      <xdr:rowOff>201336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A4F99A5A-C684-4BC3-BE09-6A2CAEB8ECE5}"/>
            </a:ext>
          </a:extLst>
        </xdr:cNvPr>
        <xdr:cNvSpPr/>
      </xdr:nvSpPr>
      <xdr:spPr>
        <a:xfrm>
          <a:off x="182880" y="4061460"/>
          <a:ext cx="545592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 CANCELADA CON TRANSFERENCIA</a:t>
          </a:r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6</xdr:row>
      <xdr:rowOff>0</xdr:rowOff>
    </xdr:from>
    <xdr:to>
      <xdr:col>6</xdr:col>
      <xdr:colOff>0</xdr:colOff>
      <xdr:row>7</xdr:row>
      <xdr:rowOff>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/>
      </xdr:nvSpPr>
      <xdr:spPr>
        <a:xfrm>
          <a:off x="1845945" y="1051560"/>
          <a:ext cx="5423535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38100</xdr:rowOff>
    </xdr:from>
    <xdr:to>
      <xdr:col>6</xdr:col>
      <xdr:colOff>0</xdr:colOff>
      <xdr:row>5</xdr:row>
      <xdr:rowOff>19050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/>
      </xdr:nvSpPr>
      <xdr:spPr>
        <a:xfrm>
          <a:off x="1845945" y="807720"/>
          <a:ext cx="542353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</xdr:row>
      <xdr:rowOff>0</xdr:rowOff>
    </xdr:from>
    <xdr:to>
      <xdr:col>6</xdr:col>
      <xdr:colOff>0</xdr:colOff>
      <xdr:row>4</xdr:row>
      <xdr:rowOff>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/>
      </xdr:nvSpPr>
      <xdr:spPr>
        <a:xfrm>
          <a:off x="1845945" y="571500"/>
          <a:ext cx="5423535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15</xdr:row>
      <xdr:rowOff>76200</xdr:rowOff>
    </xdr:from>
    <xdr:to>
      <xdr:col>5</xdr:col>
      <xdr:colOff>1676399</xdr:colOff>
      <xdr:row>17</xdr:row>
      <xdr:rowOff>19050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/>
      </xdr:nvSpPr>
      <xdr:spPr>
        <a:xfrm>
          <a:off x="152400" y="2872740"/>
          <a:ext cx="7048499" cy="22479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33" name="Rectángulo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/>
      </xdr:nvSpPr>
      <xdr:spPr>
        <a:xfrm>
          <a:off x="171450" y="1604010"/>
          <a:ext cx="7048499" cy="22098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40</xdr:row>
      <xdr:rowOff>171450</xdr:rowOff>
    </xdr:from>
    <xdr:to>
      <xdr:col>5</xdr:col>
      <xdr:colOff>1685924</xdr:colOff>
      <xdr:row>42</xdr:row>
      <xdr:rowOff>19050</xdr:rowOff>
    </xdr:to>
    <xdr:sp macro="" textlink="">
      <xdr:nvSpPr>
        <xdr:cNvPr id="34" name="Rectángulo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/>
      </xdr:nvSpPr>
      <xdr:spPr>
        <a:xfrm>
          <a:off x="161925" y="7608570"/>
          <a:ext cx="7048499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36" name="Rectángulo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/>
      </xdr:nvSpPr>
      <xdr:spPr>
        <a:xfrm>
          <a:off x="1845945" y="7056120"/>
          <a:ext cx="5423535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35</xdr:row>
      <xdr:rowOff>0</xdr:rowOff>
    </xdr:from>
    <xdr:to>
      <xdr:col>6</xdr:col>
      <xdr:colOff>0</xdr:colOff>
      <xdr:row>36</xdr:row>
      <xdr:rowOff>0</xdr:rowOff>
    </xdr:to>
    <xdr:sp macro="" textlink="">
      <xdr:nvSpPr>
        <xdr:cNvPr id="38" name="Rectángulo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/>
      </xdr:nvSpPr>
      <xdr:spPr>
        <a:xfrm>
          <a:off x="1845945" y="6591300"/>
          <a:ext cx="5423535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47</xdr:row>
      <xdr:rowOff>180975</xdr:rowOff>
    </xdr:from>
    <xdr:to>
      <xdr:col>2</xdr:col>
      <xdr:colOff>38100</xdr:colOff>
      <xdr:row>49</xdr:row>
      <xdr:rowOff>9525</xdr:rowOff>
    </xdr:to>
    <xdr:sp macro="" textlink="">
      <xdr:nvSpPr>
        <xdr:cNvPr id="39" name="Rectángulo 3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/>
      </xdr:nvSpPr>
      <xdr:spPr>
        <a:xfrm>
          <a:off x="922020" y="8616315"/>
          <a:ext cx="998220" cy="2247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47</xdr:row>
      <xdr:rowOff>180975</xdr:rowOff>
    </xdr:from>
    <xdr:to>
      <xdr:col>2</xdr:col>
      <xdr:colOff>1019175</xdr:colOff>
      <xdr:row>48</xdr:row>
      <xdr:rowOff>190500</xdr:rowOff>
    </xdr:to>
    <xdr:sp macro="" textlink="">
      <xdr:nvSpPr>
        <xdr:cNvPr id="40" name="Rectángulo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/>
      </xdr:nvSpPr>
      <xdr:spPr>
        <a:xfrm>
          <a:off x="1920240" y="8616315"/>
          <a:ext cx="981075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47</xdr:row>
      <xdr:rowOff>180975</xdr:rowOff>
    </xdr:from>
    <xdr:to>
      <xdr:col>3</xdr:col>
      <xdr:colOff>352425</xdr:colOff>
      <xdr:row>49</xdr:row>
      <xdr:rowOff>0</xdr:rowOff>
    </xdr:to>
    <xdr:sp macro="" textlink="">
      <xdr:nvSpPr>
        <xdr:cNvPr id="41" name="Rectángulo 40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/>
      </xdr:nvSpPr>
      <xdr:spPr>
        <a:xfrm>
          <a:off x="2891790" y="8616315"/>
          <a:ext cx="1019175" cy="21526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47</xdr:row>
      <xdr:rowOff>180975</xdr:rowOff>
    </xdr:from>
    <xdr:to>
      <xdr:col>4</xdr:col>
      <xdr:colOff>257175</xdr:colOff>
      <xdr:row>49</xdr:row>
      <xdr:rowOff>0</xdr:rowOff>
    </xdr:to>
    <xdr:sp macro="" textlink="">
      <xdr:nvSpPr>
        <xdr:cNvPr id="42" name="Rectángulo 4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/>
      </xdr:nvSpPr>
      <xdr:spPr>
        <a:xfrm>
          <a:off x="3910965" y="8616315"/>
          <a:ext cx="1002030" cy="21526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47</xdr:row>
      <xdr:rowOff>180975</xdr:rowOff>
    </xdr:from>
    <xdr:to>
      <xdr:col>5</xdr:col>
      <xdr:colOff>447675</xdr:colOff>
      <xdr:row>48</xdr:row>
      <xdr:rowOff>190500</xdr:rowOff>
    </xdr:to>
    <xdr:sp macro="" textlink="">
      <xdr:nvSpPr>
        <xdr:cNvPr id="43" name="Rectángulo 42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/>
      </xdr:nvSpPr>
      <xdr:spPr>
        <a:xfrm>
          <a:off x="4903470" y="8616315"/>
          <a:ext cx="1068705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47</xdr:row>
      <xdr:rowOff>180975</xdr:rowOff>
    </xdr:from>
    <xdr:to>
      <xdr:col>6</xdr:col>
      <xdr:colOff>0</xdr:colOff>
      <xdr:row>48</xdr:row>
      <xdr:rowOff>190500</xdr:rowOff>
    </xdr:to>
    <xdr:sp macro="" textlink="">
      <xdr:nvSpPr>
        <xdr:cNvPr id="44" name="Rectángulo 43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/>
      </xdr:nvSpPr>
      <xdr:spPr>
        <a:xfrm>
          <a:off x="5981700" y="8616315"/>
          <a:ext cx="128778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48</xdr:row>
      <xdr:rowOff>190500</xdr:rowOff>
    </xdr:from>
    <xdr:to>
      <xdr:col>2</xdr:col>
      <xdr:colOff>304800</xdr:colOff>
      <xdr:row>50</xdr:row>
      <xdr:rowOff>95250</xdr:rowOff>
    </xdr:to>
    <xdr:sp macro="" textlink="">
      <xdr:nvSpPr>
        <xdr:cNvPr id="45" name="Rectángulo 44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/>
      </xdr:nvSpPr>
      <xdr:spPr>
        <a:xfrm>
          <a:off x="922020" y="8823960"/>
          <a:ext cx="126492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48</xdr:row>
      <xdr:rowOff>190500</xdr:rowOff>
    </xdr:from>
    <xdr:to>
      <xdr:col>2</xdr:col>
      <xdr:colOff>1276350</xdr:colOff>
      <xdr:row>50</xdr:row>
      <xdr:rowOff>95250</xdr:rowOff>
    </xdr:to>
    <xdr:sp macro="" textlink="">
      <xdr:nvSpPr>
        <xdr:cNvPr id="46" name="Rectángulo 45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/>
      </xdr:nvSpPr>
      <xdr:spPr>
        <a:xfrm>
          <a:off x="1920240" y="882396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48</xdr:row>
      <xdr:rowOff>190500</xdr:rowOff>
    </xdr:from>
    <xdr:to>
      <xdr:col>3</xdr:col>
      <xdr:colOff>619125</xdr:colOff>
      <xdr:row>50</xdr:row>
      <xdr:rowOff>95250</xdr:rowOff>
    </xdr:to>
    <xdr:sp macro="" textlink="">
      <xdr:nvSpPr>
        <xdr:cNvPr id="47" name="Rectángulo 46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/>
      </xdr:nvSpPr>
      <xdr:spPr>
        <a:xfrm>
          <a:off x="2891790" y="8823960"/>
          <a:ext cx="128587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48</xdr:row>
      <xdr:rowOff>190500</xdr:rowOff>
    </xdr:from>
    <xdr:to>
      <xdr:col>4</xdr:col>
      <xdr:colOff>523875</xdr:colOff>
      <xdr:row>50</xdr:row>
      <xdr:rowOff>95250</xdr:rowOff>
    </xdr:to>
    <xdr:sp macro="" textlink="">
      <xdr:nvSpPr>
        <xdr:cNvPr id="48" name="Rectángulo 47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/>
      </xdr:nvSpPr>
      <xdr:spPr>
        <a:xfrm>
          <a:off x="3910965" y="8823960"/>
          <a:ext cx="126873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48</xdr:row>
      <xdr:rowOff>190500</xdr:rowOff>
    </xdr:from>
    <xdr:to>
      <xdr:col>5</xdr:col>
      <xdr:colOff>723900</xdr:colOff>
      <xdr:row>50</xdr:row>
      <xdr:rowOff>95250</xdr:rowOff>
    </xdr:to>
    <xdr:sp macro="" textlink="">
      <xdr:nvSpPr>
        <xdr:cNvPr id="49" name="Rectángulo 48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/>
      </xdr:nvSpPr>
      <xdr:spPr>
        <a:xfrm>
          <a:off x="4903470" y="8823960"/>
          <a:ext cx="134493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48</xdr:row>
      <xdr:rowOff>190500</xdr:rowOff>
    </xdr:from>
    <xdr:to>
      <xdr:col>6</xdr:col>
      <xdr:colOff>0</xdr:colOff>
      <xdr:row>50</xdr:row>
      <xdr:rowOff>95250</xdr:rowOff>
    </xdr:to>
    <xdr:sp macro="" textlink="">
      <xdr:nvSpPr>
        <xdr:cNvPr id="50" name="Rectángulo 49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/>
      </xdr:nvSpPr>
      <xdr:spPr>
        <a:xfrm>
          <a:off x="5981700" y="8823960"/>
          <a:ext cx="128778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260983</xdr:colOff>
      <xdr:row>28</xdr:row>
      <xdr:rowOff>1904</xdr:rowOff>
    </xdr:from>
    <xdr:to>
      <xdr:col>5</xdr:col>
      <xdr:colOff>1855469</xdr:colOff>
      <xdr:row>31</xdr:row>
      <xdr:rowOff>190500</xdr:rowOff>
    </xdr:to>
    <xdr:sp macro="" textlink="">
      <xdr:nvSpPr>
        <xdr:cNvPr id="51" name="Rectángulo 50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/>
      </xdr:nvSpPr>
      <xdr:spPr>
        <a:xfrm>
          <a:off x="260983" y="5404484"/>
          <a:ext cx="6715126" cy="7829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050" b="1" i="1"/>
            <a:t>OBSERVACIONES:</a:t>
          </a:r>
          <a:endParaRPr lang="es-CL" sz="1050" b="1" i="1" baseline="0"/>
        </a:p>
      </xdr:txBody>
    </xdr:sp>
    <xdr:clientData/>
  </xdr:twoCellAnchor>
  <xdr:twoCellAnchor>
    <xdr:from>
      <xdr:col>0</xdr:col>
      <xdr:colOff>190500</xdr:colOff>
      <xdr:row>22</xdr:row>
      <xdr:rowOff>200025</xdr:rowOff>
    </xdr:from>
    <xdr:to>
      <xdr:col>6</xdr:col>
      <xdr:colOff>19049</xdr:colOff>
      <xdr:row>24</xdr:row>
      <xdr:rowOff>9525</xdr:rowOff>
    </xdr:to>
    <xdr:sp macro="" textlink="">
      <xdr:nvSpPr>
        <xdr:cNvPr id="52" name="Rectángulo 51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/>
      </xdr:nvSpPr>
      <xdr:spPr>
        <a:xfrm>
          <a:off x="190500" y="4086225"/>
          <a:ext cx="7098029" cy="22098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914400</xdr:colOff>
      <xdr:row>51</xdr:row>
      <xdr:rowOff>7620</xdr:rowOff>
    </xdr:from>
    <xdr:to>
      <xdr:col>6</xdr:col>
      <xdr:colOff>0</xdr:colOff>
      <xdr:row>54</xdr:row>
      <xdr:rowOff>234316</xdr:rowOff>
    </xdr:to>
    <xdr:sp macro="" textlink="">
      <xdr:nvSpPr>
        <xdr:cNvPr id="53" name="Rectángulo 52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/>
      </xdr:nvSpPr>
      <xdr:spPr>
        <a:xfrm>
          <a:off x="914400" y="9227820"/>
          <a:ext cx="6355080" cy="7829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050" b="1" i="1"/>
            <a:t>OBSERVACIONES: </a:t>
          </a:r>
          <a:endParaRPr lang="es-CL" sz="1050" b="1" i="1" baseline="0"/>
        </a:p>
      </xdr:txBody>
    </xdr:sp>
    <xdr:clientData/>
  </xdr:twoCellAnchor>
  <xdr:twoCellAnchor>
    <xdr:from>
      <xdr:col>1</xdr:col>
      <xdr:colOff>923925</xdr:colOff>
      <xdr:row>36</xdr:row>
      <xdr:rowOff>38100</xdr:rowOff>
    </xdr:from>
    <xdr:to>
      <xdr:col>6</xdr:col>
      <xdr:colOff>0</xdr:colOff>
      <xdr:row>37</xdr:row>
      <xdr:rowOff>19050</xdr:rowOff>
    </xdr:to>
    <xdr:sp macro="" textlink="">
      <xdr:nvSpPr>
        <xdr:cNvPr id="54" name="Rectángulo 53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/>
      </xdr:nvSpPr>
      <xdr:spPr>
        <a:xfrm>
          <a:off x="1998345" y="9585960"/>
          <a:ext cx="3808095" cy="16383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266700</xdr:colOff>
      <xdr:row>34</xdr:row>
      <xdr:rowOff>62865</xdr:rowOff>
    </xdr:from>
    <xdr:to>
      <xdr:col>1</xdr:col>
      <xdr:colOff>778903</xdr:colOff>
      <xdr:row>40</xdr:row>
      <xdr:rowOff>7620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9330690"/>
          <a:ext cx="1559953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236220</xdr:colOff>
      <xdr:row>2</xdr:row>
      <xdr:rowOff>114300</xdr:rowOff>
    </xdr:from>
    <xdr:to>
      <xdr:col>1</xdr:col>
      <xdr:colOff>748423</xdr:colOff>
      <xdr:row>8</xdr:row>
      <xdr:rowOff>74295</xdr:rowOff>
    </xdr:to>
    <xdr:pic>
      <xdr:nvPicPr>
        <xdr:cNvPr id="55" name="Imagen 54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6220" y="495300"/>
          <a:ext cx="1586623" cy="114871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uis/Desktop/POSTFORMADO%202020/NOTAS%20DE%20VENTAS/50%20FEBRERO%202020/5729%20MUEBLES%20LAZ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637"/>
      <sheetName val="REGLAS"/>
      <sheetName val="CUBIERTA"/>
    </sheetNames>
    <sheetDataSet>
      <sheetData sheetId="0">
        <row r="11">
          <cell r="F11" t="str">
            <v>FECHA ENTREGA :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29"/>
  <sheetViews>
    <sheetView workbookViewId="0">
      <selection activeCell="C21" sqref="C21"/>
    </sheetView>
  </sheetViews>
  <sheetFormatPr baseColWidth="10" defaultRowHeight="14.4" x14ac:dyDescent="0.3"/>
  <cols>
    <col min="1" max="1" width="2.88671875" customWidth="1"/>
    <col min="2" max="2" width="11.109375" customWidth="1"/>
    <col min="3" max="3" width="30.109375" customWidth="1"/>
    <col min="4" max="4" width="11.109375" customWidth="1"/>
    <col min="5" max="5" width="10" customWidth="1"/>
    <col min="6" max="6" width="32.88671875" customWidth="1"/>
    <col min="7" max="7" width="14.5546875" customWidth="1"/>
    <col min="8" max="8" width="15.5546875" customWidth="1"/>
    <col min="10" max="10" width="15.33203125" customWidth="1"/>
  </cols>
  <sheetData>
    <row r="2" spans="2:8" ht="15.6" x14ac:dyDescent="0.3">
      <c r="F2" s="21" t="s">
        <v>43</v>
      </c>
    </row>
    <row r="3" spans="2:8" x14ac:dyDescent="0.3">
      <c r="F3" s="1" t="s">
        <v>44</v>
      </c>
    </row>
    <row r="4" spans="2:8" x14ac:dyDescent="0.3">
      <c r="F4" s="1" t="s">
        <v>45</v>
      </c>
    </row>
    <row r="5" spans="2:8" x14ac:dyDescent="0.3">
      <c r="F5" s="1" t="s">
        <v>0</v>
      </c>
    </row>
    <row r="6" spans="2:8" x14ac:dyDescent="0.3">
      <c r="F6" s="1" t="s">
        <v>17</v>
      </c>
    </row>
    <row r="7" spans="2:8" x14ac:dyDescent="0.3">
      <c r="F7" s="1" t="s">
        <v>46</v>
      </c>
    </row>
    <row r="8" spans="2:8" ht="21" x14ac:dyDescent="0.4">
      <c r="B8" s="43" t="s">
        <v>18</v>
      </c>
      <c r="C8" s="42"/>
      <c r="D8" s="44" t="s">
        <v>19</v>
      </c>
      <c r="F8" s="48" t="s">
        <v>30</v>
      </c>
      <c r="G8" s="79">
        <v>7027</v>
      </c>
    </row>
    <row r="9" spans="2:8" ht="15" thickBot="1" x14ac:dyDescent="0.35">
      <c r="G9" s="4"/>
    </row>
    <row r="10" spans="2:8" x14ac:dyDescent="0.3">
      <c r="B10" s="22" t="s">
        <v>8</v>
      </c>
      <c r="C10" s="23" t="s">
        <v>55</v>
      </c>
      <c r="D10" s="24"/>
      <c r="E10" s="24"/>
      <c r="F10" s="25" t="s">
        <v>34</v>
      </c>
      <c r="G10" s="26">
        <v>45313</v>
      </c>
      <c r="H10" s="27"/>
    </row>
    <row r="11" spans="2:8" ht="16.8" x14ac:dyDescent="0.4">
      <c r="B11" s="28" t="s">
        <v>2</v>
      </c>
      <c r="C11" s="97"/>
      <c r="D11" s="29"/>
      <c r="E11" s="29"/>
      <c r="F11" s="29" t="s">
        <v>33</v>
      </c>
      <c r="G11" s="30">
        <v>45314</v>
      </c>
      <c r="H11" s="31"/>
    </row>
    <row r="12" spans="2:8" x14ac:dyDescent="0.3">
      <c r="B12" s="32" t="s">
        <v>47</v>
      </c>
      <c r="D12" s="33"/>
      <c r="E12" s="33"/>
      <c r="F12" s="33" t="s">
        <v>49</v>
      </c>
      <c r="G12" s="96"/>
      <c r="H12" s="77"/>
    </row>
    <row r="13" spans="2:8" x14ac:dyDescent="0.3">
      <c r="B13" s="28" t="s">
        <v>20</v>
      </c>
      <c r="C13" s="98" t="s">
        <v>56</v>
      </c>
      <c r="D13" s="35"/>
      <c r="E13" s="29"/>
      <c r="F13" s="29" t="s">
        <v>48</v>
      </c>
      <c r="G13" s="29" t="s">
        <v>50</v>
      </c>
      <c r="H13" s="31"/>
    </row>
    <row r="14" spans="2:8" ht="16.8" x14ac:dyDescent="0.4">
      <c r="B14" s="32" t="s">
        <v>1</v>
      </c>
      <c r="C14" s="97"/>
      <c r="D14" s="33"/>
      <c r="E14" s="33"/>
      <c r="F14" s="36" t="s">
        <v>53</v>
      </c>
      <c r="G14" s="33"/>
      <c r="H14" s="34"/>
    </row>
    <row r="15" spans="2:8" ht="15" thickBot="1" x14ac:dyDescent="0.35">
      <c r="B15" s="37" t="s">
        <v>3</v>
      </c>
      <c r="C15" s="38"/>
      <c r="D15" s="38"/>
      <c r="E15" s="39"/>
      <c r="F15" s="111" t="s">
        <v>21</v>
      </c>
      <c r="G15" s="111"/>
      <c r="H15" s="112"/>
    </row>
    <row r="17" spans="2:13" ht="15" thickBot="1" x14ac:dyDescent="0.35"/>
    <row r="18" spans="2:13" x14ac:dyDescent="0.3">
      <c r="B18" s="113" t="s">
        <v>22</v>
      </c>
      <c r="C18" s="114"/>
      <c r="D18" s="114"/>
      <c r="E18" s="114"/>
      <c r="F18" s="114"/>
      <c r="G18" s="114"/>
      <c r="H18" s="115"/>
      <c r="I18" s="5"/>
      <c r="J18" s="5"/>
      <c r="K18" s="5"/>
    </row>
    <row r="19" spans="2:13" ht="15" thickBot="1" x14ac:dyDescent="0.35">
      <c r="B19" s="93" t="s">
        <v>23</v>
      </c>
      <c r="C19" s="94" t="s">
        <v>24</v>
      </c>
      <c r="D19" s="94" t="s">
        <v>25</v>
      </c>
      <c r="E19" s="94" t="s">
        <v>10</v>
      </c>
      <c r="F19" s="94" t="s">
        <v>26</v>
      </c>
      <c r="G19" s="94" t="s">
        <v>27</v>
      </c>
      <c r="H19" s="95" t="s">
        <v>5</v>
      </c>
      <c r="I19" s="4"/>
      <c r="J19" s="4"/>
    </row>
    <row r="20" spans="2:13" ht="18.600000000000001" thickBot="1" x14ac:dyDescent="0.35">
      <c r="B20" s="124">
        <v>1</v>
      </c>
      <c r="C20" s="125" t="s">
        <v>57</v>
      </c>
      <c r="D20" s="126">
        <v>3000</v>
      </c>
      <c r="E20" s="126">
        <v>600</v>
      </c>
      <c r="F20" s="127" t="s">
        <v>54</v>
      </c>
      <c r="G20" s="128">
        <v>150850</v>
      </c>
      <c r="H20" s="129">
        <f>G20*B20</f>
        <v>150850</v>
      </c>
      <c r="J20" s="104"/>
      <c r="K20" s="50"/>
    </row>
    <row r="21" spans="2:13" ht="18" x14ac:dyDescent="0.3">
      <c r="B21" s="99"/>
      <c r="C21" s="100"/>
      <c r="D21" s="101"/>
      <c r="E21" s="101"/>
      <c r="F21" s="9"/>
      <c r="G21" s="122"/>
      <c r="H21" s="123"/>
      <c r="I21" s="50"/>
      <c r="K21" s="50"/>
    </row>
    <row r="22" spans="2:13" ht="15" thickBot="1" x14ac:dyDescent="0.35">
      <c r="B22" s="78"/>
      <c r="C22" s="80"/>
      <c r="D22" s="50"/>
      <c r="E22" s="50"/>
      <c r="F22" s="50"/>
      <c r="G22" s="81"/>
      <c r="H22" s="82"/>
      <c r="K22" s="92"/>
      <c r="L22" s="92"/>
    </row>
    <row r="23" spans="2:13" ht="16.95" customHeight="1" x14ac:dyDescent="0.3">
      <c r="B23" s="9"/>
      <c r="C23" s="50"/>
      <c r="D23" s="2"/>
      <c r="E23" s="2"/>
      <c r="F23" s="9"/>
      <c r="G23" s="84" t="s">
        <v>6</v>
      </c>
      <c r="H23" s="85">
        <f>SUM(H20:H22)</f>
        <v>150850</v>
      </c>
      <c r="L23" s="92"/>
      <c r="M23" s="92"/>
    </row>
    <row r="24" spans="2:13" ht="18" customHeight="1" x14ac:dyDescent="0.3">
      <c r="G24" s="86" t="s">
        <v>7</v>
      </c>
      <c r="H24" s="87"/>
    </row>
    <row r="25" spans="2:13" ht="16.2" thickBot="1" x14ac:dyDescent="0.35">
      <c r="G25" s="88" t="s">
        <v>5</v>
      </c>
      <c r="H25" s="89">
        <f>H23+H24</f>
        <v>150850</v>
      </c>
    </row>
    <row r="26" spans="2:13" x14ac:dyDescent="0.3">
      <c r="C26" s="50"/>
    </row>
    <row r="27" spans="2:13" x14ac:dyDescent="0.3">
      <c r="B27" s="45" t="s">
        <v>31</v>
      </c>
      <c r="C27" s="50"/>
      <c r="D27" s="40"/>
      <c r="E27" s="40"/>
      <c r="F27" s="41"/>
    </row>
    <row r="28" spans="2:13" x14ac:dyDescent="0.3">
      <c r="B28" s="45" t="s">
        <v>32</v>
      </c>
      <c r="C28" s="50"/>
      <c r="D28" s="40"/>
      <c r="E28" s="40"/>
      <c r="F28" s="41"/>
    </row>
    <row r="29" spans="2:13" x14ac:dyDescent="0.3">
      <c r="B29" s="46" t="s">
        <v>28</v>
      </c>
      <c r="C29" s="50"/>
      <c r="E29" s="47" t="s">
        <v>29</v>
      </c>
    </row>
  </sheetData>
  <sortState xmlns:xlrd2="http://schemas.microsoft.com/office/spreadsheetml/2017/richdata2" ref="B43">
    <sortCondition sortBy="fontColor" ref="B43" dxfId="1"/>
  </sortState>
  <mergeCells count="2">
    <mergeCell ref="F15:H15"/>
    <mergeCell ref="B18:H18"/>
  </mergeCells>
  <hyperlinks>
    <hyperlink ref="E29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Q56"/>
  <sheetViews>
    <sheetView tabSelected="1" topLeftCell="A14" workbookViewId="0">
      <selection activeCell="L29" sqref="L29"/>
    </sheetView>
  </sheetViews>
  <sheetFormatPr baseColWidth="10" defaultRowHeight="14.4" x14ac:dyDescent="0.3"/>
  <cols>
    <col min="1" max="1" width="15.6640625" customWidth="1"/>
    <col min="2" max="2" width="14.33203125" customWidth="1"/>
    <col min="3" max="3" width="24.33203125" customWidth="1"/>
    <col min="6" max="6" width="27.33203125" customWidth="1"/>
    <col min="9" max="9" width="5.44140625" customWidth="1"/>
    <col min="10" max="10" width="9.33203125" customWidth="1"/>
    <col min="11" max="11" width="8.6640625" customWidth="1"/>
  </cols>
  <sheetData>
    <row r="2" spans="1:17" ht="15.6" x14ac:dyDescent="0.3">
      <c r="G2" s="2"/>
    </row>
    <row r="3" spans="1:17" ht="15.6" x14ac:dyDescent="0.3">
      <c r="G3" s="2"/>
    </row>
    <row r="4" spans="1:17" ht="15.6" x14ac:dyDescent="0.3">
      <c r="C4" s="52" t="s">
        <v>30</v>
      </c>
      <c r="E4" s="53">
        <f>'5770'!G8</f>
        <v>7027</v>
      </c>
      <c r="G4" s="2"/>
    </row>
    <row r="5" spans="1:17" ht="15.6" x14ac:dyDescent="0.3">
      <c r="C5" s="54" t="s">
        <v>35</v>
      </c>
      <c r="D5" s="55" t="str">
        <f>'5770'!C10</f>
        <v>VICTOR FAUNDES</v>
      </c>
      <c r="E5" s="33"/>
      <c r="F5" s="33"/>
      <c r="G5" s="2"/>
      <c r="J5" s="5"/>
      <c r="K5" s="5"/>
    </row>
    <row r="6" spans="1:17" ht="15.6" x14ac:dyDescent="0.3">
      <c r="C6" s="56"/>
      <c r="D6" s="57"/>
      <c r="G6" s="2"/>
      <c r="I6" s="5"/>
      <c r="J6" s="5"/>
      <c r="K6" s="5"/>
    </row>
    <row r="7" spans="1:17" ht="15.6" x14ac:dyDescent="0.3">
      <c r="C7" s="58" t="str">
        <f>'[1]4637'!F11</f>
        <v>FECHA ENTREGA :</v>
      </c>
      <c r="E7" s="59">
        <f>'5770'!G11</f>
        <v>45314</v>
      </c>
      <c r="F7" s="2"/>
      <c r="G7" s="2"/>
      <c r="I7" s="5"/>
      <c r="J7" s="5"/>
      <c r="K7" s="5"/>
    </row>
    <row r="8" spans="1:17" ht="15.6" x14ac:dyDescent="0.3">
      <c r="G8" s="2"/>
      <c r="I8" s="5"/>
      <c r="J8" s="5"/>
      <c r="K8" s="5"/>
    </row>
    <row r="9" spans="1:17" ht="15.6" x14ac:dyDescent="0.3">
      <c r="G9" s="2"/>
      <c r="I9" s="5"/>
      <c r="J9" s="5"/>
      <c r="K9" s="5"/>
    </row>
    <row r="10" spans="1:17" ht="15.6" x14ac:dyDescent="0.3">
      <c r="A10" s="116" t="s">
        <v>36</v>
      </c>
      <c r="B10" s="116"/>
      <c r="C10" s="116"/>
      <c r="D10" s="116"/>
      <c r="E10" s="116"/>
      <c r="F10" s="116"/>
      <c r="G10" s="2"/>
      <c r="I10" s="5"/>
      <c r="J10" s="5"/>
      <c r="K10" s="5"/>
    </row>
    <row r="11" spans="1:17" ht="15.6" x14ac:dyDescent="0.3">
      <c r="C11" s="60"/>
      <c r="G11" s="2"/>
      <c r="I11" s="5"/>
      <c r="J11" s="5"/>
      <c r="K11" s="5"/>
    </row>
    <row r="12" spans="1:17" ht="15.6" x14ac:dyDescent="0.3">
      <c r="A12" s="2"/>
      <c r="B12" s="2"/>
      <c r="C12" s="2"/>
      <c r="D12" s="61" t="s">
        <v>9</v>
      </c>
      <c r="E12" s="61" t="s">
        <v>10</v>
      </c>
      <c r="F12" s="2"/>
      <c r="G12" s="2"/>
    </row>
    <row r="13" spans="1:17" ht="15.6" x14ac:dyDescent="0.3">
      <c r="A13" s="61" t="s">
        <v>11</v>
      </c>
      <c r="B13" s="90" t="s">
        <v>12</v>
      </c>
      <c r="C13" s="90" t="s">
        <v>13</v>
      </c>
      <c r="D13" s="62">
        <v>50</v>
      </c>
      <c r="E13" s="62">
        <v>-30</v>
      </c>
      <c r="F13" s="91" t="s">
        <v>37</v>
      </c>
      <c r="G13" s="2"/>
      <c r="J13" s="8" t="s">
        <v>9</v>
      </c>
      <c r="K13" s="8" t="s">
        <v>10</v>
      </c>
    </row>
    <row r="14" spans="1:17" ht="15.6" x14ac:dyDescent="0.3">
      <c r="A14" s="61" t="s">
        <v>51</v>
      </c>
      <c r="B14" s="67">
        <f>I14</f>
        <v>1</v>
      </c>
      <c r="C14" s="67"/>
      <c r="D14" s="67">
        <f>J14+D$13</f>
        <v>3050</v>
      </c>
      <c r="E14" s="83">
        <f>K14+E$13</f>
        <v>570</v>
      </c>
      <c r="F14" s="67" t="str">
        <f>C27</f>
        <v>CUB C/R R8</v>
      </c>
      <c r="G14" s="2"/>
      <c r="I14" s="6">
        <f>I21</f>
        <v>1</v>
      </c>
      <c r="J14" s="7">
        <f>J21</f>
        <v>3000</v>
      </c>
      <c r="K14" s="7">
        <f>K21</f>
        <v>600</v>
      </c>
      <c r="M14">
        <v>1.35</v>
      </c>
      <c r="N14">
        <v>0.4</v>
      </c>
      <c r="O14">
        <v>0.02</v>
      </c>
      <c r="P14">
        <f>M14*N14*O14</f>
        <v>1.0800000000000001E-2</v>
      </c>
      <c r="Q14">
        <f>P14*I14</f>
        <v>1.0800000000000001E-2</v>
      </c>
    </row>
    <row r="15" spans="1:17" ht="15.6" x14ac:dyDescent="0.3">
      <c r="A15" s="61"/>
      <c r="B15" s="9"/>
      <c r="C15" s="9"/>
      <c r="D15" s="9"/>
      <c r="E15" s="103"/>
      <c r="F15" s="9"/>
      <c r="G15" s="2"/>
      <c r="I15" s="102"/>
      <c r="J15" s="5"/>
      <c r="K15" s="5"/>
      <c r="Q15">
        <f>SUM(Q14:Q14)</f>
        <v>1.0800000000000001E-2</v>
      </c>
    </row>
    <row r="16" spans="1:17" ht="15.6" x14ac:dyDescent="0.3">
      <c r="G16" s="51"/>
    </row>
    <row r="17" spans="1:11" ht="15.6" x14ac:dyDescent="0.3">
      <c r="A17" s="116" t="s">
        <v>16</v>
      </c>
      <c r="B17" s="116"/>
      <c r="C17" s="116"/>
      <c r="D17" s="116"/>
      <c r="E17" s="116"/>
      <c r="F17" s="116"/>
      <c r="G17" s="51"/>
      <c r="I17" s="5"/>
      <c r="J17" s="5"/>
      <c r="K17" s="5"/>
    </row>
    <row r="18" spans="1:11" ht="15.6" x14ac:dyDescent="0.3">
      <c r="A18" s="2"/>
      <c r="B18" s="2"/>
      <c r="C18" s="60"/>
      <c r="D18" s="2"/>
      <c r="E18" s="2"/>
      <c r="F18" s="2"/>
      <c r="G18" s="51"/>
      <c r="I18" s="5"/>
      <c r="J18" s="5"/>
      <c r="K18" s="5"/>
    </row>
    <row r="19" spans="1:11" ht="15.6" x14ac:dyDescent="0.3">
      <c r="A19" s="2"/>
      <c r="B19" s="2"/>
      <c r="C19" s="2"/>
      <c r="D19" s="61" t="s">
        <v>9</v>
      </c>
      <c r="E19" s="61" t="s">
        <v>10</v>
      </c>
      <c r="F19" s="2"/>
      <c r="G19" s="51"/>
    </row>
    <row r="20" spans="1:11" ht="15.6" x14ac:dyDescent="0.3">
      <c r="A20" s="61" t="s">
        <v>11</v>
      </c>
      <c r="B20" s="90" t="s">
        <v>12</v>
      </c>
      <c r="C20" s="90" t="s">
        <v>13</v>
      </c>
      <c r="D20" s="110">
        <v>40</v>
      </c>
      <c r="E20" s="110">
        <v>130</v>
      </c>
      <c r="F20" s="91" t="s">
        <v>37</v>
      </c>
      <c r="G20" s="51"/>
      <c r="J20" s="8" t="s">
        <v>9</v>
      </c>
      <c r="K20" s="8" t="s">
        <v>10</v>
      </c>
    </row>
    <row r="21" spans="1:11" ht="15.6" x14ac:dyDescent="0.3">
      <c r="A21" s="61" t="s">
        <v>52</v>
      </c>
      <c r="B21" s="67">
        <f>B27</f>
        <v>1</v>
      </c>
      <c r="C21" s="67"/>
      <c r="D21" s="67">
        <f>J21+D$20</f>
        <v>3040</v>
      </c>
      <c r="E21" s="67">
        <f>K21+E20</f>
        <v>730</v>
      </c>
      <c r="F21" s="7" t="str">
        <f>C27</f>
        <v>CUB C/R R8</v>
      </c>
      <c r="G21" s="51"/>
      <c r="I21" s="6">
        <f>B27</f>
        <v>1</v>
      </c>
      <c r="J21" s="7">
        <f t="shared" ref="J21" si="0">D27</f>
        <v>3000</v>
      </c>
      <c r="K21" s="7">
        <f t="shared" ref="K21" si="1">E27</f>
        <v>600</v>
      </c>
    </row>
    <row r="22" spans="1:11" ht="15.6" x14ac:dyDescent="0.3">
      <c r="A22" s="61"/>
      <c r="B22" s="9"/>
      <c r="C22" s="9"/>
      <c r="D22" s="9"/>
      <c r="E22" s="9"/>
      <c r="F22" s="9"/>
      <c r="G22" s="51"/>
      <c r="I22" s="102"/>
      <c r="J22" s="5"/>
      <c r="K22" s="5"/>
    </row>
    <row r="23" spans="1:11" ht="16.2" thickBot="1" x14ac:dyDescent="0.35">
      <c r="A23" s="61"/>
      <c r="B23" s="9"/>
      <c r="C23" s="9"/>
      <c r="D23" s="9"/>
      <c r="E23" s="9"/>
      <c r="F23" s="63"/>
      <c r="G23" s="49"/>
      <c r="I23" s="5"/>
      <c r="J23" s="5"/>
      <c r="K23" s="5"/>
    </row>
    <row r="24" spans="1:11" ht="16.2" thickBot="1" x14ac:dyDescent="0.35">
      <c r="A24" s="61"/>
      <c r="B24" s="64" t="s">
        <v>38</v>
      </c>
      <c r="C24" s="65"/>
      <c r="D24" s="65"/>
      <c r="E24" s="65"/>
      <c r="F24" s="65"/>
      <c r="G24" s="2"/>
    </row>
    <row r="25" spans="1:11" ht="20.25" customHeight="1" x14ac:dyDescent="0.3">
      <c r="G25" s="2"/>
    </row>
    <row r="26" spans="1:11" ht="15.6" x14ac:dyDescent="0.3">
      <c r="A26" s="61" t="s">
        <v>11</v>
      </c>
      <c r="B26" s="66" t="s">
        <v>12</v>
      </c>
      <c r="C26" s="66" t="s">
        <v>37</v>
      </c>
      <c r="D26" s="109" t="s">
        <v>9</v>
      </c>
      <c r="E26" s="109" t="s">
        <v>10</v>
      </c>
      <c r="F26" s="66" t="s">
        <v>26</v>
      </c>
      <c r="G26" s="2"/>
    </row>
    <row r="27" spans="1:11" ht="15.6" x14ac:dyDescent="0.3">
      <c r="A27" s="61" t="s">
        <v>52</v>
      </c>
      <c r="B27" s="67">
        <f>'5770'!B20</f>
        <v>1</v>
      </c>
      <c r="C27" s="108" t="str">
        <f>'5770'!C20</f>
        <v>CUB C/R R8</v>
      </c>
      <c r="D27" s="67">
        <f>'5770'!D20</f>
        <v>3000</v>
      </c>
      <c r="E27" s="67">
        <f>'5770'!E20</f>
        <v>600</v>
      </c>
      <c r="F27" s="67" t="str">
        <f>F46</f>
        <v>FLORENTINO AZUL BR</v>
      </c>
      <c r="G27" s="2"/>
    </row>
    <row r="28" spans="1:11" ht="15.6" x14ac:dyDescent="0.3">
      <c r="B28" s="9"/>
      <c r="C28" s="20"/>
      <c r="D28" s="9"/>
      <c r="E28" s="9"/>
      <c r="F28" s="63"/>
      <c r="G28" s="2"/>
    </row>
    <row r="29" spans="1:11" ht="15.6" x14ac:dyDescent="0.3">
      <c r="B29" s="9"/>
      <c r="C29" s="20"/>
      <c r="D29" s="9"/>
      <c r="E29" s="9"/>
      <c r="F29" s="63"/>
    </row>
    <row r="30" spans="1:11" ht="15.6" x14ac:dyDescent="0.3">
      <c r="B30" s="9"/>
      <c r="C30" s="20"/>
      <c r="D30" s="9"/>
      <c r="E30" s="9"/>
      <c r="F30" s="63"/>
    </row>
    <row r="31" spans="1:11" ht="15.6" x14ac:dyDescent="0.3">
      <c r="B31" s="9"/>
      <c r="C31" s="20"/>
      <c r="D31" s="9"/>
      <c r="E31" s="9"/>
      <c r="F31" s="63"/>
    </row>
    <row r="32" spans="1:11" ht="15.6" x14ac:dyDescent="0.3">
      <c r="B32" s="9"/>
      <c r="C32" s="20"/>
      <c r="D32" s="9"/>
      <c r="E32" s="9"/>
      <c r="F32" s="63"/>
    </row>
    <row r="33" spans="1:6" ht="15.6" x14ac:dyDescent="0.3">
      <c r="B33" s="9"/>
      <c r="C33" s="20"/>
      <c r="D33" s="9"/>
      <c r="E33" s="9"/>
      <c r="F33" s="63"/>
    </row>
    <row r="34" spans="1:6" ht="15.6" x14ac:dyDescent="0.3">
      <c r="B34" s="9"/>
      <c r="C34" s="20"/>
      <c r="D34" s="9"/>
      <c r="E34" s="9"/>
      <c r="F34" s="63"/>
    </row>
    <row r="36" spans="1:6" ht="15.6" x14ac:dyDescent="0.3">
      <c r="C36" s="52" t="s">
        <v>30</v>
      </c>
      <c r="E36" s="53">
        <f>'5770'!G8</f>
        <v>7027</v>
      </c>
    </row>
    <row r="37" spans="1:6" ht="20.399999999999999" customHeight="1" x14ac:dyDescent="0.3">
      <c r="C37" s="54" t="s">
        <v>35</v>
      </c>
      <c r="D37" s="55" t="str">
        <f>'5770'!C10</f>
        <v>VICTOR FAUNDES</v>
      </c>
      <c r="E37" s="33"/>
      <c r="F37" s="33"/>
    </row>
    <row r="38" spans="1:6" x14ac:dyDescent="0.3">
      <c r="C38" s="56"/>
      <c r="D38" s="57"/>
    </row>
    <row r="39" spans="1:6" ht="15.6" x14ac:dyDescent="0.3">
      <c r="C39" s="58" t="str">
        <f>'[1]4637'!F11</f>
        <v>FECHA ENTREGA :</v>
      </c>
      <c r="E39" s="59">
        <f>'5770'!G11</f>
        <v>45314</v>
      </c>
      <c r="F39" s="2"/>
    </row>
    <row r="40" spans="1:6" x14ac:dyDescent="0.3">
      <c r="E40" t="str">
        <f>'5770'!B15</f>
        <v>CIUDAD:</v>
      </c>
      <c r="F40">
        <f>'5770'!C15</f>
        <v>0</v>
      </c>
    </row>
    <row r="42" spans="1:6" x14ac:dyDescent="0.3">
      <c r="A42" s="117" t="s">
        <v>39</v>
      </c>
      <c r="B42" s="117"/>
      <c r="C42" s="117"/>
      <c r="D42" s="117"/>
      <c r="E42" s="117"/>
      <c r="F42" s="117"/>
    </row>
    <row r="44" spans="1:6" x14ac:dyDescent="0.3">
      <c r="B44" s="118" t="s">
        <v>4</v>
      </c>
      <c r="C44" s="119"/>
      <c r="D44" s="120"/>
      <c r="E44" s="120"/>
      <c r="F44" s="121"/>
    </row>
    <row r="45" spans="1:6" x14ac:dyDescent="0.3">
      <c r="A45" s="1"/>
      <c r="B45" s="68" t="s">
        <v>12</v>
      </c>
      <c r="C45" s="69" t="s">
        <v>14</v>
      </c>
      <c r="D45" s="106" t="s">
        <v>9</v>
      </c>
      <c r="E45" s="106" t="s">
        <v>10</v>
      </c>
      <c r="F45" s="69" t="s">
        <v>26</v>
      </c>
    </row>
    <row r="46" spans="1:6" ht="18" x14ac:dyDescent="0.35">
      <c r="A46" s="61" t="s">
        <v>52</v>
      </c>
      <c r="B46" s="70">
        <f>'5770'!B20</f>
        <v>1</v>
      </c>
      <c r="C46" s="107" t="str">
        <f>'5770'!C20</f>
        <v>CUB C/R R8</v>
      </c>
      <c r="D46" s="105">
        <f>'5770'!D20</f>
        <v>3000</v>
      </c>
      <c r="E46" s="105">
        <f>'5770'!E20</f>
        <v>600</v>
      </c>
      <c r="F46" s="70" t="str">
        <f>'5770'!F20</f>
        <v>FLORENTINO AZUL BR</v>
      </c>
    </row>
    <row r="47" spans="1:6" x14ac:dyDescent="0.3">
      <c r="A47" s="61"/>
      <c r="B47" s="5"/>
      <c r="C47" s="5"/>
      <c r="D47" s="5"/>
      <c r="E47" s="5"/>
      <c r="F47" s="5"/>
    </row>
    <row r="48" spans="1:6" ht="15.6" x14ac:dyDescent="0.3">
      <c r="A48" s="71"/>
      <c r="B48" s="5"/>
      <c r="C48" s="46"/>
      <c r="D48" s="9"/>
      <c r="E48" s="9"/>
      <c r="F48" s="63"/>
    </row>
    <row r="49" spans="1:6" ht="15.6" x14ac:dyDescent="0.3">
      <c r="A49" s="71"/>
      <c r="B49" s="5"/>
      <c r="C49" s="46"/>
      <c r="D49" s="9"/>
      <c r="E49" s="9"/>
      <c r="F49" s="56"/>
    </row>
    <row r="50" spans="1:6" ht="15.6" x14ac:dyDescent="0.3">
      <c r="A50" s="71"/>
      <c r="B50" s="5"/>
      <c r="C50" s="46"/>
      <c r="D50" s="9"/>
      <c r="E50" s="9"/>
      <c r="F50" s="63"/>
    </row>
    <row r="51" spans="1:6" ht="15" thickBot="1" x14ac:dyDescent="0.35"/>
    <row r="52" spans="1:6" x14ac:dyDescent="0.3">
      <c r="B52" s="72" t="s">
        <v>15</v>
      </c>
      <c r="C52" s="73"/>
      <c r="D52" s="11"/>
      <c r="E52" s="11"/>
      <c r="F52" s="12"/>
    </row>
    <row r="53" spans="1:6" x14ac:dyDescent="0.3">
      <c r="B53" s="13"/>
      <c r="C53" s="74" t="s">
        <v>40</v>
      </c>
      <c r="D53" s="14"/>
      <c r="E53" s="14"/>
      <c r="F53" s="15"/>
    </row>
    <row r="54" spans="1:6" ht="18" x14ac:dyDescent="0.35">
      <c r="B54" s="74" t="s">
        <v>41</v>
      </c>
      <c r="C54" s="75"/>
      <c r="D54" s="16"/>
      <c r="E54" s="16"/>
      <c r="F54" s="17"/>
    </row>
    <row r="55" spans="1:6" ht="18.600000000000001" thickBot="1" x14ac:dyDescent="0.4">
      <c r="B55" s="76" t="s">
        <v>42</v>
      </c>
      <c r="C55" s="18"/>
      <c r="D55" s="18"/>
      <c r="E55" s="18"/>
      <c r="F55" s="19"/>
    </row>
    <row r="56" spans="1:6" ht="18" x14ac:dyDescent="0.35">
      <c r="A56" s="3"/>
      <c r="B56" s="10"/>
    </row>
  </sheetData>
  <mergeCells count="4">
    <mergeCell ref="A10:F10"/>
    <mergeCell ref="A17:F17"/>
    <mergeCell ref="A42:F42"/>
    <mergeCell ref="B44:F44"/>
  </mergeCells>
  <pageMargins left="0.70866141732283472" right="0.70866141732283472" top="0.74803149606299213" bottom="0.74803149606299213" header="0.31496062992125984" footer="0.31496062992125984"/>
  <pageSetup scale="87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5770</vt:lpstr>
      <vt:lpstr>CUBIERTA</vt:lpstr>
      <vt:lpstr>'5770'!Área_de_impresión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2024-01-23T11:46:51Z</cp:lastPrinted>
  <dcterms:created xsi:type="dcterms:W3CDTF">2013-03-19T12:54:14Z</dcterms:created>
  <dcterms:modified xsi:type="dcterms:W3CDTF">2024-01-23T14:01:47Z</dcterms:modified>
</cp:coreProperties>
</file>