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NOTAS DE VENTAS TOPMOBILI\AÑOS ANTERIORES\NDV 2024\2024 ENERO 2024\"/>
    </mc:Choice>
  </mc:AlternateContent>
  <xr:revisionPtr revIDLastSave="0" documentId="13_ncr:1_{D71F8612-33B6-4276-A1AF-AFA1C99B215E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5770" sheetId="4" r:id="rId1"/>
    <sheet name="CUBIERTA" sheetId="3" r:id="rId2"/>
  </sheets>
  <externalReferences>
    <externalReference r:id="rId3"/>
  </externalReferences>
  <definedNames>
    <definedName name="_xlnm.Print_Area" localSheetId="0">'5770'!$B$1:$J$39</definedName>
    <definedName name="_xlnm.Print_Area" localSheetId="1">CUBIERTA!$A$1:$I$56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5" i="3" l="1"/>
  <c r="K15" i="3"/>
  <c r="B15" i="3" s="1"/>
  <c r="L15" i="3"/>
  <c r="D15" i="3" s="1"/>
  <c r="M15" i="3"/>
  <c r="E15" i="3" s="1"/>
  <c r="H16" i="3"/>
  <c r="K16" i="3"/>
  <c r="B16" i="3" s="1"/>
  <c r="L16" i="3"/>
  <c r="D16" i="3" s="1"/>
  <c r="M16" i="3"/>
  <c r="E16" i="3" s="1"/>
  <c r="H17" i="3"/>
  <c r="K17" i="3"/>
  <c r="B17" i="3" s="1"/>
  <c r="L17" i="3"/>
  <c r="D17" i="3" s="1"/>
  <c r="M17" i="3"/>
  <c r="E17" i="3" s="1"/>
  <c r="H18" i="3"/>
  <c r="K18" i="3"/>
  <c r="B18" i="3" s="1"/>
  <c r="L18" i="3"/>
  <c r="D18" i="3" s="1"/>
  <c r="M18" i="3"/>
  <c r="E18" i="3" s="1"/>
  <c r="H19" i="3"/>
  <c r="K19" i="3"/>
  <c r="B19" i="3" s="1"/>
  <c r="L19" i="3"/>
  <c r="D19" i="3" s="1"/>
  <c r="M19" i="3"/>
  <c r="E19" i="3" s="1"/>
  <c r="H20" i="3"/>
  <c r="K20" i="3"/>
  <c r="B20" i="3" s="1"/>
  <c r="L20" i="3"/>
  <c r="D20" i="3" s="1"/>
  <c r="M20" i="3"/>
  <c r="E20" i="3" s="1"/>
  <c r="B49" i="3"/>
  <c r="B35" i="3" s="1"/>
  <c r="C49" i="3"/>
  <c r="H35" i="3" s="1"/>
  <c r="D49" i="3"/>
  <c r="L35" i="3" s="1"/>
  <c r="D35" i="3" s="1"/>
  <c r="E49" i="3"/>
  <c r="M35" i="3" s="1"/>
  <c r="B42" i="3"/>
  <c r="B28" i="3" s="1"/>
  <c r="C42" i="3"/>
  <c r="H28" i="3" s="1"/>
  <c r="D42" i="3"/>
  <c r="L28" i="3" s="1"/>
  <c r="D28" i="3" s="1"/>
  <c r="E42" i="3"/>
  <c r="M28" i="3" s="1"/>
  <c r="B43" i="3"/>
  <c r="K29" i="3" s="1"/>
  <c r="C43" i="3"/>
  <c r="H29" i="3" s="1"/>
  <c r="D43" i="3"/>
  <c r="L29" i="3" s="1"/>
  <c r="D29" i="3" s="1"/>
  <c r="E43" i="3"/>
  <c r="M29" i="3" s="1"/>
  <c r="B44" i="3"/>
  <c r="K30" i="3" s="1"/>
  <c r="C44" i="3"/>
  <c r="H30" i="3" s="1"/>
  <c r="D44" i="3"/>
  <c r="L30" i="3" s="1"/>
  <c r="D30" i="3" s="1"/>
  <c r="E44" i="3"/>
  <c r="M30" i="3" s="1"/>
  <c r="B45" i="3"/>
  <c r="K31" i="3" s="1"/>
  <c r="C45" i="3"/>
  <c r="H31" i="3" s="1"/>
  <c r="D45" i="3"/>
  <c r="L31" i="3" s="1"/>
  <c r="D31" i="3" s="1"/>
  <c r="E45" i="3"/>
  <c r="M31" i="3" s="1"/>
  <c r="B46" i="3"/>
  <c r="B32" i="3" s="1"/>
  <c r="C46" i="3"/>
  <c r="H32" i="3" s="1"/>
  <c r="D46" i="3"/>
  <c r="L32" i="3" s="1"/>
  <c r="D32" i="3" s="1"/>
  <c r="E46" i="3"/>
  <c r="M32" i="3" s="1"/>
  <c r="B47" i="3"/>
  <c r="K33" i="3" s="1"/>
  <c r="C47" i="3"/>
  <c r="H33" i="3" s="1"/>
  <c r="D47" i="3"/>
  <c r="L33" i="3" s="1"/>
  <c r="D33" i="3" s="1"/>
  <c r="E47" i="3"/>
  <c r="M33" i="3" s="1"/>
  <c r="B48" i="3"/>
  <c r="K34" i="3" s="1"/>
  <c r="C48" i="3"/>
  <c r="H34" i="3" s="1"/>
  <c r="D48" i="3"/>
  <c r="L34" i="3" s="1"/>
  <c r="D34" i="3" s="1"/>
  <c r="E48" i="3"/>
  <c r="M34" i="3" s="1"/>
  <c r="B69" i="3"/>
  <c r="C69" i="3"/>
  <c r="D69" i="3"/>
  <c r="E69" i="3"/>
  <c r="H69" i="3"/>
  <c r="H42" i="3" s="1"/>
  <c r="B70" i="3"/>
  <c r="C70" i="3"/>
  <c r="D70" i="3"/>
  <c r="E70" i="3"/>
  <c r="H70" i="3"/>
  <c r="H43" i="3" s="1"/>
  <c r="B71" i="3"/>
  <c r="C71" i="3"/>
  <c r="D71" i="3"/>
  <c r="E71" i="3"/>
  <c r="H71" i="3"/>
  <c r="H44" i="3" s="1"/>
  <c r="B72" i="3"/>
  <c r="C72" i="3"/>
  <c r="D72" i="3"/>
  <c r="E72" i="3"/>
  <c r="H72" i="3"/>
  <c r="H45" i="3" s="1"/>
  <c r="B73" i="3"/>
  <c r="C73" i="3"/>
  <c r="D73" i="3"/>
  <c r="E73" i="3"/>
  <c r="H73" i="3"/>
  <c r="H46" i="3" s="1"/>
  <c r="B74" i="3"/>
  <c r="C74" i="3"/>
  <c r="D74" i="3"/>
  <c r="E74" i="3"/>
  <c r="H74" i="3"/>
  <c r="H47" i="3" s="1"/>
  <c r="B75" i="3"/>
  <c r="C75" i="3"/>
  <c r="D75" i="3"/>
  <c r="E75" i="3"/>
  <c r="H75" i="3"/>
  <c r="H48" i="3" s="1"/>
  <c r="B76" i="3"/>
  <c r="C76" i="3"/>
  <c r="D76" i="3"/>
  <c r="E76" i="3"/>
  <c r="H76" i="3"/>
  <c r="H49" i="3" s="1"/>
  <c r="H68" i="3"/>
  <c r="H41" i="3" s="1"/>
  <c r="J21" i="4"/>
  <c r="J22" i="4"/>
  <c r="J23" i="4"/>
  <c r="J24" i="4"/>
  <c r="J25" i="4"/>
  <c r="J26" i="4"/>
  <c r="J27" i="4"/>
  <c r="J28" i="4"/>
  <c r="J31" i="4"/>
  <c r="J20" i="4"/>
  <c r="R14" i="3"/>
  <c r="B33" i="3" l="1"/>
  <c r="B31" i="3"/>
  <c r="B29" i="3"/>
  <c r="K35" i="3"/>
  <c r="K32" i="3"/>
  <c r="B30" i="3"/>
  <c r="B34" i="3"/>
  <c r="K28" i="3"/>
  <c r="B41" i="3"/>
  <c r="B27" i="3" s="1"/>
  <c r="C41" i="3"/>
  <c r="H27" i="3" s="1"/>
  <c r="D41" i="3"/>
  <c r="L27" i="3" s="1"/>
  <c r="D27" i="3" s="1"/>
  <c r="E41" i="3"/>
  <c r="M27" i="3" s="1"/>
  <c r="E27" i="3" s="1"/>
  <c r="E28" i="3" s="1"/>
  <c r="E29" i="3" s="1"/>
  <c r="E30" i="3" s="1"/>
  <c r="E31" i="3" s="1"/>
  <c r="E32" i="3" s="1"/>
  <c r="E33" i="3" s="1"/>
  <c r="E34" i="3" s="1"/>
  <c r="E35" i="3" s="1"/>
  <c r="B68" i="3"/>
  <c r="C68" i="3"/>
  <c r="D68" i="3"/>
  <c r="E68" i="3"/>
  <c r="M14" i="3" l="1"/>
  <c r="E14" i="3" s="1"/>
  <c r="L14" i="3"/>
  <c r="D14" i="3" s="1"/>
  <c r="K27" i="3"/>
  <c r="K14" i="3" s="1"/>
  <c r="H14" i="3"/>
  <c r="B14" i="3" l="1"/>
  <c r="S14" i="3"/>
  <c r="S21" i="3" s="1"/>
  <c r="H62" i="3"/>
  <c r="E62" i="3"/>
  <c r="D59" i="3" l="1"/>
  <c r="E61" i="3"/>
  <c r="E58" i="3"/>
  <c r="E7" i="3"/>
  <c r="E4" i="3"/>
  <c r="D5" i="3"/>
  <c r="C61" i="3"/>
  <c r="C7" i="3"/>
  <c r="J32" i="4" l="1"/>
  <c r="J33" i="4" l="1"/>
</calcChain>
</file>

<file path=xl/sharedStrings.xml><?xml version="1.0" encoding="utf-8"?>
<sst xmlns="http://schemas.openxmlformats.org/spreadsheetml/2006/main" count="113" uniqueCount="66">
  <si>
    <t>SEPTIMA AVENIDA 1631, SAN MIGUEL</t>
  </si>
  <si>
    <t>DIRECCION:</t>
  </si>
  <si>
    <t>RUT:</t>
  </si>
  <si>
    <t>CIUDAD:</t>
  </si>
  <si>
    <t>DETALLE</t>
  </si>
  <si>
    <t>TOTAL</t>
  </si>
  <si>
    <t>NETO</t>
  </si>
  <si>
    <t>I.V.A.</t>
  </si>
  <si>
    <t>CLIENTE:</t>
  </si>
  <si>
    <t>ALTO</t>
  </si>
  <si>
    <t>ANCHO</t>
  </si>
  <si>
    <t>MATERIAL</t>
  </si>
  <si>
    <t>CANTIDAD</t>
  </si>
  <si>
    <t>CORTE</t>
  </si>
  <si>
    <t>DESCRIPCION</t>
  </si>
  <si>
    <t>Observaciones:</t>
  </si>
  <si>
    <t>LAMINADO</t>
  </si>
  <si>
    <t>FONO 22521 6502</t>
  </si>
  <si>
    <t>P R E S U P U E S T O</t>
  </si>
  <si>
    <t>N°4601</t>
  </si>
  <si>
    <t>FONO:</t>
  </si>
  <si>
    <t>VALIDEZ COTIZACIÓN: 5 DÍAS</t>
  </si>
  <si>
    <t xml:space="preserve">D E T A L L E </t>
  </si>
  <si>
    <t>UNIDAD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</si>
  <si>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</si>
  <si>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</si>
  <si>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</si>
  <si>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</si>
  <si>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</si>
  <si>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</si>
  <si>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</si>
  <si>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 xml:space="preserve">CUENTA VISTA DEL BANCO ESTADO N° 35571043040 A NOMBRE DE </t>
  </si>
  <si>
    <t>"TOPMOBILI LTDA." - RUT : 76.685.535-0, VENTAS@TOPMOBILI.CL</t>
  </si>
  <si>
    <t>FECHA ENTREGA :</t>
  </si>
  <si>
    <t>FECHA :</t>
  </si>
  <si>
    <t>CLIENTE :</t>
  </si>
  <si>
    <t>SUSTRATO</t>
  </si>
  <si>
    <t>DESCRIPCIÓN</t>
  </si>
  <si>
    <t>MEDIDAS ORIGINALES</t>
  </si>
  <si>
    <t>PRODUCCIÓN</t>
  </si>
  <si>
    <t xml:space="preserve"> </t>
  </si>
  <si>
    <t xml:space="preserve">OBSERVACIONES: </t>
  </si>
  <si>
    <t xml:space="preserve">  </t>
  </si>
  <si>
    <t>MUEBLES SANTA FE SPA</t>
  </si>
  <si>
    <t>VENTAS POR MENOR DE MUEBLES</t>
  </si>
  <si>
    <t>RUT: 77.054.606-0</t>
  </si>
  <si>
    <t>E-MAIL: ventas@mueblesantafe.cl</t>
  </si>
  <si>
    <t xml:space="preserve">CONTACTO: </t>
  </si>
  <si>
    <t xml:space="preserve">SANTIAGO </t>
  </si>
  <si>
    <t xml:space="preserve">DESPACHO: </t>
  </si>
  <si>
    <t>ORDEN DE COMPRA</t>
  </si>
  <si>
    <t>NO</t>
  </si>
  <si>
    <t>MDF18MM</t>
  </si>
  <si>
    <t>MDF 18MM</t>
  </si>
  <si>
    <t>FORMA DE PAGO : CONTADO</t>
  </si>
  <si>
    <t>RIOCA LIMITADA</t>
  </si>
  <si>
    <t>76.744.503-2</t>
  </si>
  <si>
    <t>JOSE MIGUEL RIOCA</t>
  </si>
  <si>
    <t>+5 525969 7449</t>
  </si>
  <si>
    <t>BAJADOZ 100 LAS CONDES</t>
  </si>
  <si>
    <t>CUBIERTA MESON ATENCION</t>
  </si>
  <si>
    <t xml:space="preserve">FRENTE </t>
  </si>
  <si>
    <t>FONDO</t>
  </si>
  <si>
    <t>SERVICIO EXPRESS</t>
  </si>
  <si>
    <t>AUTUMN LEAF 22119 GL</t>
  </si>
  <si>
    <t>SERVICIO DE CORTE A LA MEDIDA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</si>
</sst>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$&quot;* #,##0_ ;_ &quot;$&quot;* \-#,##0_ ;_ &quot;$&quot;* &quot;-&quot;_ ;_ @_ "/>
    <numFmt numFmtId="164" formatCode="_-* #,##0.00_-;\-* #,##0.00_-;_-* &quot;-&quot;??_-;_-@_-"/>
    <numFmt numFmtId="165" formatCode="0.000"/>
    <numFmt numFmtId="166" formatCode="_-* #,##0_-;\-* #,##0_-;_-* &quot;-&quot;??_-;_-@_-"/>
  </numFmts>
  <fonts count="28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i/>
      <sz val="8"/>
      <color theme="1"/>
      <name val="Calibri"/>
      <family val="2"/>
      <scheme val="minor"/>
    </font>
    <font>
      <b/>
      <i/>
      <sz val="10.5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sz val="12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000000"/>
      <name val="Segoe UI"/>
      <family val="2"/>
    </font>
    <font>
      <b/>
      <u/>
      <sz val="11"/>
      <name val="Calibri"/>
      <family val="2"/>
      <scheme val="minor"/>
    </font>
    <font>
      <sz val="14"/>
      <name val="Calibri"/>
      <family val="2"/>
      <scheme val="minor"/>
    </font>
    <font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indexed="64"/>
      </right>
      <top style="thin">
        <color theme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theme="1"/>
      </left>
      <right/>
      <top style="thin">
        <color theme="1"/>
      </top>
      <bottom/>
      <diagonal/>
    </border>
  </borders>
  <cellStyleXfs count="4">
    <xf numFmtId="0" fontId="0" fillId="0" borderId="0"/>
    <xf numFmtId="164" fontId="5" fillId="0" borderId="0" applyFont="0" applyFill="0" applyBorder="0" applyAlignment="0" applyProtection="0"/>
    <xf numFmtId="0" fontId="7" fillId="0" borderId="0" applyNumberFormat="0" applyFill="0" applyBorder="0" applyAlignment="0" applyProtection="0"/>
    <xf numFmtId="42" fontId="5" fillId="0" borderId="0" applyFont="0" applyFill="0" applyBorder="0" applyAlignment="0" applyProtection="0"/>
  </cellStyleXfs>
  <cellXfs count="137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14" fontId="0" fillId="0" borderId="0" xfId="0" applyNumberForma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vertical="center"/>
    </xf>
    <xf numFmtId="0" fontId="6" fillId="0" borderId="4" xfId="0" applyFont="1" applyBorder="1" applyAlignment="1">
      <alignment vertical="center" wrapText="1"/>
    </xf>
    <xf numFmtId="0" fontId="6" fillId="0" borderId="5" xfId="0" applyFont="1" applyBorder="1" applyAlignment="1">
      <alignment vertical="center" wrapText="1"/>
    </xf>
    <xf numFmtId="0" fontId="6" fillId="0" borderId="6" xfId="0" applyFont="1" applyBorder="1" applyAlignment="1">
      <alignment vertical="center" wrapText="1"/>
    </xf>
    <xf numFmtId="0" fontId="6" fillId="0" borderId="0" xfId="0" applyFont="1" applyAlignment="1">
      <alignment vertical="center" wrapText="1"/>
    </xf>
    <xf numFmtId="0" fontId="6" fillId="0" borderId="7" xfId="0" applyFont="1" applyBorder="1" applyAlignment="1">
      <alignment vertical="center" wrapText="1"/>
    </xf>
    <xf numFmtId="0" fontId="4" fillId="0" borderId="0" xfId="0" applyFont="1"/>
    <xf numFmtId="0" fontId="4" fillId="0" borderId="7" xfId="0" applyFont="1" applyBorder="1"/>
    <xf numFmtId="0" fontId="4" fillId="0" borderId="9" xfId="0" applyFont="1" applyBorder="1"/>
    <xf numFmtId="0" fontId="4" fillId="0" borderId="10" xfId="0" applyFont="1" applyBorder="1"/>
    <xf numFmtId="0" fontId="8" fillId="0" borderId="0" xfId="0" applyFont="1" applyAlignment="1">
      <alignment horizontal="center"/>
    </xf>
    <xf numFmtId="0" fontId="1" fillId="0" borderId="0" xfId="0" applyFont="1"/>
    <xf numFmtId="0" fontId="6" fillId="3" borderId="3" xfId="0" applyFont="1" applyFill="1" applyBorder="1"/>
    <xf numFmtId="0" fontId="6" fillId="3" borderId="4" xfId="0" applyFont="1" applyFill="1" applyBorder="1"/>
    <xf numFmtId="0" fontId="0" fillId="3" borderId="4" xfId="0" applyFill="1" applyBorder="1"/>
    <xf numFmtId="0" fontId="0" fillId="3" borderId="4" xfId="0" applyFill="1" applyBorder="1" applyAlignment="1">
      <alignment horizontal="left"/>
    </xf>
    <xf numFmtId="14" fontId="0" fillId="3" borderId="4" xfId="0" applyNumberFormat="1" applyFill="1" applyBorder="1" applyAlignment="1">
      <alignment horizontal="left"/>
    </xf>
    <xf numFmtId="0" fontId="0" fillId="3" borderId="5" xfId="0" applyFill="1" applyBorder="1"/>
    <xf numFmtId="0" fontId="0" fillId="4" borderId="6" xfId="0" applyFill="1" applyBorder="1"/>
    <xf numFmtId="0" fontId="0" fillId="4" borderId="0" xfId="0" applyFill="1"/>
    <xf numFmtId="14" fontId="0" fillId="4" borderId="0" xfId="0" applyNumberFormat="1" applyFill="1" applyAlignment="1">
      <alignment horizontal="left"/>
    </xf>
    <xf numFmtId="0" fontId="0" fillId="4" borderId="7" xfId="0" applyFill="1" applyBorder="1"/>
    <xf numFmtId="0" fontId="0" fillId="3" borderId="6" xfId="0" applyFill="1" applyBorder="1"/>
    <xf numFmtId="0" fontId="0" fillId="3" borderId="0" xfId="0" applyFill="1"/>
    <xf numFmtId="0" fontId="0" fillId="3" borderId="7" xfId="0" applyFill="1" applyBorder="1"/>
    <xf numFmtId="0" fontId="0" fillId="4" borderId="0" xfId="0" applyFill="1" applyAlignment="1">
      <alignment horizontal="left"/>
    </xf>
    <xf numFmtId="0" fontId="6" fillId="3" borderId="0" xfId="0" applyFont="1" applyFill="1"/>
    <xf numFmtId="0" fontId="0" fillId="4" borderId="8" xfId="0" applyFill="1" applyBorder="1"/>
    <xf numFmtId="0" fontId="0" fillId="4" borderId="9" xfId="2" applyFont="1" applyFill="1" applyBorder="1" applyAlignment="1">
      <alignment horizontal="left"/>
    </xf>
    <xf numFmtId="0" fontId="0" fillId="4" borderId="9" xfId="0" applyFill="1" applyBorder="1"/>
    <xf numFmtId="165" fontId="0" fillId="0" borderId="0" xfId="0" applyNumberForma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0" applyFont="1"/>
    <xf numFmtId="0" fontId="12" fillId="0" borderId="0" xfId="0" applyFont="1" applyAlignment="1">
      <alignment horizontal="left" indent="1"/>
    </xf>
    <xf numFmtId="0" fontId="12" fillId="0" borderId="0" xfId="0" applyFont="1" applyAlignment="1">
      <alignment horizontal="center"/>
    </xf>
    <xf numFmtId="0" fontId="14" fillId="0" borderId="0" xfId="0" applyFont="1" applyAlignment="1">
      <alignment horizontal="left" vertical="center"/>
    </xf>
    <xf numFmtId="0" fontId="8" fillId="0" borderId="0" xfId="0" applyFont="1"/>
    <xf numFmtId="0" fontId="13" fillId="0" borderId="0" xfId="2" applyFont="1" applyFill="1" applyBorder="1" applyAlignment="1">
      <alignment horizontal="left" vertical="center" indent="1"/>
    </xf>
    <xf numFmtId="0" fontId="1" fillId="0" borderId="2" xfId="0" applyFont="1" applyBorder="1"/>
    <xf numFmtId="0" fontId="3" fillId="3" borderId="0" xfId="0" applyFont="1" applyFill="1"/>
    <xf numFmtId="0" fontId="0" fillId="0" borderId="0" xfId="0" applyAlignment="1">
      <alignment horizontal="center" vertical="center"/>
    </xf>
    <xf numFmtId="0" fontId="3" fillId="0" borderId="0" xfId="0" applyFont="1" applyAlignment="1">
      <alignment shrinkToFit="1"/>
    </xf>
    <xf numFmtId="0" fontId="15" fillId="0" borderId="0" xfId="0" applyFont="1" applyAlignment="1">
      <alignment horizontal="left" indent="1"/>
    </xf>
    <xf numFmtId="0" fontId="1" fillId="0" borderId="0" xfId="0" applyFont="1" applyAlignment="1">
      <alignment horizontal="left"/>
    </xf>
    <xf numFmtId="0" fontId="15" fillId="3" borderId="0" xfId="0" applyFont="1" applyFill="1" applyAlignment="1">
      <alignment horizontal="left" indent="1"/>
    </xf>
    <xf numFmtId="0" fontId="16" fillId="3" borderId="0" xfId="0" applyFont="1" applyFill="1" applyAlignment="1">
      <alignment horizontal="left"/>
    </xf>
    <xf numFmtId="0" fontId="11" fillId="0" borderId="0" xfId="0" applyFont="1" applyAlignment="1">
      <alignment horizontal="left" indent="1"/>
    </xf>
    <xf numFmtId="14" fontId="0" fillId="0" borderId="0" xfId="0" applyNumberFormat="1" applyAlignment="1">
      <alignment horizontal="right" vertical="top"/>
    </xf>
    <xf numFmtId="14" fontId="15" fillId="0" borderId="0" xfId="0" applyNumberFormat="1" applyFont="1" applyAlignment="1">
      <alignment horizontal="left" indent="1"/>
    </xf>
    <xf numFmtId="14" fontId="1" fillId="0" borderId="0" xfId="0" applyNumberFormat="1" applyFont="1" applyAlignment="1">
      <alignment horizontal="left" wrapText="1" shrinkToFit="1"/>
    </xf>
    <xf numFmtId="0" fontId="17" fillId="0" borderId="0" xfId="0" applyFont="1"/>
    <xf numFmtId="0" fontId="18" fillId="0" borderId="0" xfId="0" applyFont="1" applyAlignment="1">
      <alignment horizontal="center"/>
    </xf>
    <xf numFmtId="0" fontId="3" fillId="5" borderId="19" xfId="0" applyFont="1" applyFill="1" applyBorder="1" applyAlignment="1">
      <alignment horizontal="center"/>
    </xf>
    <xf numFmtId="0" fontId="11" fillId="0" borderId="0" xfId="0" applyFont="1" applyAlignment="1">
      <alignment horizontal="center"/>
    </xf>
    <xf numFmtId="0" fontId="17" fillId="0" borderId="20" xfId="0" applyFont="1" applyBorder="1"/>
    <xf numFmtId="0" fontId="17" fillId="0" borderId="21" xfId="0" applyFont="1" applyBorder="1"/>
    <xf numFmtId="0" fontId="16" fillId="0" borderId="2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/>
    </xf>
    <xf numFmtId="0" fontId="19" fillId="0" borderId="18" xfId="0" applyFont="1" applyBorder="1" applyAlignment="1">
      <alignment horizontal="center"/>
    </xf>
    <xf numFmtId="0" fontId="19" fillId="0" borderId="25" xfId="0" applyFont="1" applyBorder="1" applyAlignment="1">
      <alignment horizontal="center"/>
    </xf>
    <xf numFmtId="0" fontId="0" fillId="0" borderId="18" xfId="0" applyBorder="1" applyAlignment="1">
      <alignment horizontal="center"/>
    </xf>
    <xf numFmtId="0" fontId="2" fillId="0" borderId="0" xfId="0" applyFont="1" applyAlignment="1">
      <alignment horizontal="center"/>
    </xf>
    <xf numFmtId="0" fontId="18" fillId="0" borderId="3" xfId="0" applyFont="1" applyBorder="1" applyAlignment="1">
      <alignment wrapText="1"/>
    </xf>
    <xf numFmtId="0" fontId="20" fillId="0" borderId="4" xfId="0" applyFont="1" applyBorder="1" applyAlignment="1">
      <alignment horizontal="left" vertical="center"/>
    </xf>
    <xf numFmtId="0" fontId="20" fillId="0" borderId="0" xfId="0" applyFont="1" applyAlignment="1">
      <alignment horizontal="left" vertical="center"/>
    </xf>
    <xf numFmtId="0" fontId="6" fillId="0" borderId="0" xfId="0" applyFont="1"/>
    <xf numFmtId="0" fontId="21" fillId="0" borderId="0" xfId="0" applyFont="1" applyAlignment="1">
      <alignment horizontal="left" vertical="center"/>
    </xf>
    <xf numFmtId="0" fontId="0" fillId="6" borderId="7" xfId="0" applyFill="1" applyBorder="1"/>
    <xf numFmtId="0" fontId="0" fillId="0" borderId="0" xfId="0" applyAlignment="1">
      <alignment horizontal="right" vertical="center"/>
    </xf>
    <xf numFmtId="0" fontId="1" fillId="0" borderId="2" xfId="0" applyFont="1" applyBorder="1" applyAlignment="1">
      <alignment horizontal="center"/>
    </xf>
    <xf numFmtId="0" fontId="0" fillId="0" borderId="0" xfId="0" applyAlignment="1">
      <alignment horizontal="left" vertical="center"/>
    </xf>
    <xf numFmtId="166" fontId="0" fillId="0" borderId="0" xfId="1" applyNumberFormat="1" applyFont="1" applyFill="1" applyBorder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3" fillId="3" borderId="2" xfId="0" applyFont="1" applyFill="1" applyBorder="1" applyAlignment="1">
      <alignment horizontal="center"/>
    </xf>
    <xf numFmtId="0" fontId="3" fillId="0" borderId="11" xfId="0" applyFont="1" applyBorder="1" applyAlignment="1">
      <alignment horizontal="center"/>
    </xf>
    <xf numFmtId="166" fontId="3" fillId="0" borderId="12" xfId="1" applyNumberFormat="1" applyFont="1" applyFill="1" applyBorder="1"/>
    <xf numFmtId="3" fontId="3" fillId="3" borderId="13" xfId="0" applyNumberFormat="1" applyFont="1" applyFill="1" applyBorder="1" applyAlignment="1">
      <alignment horizontal="center"/>
    </xf>
    <xf numFmtId="166" fontId="3" fillId="3" borderId="14" xfId="1" applyNumberFormat="1" applyFont="1" applyFill="1" applyBorder="1"/>
    <xf numFmtId="0" fontId="3" fillId="0" borderId="15" xfId="0" applyFont="1" applyBorder="1" applyAlignment="1">
      <alignment horizontal="center"/>
    </xf>
    <xf numFmtId="166" fontId="3" fillId="0" borderId="16" xfId="1" applyNumberFormat="1" applyFont="1" applyFill="1" applyBorder="1"/>
    <xf numFmtId="0" fontId="16" fillId="0" borderId="19" xfId="0" applyFont="1" applyBorder="1" applyAlignment="1">
      <alignment horizontal="center"/>
    </xf>
    <xf numFmtId="0" fontId="16" fillId="0" borderId="27" xfId="0" applyFont="1" applyBorder="1" applyAlignment="1">
      <alignment horizontal="center"/>
    </xf>
    <xf numFmtId="166" fontId="0" fillId="0" borderId="0" xfId="0" applyNumberFormat="1"/>
    <xf numFmtId="0" fontId="6" fillId="6" borderId="15" xfId="0" applyFont="1" applyFill="1" applyBorder="1" applyAlignment="1">
      <alignment horizontal="center" vertical="center"/>
    </xf>
    <xf numFmtId="0" fontId="6" fillId="6" borderId="28" xfId="0" applyFont="1" applyFill="1" applyBorder="1" applyAlignment="1">
      <alignment horizontal="center" vertical="center"/>
    </xf>
    <xf numFmtId="0" fontId="6" fillId="6" borderId="16" xfId="0" applyFont="1" applyFill="1" applyBorder="1" applyAlignment="1">
      <alignment horizontal="center" vertical="center"/>
    </xf>
    <xf numFmtId="0" fontId="23" fillId="3" borderId="0" xfId="0" applyFont="1" applyFill="1" applyAlignment="1">
      <alignment horizontal="left"/>
    </xf>
    <xf numFmtId="0" fontId="24" fillId="0" borderId="0" xfId="0" applyFont="1"/>
    <xf numFmtId="0" fontId="25" fillId="0" borderId="0" xfId="2" quotePrefix="1" applyFont="1" applyFill="1" applyBorder="1"/>
    <xf numFmtId="0" fontId="3" fillId="0" borderId="0" xfId="0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1" fontId="22" fillId="0" borderId="0" xfId="0" applyNumberFormat="1" applyFont="1" applyAlignment="1">
      <alignment horizontal="center" vertical="center"/>
    </xf>
    <xf numFmtId="0" fontId="0" fillId="2" borderId="0" xfId="0" applyFill="1" applyAlignment="1">
      <alignment horizontal="center"/>
    </xf>
    <xf numFmtId="0" fontId="3" fillId="3" borderId="0" xfId="0" applyFont="1" applyFill="1" applyAlignment="1">
      <alignment horizontal="center"/>
    </xf>
    <xf numFmtId="0" fontId="10" fillId="4" borderId="9" xfId="0" applyFont="1" applyFill="1" applyBorder="1" applyAlignment="1">
      <alignment horizontal="left"/>
    </xf>
    <xf numFmtId="0" fontId="10" fillId="4" borderId="10" xfId="0" applyFont="1" applyFill="1" applyBorder="1" applyAlignment="1">
      <alignment horizontal="left"/>
    </xf>
    <xf numFmtId="0" fontId="11" fillId="3" borderId="11" xfId="0" applyFont="1" applyFill="1" applyBorder="1" applyAlignment="1">
      <alignment horizontal="center" vertical="center"/>
    </xf>
    <xf numFmtId="0" fontId="11" fillId="3" borderId="17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7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19" fillId="3" borderId="22" xfId="0" applyFont="1" applyFill="1" applyBorder="1" applyAlignment="1">
      <alignment horizontal="left" vertical="top" indent="28"/>
    </xf>
    <xf numFmtId="0" fontId="19" fillId="3" borderId="23" xfId="0" applyFont="1" applyFill="1" applyBorder="1" applyAlignment="1">
      <alignment horizontal="left" vertical="top" indent="28"/>
    </xf>
    <xf numFmtId="0" fontId="19" fillId="3" borderId="24" xfId="0" applyFont="1" applyFill="1" applyBorder="1" applyAlignment="1">
      <alignment horizontal="left" vertical="top" indent="28"/>
    </xf>
    <xf numFmtId="0" fontId="19" fillId="3" borderId="25" xfId="0" applyFont="1" applyFill="1" applyBorder="1" applyAlignment="1">
      <alignment horizontal="left" vertical="top" indent="28"/>
    </xf>
    <xf numFmtId="1" fontId="26" fillId="0" borderId="11" xfId="0" applyNumberFormat="1" applyFont="1" applyBorder="1" applyAlignment="1">
      <alignment horizontal="center" vertical="center"/>
    </xf>
    <xf numFmtId="165" fontId="27" fillId="0" borderId="17" xfId="0" applyNumberFormat="1" applyFont="1" applyBorder="1" applyAlignment="1">
      <alignment horizontal="center" vertical="center"/>
    </xf>
    <xf numFmtId="165" fontId="26" fillId="0" borderId="17" xfId="0" applyNumberFormat="1" applyFont="1" applyBorder="1" applyAlignment="1">
      <alignment horizontal="center" vertical="center"/>
    </xf>
    <xf numFmtId="42" fontId="4" fillId="0" borderId="17" xfId="3" applyFont="1" applyFill="1" applyBorder="1" applyAlignment="1">
      <alignment horizontal="center" vertical="center"/>
    </xf>
    <xf numFmtId="42" fontId="4" fillId="0" borderId="12" xfId="3" applyFont="1" applyFill="1" applyBorder="1" applyAlignment="1">
      <alignment horizontal="center" vertical="center"/>
    </xf>
    <xf numFmtId="1" fontId="26" fillId="0" borderId="2" xfId="0" applyNumberFormat="1" applyFont="1" applyBorder="1" applyAlignment="1">
      <alignment horizontal="center" vertical="center"/>
    </xf>
    <xf numFmtId="1" fontId="26" fillId="0" borderId="17" xfId="0" applyNumberFormat="1" applyFont="1" applyBorder="1" applyAlignment="1">
      <alignment horizontal="center" vertical="center"/>
    </xf>
    <xf numFmtId="166" fontId="4" fillId="0" borderId="2" xfId="0" applyNumberFormat="1" applyFont="1" applyBorder="1" applyAlignment="1">
      <alignment horizontal="center" vertical="center"/>
    </xf>
    <xf numFmtId="42" fontId="2" fillId="0" borderId="2" xfId="3" applyFont="1" applyFill="1" applyBorder="1" applyAlignment="1">
      <alignment horizontal="center" vertical="center"/>
    </xf>
    <xf numFmtId="0" fontId="0" fillId="0" borderId="0" xfId="0" applyBorder="1" applyAlignment="1">
      <alignment horizontal="center"/>
    </xf>
    <xf numFmtId="14" fontId="0" fillId="0" borderId="0" xfId="0" applyNumberFormat="1" applyBorder="1"/>
    <xf numFmtId="42" fontId="4" fillId="0" borderId="0" xfId="3" applyFont="1" applyFill="1" applyBorder="1" applyAlignment="1">
      <alignment horizontal="center" vertical="center"/>
    </xf>
    <xf numFmtId="0" fontId="0" fillId="0" borderId="0" xfId="0" applyBorder="1"/>
    <xf numFmtId="0" fontId="3" fillId="5" borderId="29" xfId="0" applyFont="1" applyFill="1" applyBorder="1" applyAlignment="1">
      <alignment horizontal="center"/>
    </xf>
    <xf numFmtId="0" fontId="4" fillId="0" borderId="26" xfId="0" applyFont="1" applyBorder="1" applyAlignment="1">
      <alignment horizontal="center"/>
    </xf>
    <xf numFmtId="0" fontId="19" fillId="6" borderId="2" xfId="0" applyFont="1" applyFill="1" applyBorder="1" applyAlignment="1">
      <alignment horizontal="center"/>
    </xf>
    <xf numFmtId="0" fontId="2" fillId="0" borderId="18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0" fillId="0" borderId="2" xfId="0" applyFont="1" applyBorder="1" applyAlignment="1">
      <alignment horizontal="center"/>
    </xf>
    <xf numFmtId="0" fontId="16" fillId="6" borderId="2" xfId="0" applyFont="1" applyFill="1" applyBorder="1" applyAlignment="1">
      <alignment horizontal="center" vertical="center"/>
    </xf>
    <xf numFmtId="0" fontId="3" fillId="6" borderId="19" xfId="0" applyFont="1" applyFill="1" applyBorder="1" applyAlignment="1">
      <alignment horizontal="center"/>
    </xf>
  </cellXfs>
  <cellStyles count="4">
    <cellStyle name="Hipervínculo" xfId="2" builtinId="8"/>
    <cellStyle name="Millares" xfId="1" builtinId="3"/>
    <cellStyle name="Moneda [0]" xfId="3" builtinId="7"/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B8688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66675</xdr:colOff>
      <xdr:row>7</xdr:row>
      <xdr:rowOff>59055</xdr:rowOff>
    </xdr:from>
    <xdr:to>
      <xdr:col>4</xdr:col>
      <xdr:colOff>59055</xdr:colOff>
      <xdr:row>8</xdr:row>
      <xdr:rowOff>13335</xdr:rowOff>
    </xdr:to>
    <xdr:sp macro="" textlink="">
      <xdr:nvSpPr>
        <xdr:cNvPr id="13" name="Rectángulo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/>
      </xdr:nvSpPr>
      <xdr:spPr>
        <a:xfrm>
          <a:off x="264795" y="1354455"/>
          <a:ext cx="2872740" cy="22098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ES" sz="1200" b="1"/>
            <a:t>P</a:t>
          </a:r>
          <a:r>
            <a:rPr lang="es-ES" sz="1200" b="1" baseline="0"/>
            <a:t>RESUPUESTO        N° 10544</a:t>
          </a:r>
          <a:endParaRPr lang="es-ES" sz="1200" b="1"/>
        </a:p>
      </xdr:txBody>
    </xdr:sp>
    <xdr:clientData/>
  </xdr:twoCellAnchor>
  <xdr:twoCellAnchor editAs="oneCell">
    <xdr:from>
      <xdr:col>1</xdr:col>
      <xdr:colOff>342900</xdr:colOff>
      <xdr:row>0</xdr:row>
      <xdr:rowOff>160020</xdr:rowOff>
    </xdr:from>
    <xdr:to>
      <xdr:col>2</xdr:col>
      <xdr:colOff>1175143</xdr:colOff>
      <xdr:row>7</xdr:row>
      <xdr:rowOff>13335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1020" y="160020"/>
          <a:ext cx="1586623" cy="1148715"/>
        </a:xfrm>
        <a:prstGeom prst="rect">
          <a:avLst/>
        </a:prstGeom>
      </xdr:spPr>
    </xdr:pic>
    <xdr:clientData/>
  </xdr:twoCellAnchor>
  <xdr:twoCellAnchor>
    <xdr:from>
      <xdr:col>0</xdr:col>
      <xdr:colOff>182880</xdr:colOff>
      <xdr:row>29</xdr:row>
      <xdr:rowOff>0</xdr:rowOff>
    </xdr:from>
    <xdr:to>
      <xdr:col>7</xdr:col>
      <xdr:colOff>2065020</xdr:colOff>
      <xdr:row>32</xdr:row>
      <xdr:rowOff>201336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A4F99A5A-C684-4BC3-BE09-6A2CAEB8ECE5}"/>
            </a:ext>
          </a:extLst>
        </xdr:cNvPr>
        <xdr:cNvSpPr/>
      </xdr:nvSpPr>
      <xdr:spPr>
        <a:xfrm>
          <a:off x="182880" y="4061460"/>
          <a:ext cx="5455920" cy="833796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</a:t>
          </a:r>
          <a:r>
            <a:rPr lang="es-CL" sz="1200" b="1" baseline="0"/>
            <a:t>  CANCELADA CON TRANSFERENCIA</a:t>
          </a:r>
          <a:endParaRPr lang="es-CL" sz="1200" b="1" u="dbl" baseline="0">
            <a:solidFill>
              <a:srgbClr val="FF0000"/>
            </a:solidFill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923925</xdr:colOff>
      <xdr:row>6</xdr:row>
      <xdr:rowOff>0</xdr:rowOff>
    </xdr:from>
    <xdr:to>
      <xdr:col>8</xdr:col>
      <xdr:colOff>0</xdr:colOff>
      <xdr:row>7</xdr:row>
      <xdr:rowOff>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100-00001D000000}"/>
            </a:ext>
          </a:extLst>
        </xdr:cNvPr>
        <xdr:cNvSpPr/>
      </xdr:nvSpPr>
      <xdr:spPr>
        <a:xfrm>
          <a:off x="1845945" y="1051560"/>
          <a:ext cx="5423535" cy="19812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38100</xdr:rowOff>
    </xdr:from>
    <xdr:to>
      <xdr:col>8</xdr:col>
      <xdr:colOff>0</xdr:colOff>
      <xdr:row>5</xdr:row>
      <xdr:rowOff>19050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100-00001E000000}"/>
            </a:ext>
          </a:extLst>
        </xdr:cNvPr>
        <xdr:cNvSpPr/>
      </xdr:nvSpPr>
      <xdr:spPr>
        <a:xfrm>
          <a:off x="1845945" y="807720"/>
          <a:ext cx="542353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</xdr:row>
      <xdr:rowOff>0</xdr:rowOff>
    </xdr:from>
    <xdr:to>
      <xdr:col>8</xdr:col>
      <xdr:colOff>0</xdr:colOff>
      <xdr:row>4</xdr:row>
      <xdr:rowOff>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100-00001F000000}"/>
            </a:ext>
          </a:extLst>
        </xdr:cNvPr>
        <xdr:cNvSpPr/>
      </xdr:nvSpPr>
      <xdr:spPr>
        <a:xfrm>
          <a:off x="1845945" y="571500"/>
          <a:ext cx="5423535" cy="19812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0</xdr:col>
      <xdr:colOff>152400</xdr:colOff>
      <xdr:row>21</xdr:row>
      <xdr:rowOff>76200</xdr:rowOff>
    </xdr:from>
    <xdr:to>
      <xdr:col>7</xdr:col>
      <xdr:colOff>1676399</xdr:colOff>
      <xdr:row>23</xdr:row>
      <xdr:rowOff>19050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100-000020000000}"/>
            </a:ext>
          </a:extLst>
        </xdr:cNvPr>
        <xdr:cNvSpPr/>
      </xdr:nvSpPr>
      <xdr:spPr>
        <a:xfrm>
          <a:off x="152400" y="2872740"/>
          <a:ext cx="7048499" cy="22479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171450</xdr:colOff>
      <xdr:row>8</xdr:row>
      <xdr:rowOff>171450</xdr:rowOff>
    </xdr:from>
    <xdr:to>
      <xdr:col>7</xdr:col>
      <xdr:colOff>1695449</xdr:colOff>
      <xdr:row>10</xdr:row>
      <xdr:rowOff>19050</xdr:rowOff>
    </xdr:to>
    <xdr:sp macro="" textlink="">
      <xdr:nvSpPr>
        <xdr:cNvPr id="33" name="Rectángulo 32">
          <a:extLst>
            <a:ext uri="{FF2B5EF4-FFF2-40B4-BE49-F238E27FC236}">
              <a16:creationId xmlns:a16="http://schemas.microsoft.com/office/drawing/2014/main" id="{00000000-0008-0000-0100-000021000000}"/>
            </a:ext>
          </a:extLst>
        </xdr:cNvPr>
        <xdr:cNvSpPr/>
      </xdr:nvSpPr>
      <xdr:spPr>
        <a:xfrm>
          <a:off x="171450" y="1604010"/>
          <a:ext cx="7048499" cy="22098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161925</xdr:colOff>
      <xdr:row>62</xdr:row>
      <xdr:rowOff>171450</xdr:rowOff>
    </xdr:from>
    <xdr:to>
      <xdr:col>7</xdr:col>
      <xdr:colOff>1685924</xdr:colOff>
      <xdr:row>64</xdr:row>
      <xdr:rowOff>19050</xdr:rowOff>
    </xdr:to>
    <xdr:sp macro="" textlink="">
      <xdr:nvSpPr>
        <xdr:cNvPr id="34" name="Rectángulo 33">
          <a:extLst>
            <a:ext uri="{FF2B5EF4-FFF2-40B4-BE49-F238E27FC236}">
              <a16:creationId xmlns:a16="http://schemas.microsoft.com/office/drawing/2014/main" id="{00000000-0008-0000-0100-000022000000}"/>
            </a:ext>
          </a:extLst>
        </xdr:cNvPr>
        <xdr:cNvSpPr/>
      </xdr:nvSpPr>
      <xdr:spPr>
        <a:xfrm>
          <a:off x="161925" y="7608570"/>
          <a:ext cx="7048499" cy="21336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60</xdr:row>
      <xdr:rowOff>0</xdr:rowOff>
    </xdr:from>
    <xdr:to>
      <xdr:col>8</xdr:col>
      <xdr:colOff>0</xdr:colOff>
      <xdr:row>61</xdr:row>
      <xdr:rowOff>0</xdr:rowOff>
    </xdr:to>
    <xdr:sp macro="" textlink="">
      <xdr:nvSpPr>
        <xdr:cNvPr id="36" name="Rectángulo 35">
          <a:extLst>
            <a:ext uri="{FF2B5EF4-FFF2-40B4-BE49-F238E27FC236}">
              <a16:creationId xmlns:a16="http://schemas.microsoft.com/office/drawing/2014/main" id="{00000000-0008-0000-0100-000024000000}"/>
            </a:ext>
          </a:extLst>
        </xdr:cNvPr>
        <xdr:cNvSpPr/>
      </xdr:nvSpPr>
      <xdr:spPr>
        <a:xfrm>
          <a:off x="1845945" y="7056120"/>
          <a:ext cx="5423535" cy="19812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57</xdr:row>
      <xdr:rowOff>0</xdr:rowOff>
    </xdr:from>
    <xdr:to>
      <xdr:col>8</xdr:col>
      <xdr:colOff>0</xdr:colOff>
      <xdr:row>58</xdr:row>
      <xdr:rowOff>0</xdr:rowOff>
    </xdr:to>
    <xdr:sp macro="" textlink="">
      <xdr:nvSpPr>
        <xdr:cNvPr id="38" name="Rectángulo 37">
          <a:extLst>
            <a:ext uri="{FF2B5EF4-FFF2-40B4-BE49-F238E27FC236}">
              <a16:creationId xmlns:a16="http://schemas.microsoft.com/office/drawing/2014/main" id="{00000000-0008-0000-0100-000026000000}"/>
            </a:ext>
          </a:extLst>
        </xdr:cNvPr>
        <xdr:cNvSpPr/>
      </xdr:nvSpPr>
      <xdr:spPr>
        <a:xfrm>
          <a:off x="1845945" y="6591300"/>
          <a:ext cx="5423535" cy="19812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78</xdr:row>
      <xdr:rowOff>180975</xdr:rowOff>
    </xdr:from>
    <xdr:to>
      <xdr:col>2</xdr:col>
      <xdr:colOff>38100</xdr:colOff>
      <xdr:row>80</xdr:row>
      <xdr:rowOff>9525</xdr:rowOff>
    </xdr:to>
    <xdr:sp macro="" textlink="">
      <xdr:nvSpPr>
        <xdr:cNvPr id="39" name="Rectángulo 38">
          <a:extLst>
            <a:ext uri="{FF2B5EF4-FFF2-40B4-BE49-F238E27FC236}">
              <a16:creationId xmlns:a16="http://schemas.microsoft.com/office/drawing/2014/main" id="{00000000-0008-0000-0100-000027000000}"/>
            </a:ext>
          </a:extLst>
        </xdr:cNvPr>
        <xdr:cNvSpPr/>
      </xdr:nvSpPr>
      <xdr:spPr>
        <a:xfrm>
          <a:off x="922020" y="8616315"/>
          <a:ext cx="998220" cy="2247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78</xdr:row>
      <xdr:rowOff>180975</xdr:rowOff>
    </xdr:from>
    <xdr:to>
      <xdr:col>2</xdr:col>
      <xdr:colOff>1019175</xdr:colOff>
      <xdr:row>79</xdr:row>
      <xdr:rowOff>190500</xdr:rowOff>
    </xdr:to>
    <xdr:sp macro="" textlink="">
      <xdr:nvSpPr>
        <xdr:cNvPr id="40" name="Rectángulo 39">
          <a:extLst>
            <a:ext uri="{FF2B5EF4-FFF2-40B4-BE49-F238E27FC236}">
              <a16:creationId xmlns:a16="http://schemas.microsoft.com/office/drawing/2014/main" id="{00000000-0008-0000-0100-000028000000}"/>
            </a:ext>
          </a:extLst>
        </xdr:cNvPr>
        <xdr:cNvSpPr/>
      </xdr:nvSpPr>
      <xdr:spPr>
        <a:xfrm>
          <a:off x="1920240" y="8616315"/>
          <a:ext cx="981075" cy="20764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78</xdr:row>
      <xdr:rowOff>180975</xdr:rowOff>
    </xdr:from>
    <xdr:to>
      <xdr:col>3</xdr:col>
      <xdr:colOff>352425</xdr:colOff>
      <xdr:row>80</xdr:row>
      <xdr:rowOff>0</xdr:rowOff>
    </xdr:to>
    <xdr:sp macro="" textlink="">
      <xdr:nvSpPr>
        <xdr:cNvPr id="41" name="Rectángulo 40">
          <a:extLst>
            <a:ext uri="{FF2B5EF4-FFF2-40B4-BE49-F238E27FC236}">
              <a16:creationId xmlns:a16="http://schemas.microsoft.com/office/drawing/2014/main" id="{00000000-0008-0000-0100-000029000000}"/>
            </a:ext>
          </a:extLst>
        </xdr:cNvPr>
        <xdr:cNvSpPr/>
      </xdr:nvSpPr>
      <xdr:spPr>
        <a:xfrm>
          <a:off x="2891790" y="8616315"/>
          <a:ext cx="1019175" cy="21526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78</xdr:row>
      <xdr:rowOff>180975</xdr:rowOff>
    </xdr:from>
    <xdr:to>
      <xdr:col>4</xdr:col>
      <xdr:colOff>257175</xdr:colOff>
      <xdr:row>80</xdr:row>
      <xdr:rowOff>0</xdr:rowOff>
    </xdr:to>
    <xdr:sp macro="" textlink="">
      <xdr:nvSpPr>
        <xdr:cNvPr id="42" name="Rectángulo 41">
          <a:extLst>
            <a:ext uri="{FF2B5EF4-FFF2-40B4-BE49-F238E27FC236}">
              <a16:creationId xmlns:a16="http://schemas.microsoft.com/office/drawing/2014/main" id="{00000000-0008-0000-0100-00002A000000}"/>
            </a:ext>
          </a:extLst>
        </xdr:cNvPr>
        <xdr:cNvSpPr/>
      </xdr:nvSpPr>
      <xdr:spPr>
        <a:xfrm>
          <a:off x="3910965" y="8616315"/>
          <a:ext cx="1002030" cy="21526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78</xdr:row>
      <xdr:rowOff>180975</xdr:rowOff>
    </xdr:from>
    <xdr:to>
      <xdr:col>7</xdr:col>
      <xdr:colOff>447675</xdr:colOff>
      <xdr:row>79</xdr:row>
      <xdr:rowOff>190500</xdr:rowOff>
    </xdr:to>
    <xdr:sp macro="" textlink="">
      <xdr:nvSpPr>
        <xdr:cNvPr id="43" name="Rectángulo 42">
          <a:extLst>
            <a:ext uri="{FF2B5EF4-FFF2-40B4-BE49-F238E27FC236}">
              <a16:creationId xmlns:a16="http://schemas.microsoft.com/office/drawing/2014/main" id="{00000000-0008-0000-0100-00002B000000}"/>
            </a:ext>
          </a:extLst>
        </xdr:cNvPr>
        <xdr:cNvSpPr/>
      </xdr:nvSpPr>
      <xdr:spPr>
        <a:xfrm>
          <a:off x="4903470" y="8616315"/>
          <a:ext cx="1068705" cy="20764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7</xdr:col>
      <xdr:colOff>457200</xdr:colOff>
      <xdr:row>78</xdr:row>
      <xdr:rowOff>180975</xdr:rowOff>
    </xdr:from>
    <xdr:to>
      <xdr:col>8</xdr:col>
      <xdr:colOff>0</xdr:colOff>
      <xdr:row>79</xdr:row>
      <xdr:rowOff>190500</xdr:rowOff>
    </xdr:to>
    <xdr:sp macro="" textlink="">
      <xdr:nvSpPr>
        <xdr:cNvPr id="44" name="Rectángulo 43">
          <a:extLst>
            <a:ext uri="{FF2B5EF4-FFF2-40B4-BE49-F238E27FC236}">
              <a16:creationId xmlns:a16="http://schemas.microsoft.com/office/drawing/2014/main" id="{00000000-0008-0000-0100-00002C000000}"/>
            </a:ext>
          </a:extLst>
        </xdr:cNvPr>
        <xdr:cNvSpPr/>
      </xdr:nvSpPr>
      <xdr:spPr>
        <a:xfrm>
          <a:off x="5981700" y="8616315"/>
          <a:ext cx="1287780" cy="20764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79</xdr:row>
      <xdr:rowOff>190500</xdr:rowOff>
    </xdr:from>
    <xdr:to>
      <xdr:col>2</xdr:col>
      <xdr:colOff>304800</xdr:colOff>
      <xdr:row>81</xdr:row>
      <xdr:rowOff>95250</xdr:rowOff>
    </xdr:to>
    <xdr:sp macro="" textlink="">
      <xdr:nvSpPr>
        <xdr:cNvPr id="45" name="Rectángulo 44">
          <a:extLst>
            <a:ext uri="{FF2B5EF4-FFF2-40B4-BE49-F238E27FC236}">
              <a16:creationId xmlns:a16="http://schemas.microsoft.com/office/drawing/2014/main" id="{00000000-0008-0000-0100-00002D000000}"/>
            </a:ext>
          </a:extLst>
        </xdr:cNvPr>
        <xdr:cNvSpPr/>
      </xdr:nvSpPr>
      <xdr:spPr>
        <a:xfrm>
          <a:off x="922020" y="8823960"/>
          <a:ext cx="126492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79</xdr:row>
      <xdr:rowOff>190500</xdr:rowOff>
    </xdr:from>
    <xdr:to>
      <xdr:col>2</xdr:col>
      <xdr:colOff>1276350</xdr:colOff>
      <xdr:row>81</xdr:row>
      <xdr:rowOff>95250</xdr:rowOff>
    </xdr:to>
    <xdr:sp macro="" textlink="">
      <xdr:nvSpPr>
        <xdr:cNvPr id="46" name="Rectángulo 45">
          <a:extLst>
            <a:ext uri="{FF2B5EF4-FFF2-40B4-BE49-F238E27FC236}">
              <a16:creationId xmlns:a16="http://schemas.microsoft.com/office/drawing/2014/main" id="{00000000-0008-0000-0100-00002E000000}"/>
            </a:ext>
          </a:extLst>
        </xdr:cNvPr>
        <xdr:cNvSpPr/>
      </xdr:nvSpPr>
      <xdr:spPr>
        <a:xfrm>
          <a:off x="1920240" y="8823960"/>
          <a:ext cx="123825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79</xdr:row>
      <xdr:rowOff>190500</xdr:rowOff>
    </xdr:from>
    <xdr:to>
      <xdr:col>3</xdr:col>
      <xdr:colOff>619125</xdr:colOff>
      <xdr:row>81</xdr:row>
      <xdr:rowOff>95250</xdr:rowOff>
    </xdr:to>
    <xdr:sp macro="" textlink="">
      <xdr:nvSpPr>
        <xdr:cNvPr id="47" name="Rectángulo 46">
          <a:extLst>
            <a:ext uri="{FF2B5EF4-FFF2-40B4-BE49-F238E27FC236}">
              <a16:creationId xmlns:a16="http://schemas.microsoft.com/office/drawing/2014/main" id="{00000000-0008-0000-0100-00002F000000}"/>
            </a:ext>
          </a:extLst>
        </xdr:cNvPr>
        <xdr:cNvSpPr/>
      </xdr:nvSpPr>
      <xdr:spPr>
        <a:xfrm>
          <a:off x="2891790" y="8823960"/>
          <a:ext cx="128587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79</xdr:row>
      <xdr:rowOff>190500</xdr:rowOff>
    </xdr:from>
    <xdr:to>
      <xdr:col>4</xdr:col>
      <xdr:colOff>523875</xdr:colOff>
      <xdr:row>81</xdr:row>
      <xdr:rowOff>95250</xdr:rowOff>
    </xdr:to>
    <xdr:sp macro="" textlink="">
      <xdr:nvSpPr>
        <xdr:cNvPr id="48" name="Rectángulo 47">
          <a:extLst>
            <a:ext uri="{FF2B5EF4-FFF2-40B4-BE49-F238E27FC236}">
              <a16:creationId xmlns:a16="http://schemas.microsoft.com/office/drawing/2014/main" id="{00000000-0008-0000-0100-000030000000}"/>
            </a:ext>
          </a:extLst>
        </xdr:cNvPr>
        <xdr:cNvSpPr/>
      </xdr:nvSpPr>
      <xdr:spPr>
        <a:xfrm>
          <a:off x="3910965" y="8823960"/>
          <a:ext cx="126873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79</xdr:row>
      <xdr:rowOff>190500</xdr:rowOff>
    </xdr:from>
    <xdr:to>
      <xdr:col>7</xdr:col>
      <xdr:colOff>723900</xdr:colOff>
      <xdr:row>81</xdr:row>
      <xdr:rowOff>95250</xdr:rowOff>
    </xdr:to>
    <xdr:sp macro="" textlink="">
      <xdr:nvSpPr>
        <xdr:cNvPr id="49" name="Rectángulo 48">
          <a:extLst>
            <a:ext uri="{FF2B5EF4-FFF2-40B4-BE49-F238E27FC236}">
              <a16:creationId xmlns:a16="http://schemas.microsoft.com/office/drawing/2014/main" id="{00000000-0008-0000-0100-000031000000}"/>
            </a:ext>
          </a:extLst>
        </xdr:cNvPr>
        <xdr:cNvSpPr/>
      </xdr:nvSpPr>
      <xdr:spPr>
        <a:xfrm>
          <a:off x="4903470" y="8823960"/>
          <a:ext cx="134493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7</xdr:col>
      <xdr:colOff>457200</xdr:colOff>
      <xdr:row>79</xdr:row>
      <xdr:rowOff>190500</xdr:rowOff>
    </xdr:from>
    <xdr:to>
      <xdr:col>8</xdr:col>
      <xdr:colOff>0</xdr:colOff>
      <xdr:row>81</xdr:row>
      <xdr:rowOff>95250</xdr:rowOff>
    </xdr:to>
    <xdr:sp macro="" textlink="">
      <xdr:nvSpPr>
        <xdr:cNvPr id="50" name="Rectángulo 49">
          <a:extLst>
            <a:ext uri="{FF2B5EF4-FFF2-40B4-BE49-F238E27FC236}">
              <a16:creationId xmlns:a16="http://schemas.microsoft.com/office/drawing/2014/main" id="{00000000-0008-0000-0100-000032000000}"/>
            </a:ext>
          </a:extLst>
        </xdr:cNvPr>
        <xdr:cNvSpPr/>
      </xdr:nvSpPr>
      <xdr:spPr>
        <a:xfrm>
          <a:off x="5981700" y="8823960"/>
          <a:ext cx="128778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0</xdr:col>
      <xdr:colOff>260983</xdr:colOff>
      <xdr:row>50</xdr:row>
      <xdr:rowOff>1904</xdr:rowOff>
    </xdr:from>
    <xdr:to>
      <xdr:col>7</xdr:col>
      <xdr:colOff>1855469</xdr:colOff>
      <xdr:row>53</xdr:row>
      <xdr:rowOff>190500</xdr:rowOff>
    </xdr:to>
    <xdr:sp macro="" textlink="">
      <xdr:nvSpPr>
        <xdr:cNvPr id="51" name="Rectángulo 50">
          <a:extLst>
            <a:ext uri="{FF2B5EF4-FFF2-40B4-BE49-F238E27FC236}">
              <a16:creationId xmlns:a16="http://schemas.microsoft.com/office/drawing/2014/main" id="{00000000-0008-0000-0100-000033000000}"/>
            </a:ext>
          </a:extLst>
        </xdr:cNvPr>
        <xdr:cNvSpPr/>
      </xdr:nvSpPr>
      <xdr:spPr>
        <a:xfrm>
          <a:off x="260983" y="5404484"/>
          <a:ext cx="6715126" cy="782956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050" b="1" i="1"/>
            <a:t>OBSERVACIONES: CORTADAS A LA MEDIDA</a:t>
          </a:r>
          <a:endParaRPr lang="es-CL" sz="1050" b="1" i="1" baseline="0"/>
        </a:p>
      </xdr:txBody>
    </xdr:sp>
    <xdr:clientData/>
  </xdr:twoCellAnchor>
  <xdr:twoCellAnchor>
    <xdr:from>
      <xdr:col>0</xdr:col>
      <xdr:colOff>190500</xdr:colOff>
      <xdr:row>36</xdr:row>
      <xdr:rowOff>200025</xdr:rowOff>
    </xdr:from>
    <xdr:to>
      <xdr:col>8</xdr:col>
      <xdr:colOff>19049</xdr:colOff>
      <xdr:row>38</xdr:row>
      <xdr:rowOff>9525</xdr:rowOff>
    </xdr:to>
    <xdr:sp macro="" textlink="">
      <xdr:nvSpPr>
        <xdr:cNvPr id="52" name="Rectángulo 51">
          <a:extLst>
            <a:ext uri="{FF2B5EF4-FFF2-40B4-BE49-F238E27FC236}">
              <a16:creationId xmlns:a16="http://schemas.microsoft.com/office/drawing/2014/main" id="{00000000-0008-0000-0100-000034000000}"/>
            </a:ext>
          </a:extLst>
        </xdr:cNvPr>
        <xdr:cNvSpPr/>
      </xdr:nvSpPr>
      <xdr:spPr>
        <a:xfrm>
          <a:off x="190500" y="4086225"/>
          <a:ext cx="7098029" cy="22098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0</xdr:col>
      <xdr:colOff>914400</xdr:colOff>
      <xdr:row>82</xdr:row>
      <xdr:rowOff>7620</xdr:rowOff>
    </xdr:from>
    <xdr:to>
      <xdr:col>8</xdr:col>
      <xdr:colOff>0</xdr:colOff>
      <xdr:row>85</xdr:row>
      <xdr:rowOff>234316</xdr:rowOff>
    </xdr:to>
    <xdr:sp macro="" textlink="">
      <xdr:nvSpPr>
        <xdr:cNvPr id="53" name="Rectángulo 52">
          <a:extLst>
            <a:ext uri="{FF2B5EF4-FFF2-40B4-BE49-F238E27FC236}">
              <a16:creationId xmlns:a16="http://schemas.microsoft.com/office/drawing/2014/main" id="{00000000-0008-0000-0100-000035000000}"/>
            </a:ext>
          </a:extLst>
        </xdr:cNvPr>
        <xdr:cNvSpPr/>
      </xdr:nvSpPr>
      <xdr:spPr>
        <a:xfrm>
          <a:off x="914400" y="9227820"/>
          <a:ext cx="6355080" cy="782956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050" b="1" i="1"/>
            <a:t>OBSERVACIONES: VAN CORTADAS A LA MEDIDA</a:t>
          </a:r>
          <a:endParaRPr lang="es-CL" sz="1050" b="1" i="1" baseline="0"/>
        </a:p>
      </xdr:txBody>
    </xdr:sp>
    <xdr:clientData/>
  </xdr:twoCellAnchor>
  <xdr:twoCellAnchor>
    <xdr:from>
      <xdr:col>1</xdr:col>
      <xdr:colOff>923925</xdr:colOff>
      <xdr:row>58</xdr:row>
      <xdr:rowOff>38100</xdr:rowOff>
    </xdr:from>
    <xdr:to>
      <xdr:col>8</xdr:col>
      <xdr:colOff>0</xdr:colOff>
      <xdr:row>59</xdr:row>
      <xdr:rowOff>19050</xdr:rowOff>
    </xdr:to>
    <xdr:sp macro="" textlink="">
      <xdr:nvSpPr>
        <xdr:cNvPr id="54" name="Rectángulo 53">
          <a:extLst>
            <a:ext uri="{FF2B5EF4-FFF2-40B4-BE49-F238E27FC236}">
              <a16:creationId xmlns:a16="http://schemas.microsoft.com/office/drawing/2014/main" id="{00000000-0008-0000-0100-000036000000}"/>
            </a:ext>
          </a:extLst>
        </xdr:cNvPr>
        <xdr:cNvSpPr/>
      </xdr:nvSpPr>
      <xdr:spPr>
        <a:xfrm>
          <a:off x="1998345" y="9585960"/>
          <a:ext cx="3808095" cy="16383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0</xdr:col>
      <xdr:colOff>266700</xdr:colOff>
      <xdr:row>56</xdr:row>
      <xdr:rowOff>62865</xdr:rowOff>
    </xdr:from>
    <xdr:to>
      <xdr:col>1</xdr:col>
      <xdr:colOff>778903</xdr:colOff>
      <xdr:row>62</xdr:row>
      <xdr:rowOff>7620</xdr:rowOff>
    </xdr:to>
    <xdr:pic>
      <xdr:nvPicPr>
        <xdr:cNvPr id="37" name="Imagen 36">
          <a:extLst>
            <a:ext uri="{FF2B5EF4-FFF2-40B4-BE49-F238E27FC236}">
              <a16:creationId xmlns:a16="http://schemas.microsoft.com/office/drawing/2014/main" id="{00000000-0008-0000-01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700" y="9330690"/>
          <a:ext cx="1559953" cy="1173480"/>
        </a:xfrm>
        <a:prstGeom prst="rect">
          <a:avLst/>
        </a:prstGeom>
      </xdr:spPr>
    </xdr:pic>
    <xdr:clientData/>
  </xdr:twoCellAnchor>
  <xdr:twoCellAnchor editAs="oneCell">
    <xdr:from>
      <xdr:col>0</xdr:col>
      <xdr:colOff>236220</xdr:colOff>
      <xdr:row>2</xdr:row>
      <xdr:rowOff>114300</xdr:rowOff>
    </xdr:from>
    <xdr:to>
      <xdr:col>1</xdr:col>
      <xdr:colOff>748423</xdr:colOff>
      <xdr:row>8</xdr:row>
      <xdr:rowOff>74295</xdr:rowOff>
    </xdr:to>
    <xdr:pic>
      <xdr:nvPicPr>
        <xdr:cNvPr id="55" name="Imagen 54">
          <a:extLst>
            <a:ext uri="{FF2B5EF4-FFF2-40B4-BE49-F238E27FC236}">
              <a16:creationId xmlns:a16="http://schemas.microsoft.com/office/drawing/2014/main" id="{00000000-0008-0000-0100-00003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6220" y="495300"/>
          <a:ext cx="1586623" cy="114871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Luis/Desktop/POSTFORMADO%202020/NOTAS%20DE%20VENTAS/50%20FEBRERO%202020/5729%20MUEBLES%20LAZ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4637"/>
      <sheetName val="REGLAS"/>
      <sheetName val="CUBIERTA"/>
    </sheetNames>
    <sheetDataSet>
      <sheetData sheetId="0">
        <row r="11">
          <cell r="F11" t="str">
            <v>FECHA ENTREGA :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O37"/>
  <sheetViews>
    <sheetView topLeftCell="A16" workbookViewId="0">
      <selection activeCell="D21" sqref="D21:D27"/>
    </sheetView>
  </sheetViews>
  <sheetFormatPr baseColWidth="10" defaultRowHeight="14.4" x14ac:dyDescent="0.3"/>
  <cols>
    <col min="1" max="1" width="2.88671875" customWidth="1"/>
    <col min="2" max="2" width="11.109375" customWidth="1"/>
    <col min="3" max="3" width="30.109375" customWidth="1"/>
    <col min="4" max="4" width="11.109375" customWidth="1"/>
    <col min="5" max="7" width="10" customWidth="1"/>
    <col min="8" max="8" width="32.88671875" customWidth="1"/>
    <col min="9" max="9" width="14.5546875" customWidth="1"/>
    <col min="10" max="10" width="15.5546875" customWidth="1"/>
    <col min="12" max="12" width="15.33203125" customWidth="1"/>
  </cols>
  <sheetData>
    <row r="2" spans="2:10" ht="15.6" x14ac:dyDescent="0.3">
      <c r="H2" s="21" t="s">
        <v>43</v>
      </c>
    </row>
    <row r="3" spans="2:10" x14ac:dyDescent="0.3">
      <c r="H3" s="1" t="s">
        <v>44</v>
      </c>
    </row>
    <row r="4" spans="2:10" x14ac:dyDescent="0.3">
      <c r="H4" s="1" t="s">
        <v>45</v>
      </c>
    </row>
    <row r="5" spans="2:10" x14ac:dyDescent="0.3">
      <c r="H5" s="1" t="s">
        <v>0</v>
      </c>
    </row>
    <row r="6" spans="2:10" x14ac:dyDescent="0.3">
      <c r="H6" s="1" t="s">
        <v>17</v>
      </c>
    </row>
    <row r="7" spans="2:10" x14ac:dyDescent="0.3">
      <c r="H7" s="1" t="s">
        <v>46</v>
      </c>
    </row>
    <row r="8" spans="2:10" ht="21" x14ac:dyDescent="0.4">
      <c r="B8" s="43" t="s">
        <v>18</v>
      </c>
      <c r="C8" s="42"/>
      <c r="D8" s="44" t="s">
        <v>19</v>
      </c>
      <c r="H8" s="48" t="s">
        <v>30</v>
      </c>
      <c r="I8" s="80">
        <v>7027</v>
      </c>
    </row>
    <row r="9" spans="2:10" ht="15" thickBot="1" x14ac:dyDescent="0.35">
      <c r="I9" s="4"/>
    </row>
    <row r="10" spans="2:10" x14ac:dyDescent="0.3">
      <c r="B10" s="22" t="s">
        <v>8</v>
      </c>
      <c r="C10" s="23" t="s">
        <v>55</v>
      </c>
      <c r="D10" s="24"/>
      <c r="E10" s="24"/>
      <c r="F10" s="24"/>
      <c r="G10" s="24"/>
      <c r="H10" s="25" t="s">
        <v>34</v>
      </c>
      <c r="I10" s="26">
        <v>45313</v>
      </c>
      <c r="J10" s="27"/>
    </row>
    <row r="11" spans="2:10" ht="16.8" x14ac:dyDescent="0.4">
      <c r="B11" s="28" t="s">
        <v>2</v>
      </c>
      <c r="C11" s="98" t="s">
        <v>56</v>
      </c>
      <c r="D11" s="29"/>
      <c r="E11" s="29"/>
      <c r="F11" s="29"/>
      <c r="G11" s="29"/>
      <c r="H11" s="29" t="s">
        <v>33</v>
      </c>
      <c r="I11" s="30">
        <v>45316</v>
      </c>
      <c r="J11" s="31"/>
    </row>
    <row r="12" spans="2:10" x14ac:dyDescent="0.3">
      <c r="B12" s="32" t="s">
        <v>47</v>
      </c>
      <c r="C12" t="s">
        <v>57</v>
      </c>
      <c r="D12" s="33"/>
      <c r="E12" s="33"/>
      <c r="F12" s="33"/>
      <c r="G12" s="33"/>
      <c r="H12" s="33" t="s">
        <v>50</v>
      </c>
      <c r="I12" s="97"/>
      <c r="J12" s="78"/>
    </row>
    <row r="13" spans="2:10" x14ac:dyDescent="0.3">
      <c r="B13" s="28" t="s">
        <v>20</v>
      </c>
      <c r="C13" s="99" t="s">
        <v>58</v>
      </c>
      <c r="D13" s="35"/>
      <c r="E13" s="29"/>
      <c r="F13" s="29"/>
      <c r="G13" s="29"/>
      <c r="H13" s="29" t="s">
        <v>49</v>
      </c>
      <c r="I13" s="29" t="s">
        <v>51</v>
      </c>
      <c r="J13" s="31"/>
    </row>
    <row r="14" spans="2:10" ht="16.8" x14ac:dyDescent="0.4">
      <c r="B14" s="32" t="s">
        <v>1</v>
      </c>
      <c r="C14" s="98" t="s">
        <v>59</v>
      </c>
      <c r="D14" s="33"/>
      <c r="E14" s="33"/>
      <c r="F14" s="33"/>
      <c r="G14" s="33"/>
      <c r="H14" s="36" t="s">
        <v>54</v>
      </c>
      <c r="I14" s="33"/>
      <c r="J14" s="34"/>
    </row>
    <row r="15" spans="2:10" ht="15" thickBot="1" x14ac:dyDescent="0.35">
      <c r="B15" s="37" t="s">
        <v>3</v>
      </c>
      <c r="C15" s="38" t="s">
        <v>48</v>
      </c>
      <c r="D15" s="38"/>
      <c r="E15" s="39"/>
      <c r="F15" s="39"/>
      <c r="G15" s="39"/>
      <c r="H15" s="105" t="s">
        <v>21</v>
      </c>
      <c r="I15" s="105"/>
      <c r="J15" s="106"/>
    </row>
    <row r="17" spans="2:15" ht="15" thickBot="1" x14ac:dyDescent="0.35"/>
    <row r="18" spans="2:15" x14ac:dyDescent="0.3">
      <c r="B18" s="107" t="s">
        <v>22</v>
      </c>
      <c r="C18" s="108"/>
      <c r="D18" s="108"/>
      <c r="E18" s="108"/>
      <c r="F18" s="108"/>
      <c r="G18" s="108"/>
      <c r="H18" s="108"/>
      <c r="I18" s="108"/>
      <c r="J18" s="109"/>
      <c r="K18" s="5"/>
      <c r="L18" s="125"/>
      <c r="M18" s="5"/>
    </row>
    <row r="19" spans="2:15" ht="15" thickBot="1" x14ac:dyDescent="0.35">
      <c r="B19" s="94" t="s">
        <v>23</v>
      </c>
      <c r="C19" s="95" t="s">
        <v>24</v>
      </c>
      <c r="D19" s="95" t="s">
        <v>25</v>
      </c>
      <c r="E19" s="95" t="s">
        <v>10</v>
      </c>
      <c r="F19" s="95" t="s">
        <v>61</v>
      </c>
      <c r="G19" s="95" t="s">
        <v>62</v>
      </c>
      <c r="H19" s="95" t="s">
        <v>26</v>
      </c>
      <c r="I19" s="95" t="s">
        <v>27</v>
      </c>
      <c r="J19" s="96" t="s">
        <v>5</v>
      </c>
      <c r="K19" s="4"/>
      <c r="L19" s="126"/>
    </row>
    <row r="20" spans="2:15" ht="18.600000000000001" thickBot="1" x14ac:dyDescent="0.35">
      <c r="B20" s="116">
        <v>1</v>
      </c>
      <c r="C20" s="117" t="s">
        <v>60</v>
      </c>
      <c r="D20" s="122">
        <v>1810</v>
      </c>
      <c r="E20" s="122">
        <v>400</v>
      </c>
      <c r="F20" s="122">
        <v>200</v>
      </c>
      <c r="G20" s="122">
        <v>150</v>
      </c>
      <c r="H20" s="118" t="s">
        <v>64</v>
      </c>
      <c r="I20" s="119">
        <v>150334</v>
      </c>
      <c r="J20" s="120">
        <f>I20*B20</f>
        <v>150334</v>
      </c>
      <c r="L20" s="127"/>
      <c r="M20" s="50"/>
    </row>
    <row r="21" spans="2:15" ht="18.600000000000001" thickBot="1" x14ac:dyDescent="0.35">
      <c r="B21" s="116">
        <v>1</v>
      </c>
      <c r="C21" s="117" t="s">
        <v>60</v>
      </c>
      <c r="D21" s="122">
        <v>1770</v>
      </c>
      <c r="E21" s="122">
        <v>400</v>
      </c>
      <c r="F21" s="122">
        <v>200</v>
      </c>
      <c r="G21" s="122">
        <v>150</v>
      </c>
      <c r="H21" s="118" t="s">
        <v>64</v>
      </c>
      <c r="I21" s="119">
        <v>147208</v>
      </c>
      <c r="J21" s="120">
        <f t="shared" ref="J21:J28" si="0">I21*B21</f>
        <v>147208</v>
      </c>
      <c r="K21" s="50"/>
      <c r="L21" s="127"/>
      <c r="M21" s="50"/>
    </row>
    <row r="22" spans="2:15" ht="18.600000000000001" thickBot="1" x14ac:dyDescent="0.35">
      <c r="B22" s="116">
        <v>1</v>
      </c>
      <c r="C22" s="117" t="s">
        <v>60</v>
      </c>
      <c r="D22" s="122">
        <v>835</v>
      </c>
      <c r="E22" s="122">
        <v>400</v>
      </c>
      <c r="F22" s="122">
        <v>200</v>
      </c>
      <c r="G22" s="122">
        <v>150</v>
      </c>
      <c r="H22" s="118" t="s">
        <v>64</v>
      </c>
      <c r="I22" s="119">
        <v>74151</v>
      </c>
      <c r="J22" s="120">
        <f t="shared" si="0"/>
        <v>74151</v>
      </c>
      <c r="K22" s="50"/>
      <c r="L22" s="127"/>
      <c r="M22" s="50"/>
    </row>
    <row r="23" spans="2:15" ht="18.600000000000001" thickBot="1" x14ac:dyDescent="0.35">
      <c r="B23" s="116">
        <v>2</v>
      </c>
      <c r="C23" s="117" t="s">
        <v>60</v>
      </c>
      <c r="D23" s="122">
        <v>1570</v>
      </c>
      <c r="E23" s="122">
        <v>400</v>
      </c>
      <c r="F23" s="122">
        <v>200</v>
      </c>
      <c r="G23" s="122">
        <v>150</v>
      </c>
      <c r="H23" s="118" t="s">
        <v>64</v>
      </c>
      <c r="I23" s="119">
        <v>131581</v>
      </c>
      <c r="J23" s="120">
        <f t="shared" si="0"/>
        <v>263162</v>
      </c>
      <c r="K23" s="50"/>
      <c r="L23" s="127"/>
      <c r="M23" s="50"/>
    </row>
    <row r="24" spans="2:15" ht="18.600000000000001" thickBot="1" x14ac:dyDescent="0.35">
      <c r="B24" s="116">
        <v>1</v>
      </c>
      <c r="C24" s="117" t="s">
        <v>60</v>
      </c>
      <c r="D24" s="122">
        <v>1000</v>
      </c>
      <c r="E24" s="122">
        <v>400</v>
      </c>
      <c r="F24" s="122">
        <v>200</v>
      </c>
      <c r="G24" s="122">
        <v>150</v>
      </c>
      <c r="H24" s="118" t="s">
        <v>64</v>
      </c>
      <c r="I24" s="119">
        <v>87043</v>
      </c>
      <c r="J24" s="120">
        <f t="shared" si="0"/>
        <v>87043</v>
      </c>
      <c r="K24" s="50"/>
      <c r="L24" s="127"/>
      <c r="M24" s="50"/>
    </row>
    <row r="25" spans="2:15" ht="18.600000000000001" thickBot="1" x14ac:dyDescent="0.35">
      <c r="B25" s="116">
        <v>2</v>
      </c>
      <c r="C25" s="117" t="s">
        <v>60</v>
      </c>
      <c r="D25" s="122">
        <v>1570</v>
      </c>
      <c r="E25" s="122">
        <v>400</v>
      </c>
      <c r="F25" s="122">
        <v>200</v>
      </c>
      <c r="G25" s="122">
        <v>150</v>
      </c>
      <c r="H25" s="118" t="s">
        <v>64</v>
      </c>
      <c r="I25" s="119">
        <v>131581</v>
      </c>
      <c r="J25" s="120">
        <f t="shared" si="0"/>
        <v>263162</v>
      </c>
      <c r="K25" s="50"/>
      <c r="L25" s="127"/>
      <c r="M25" s="50"/>
    </row>
    <row r="26" spans="2:15" ht="18.600000000000001" thickBot="1" x14ac:dyDescent="0.35">
      <c r="B26" s="116">
        <v>2</v>
      </c>
      <c r="C26" s="117" t="s">
        <v>60</v>
      </c>
      <c r="D26" s="122">
        <v>1570</v>
      </c>
      <c r="E26" s="122">
        <v>400</v>
      </c>
      <c r="F26" s="122">
        <v>200</v>
      </c>
      <c r="G26" s="122">
        <v>150</v>
      </c>
      <c r="H26" s="118" t="s">
        <v>64</v>
      </c>
      <c r="I26" s="119">
        <v>131581</v>
      </c>
      <c r="J26" s="120">
        <f t="shared" si="0"/>
        <v>263162</v>
      </c>
      <c r="K26" s="50"/>
      <c r="L26" s="127"/>
      <c r="M26" s="50"/>
    </row>
    <row r="27" spans="2:15" ht="18.600000000000001" thickBot="1" x14ac:dyDescent="0.35">
      <c r="B27" s="116">
        <v>2</v>
      </c>
      <c r="C27" s="117" t="s">
        <v>60</v>
      </c>
      <c r="D27" s="122">
        <v>1570</v>
      </c>
      <c r="E27" s="122">
        <v>400</v>
      </c>
      <c r="F27" s="122">
        <v>200</v>
      </c>
      <c r="G27" s="122">
        <v>150</v>
      </c>
      <c r="H27" s="118" t="s">
        <v>64</v>
      </c>
      <c r="I27" s="119">
        <v>131581</v>
      </c>
      <c r="J27" s="120">
        <f t="shared" si="0"/>
        <v>263162</v>
      </c>
      <c r="K27" s="50"/>
      <c r="L27" s="127"/>
      <c r="M27" s="50"/>
    </row>
    <row r="28" spans="2:15" ht="18" x14ac:dyDescent="0.3">
      <c r="B28" s="121">
        <v>12</v>
      </c>
      <c r="C28" s="117" t="s">
        <v>65</v>
      </c>
      <c r="D28" s="122"/>
      <c r="E28" s="122"/>
      <c r="F28" s="122"/>
      <c r="G28" s="122"/>
      <c r="H28" s="118"/>
      <c r="I28" s="119">
        <v>10000</v>
      </c>
      <c r="J28" s="120">
        <f t="shared" si="0"/>
        <v>120000</v>
      </c>
      <c r="K28" s="50"/>
      <c r="L28" s="128"/>
      <c r="M28" s="50"/>
    </row>
    <row r="29" spans="2:15" ht="18" x14ac:dyDescent="0.3">
      <c r="B29" s="100"/>
      <c r="C29" s="101"/>
      <c r="D29" s="102"/>
      <c r="E29" s="102"/>
      <c r="F29" s="102"/>
      <c r="G29" s="102"/>
      <c r="H29" s="9"/>
      <c r="I29" s="124" t="s">
        <v>63</v>
      </c>
      <c r="J29" s="123">
        <v>75569</v>
      </c>
      <c r="K29" s="50"/>
      <c r="M29" s="50"/>
    </row>
    <row r="30" spans="2:15" ht="15" thickBot="1" x14ac:dyDescent="0.35">
      <c r="B30" s="79"/>
      <c r="C30" s="81"/>
      <c r="D30" s="50"/>
      <c r="E30" s="50"/>
      <c r="F30" s="50"/>
      <c r="G30" s="50"/>
      <c r="H30" s="50"/>
      <c r="I30" s="82"/>
      <c r="J30" s="83"/>
      <c r="M30" s="93"/>
      <c r="N30" s="93"/>
    </row>
    <row r="31" spans="2:15" ht="16.95" customHeight="1" x14ac:dyDescent="0.3">
      <c r="B31" s="9"/>
      <c r="C31" s="50"/>
      <c r="D31" s="2"/>
      <c r="E31" s="2"/>
      <c r="F31" s="2"/>
      <c r="G31" s="2"/>
      <c r="H31" s="9"/>
      <c r="I31" s="85" t="s">
        <v>6</v>
      </c>
      <c r="J31" s="86">
        <f>SUM(J20:J30)</f>
        <v>1706953</v>
      </c>
      <c r="N31" s="93"/>
      <c r="O31" s="93"/>
    </row>
    <row r="32" spans="2:15" ht="18" customHeight="1" x14ac:dyDescent="0.3">
      <c r="I32" s="87" t="s">
        <v>7</v>
      </c>
      <c r="J32" s="88">
        <f>J31*19%</f>
        <v>324321.07</v>
      </c>
    </row>
    <row r="33" spans="2:10" ht="16.2" thickBot="1" x14ac:dyDescent="0.35">
      <c r="I33" s="89" t="s">
        <v>5</v>
      </c>
      <c r="J33" s="90">
        <f>J31+J32</f>
        <v>2031274.07</v>
      </c>
    </row>
    <row r="34" spans="2:10" x14ac:dyDescent="0.3">
      <c r="C34" s="50"/>
    </row>
    <row r="35" spans="2:10" x14ac:dyDescent="0.3">
      <c r="B35" s="45" t="s">
        <v>31</v>
      </c>
      <c r="C35" s="50"/>
      <c r="D35" s="40"/>
      <c r="E35" s="40"/>
      <c r="F35" s="40"/>
      <c r="G35" s="40"/>
      <c r="H35" s="41"/>
    </row>
    <row r="36" spans="2:10" x14ac:dyDescent="0.3">
      <c r="B36" s="45" t="s">
        <v>32</v>
      </c>
      <c r="C36" s="50"/>
      <c r="D36" s="40"/>
      <c r="E36" s="40"/>
      <c r="F36" s="40"/>
      <c r="G36" s="40"/>
      <c r="H36" s="41"/>
    </row>
    <row r="37" spans="2:10" x14ac:dyDescent="0.3">
      <c r="B37" s="46" t="s">
        <v>28</v>
      </c>
      <c r="C37" s="50"/>
      <c r="E37" s="47" t="s">
        <v>29</v>
      </c>
      <c r="F37" s="47"/>
      <c r="G37" s="47"/>
    </row>
  </sheetData>
  <sortState xmlns:xlrd2="http://schemas.microsoft.com/office/spreadsheetml/2017/richdata2" ref="B51">
    <sortCondition sortBy="fontColor" ref="B51" dxfId="0"/>
  </sortState>
  <mergeCells count="2">
    <mergeCell ref="H15:J15"/>
    <mergeCell ref="B18:J18"/>
  </mergeCells>
  <hyperlinks>
    <hyperlink ref="E37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61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2:S87"/>
  <sheetViews>
    <sheetView tabSelected="1" workbookViewId="0">
      <selection activeCell="G14" sqref="G14:G20"/>
    </sheetView>
  </sheetViews>
  <sheetFormatPr baseColWidth="10" defaultRowHeight="14.4" x14ac:dyDescent="0.3"/>
  <cols>
    <col min="1" max="1" width="15.6640625" customWidth="1"/>
    <col min="2" max="2" width="14.33203125" customWidth="1"/>
    <col min="3" max="3" width="24.33203125" customWidth="1"/>
    <col min="8" max="8" width="27.33203125" customWidth="1"/>
    <col min="11" max="11" width="5.44140625" customWidth="1"/>
    <col min="12" max="12" width="9.33203125" customWidth="1"/>
    <col min="13" max="13" width="8.6640625" customWidth="1"/>
  </cols>
  <sheetData>
    <row r="2" spans="1:19" ht="15.6" x14ac:dyDescent="0.3">
      <c r="I2" s="2"/>
    </row>
    <row r="3" spans="1:19" ht="15.6" x14ac:dyDescent="0.3">
      <c r="I3" s="2"/>
    </row>
    <row r="4" spans="1:19" ht="15.6" x14ac:dyDescent="0.3">
      <c r="C4" s="52" t="s">
        <v>30</v>
      </c>
      <c r="E4" s="53">
        <f>'5770'!I8</f>
        <v>7027</v>
      </c>
      <c r="F4" s="53"/>
      <c r="G4" s="53"/>
      <c r="I4" s="2"/>
    </row>
    <row r="5" spans="1:19" ht="15.6" x14ac:dyDescent="0.3">
      <c r="C5" s="54" t="s">
        <v>35</v>
      </c>
      <c r="D5" s="55" t="str">
        <f>'5770'!C10</f>
        <v>RIOCA LIMITADA</v>
      </c>
      <c r="E5" s="33"/>
      <c r="F5" s="33"/>
      <c r="G5" s="33"/>
      <c r="H5" s="33"/>
      <c r="I5" s="2"/>
      <c r="L5" s="5"/>
      <c r="M5" s="5"/>
    </row>
    <row r="6" spans="1:19" ht="15.6" x14ac:dyDescent="0.3">
      <c r="C6" s="56"/>
      <c r="D6" s="57"/>
      <c r="I6" s="2"/>
      <c r="K6" s="5"/>
      <c r="L6" s="5"/>
      <c r="M6" s="5"/>
    </row>
    <row r="7" spans="1:19" ht="15.6" x14ac:dyDescent="0.3">
      <c r="C7" s="58" t="str">
        <f>'[1]4637'!F11</f>
        <v>FECHA ENTREGA :</v>
      </c>
      <c r="E7" s="59">
        <f>'5770'!I11</f>
        <v>45316</v>
      </c>
      <c r="F7" s="59"/>
      <c r="G7" s="59"/>
      <c r="H7" s="2"/>
      <c r="I7" s="2"/>
      <c r="K7" s="5"/>
      <c r="L7" s="5"/>
      <c r="M7" s="5"/>
    </row>
    <row r="8" spans="1:19" ht="15.6" x14ac:dyDescent="0.3">
      <c r="I8" s="2"/>
      <c r="K8" s="5"/>
      <c r="L8" s="5"/>
      <c r="M8" s="5"/>
    </row>
    <row r="9" spans="1:19" ht="15.6" x14ac:dyDescent="0.3">
      <c r="I9" s="2"/>
      <c r="K9" s="5"/>
      <c r="L9" s="5"/>
      <c r="M9" s="5"/>
    </row>
    <row r="10" spans="1:19" ht="15.6" x14ac:dyDescent="0.3">
      <c r="A10" s="110" t="s">
        <v>36</v>
      </c>
      <c r="B10" s="110"/>
      <c r="C10" s="110"/>
      <c r="D10" s="110"/>
      <c r="E10" s="110"/>
      <c r="F10" s="110"/>
      <c r="G10" s="110"/>
      <c r="H10" s="110"/>
      <c r="I10" s="2"/>
      <c r="K10" s="5"/>
      <c r="L10" s="5"/>
      <c r="M10" s="5"/>
    </row>
    <row r="11" spans="1:19" ht="15.6" x14ac:dyDescent="0.3">
      <c r="C11" s="60"/>
      <c r="I11" s="2"/>
      <c r="K11" s="5"/>
      <c r="L11" s="5"/>
      <c r="M11" s="5"/>
    </row>
    <row r="12" spans="1:19" ht="15.6" x14ac:dyDescent="0.3">
      <c r="A12" s="2"/>
      <c r="B12" s="2"/>
      <c r="C12" s="2"/>
      <c r="D12" s="61" t="s">
        <v>9</v>
      </c>
      <c r="E12" s="61" t="s">
        <v>10</v>
      </c>
      <c r="F12" s="61"/>
      <c r="G12" s="61"/>
      <c r="H12" s="2"/>
      <c r="I12" s="2"/>
    </row>
    <row r="13" spans="1:19" ht="15.6" x14ac:dyDescent="0.3">
      <c r="A13" s="61" t="s">
        <v>11</v>
      </c>
      <c r="B13" s="91" t="s">
        <v>12</v>
      </c>
      <c r="C13" s="91" t="s">
        <v>13</v>
      </c>
      <c r="D13" s="62">
        <v>50</v>
      </c>
      <c r="E13" s="62"/>
      <c r="F13" s="129"/>
      <c r="G13" s="129"/>
      <c r="H13" s="92" t="s">
        <v>37</v>
      </c>
      <c r="I13" s="2"/>
      <c r="L13" s="8" t="s">
        <v>9</v>
      </c>
      <c r="M13" s="8" t="s">
        <v>10</v>
      </c>
    </row>
    <row r="14" spans="1:19" ht="15.6" x14ac:dyDescent="0.3">
      <c r="A14" s="61" t="s">
        <v>52</v>
      </c>
      <c r="B14" s="68">
        <f>K14</f>
        <v>1</v>
      </c>
      <c r="C14" s="68"/>
      <c r="D14" s="68">
        <f>L14+D$13</f>
        <v>1860</v>
      </c>
      <c r="E14" s="84">
        <f>M14+E$13</f>
        <v>400</v>
      </c>
      <c r="F14" s="84">
        <v>182</v>
      </c>
      <c r="G14" s="84">
        <v>132</v>
      </c>
      <c r="H14" s="68" t="str">
        <f>C41</f>
        <v>CUBIERTA MESON ATENCION</v>
      </c>
      <c r="I14" s="2"/>
      <c r="K14" s="6">
        <f>K27</f>
        <v>1</v>
      </c>
      <c r="L14" s="7">
        <f>L27</f>
        <v>1810</v>
      </c>
      <c r="M14" s="7">
        <f>M27</f>
        <v>400</v>
      </c>
      <c r="O14">
        <v>1.35</v>
      </c>
      <c r="P14">
        <v>0.4</v>
      </c>
      <c r="Q14">
        <v>0.02</v>
      </c>
      <c r="R14">
        <f>O14*P14*Q14</f>
        <v>1.0800000000000001E-2</v>
      </c>
      <c r="S14">
        <f>R14*K14</f>
        <v>1.0800000000000001E-2</v>
      </c>
    </row>
    <row r="15" spans="1:19" ht="15.6" x14ac:dyDescent="0.3">
      <c r="A15" s="61"/>
      <c r="B15" s="68">
        <f t="shared" ref="B15:B20" si="0">K15</f>
        <v>1</v>
      </c>
      <c r="C15" s="68"/>
      <c r="D15" s="68">
        <f t="shared" ref="D15:D20" si="1">L15+D$13</f>
        <v>1820</v>
      </c>
      <c r="E15" s="84">
        <f t="shared" ref="E15:E20" si="2">M15+E$13</f>
        <v>400</v>
      </c>
      <c r="F15" s="84">
        <v>182</v>
      </c>
      <c r="G15" s="84">
        <v>132</v>
      </c>
      <c r="H15" s="68" t="str">
        <f t="shared" ref="H15:H20" si="3">C42</f>
        <v>CUBIERTA MESON ATENCION</v>
      </c>
      <c r="I15" s="2"/>
      <c r="K15" s="6">
        <f t="shared" ref="K15:M15" si="4">K28</f>
        <v>1</v>
      </c>
      <c r="L15" s="7">
        <f t="shared" si="4"/>
        <v>1770</v>
      </c>
      <c r="M15" s="7">
        <f t="shared" si="4"/>
        <v>400</v>
      </c>
    </row>
    <row r="16" spans="1:19" ht="15.6" x14ac:dyDescent="0.3">
      <c r="A16" s="61"/>
      <c r="B16" s="68">
        <f t="shared" si="0"/>
        <v>1</v>
      </c>
      <c r="C16" s="68"/>
      <c r="D16" s="68">
        <f t="shared" si="1"/>
        <v>885</v>
      </c>
      <c r="E16" s="84">
        <f t="shared" si="2"/>
        <v>400</v>
      </c>
      <c r="F16" s="84">
        <v>182</v>
      </c>
      <c r="G16" s="84">
        <v>132</v>
      </c>
      <c r="H16" s="68" t="str">
        <f t="shared" si="3"/>
        <v>CUBIERTA MESON ATENCION</v>
      </c>
      <c r="I16" s="2"/>
      <c r="K16" s="6">
        <f t="shared" ref="K16:M16" si="5">K29</f>
        <v>1</v>
      </c>
      <c r="L16" s="7">
        <f t="shared" si="5"/>
        <v>835</v>
      </c>
      <c r="M16" s="7">
        <f t="shared" si="5"/>
        <v>400</v>
      </c>
    </row>
    <row r="17" spans="1:19" ht="15.6" x14ac:dyDescent="0.3">
      <c r="A17" s="61"/>
      <c r="B17" s="68">
        <f t="shared" si="0"/>
        <v>2</v>
      </c>
      <c r="C17" s="68"/>
      <c r="D17" s="68">
        <f t="shared" si="1"/>
        <v>1620</v>
      </c>
      <c r="E17" s="84">
        <f t="shared" si="2"/>
        <v>400</v>
      </c>
      <c r="F17" s="84">
        <v>182</v>
      </c>
      <c r="G17" s="84">
        <v>132</v>
      </c>
      <c r="H17" s="68" t="str">
        <f t="shared" si="3"/>
        <v>CUBIERTA MESON ATENCION</v>
      </c>
      <c r="I17" s="2"/>
      <c r="K17" s="6">
        <f t="shared" ref="K17:M17" si="6">K30</f>
        <v>2</v>
      </c>
      <c r="L17" s="7">
        <f t="shared" si="6"/>
        <v>1570</v>
      </c>
      <c r="M17" s="7">
        <f t="shared" si="6"/>
        <v>400</v>
      </c>
    </row>
    <row r="18" spans="1:19" ht="15.6" x14ac:dyDescent="0.3">
      <c r="A18" s="61"/>
      <c r="B18" s="68">
        <f t="shared" si="0"/>
        <v>1</v>
      </c>
      <c r="C18" s="68"/>
      <c r="D18" s="68">
        <f t="shared" si="1"/>
        <v>1050</v>
      </c>
      <c r="E18" s="84">
        <f t="shared" si="2"/>
        <v>400</v>
      </c>
      <c r="F18" s="84">
        <v>182</v>
      </c>
      <c r="G18" s="84">
        <v>132</v>
      </c>
      <c r="H18" s="68" t="str">
        <f t="shared" si="3"/>
        <v>CUBIERTA MESON ATENCION</v>
      </c>
      <c r="I18" s="2"/>
      <c r="K18" s="6">
        <f t="shared" ref="K18:M18" si="7">K31</f>
        <v>1</v>
      </c>
      <c r="L18" s="7">
        <f t="shared" si="7"/>
        <v>1000</v>
      </c>
      <c r="M18" s="7">
        <f t="shared" si="7"/>
        <v>400</v>
      </c>
    </row>
    <row r="19" spans="1:19" ht="15.6" x14ac:dyDescent="0.3">
      <c r="A19" s="61"/>
      <c r="B19" s="68">
        <f t="shared" si="0"/>
        <v>2</v>
      </c>
      <c r="C19" s="68"/>
      <c r="D19" s="68">
        <f t="shared" si="1"/>
        <v>1620</v>
      </c>
      <c r="E19" s="84">
        <f t="shared" si="2"/>
        <v>400</v>
      </c>
      <c r="F19" s="84">
        <v>182</v>
      </c>
      <c r="G19" s="84">
        <v>132</v>
      </c>
      <c r="H19" s="68" t="str">
        <f t="shared" si="3"/>
        <v>CUBIERTA MESON ATENCION</v>
      </c>
      <c r="I19" s="2"/>
      <c r="K19" s="6">
        <f t="shared" ref="K19:M19" si="8">K32</f>
        <v>2</v>
      </c>
      <c r="L19" s="7">
        <f t="shared" si="8"/>
        <v>1570</v>
      </c>
      <c r="M19" s="7">
        <f t="shared" si="8"/>
        <v>400</v>
      </c>
    </row>
    <row r="20" spans="1:19" ht="15.6" x14ac:dyDescent="0.3">
      <c r="A20" s="61"/>
      <c r="B20" s="68">
        <f t="shared" si="0"/>
        <v>2</v>
      </c>
      <c r="C20" s="68"/>
      <c r="D20" s="68">
        <f t="shared" si="1"/>
        <v>1620</v>
      </c>
      <c r="E20" s="84">
        <f t="shared" si="2"/>
        <v>400</v>
      </c>
      <c r="F20" s="84">
        <v>182</v>
      </c>
      <c r="G20" s="84">
        <v>132</v>
      </c>
      <c r="H20" s="68" t="str">
        <f t="shared" si="3"/>
        <v>CUBIERTA MESON ATENCION</v>
      </c>
      <c r="I20" s="2"/>
      <c r="K20" s="6">
        <f t="shared" ref="K20:M20" si="9">K33</f>
        <v>2</v>
      </c>
      <c r="L20" s="7">
        <f t="shared" si="9"/>
        <v>1570</v>
      </c>
      <c r="M20" s="7">
        <f t="shared" si="9"/>
        <v>400</v>
      </c>
    </row>
    <row r="21" spans="1:19" ht="15.6" x14ac:dyDescent="0.3">
      <c r="A21" s="61"/>
      <c r="B21" s="9"/>
      <c r="C21" s="9"/>
      <c r="D21" s="9"/>
      <c r="E21" s="104"/>
      <c r="F21" s="104"/>
      <c r="G21" s="104"/>
      <c r="H21" s="9"/>
      <c r="I21" s="2"/>
      <c r="K21" s="103"/>
      <c r="L21" s="5"/>
      <c r="M21" s="5"/>
      <c r="S21">
        <f>SUM(S14:S14)</f>
        <v>1.0800000000000001E-2</v>
      </c>
    </row>
    <row r="22" spans="1:19" ht="15.6" x14ac:dyDescent="0.3">
      <c r="I22" s="51"/>
    </row>
    <row r="23" spans="1:19" ht="15.6" x14ac:dyDescent="0.3">
      <c r="A23" s="110" t="s">
        <v>16</v>
      </c>
      <c r="B23" s="110"/>
      <c r="C23" s="110"/>
      <c r="D23" s="110"/>
      <c r="E23" s="110"/>
      <c r="F23" s="110"/>
      <c r="G23" s="110"/>
      <c r="H23" s="110"/>
      <c r="I23" s="51"/>
      <c r="K23" s="5"/>
      <c r="L23" s="5"/>
      <c r="M23" s="5"/>
    </row>
    <row r="24" spans="1:19" ht="15.6" x14ac:dyDescent="0.3">
      <c r="A24" s="2"/>
      <c r="B24" s="2"/>
      <c r="C24" s="60"/>
      <c r="D24" s="2"/>
      <c r="E24" s="2"/>
      <c r="F24" s="2"/>
      <c r="G24" s="2"/>
      <c r="H24" s="2"/>
      <c r="I24" s="51"/>
      <c r="K24" s="5"/>
      <c r="L24" s="5"/>
      <c r="M24" s="5"/>
    </row>
    <row r="25" spans="1:19" ht="15.6" x14ac:dyDescent="0.3">
      <c r="A25" s="2"/>
      <c r="B25" s="2"/>
      <c r="C25" s="2"/>
      <c r="D25" s="61" t="s">
        <v>9</v>
      </c>
      <c r="E25" s="61" t="s">
        <v>10</v>
      </c>
      <c r="F25" s="61"/>
      <c r="G25" s="61"/>
      <c r="H25" s="2"/>
      <c r="I25" s="51"/>
    </row>
    <row r="26" spans="1:19" ht="16.2" thickBot="1" x14ac:dyDescent="0.35">
      <c r="A26" s="61" t="s">
        <v>11</v>
      </c>
      <c r="B26" s="91" t="s">
        <v>12</v>
      </c>
      <c r="C26" s="91" t="s">
        <v>13</v>
      </c>
      <c r="D26" s="136">
        <v>40</v>
      </c>
      <c r="E26" s="136">
        <v>180</v>
      </c>
      <c r="F26" s="95" t="s">
        <v>61</v>
      </c>
      <c r="G26" s="95" t="s">
        <v>62</v>
      </c>
      <c r="H26" s="92" t="s">
        <v>37</v>
      </c>
      <c r="I26" s="51"/>
      <c r="L26" s="8" t="s">
        <v>9</v>
      </c>
      <c r="M26" s="8" t="s">
        <v>10</v>
      </c>
    </row>
    <row r="27" spans="1:19" ht="18.600000000000001" thickBot="1" x14ac:dyDescent="0.35">
      <c r="A27" s="61" t="s">
        <v>53</v>
      </c>
      <c r="B27" s="68">
        <f>B41</f>
        <v>1</v>
      </c>
      <c r="C27" s="68"/>
      <c r="D27" s="68">
        <f t="shared" ref="D27" si="10">L27+D$26</f>
        <v>1850</v>
      </c>
      <c r="E27" s="68">
        <f>M27+E26</f>
        <v>580</v>
      </c>
      <c r="F27" s="122">
        <v>200</v>
      </c>
      <c r="G27" s="122">
        <v>150</v>
      </c>
      <c r="H27" s="134" t="str">
        <f>C41</f>
        <v>CUBIERTA MESON ATENCION</v>
      </c>
      <c r="I27" s="51"/>
      <c r="K27" s="6">
        <f>B41</f>
        <v>1</v>
      </c>
      <c r="L27" s="7">
        <f t="shared" ref="L27" si="11">D41</f>
        <v>1810</v>
      </c>
      <c r="M27" s="7">
        <f t="shared" ref="M27" si="12">E41</f>
        <v>400</v>
      </c>
    </row>
    <row r="28" spans="1:19" ht="18.600000000000001" thickBot="1" x14ac:dyDescent="0.35">
      <c r="A28" s="61"/>
      <c r="B28" s="68">
        <f t="shared" ref="B28:B35" si="13">B42</f>
        <v>1</v>
      </c>
      <c r="C28" s="68"/>
      <c r="D28" s="68">
        <f t="shared" ref="D28:D35" si="14">L28+D$26</f>
        <v>1810</v>
      </c>
      <c r="E28" s="68">
        <f t="shared" ref="E28:E35" si="15">M28+E27</f>
        <v>980</v>
      </c>
      <c r="F28" s="122">
        <v>200</v>
      </c>
      <c r="G28" s="122">
        <v>150</v>
      </c>
      <c r="H28" s="134" t="str">
        <f t="shared" ref="H28:H35" si="16">C42</f>
        <v>CUBIERTA MESON ATENCION</v>
      </c>
      <c r="I28" s="51"/>
      <c r="K28" s="6">
        <f t="shared" ref="K28:K35" si="17">B42</f>
        <v>1</v>
      </c>
      <c r="L28" s="7">
        <f t="shared" ref="L28:L35" si="18">D42</f>
        <v>1770</v>
      </c>
      <c r="M28" s="7">
        <f t="shared" ref="M28:M35" si="19">E42</f>
        <v>400</v>
      </c>
    </row>
    <row r="29" spans="1:19" ht="18.600000000000001" thickBot="1" x14ac:dyDescent="0.35">
      <c r="A29" s="61"/>
      <c r="B29" s="68">
        <f t="shared" si="13"/>
        <v>1</v>
      </c>
      <c r="C29" s="68"/>
      <c r="D29" s="68">
        <f t="shared" si="14"/>
        <v>875</v>
      </c>
      <c r="E29" s="68">
        <f t="shared" si="15"/>
        <v>1380</v>
      </c>
      <c r="F29" s="122">
        <v>200</v>
      </c>
      <c r="G29" s="122">
        <v>150</v>
      </c>
      <c r="H29" s="134" t="str">
        <f t="shared" si="16"/>
        <v>CUBIERTA MESON ATENCION</v>
      </c>
      <c r="I29" s="51"/>
      <c r="K29" s="6">
        <f t="shared" si="17"/>
        <v>1</v>
      </c>
      <c r="L29" s="7">
        <f t="shared" si="18"/>
        <v>835</v>
      </c>
      <c r="M29" s="7">
        <f t="shared" si="19"/>
        <v>400</v>
      </c>
    </row>
    <row r="30" spans="1:19" ht="18.600000000000001" thickBot="1" x14ac:dyDescent="0.35">
      <c r="A30" s="61"/>
      <c r="B30" s="68">
        <f t="shared" si="13"/>
        <v>2</v>
      </c>
      <c r="C30" s="68"/>
      <c r="D30" s="68">
        <f t="shared" si="14"/>
        <v>1610</v>
      </c>
      <c r="E30" s="68">
        <f t="shared" si="15"/>
        <v>1780</v>
      </c>
      <c r="F30" s="122">
        <v>200</v>
      </c>
      <c r="G30" s="122">
        <v>150</v>
      </c>
      <c r="H30" s="134" t="str">
        <f t="shared" si="16"/>
        <v>CUBIERTA MESON ATENCION</v>
      </c>
      <c r="I30" s="51"/>
      <c r="K30" s="6">
        <f t="shared" si="17"/>
        <v>2</v>
      </c>
      <c r="L30" s="7">
        <f t="shared" si="18"/>
        <v>1570</v>
      </c>
      <c r="M30" s="7">
        <f t="shared" si="19"/>
        <v>400</v>
      </c>
    </row>
    <row r="31" spans="1:19" ht="18.600000000000001" thickBot="1" x14ac:dyDescent="0.35">
      <c r="A31" s="61"/>
      <c r="B31" s="68">
        <f t="shared" si="13"/>
        <v>1</v>
      </c>
      <c r="C31" s="68"/>
      <c r="D31" s="68">
        <f t="shared" si="14"/>
        <v>1040</v>
      </c>
      <c r="E31" s="68">
        <f t="shared" si="15"/>
        <v>2180</v>
      </c>
      <c r="F31" s="122">
        <v>200</v>
      </c>
      <c r="G31" s="122">
        <v>150</v>
      </c>
      <c r="H31" s="134" t="str">
        <f t="shared" si="16"/>
        <v>CUBIERTA MESON ATENCION</v>
      </c>
      <c r="I31" s="51"/>
      <c r="K31" s="6">
        <f t="shared" si="17"/>
        <v>1</v>
      </c>
      <c r="L31" s="7">
        <f t="shared" si="18"/>
        <v>1000</v>
      </c>
      <c r="M31" s="7">
        <f t="shared" si="19"/>
        <v>400</v>
      </c>
    </row>
    <row r="32" spans="1:19" ht="18.600000000000001" thickBot="1" x14ac:dyDescent="0.35">
      <c r="A32" s="61"/>
      <c r="B32" s="68">
        <f t="shared" si="13"/>
        <v>2</v>
      </c>
      <c r="C32" s="68"/>
      <c r="D32" s="68">
        <f t="shared" si="14"/>
        <v>1610</v>
      </c>
      <c r="E32" s="68">
        <f t="shared" si="15"/>
        <v>2580</v>
      </c>
      <c r="F32" s="122">
        <v>200</v>
      </c>
      <c r="G32" s="122">
        <v>150</v>
      </c>
      <c r="H32" s="134" t="str">
        <f t="shared" si="16"/>
        <v>CUBIERTA MESON ATENCION</v>
      </c>
      <c r="I32" s="51"/>
      <c r="K32" s="6">
        <f t="shared" si="17"/>
        <v>2</v>
      </c>
      <c r="L32" s="7">
        <f t="shared" si="18"/>
        <v>1570</v>
      </c>
      <c r="M32" s="7">
        <f t="shared" si="19"/>
        <v>400</v>
      </c>
    </row>
    <row r="33" spans="1:13" ht="18.600000000000001" thickBot="1" x14ac:dyDescent="0.35">
      <c r="A33" s="61"/>
      <c r="B33" s="68">
        <f t="shared" si="13"/>
        <v>2</v>
      </c>
      <c r="C33" s="68"/>
      <c r="D33" s="68">
        <f t="shared" si="14"/>
        <v>1610</v>
      </c>
      <c r="E33" s="68">
        <f t="shared" si="15"/>
        <v>2980</v>
      </c>
      <c r="F33" s="122">
        <v>200</v>
      </c>
      <c r="G33" s="122">
        <v>150</v>
      </c>
      <c r="H33" s="134" t="str">
        <f t="shared" si="16"/>
        <v>CUBIERTA MESON ATENCION</v>
      </c>
      <c r="I33" s="51"/>
      <c r="K33" s="6">
        <f t="shared" si="17"/>
        <v>2</v>
      </c>
      <c r="L33" s="7">
        <f t="shared" si="18"/>
        <v>1570</v>
      </c>
      <c r="M33" s="7">
        <f t="shared" si="19"/>
        <v>400</v>
      </c>
    </row>
    <row r="34" spans="1:13" ht="18.600000000000001" thickBot="1" x14ac:dyDescent="0.35">
      <c r="A34" s="61"/>
      <c r="B34" s="68">
        <f t="shared" si="13"/>
        <v>2</v>
      </c>
      <c r="C34" s="68"/>
      <c r="D34" s="68">
        <f t="shared" si="14"/>
        <v>1610</v>
      </c>
      <c r="E34" s="68">
        <f t="shared" si="15"/>
        <v>3380</v>
      </c>
      <c r="F34" s="122">
        <v>200</v>
      </c>
      <c r="G34" s="122">
        <v>150</v>
      </c>
      <c r="H34" s="134" t="str">
        <f t="shared" si="16"/>
        <v>CUBIERTA MESON ATENCION</v>
      </c>
      <c r="I34" s="51"/>
      <c r="K34" s="6">
        <f t="shared" si="17"/>
        <v>2</v>
      </c>
      <c r="L34" s="7">
        <f t="shared" si="18"/>
        <v>1570</v>
      </c>
      <c r="M34" s="7">
        <f t="shared" si="19"/>
        <v>400</v>
      </c>
    </row>
    <row r="35" spans="1:13" ht="18" x14ac:dyDescent="0.3">
      <c r="A35" s="61"/>
      <c r="B35" s="68">
        <f t="shared" si="13"/>
        <v>12</v>
      </c>
      <c r="C35" s="68"/>
      <c r="D35" s="68">
        <f t="shared" si="14"/>
        <v>40</v>
      </c>
      <c r="E35" s="68">
        <f t="shared" si="15"/>
        <v>3380</v>
      </c>
      <c r="F35" s="122">
        <v>200</v>
      </c>
      <c r="G35" s="122">
        <v>150</v>
      </c>
      <c r="H35" s="134" t="str">
        <f t="shared" si="16"/>
        <v>SERVICIO DE CORTE A LA MEDIDA</v>
      </c>
      <c r="I35" s="51"/>
      <c r="K35" s="6">
        <f t="shared" si="17"/>
        <v>12</v>
      </c>
      <c r="L35" s="7">
        <f t="shared" si="18"/>
        <v>0</v>
      </c>
      <c r="M35" s="7">
        <f t="shared" si="19"/>
        <v>0</v>
      </c>
    </row>
    <row r="36" spans="1:13" ht="15.6" x14ac:dyDescent="0.3">
      <c r="A36" s="61"/>
      <c r="B36" s="9"/>
      <c r="C36" s="9"/>
      <c r="D36" s="9"/>
      <c r="E36" s="9"/>
      <c r="F36" s="9"/>
      <c r="G36" s="9"/>
      <c r="H36" s="9"/>
      <c r="I36" s="51"/>
      <c r="K36" s="103"/>
      <c r="L36" s="5"/>
      <c r="M36" s="5"/>
    </row>
    <row r="37" spans="1:13" ht="16.2" thickBot="1" x14ac:dyDescent="0.35">
      <c r="A37" s="61"/>
      <c r="B37" s="9"/>
      <c r="C37" s="9"/>
      <c r="D37" s="9"/>
      <c r="E37" s="9"/>
      <c r="F37" s="9"/>
      <c r="G37" s="9"/>
      <c r="H37" s="63"/>
      <c r="I37" s="49"/>
      <c r="K37" s="5"/>
      <c r="L37" s="5"/>
      <c r="M37" s="5"/>
    </row>
    <row r="38" spans="1:13" ht="16.2" thickBot="1" x14ac:dyDescent="0.35">
      <c r="A38" s="61"/>
      <c r="B38" s="64" t="s">
        <v>38</v>
      </c>
      <c r="C38" s="65"/>
      <c r="D38" s="65"/>
      <c r="E38" s="65"/>
      <c r="F38" s="65"/>
      <c r="G38" s="65"/>
      <c r="H38" s="65"/>
      <c r="I38" s="2"/>
    </row>
    <row r="39" spans="1:13" ht="20.25" customHeight="1" x14ac:dyDescent="0.3">
      <c r="I39" s="2"/>
    </row>
    <row r="40" spans="1:13" ht="16.2" thickBot="1" x14ac:dyDescent="0.35">
      <c r="A40" s="61" t="s">
        <v>11</v>
      </c>
      <c r="B40" s="66" t="s">
        <v>12</v>
      </c>
      <c r="C40" s="66" t="s">
        <v>37</v>
      </c>
      <c r="D40" s="135" t="s">
        <v>9</v>
      </c>
      <c r="E40" s="135" t="s">
        <v>10</v>
      </c>
      <c r="F40" s="95" t="s">
        <v>61</v>
      </c>
      <c r="G40" s="95" t="s">
        <v>62</v>
      </c>
      <c r="H40" s="66" t="s">
        <v>26</v>
      </c>
      <c r="I40" s="2"/>
    </row>
    <row r="41" spans="1:13" ht="18.600000000000001" thickBot="1" x14ac:dyDescent="0.35">
      <c r="A41" s="61" t="s">
        <v>53</v>
      </c>
      <c r="B41" s="68">
        <f>'5770'!B20</f>
        <v>1</v>
      </c>
      <c r="C41" s="133" t="str">
        <f>'5770'!C20</f>
        <v>CUBIERTA MESON ATENCION</v>
      </c>
      <c r="D41" s="68">
        <f>'5770'!D20</f>
        <v>1810</v>
      </c>
      <c r="E41" s="68">
        <f>'5770'!E20</f>
        <v>400</v>
      </c>
      <c r="F41" s="122">
        <v>200</v>
      </c>
      <c r="G41" s="122">
        <v>150</v>
      </c>
      <c r="H41" s="68" t="str">
        <f>H68</f>
        <v>AUTUMN LEAF 22119 GL</v>
      </c>
      <c r="I41" s="2"/>
    </row>
    <row r="42" spans="1:13" ht="18.600000000000001" thickBot="1" x14ac:dyDescent="0.35">
      <c r="A42" s="61"/>
      <c r="B42" s="68">
        <f>'5770'!B21</f>
        <v>1</v>
      </c>
      <c r="C42" s="133" t="str">
        <f>'5770'!C21</f>
        <v>CUBIERTA MESON ATENCION</v>
      </c>
      <c r="D42" s="68">
        <f>'5770'!D21</f>
        <v>1770</v>
      </c>
      <c r="E42" s="68">
        <f>'5770'!E21</f>
        <v>400</v>
      </c>
      <c r="F42" s="122">
        <v>200</v>
      </c>
      <c r="G42" s="122">
        <v>150</v>
      </c>
      <c r="H42" s="68" t="str">
        <f t="shared" ref="H42:H49" si="20">H69</f>
        <v>AUTUMN LEAF 22119 GL</v>
      </c>
      <c r="I42" s="2"/>
    </row>
    <row r="43" spans="1:13" ht="18.600000000000001" thickBot="1" x14ac:dyDescent="0.35">
      <c r="A43" s="61"/>
      <c r="B43" s="68">
        <f>'5770'!B22</f>
        <v>1</v>
      </c>
      <c r="C43" s="133" t="str">
        <f>'5770'!C22</f>
        <v>CUBIERTA MESON ATENCION</v>
      </c>
      <c r="D43" s="68">
        <f>'5770'!D22</f>
        <v>835</v>
      </c>
      <c r="E43" s="68">
        <f>'5770'!E22</f>
        <v>400</v>
      </c>
      <c r="F43" s="122">
        <v>200</v>
      </c>
      <c r="G43" s="122">
        <v>150</v>
      </c>
      <c r="H43" s="68" t="str">
        <f t="shared" si="20"/>
        <v>AUTUMN LEAF 22119 GL</v>
      </c>
      <c r="I43" s="2"/>
    </row>
    <row r="44" spans="1:13" ht="18.600000000000001" thickBot="1" x14ac:dyDescent="0.35">
      <c r="A44" s="61"/>
      <c r="B44" s="68">
        <f>'5770'!B23</f>
        <v>2</v>
      </c>
      <c r="C44" s="133" t="str">
        <f>'5770'!C23</f>
        <v>CUBIERTA MESON ATENCION</v>
      </c>
      <c r="D44" s="68">
        <f>'5770'!D23</f>
        <v>1570</v>
      </c>
      <c r="E44" s="68">
        <f>'5770'!E23</f>
        <v>400</v>
      </c>
      <c r="F44" s="122">
        <v>200</v>
      </c>
      <c r="G44" s="122">
        <v>150</v>
      </c>
      <c r="H44" s="68" t="str">
        <f t="shared" si="20"/>
        <v>AUTUMN LEAF 22119 GL</v>
      </c>
      <c r="I44" s="2"/>
    </row>
    <row r="45" spans="1:13" ht="18.600000000000001" thickBot="1" x14ac:dyDescent="0.35">
      <c r="A45" s="61"/>
      <c r="B45" s="68">
        <f>'5770'!B24</f>
        <v>1</v>
      </c>
      <c r="C45" s="133" t="str">
        <f>'5770'!C24</f>
        <v>CUBIERTA MESON ATENCION</v>
      </c>
      <c r="D45" s="68">
        <f>'5770'!D24</f>
        <v>1000</v>
      </c>
      <c r="E45" s="68">
        <f>'5770'!E24</f>
        <v>400</v>
      </c>
      <c r="F45" s="122">
        <v>200</v>
      </c>
      <c r="G45" s="122">
        <v>150</v>
      </c>
      <c r="H45" s="68" t="str">
        <f t="shared" si="20"/>
        <v>AUTUMN LEAF 22119 GL</v>
      </c>
      <c r="I45" s="2"/>
    </row>
    <row r="46" spans="1:13" ht="18.600000000000001" thickBot="1" x14ac:dyDescent="0.35">
      <c r="A46" s="61"/>
      <c r="B46" s="68">
        <f>'5770'!B25</f>
        <v>2</v>
      </c>
      <c r="C46" s="133" t="str">
        <f>'5770'!C25</f>
        <v>CUBIERTA MESON ATENCION</v>
      </c>
      <c r="D46" s="68">
        <f>'5770'!D25</f>
        <v>1570</v>
      </c>
      <c r="E46" s="68">
        <f>'5770'!E25</f>
        <v>400</v>
      </c>
      <c r="F46" s="122">
        <v>200</v>
      </c>
      <c r="G46" s="122">
        <v>150</v>
      </c>
      <c r="H46" s="68" t="str">
        <f t="shared" si="20"/>
        <v>AUTUMN LEAF 22119 GL</v>
      </c>
      <c r="I46" s="2"/>
    </row>
    <row r="47" spans="1:13" ht="18.600000000000001" thickBot="1" x14ac:dyDescent="0.35">
      <c r="A47" s="61"/>
      <c r="B47" s="68">
        <f>'5770'!B26</f>
        <v>2</v>
      </c>
      <c r="C47" s="133" t="str">
        <f>'5770'!C26</f>
        <v>CUBIERTA MESON ATENCION</v>
      </c>
      <c r="D47" s="68">
        <f>'5770'!D26</f>
        <v>1570</v>
      </c>
      <c r="E47" s="68">
        <f>'5770'!E26</f>
        <v>400</v>
      </c>
      <c r="F47" s="122">
        <v>200</v>
      </c>
      <c r="G47" s="122">
        <v>150</v>
      </c>
      <c r="H47" s="68" t="str">
        <f t="shared" si="20"/>
        <v>AUTUMN LEAF 22119 GL</v>
      </c>
      <c r="I47" s="2"/>
    </row>
    <row r="48" spans="1:13" ht="18" x14ac:dyDescent="0.3">
      <c r="A48" s="61"/>
      <c r="B48" s="68">
        <f>'5770'!B27</f>
        <v>2</v>
      </c>
      <c r="C48" s="133" t="str">
        <f>'5770'!C27</f>
        <v>CUBIERTA MESON ATENCION</v>
      </c>
      <c r="D48" s="68">
        <f>'5770'!D27</f>
        <v>1570</v>
      </c>
      <c r="E48" s="68">
        <f>'5770'!E27</f>
        <v>400</v>
      </c>
      <c r="F48" s="122">
        <v>200</v>
      </c>
      <c r="G48" s="122">
        <v>150</v>
      </c>
      <c r="H48" s="68" t="str">
        <f t="shared" si="20"/>
        <v>AUTUMN LEAF 22119 GL</v>
      </c>
      <c r="I48" s="2"/>
    </row>
    <row r="49" spans="1:9" ht="15.6" x14ac:dyDescent="0.3">
      <c r="A49" s="67"/>
      <c r="B49" s="68">
        <f>'5770'!B28</f>
        <v>12</v>
      </c>
      <c r="C49" s="133" t="str">
        <f>'5770'!C28</f>
        <v>SERVICIO DE CORTE A LA MEDIDA</v>
      </c>
      <c r="D49" s="68">
        <f>'5770'!D28</f>
        <v>0</v>
      </c>
      <c r="E49" s="68">
        <f>'5770'!E28</f>
        <v>0</v>
      </c>
      <c r="F49" s="68"/>
      <c r="G49" s="68"/>
      <c r="H49" s="68">
        <f t="shared" si="20"/>
        <v>0</v>
      </c>
      <c r="I49" s="2"/>
    </row>
    <row r="50" spans="1:9" ht="15.6" x14ac:dyDescent="0.3">
      <c r="B50" s="9"/>
      <c r="C50" s="20"/>
      <c r="D50" s="9"/>
      <c r="E50" s="9"/>
      <c r="F50" s="9"/>
      <c r="G50" s="9"/>
      <c r="H50" s="63"/>
      <c r="I50" s="2"/>
    </row>
    <row r="51" spans="1:9" ht="15.6" x14ac:dyDescent="0.3">
      <c r="B51" s="9"/>
      <c r="C51" s="20"/>
      <c r="D51" s="9"/>
      <c r="E51" s="9"/>
      <c r="F51" s="9"/>
      <c r="G51" s="9"/>
      <c r="H51" s="63"/>
    </row>
    <row r="52" spans="1:9" ht="15.6" x14ac:dyDescent="0.3">
      <c r="B52" s="9"/>
      <c r="C52" s="20"/>
      <c r="D52" s="9"/>
      <c r="E52" s="9"/>
      <c r="F52" s="9"/>
      <c r="G52" s="9"/>
      <c r="H52" s="63"/>
    </row>
    <row r="53" spans="1:9" ht="15.6" x14ac:dyDescent="0.3">
      <c r="B53" s="9"/>
      <c r="C53" s="20"/>
      <c r="D53" s="9"/>
      <c r="E53" s="9"/>
      <c r="F53" s="9"/>
      <c r="G53" s="9"/>
      <c r="H53" s="63"/>
    </row>
    <row r="54" spans="1:9" ht="15.6" x14ac:dyDescent="0.3">
      <c r="B54" s="9"/>
      <c r="C54" s="20"/>
      <c r="D54" s="9"/>
      <c r="E54" s="9"/>
      <c r="F54" s="9"/>
      <c r="G54" s="9"/>
      <c r="H54" s="63"/>
    </row>
    <row r="55" spans="1:9" ht="15.6" x14ac:dyDescent="0.3">
      <c r="B55" s="9"/>
      <c r="C55" s="20"/>
      <c r="D55" s="9"/>
      <c r="E55" s="9"/>
      <c r="F55" s="9"/>
      <c r="G55" s="9"/>
      <c r="H55" s="63"/>
    </row>
    <row r="56" spans="1:9" ht="15.6" x14ac:dyDescent="0.3">
      <c r="B56" s="9"/>
      <c r="C56" s="20"/>
      <c r="D56" s="9"/>
      <c r="E56" s="9"/>
      <c r="F56" s="9"/>
      <c r="G56" s="9"/>
      <c r="H56" s="63"/>
    </row>
    <row r="58" spans="1:9" ht="15.6" x14ac:dyDescent="0.3">
      <c r="C58" s="52" t="s">
        <v>30</v>
      </c>
      <c r="E58" s="53">
        <f>'5770'!I8</f>
        <v>7027</v>
      </c>
      <c r="F58" s="53"/>
      <c r="G58" s="53"/>
    </row>
    <row r="59" spans="1:9" ht="20.399999999999999" customHeight="1" x14ac:dyDescent="0.3">
      <c r="C59" s="54" t="s">
        <v>35</v>
      </c>
      <c r="D59" s="55" t="str">
        <f>'5770'!C10</f>
        <v>RIOCA LIMITADA</v>
      </c>
      <c r="E59" s="33"/>
      <c r="F59" s="33"/>
      <c r="G59" s="33"/>
      <c r="H59" s="33"/>
    </row>
    <row r="60" spans="1:9" x14ac:dyDescent="0.3">
      <c r="C60" s="56"/>
      <c r="D60" s="57"/>
    </row>
    <row r="61" spans="1:9" ht="15.6" x14ac:dyDescent="0.3">
      <c r="C61" s="58" t="str">
        <f>'[1]4637'!F11</f>
        <v>FECHA ENTREGA :</v>
      </c>
      <c r="E61" s="59">
        <f>'5770'!I11</f>
        <v>45316</v>
      </c>
      <c r="F61" s="59"/>
      <c r="G61" s="59"/>
      <c r="H61" s="2"/>
    </row>
    <row r="62" spans="1:9" x14ac:dyDescent="0.3">
      <c r="E62" t="str">
        <f>'5770'!B15</f>
        <v>CIUDAD:</v>
      </c>
      <c r="H62" t="str">
        <f>'5770'!C15</f>
        <v xml:space="preserve">SANTIAGO </v>
      </c>
    </row>
    <row r="64" spans="1:9" x14ac:dyDescent="0.3">
      <c r="A64" s="111" t="s">
        <v>39</v>
      </c>
      <c r="B64" s="111"/>
      <c r="C64" s="111"/>
      <c r="D64" s="111"/>
      <c r="E64" s="111"/>
      <c r="F64" s="111"/>
      <c r="G64" s="111"/>
      <c r="H64" s="111"/>
    </row>
    <row r="66" spans="1:8" x14ac:dyDescent="0.3">
      <c r="B66" s="112" t="s">
        <v>4</v>
      </c>
      <c r="C66" s="113"/>
      <c r="D66" s="114"/>
      <c r="E66" s="114"/>
      <c r="F66" s="114"/>
      <c r="G66" s="114"/>
      <c r="H66" s="115"/>
    </row>
    <row r="67" spans="1:8" ht="15" thickBot="1" x14ac:dyDescent="0.35">
      <c r="A67" s="1"/>
      <c r="B67" s="69" t="s">
        <v>12</v>
      </c>
      <c r="C67" s="70" t="s">
        <v>14</v>
      </c>
      <c r="D67" s="131" t="s">
        <v>9</v>
      </c>
      <c r="E67" s="131" t="s">
        <v>10</v>
      </c>
      <c r="F67" s="95" t="s">
        <v>61</v>
      </c>
      <c r="G67" s="95" t="s">
        <v>62</v>
      </c>
      <c r="H67" s="70" t="s">
        <v>26</v>
      </c>
    </row>
    <row r="68" spans="1:8" ht="18.600000000000001" thickBot="1" x14ac:dyDescent="0.4">
      <c r="A68" s="61" t="s">
        <v>53</v>
      </c>
      <c r="B68" s="71">
        <f>'5770'!B20</f>
        <v>1</v>
      </c>
      <c r="C68" s="132" t="str">
        <f>'5770'!C20</f>
        <v>CUBIERTA MESON ATENCION</v>
      </c>
      <c r="D68" s="130">
        <f>'5770'!D20</f>
        <v>1810</v>
      </c>
      <c r="E68" s="130">
        <f>'5770'!E20</f>
        <v>400</v>
      </c>
      <c r="F68" s="122">
        <v>200</v>
      </c>
      <c r="G68" s="122">
        <v>150</v>
      </c>
      <c r="H68" s="71" t="str">
        <f>'5770'!H20</f>
        <v>AUTUMN LEAF 22119 GL</v>
      </c>
    </row>
    <row r="69" spans="1:8" ht="18.600000000000001" thickBot="1" x14ac:dyDescent="0.4">
      <c r="A69" s="61"/>
      <c r="B69" s="71">
        <f>'5770'!B21</f>
        <v>1</v>
      </c>
      <c r="C69" s="132" t="str">
        <f>'5770'!C21</f>
        <v>CUBIERTA MESON ATENCION</v>
      </c>
      <c r="D69" s="130">
        <f>'5770'!D21</f>
        <v>1770</v>
      </c>
      <c r="E69" s="130">
        <f>'5770'!E21</f>
        <v>400</v>
      </c>
      <c r="F69" s="122">
        <v>200</v>
      </c>
      <c r="G69" s="122">
        <v>150</v>
      </c>
      <c r="H69" s="71" t="str">
        <f>'5770'!H21</f>
        <v>AUTUMN LEAF 22119 GL</v>
      </c>
    </row>
    <row r="70" spans="1:8" ht="18.600000000000001" thickBot="1" x14ac:dyDescent="0.4">
      <c r="A70" s="61"/>
      <c r="B70" s="71">
        <f>'5770'!B22</f>
        <v>1</v>
      </c>
      <c r="C70" s="132" t="str">
        <f>'5770'!C22</f>
        <v>CUBIERTA MESON ATENCION</v>
      </c>
      <c r="D70" s="130">
        <f>'5770'!D22</f>
        <v>835</v>
      </c>
      <c r="E70" s="130">
        <f>'5770'!E22</f>
        <v>400</v>
      </c>
      <c r="F70" s="122">
        <v>200</v>
      </c>
      <c r="G70" s="122">
        <v>150</v>
      </c>
      <c r="H70" s="71" t="str">
        <f>'5770'!H22</f>
        <v>AUTUMN LEAF 22119 GL</v>
      </c>
    </row>
    <row r="71" spans="1:8" ht="18.600000000000001" thickBot="1" x14ac:dyDescent="0.4">
      <c r="A71" s="61"/>
      <c r="B71" s="71">
        <f>'5770'!B23</f>
        <v>2</v>
      </c>
      <c r="C71" s="132" t="str">
        <f>'5770'!C23</f>
        <v>CUBIERTA MESON ATENCION</v>
      </c>
      <c r="D71" s="130">
        <f>'5770'!D23</f>
        <v>1570</v>
      </c>
      <c r="E71" s="130">
        <f>'5770'!E23</f>
        <v>400</v>
      </c>
      <c r="F71" s="122">
        <v>200</v>
      </c>
      <c r="G71" s="122">
        <v>150</v>
      </c>
      <c r="H71" s="71" t="str">
        <f>'5770'!H23</f>
        <v>AUTUMN LEAF 22119 GL</v>
      </c>
    </row>
    <row r="72" spans="1:8" ht="18.600000000000001" thickBot="1" x14ac:dyDescent="0.4">
      <c r="A72" s="61"/>
      <c r="B72" s="71">
        <f>'5770'!B24</f>
        <v>1</v>
      </c>
      <c r="C72" s="132" t="str">
        <f>'5770'!C24</f>
        <v>CUBIERTA MESON ATENCION</v>
      </c>
      <c r="D72" s="130">
        <f>'5770'!D24</f>
        <v>1000</v>
      </c>
      <c r="E72" s="130">
        <f>'5770'!E24</f>
        <v>400</v>
      </c>
      <c r="F72" s="122">
        <v>200</v>
      </c>
      <c r="G72" s="122">
        <v>150</v>
      </c>
      <c r="H72" s="71" t="str">
        <f>'5770'!H24</f>
        <v>AUTUMN LEAF 22119 GL</v>
      </c>
    </row>
    <row r="73" spans="1:8" ht="18.600000000000001" thickBot="1" x14ac:dyDescent="0.4">
      <c r="A73" s="61"/>
      <c r="B73" s="71">
        <f>'5770'!B25</f>
        <v>2</v>
      </c>
      <c r="C73" s="132" t="str">
        <f>'5770'!C25</f>
        <v>CUBIERTA MESON ATENCION</v>
      </c>
      <c r="D73" s="130">
        <f>'5770'!D25</f>
        <v>1570</v>
      </c>
      <c r="E73" s="130">
        <f>'5770'!E25</f>
        <v>400</v>
      </c>
      <c r="F73" s="122">
        <v>200</v>
      </c>
      <c r="G73" s="122">
        <v>150</v>
      </c>
      <c r="H73" s="71" t="str">
        <f>'5770'!H25</f>
        <v>AUTUMN LEAF 22119 GL</v>
      </c>
    </row>
    <row r="74" spans="1:8" ht="18.600000000000001" thickBot="1" x14ac:dyDescent="0.4">
      <c r="A74" s="61"/>
      <c r="B74" s="71">
        <f>'5770'!B26</f>
        <v>2</v>
      </c>
      <c r="C74" s="132" t="str">
        <f>'5770'!C26</f>
        <v>CUBIERTA MESON ATENCION</v>
      </c>
      <c r="D74" s="130">
        <f>'5770'!D26</f>
        <v>1570</v>
      </c>
      <c r="E74" s="130">
        <f>'5770'!E26</f>
        <v>400</v>
      </c>
      <c r="F74" s="122">
        <v>200</v>
      </c>
      <c r="G74" s="122">
        <v>150</v>
      </c>
      <c r="H74" s="71" t="str">
        <f>'5770'!H26</f>
        <v>AUTUMN LEAF 22119 GL</v>
      </c>
    </row>
    <row r="75" spans="1:8" ht="18.600000000000001" thickBot="1" x14ac:dyDescent="0.4">
      <c r="A75" s="61"/>
      <c r="B75" s="71">
        <f>'5770'!B27</f>
        <v>2</v>
      </c>
      <c r="C75" s="132" t="str">
        <f>'5770'!C27</f>
        <v>CUBIERTA MESON ATENCION</v>
      </c>
      <c r="D75" s="130">
        <f>'5770'!D27</f>
        <v>1570</v>
      </c>
      <c r="E75" s="130">
        <f>'5770'!E27</f>
        <v>400</v>
      </c>
      <c r="F75" s="122">
        <v>200</v>
      </c>
      <c r="G75" s="122">
        <v>150</v>
      </c>
      <c r="H75" s="71" t="str">
        <f>'5770'!H27</f>
        <v>AUTUMN LEAF 22119 GL</v>
      </c>
    </row>
    <row r="76" spans="1:8" ht="18" x14ac:dyDescent="0.35">
      <c r="A76" s="61"/>
      <c r="B76" s="71">
        <f>'5770'!B28</f>
        <v>12</v>
      </c>
      <c r="C76" s="132" t="str">
        <f>'5770'!C28</f>
        <v>SERVICIO DE CORTE A LA MEDIDA</v>
      </c>
      <c r="D76" s="130">
        <f>'5770'!D28</f>
        <v>0</v>
      </c>
      <c r="E76" s="130">
        <f>'5770'!E28</f>
        <v>0</v>
      </c>
      <c r="F76" s="122">
        <v>200</v>
      </c>
      <c r="G76" s="122">
        <v>150</v>
      </c>
      <c r="H76" s="71">
        <f>'5770'!H28</f>
        <v>0</v>
      </c>
    </row>
    <row r="77" spans="1:8" x14ac:dyDescent="0.3">
      <c r="A77" s="61"/>
      <c r="B77" s="125"/>
      <c r="C77" s="125"/>
      <c r="D77" s="125"/>
      <c r="E77" s="125"/>
      <c r="F77" s="125"/>
      <c r="G77" s="125"/>
      <c r="H77" s="125"/>
    </row>
    <row r="78" spans="1:8" x14ac:dyDescent="0.3">
      <c r="A78" s="61"/>
      <c r="B78" s="5"/>
      <c r="C78" s="5"/>
      <c r="D78" s="5"/>
      <c r="E78" s="5"/>
      <c r="F78" s="5"/>
      <c r="G78" s="5"/>
      <c r="H78" s="5"/>
    </row>
    <row r="79" spans="1:8" ht="15.6" x14ac:dyDescent="0.3">
      <c r="A79" s="72"/>
      <c r="B79" s="5"/>
      <c r="C79" s="46"/>
      <c r="D79" s="9"/>
      <c r="E79" s="9"/>
      <c r="F79" s="9"/>
      <c r="G79" s="9"/>
      <c r="H79" s="63"/>
    </row>
    <row r="80" spans="1:8" ht="15.6" x14ac:dyDescent="0.3">
      <c r="A80" s="72"/>
      <c r="B80" s="5"/>
      <c r="C80" s="46"/>
      <c r="D80" s="9"/>
      <c r="E80" s="9"/>
      <c r="F80" s="9"/>
      <c r="G80" s="9"/>
      <c r="H80" s="56"/>
    </row>
    <row r="81" spans="1:8" ht="15.6" x14ac:dyDescent="0.3">
      <c r="A81" s="72"/>
      <c r="B81" s="5"/>
      <c r="C81" s="46"/>
      <c r="D81" s="9"/>
      <c r="E81" s="9"/>
      <c r="F81" s="9"/>
      <c r="G81" s="9"/>
      <c r="H81" s="63"/>
    </row>
    <row r="82" spans="1:8" ht="15" thickBot="1" x14ac:dyDescent="0.35"/>
    <row r="83" spans="1:8" x14ac:dyDescent="0.3">
      <c r="B83" s="73" t="s">
        <v>15</v>
      </c>
      <c r="C83" s="74"/>
      <c r="D83" s="11"/>
      <c r="E83" s="11"/>
      <c r="F83" s="11"/>
      <c r="G83" s="11"/>
      <c r="H83" s="12"/>
    </row>
    <row r="84" spans="1:8" x14ac:dyDescent="0.3">
      <c r="B84" s="13"/>
      <c r="C84" s="75" t="s">
        <v>40</v>
      </c>
      <c r="D84" s="14"/>
      <c r="E84" s="14"/>
      <c r="F84" s="14"/>
      <c r="G84" s="14"/>
      <c r="H84" s="15"/>
    </row>
    <row r="85" spans="1:8" ht="18" x14ac:dyDescent="0.35">
      <c r="B85" s="75" t="s">
        <v>41</v>
      </c>
      <c r="C85" s="76"/>
      <c r="D85" s="16"/>
      <c r="E85" s="16"/>
      <c r="F85" s="16"/>
      <c r="G85" s="16"/>
      <c r="H85" s="17"/>
    </row>
    <row r="86" spans="1:8" ht="18.600000000000001" thickBot="1" x14ac:dyDescent="0.4">
      <c r="B86" s="77" t="s">
        <v>42</v>
      </c>
      <c r="C86" s="18"/>
      <c r="D86" s="18"/>
      <c r="E86" s="18"/>
      <c r="F86" s="18"/>
      <c r="G86" s="18"/>
      <c r="H86" s="19"/>
    </row>
    <row r="87" spans="1:8" ht="18" x14ac:dyDescent="0.35">
      <c r="A87" s="3"/>
      <c r="B87" s="10"/>
    </row>
  </sheetData>
  <mergeCells count="4">
    <mergeCell ref="A10:H10"/>
    <mergeCell ref="A23:H23"/>
    <mergeCell ref="A64:H64"/>
    <mergeCell ref="B66:H66"/>
  </mergeCells>
  <pageMargins left="0.70866141732283472" right="0.70866141732283472" top="0.74803149606299213" bottom="0.74803149606299213" header="0.31496062992125984" footer="0.31496062992125984"/>
  <pageSetup scale="66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5770</vt:lpstr>
      <vt:lpstr>CUBIERTA</vt:lpstr>
      <vt:lpstr>'5770'!Área_de_impresión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2024-01-22T13:22:33Z</cp:lastPrinted>
  <dcterms:created xsi:type="dcterms:W3CDTF">2013-03-19T12:54:14Z</dcterms:created>
  <dcterms:modified xsi:type="dcterms:W3CDTF">2024-01-22T23:40:57Z</dcterms:modified>
</cp:coreProperties>
</file>