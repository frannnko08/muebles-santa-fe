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AÑOS ANTERIORES\NDV 2024\2024 ENERO 2024\"/>
    </mc:Choice>
  </mc:AlternateContent>
  <xr:revisionPtr revIDLastSave="0" documentId="13_ncr:1_{68CF357C-9B26-42C1-9DE1-1B5027F0F4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'5770'!$B$1:$H$32</definedName>
    <definedName name="_xlnm.Print_Area" localSheetId="1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E24" i="3"/>
  <c r="D24" i="3"/>
  <c r="I24" i="3"/>
  <c r="J24" i="3"/>
  <c r="K24" i="3"/>
  <c r="B31" i="3"/>
  <c r="C31" i="3"/>
  <c r="D31" i="3"/>
  <c r="E31" i="3"/>
  <c r="F31" i="3"/>
  <c r="B24" i="3"/>
  <c r="B52" i="3"/>
  <c r="C52" i="3"/>
  <c r="D52" i="3"/>
  <c r="E52" i="3"/>
  <c r="F52" i="3"/>
  <c r="H25" i="4" l="1"/>
  <c r="H24" i="4"/>
  <c r="H22" i="4"/>
  <c r="H21" i="4"/>
  <c r="B51" i="3"/>
  <c r="C51" i="3"/>
  <c r="D51" i="3"/>
  <c r="E51" i="3"/>
  <c r="F51" i="3"/>
  <c r="F30" i="3"/>
  <c r="B30" i="3"/>
  <c r="B23" i="3" s="1"/>
  <c r="C30" i="3"/>
  <c r="F15" i="3" s="1"/>
  <c r="D30" i="3"/>
  <c r="J23" i="3" s="1"/>
  <c r="J15" i="3" s="1"/>
  <c r="D15" i="3" s="1"/>
  <c r="E30" i="3"/>
  <c r="K23" i="3" s="1"/>
  <c r="F50" i="3"/>
  <c r="F29" i="3" s="1"/>
  <c r="H20" i="4"/>
  <c r="P14" i="3"/>
  <c r="K15" i="3" l="1"/>
  <c r="E15" i="3" s="1"/>
  <c r="E23" i="3"/>
  <c r="I23" i="3"/>
  <c r="I15" i="3" s="1"/>
  <c r="B15" i="3" s="1"/>
  <c r="F23" i="3"/>
  <c r="D23" i="3"/>
  <c r="B29" i="3"/>
  <c r="B22" i="3" s="1"/>
  <c r="C29" i="3"/>
  <c r="D29" i="3"/>
  <c r="J22" i="3" s="1"/>
  <c r="D22" i="3" s="1"/>
  <c r="E29" i="3"/>
  <c r="K22" i="3" s="1"/>
  <c r="E22" i="3" s="1"/>
  <c r="B50" i="3"/>
  <c r="C50" i="3"/>
  <c r="D50" i="3"/>
  <c r="E50" i="3"/>
  <c r="F22" i="3" l="1"/>
  <c r="F14" i="3"/>
  <c r="K14" i="3"/>
  <c r="E14" i="3" s="1"/>
  <c r="J14" i="3"/>
  <c r="D14" i="3" s="1"/>
  <c r="I22" i="3"/>
  <c r="I14" i="3" s="1"/>
  <c r="B14" i="3" l="1"/>
  <c r="Q14" i="3"/>
  <c r="Q16" i="3" s="1"/>
  <c r="F44" i="3"/>
  <c r="E44" i="3"/>
  <c r="D41" i="3" l="1"/>
  <c r="E43" i="3"/>
  <c r="E40" i="3"/>
  <c r="E7" i="3"/>
  <c r="E4" i="3"/>
  <c r="D5" i="3"/>
  <c r="C43" i="3"/>
  <c r="C7" i="3"/>
  <c r="H26" i="4" l="1"/>
</calcChain>
</file>

<file path=xl/sharedStrings.xml><?xml version="1.0" encoding="utf-8"?>
<sst xmlns="http://schemas.openxmlformats.org/spreadsheetml/2006/main" count="89" uniqueCount="59">
  <si>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</si>
  <si>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</si>
  <si>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</si>
  <si>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</si>
  <si>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</si>
  <si>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</si>
  <si>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</si>
  <si>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</si>
  <si>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</si>
  <si>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</si>
  <si>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</si>
  <si>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</si>
  <si>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</si>
  <si>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</si>
  <si>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</si>
  <si>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</si>
  <si>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</si>
  <si>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</si>
  <si>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</si>
  <si>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</si>
  <si>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</si>
  <si>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</si>
  <si>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</si>
  <si>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</si>
  <si>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</si>
  <si>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</si>
  <si>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</si>
  <si>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</si>
  <si>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</si>
  <si>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</si>
  <si>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</si>
  <si>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</si>
  <si>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</si>
  <si>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</si>
  <si>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</si>
  <si>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</si>
  <si>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</si>
  <si>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</si>
  <si>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</si>
  <si>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</si>
  <si>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</si>
  <si>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</si>
  <si>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</si>
  <si>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</si>
  <si>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</si>
  <si>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</si>
  <si>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</si>
  <si>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</si>
  <si>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DESPACHO: </t>
  </si>
  <si>
    <t>ORDEN DE COMPRA</t>
  </si>
  <si>
    <t>NO</t>
  </si>
  <si>
    <t>MDF18MM</t>
  </si>
  <si>
    <t>MDF 18MM</t>
  </si>
  <si>
    <t>FORMA DE PAGO : CONTADO</t>
  </si>
  <si>
    <t>LIZANA SERVICIOS</t>
  </si>
  <si>
    <t>+569 8652 4131</t>
  </si>
  <si>
    <t>CLASSIC</t>
  </si>
  <si>
    <t>CUB C/R R6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</si>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</sst>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22" fillId="3" borderId="0" xfId="0" applyFont="1" applyFill="1" applyAlignment="1">
      <alignment horizontal="left"/>
    </xf>
    <xf numFmtId="0" fontId="23" fillId="0" borderId="0" xfId="0" applyFont="1"/>
    <xf numFmtId="0" fontId="24" fillId="0" borderId="0" xfId="2" quotePrefix="1" applyFont="1" applyFill="1" applyBorder="1"/>
    <xf numFmtId="0" fontId="3" fillId="3" borderId="0" xfId="0" applyFont="1" applyFill="1" applyAlignment="1">
      <alignment horizontal="center"/>
    </xf>
    <xf numFmtId="42" fontId="4" fillId="0" borderId="0" xfId="3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42" fontId="4" fillId="0" borderId="17" xfId="3" applyFont="1" applyFill="1" applyBorder="1" applyAlignment="1">
      <alignment horizontal="center" vertical="center"/>
    </xf>
    <xf numFmtId="42" fontId="4" fillId="0" borderId="12" xfId="3" applyFont="1" applyFill="1" applyBorder="1" applyAlignment="1">
      <alignment horizontal="center" vertical="center"/>
    </xf>
    <xf numFmtId="1" fontId="25" fillId="0" borderId="15" xfId="0" applyNumberFormat="1" applyFont="1" applyBorder="1" applyAlignment="1">
      <alignment horizontal="center" vertical="center"/>
    </xf>
    <xf numFmtId="165" fontId="26" fillId="0" borderId="28" xfId="0" applyNumberFormat="1" applyFont="1" applyBorder="1" applyAlignment="1">
      <alignment horizontal="center" vertical="center"/>
    </xf>
    <xf numFmtId="1" fontId="25" fillId="0" borderId="28" xfId="0" applyNumberFormat="1" applyFont="1" applyBorder="1" applyAlignment="1">
      <alignment horizontal="center" vertical="center"/>
    </xf>
    <xf numFmtId="165" fontId="25" fillId="0" borderId="28" xfId="0" applyNumberFormat="1" applyFont="1" applyBorder="1" applyAlignment="1">
      <alignment horizontal="center" vertical="center"/>
    </xf>
    <xf numFmtId="42" fontId="4" fillId="0" borderId="28" xfId="3" applyFont="1" applyFill="1" applyBorder="1" applyAlignment="1">
      <alignment horizontal="center" vertical="center"/>
    </xf>
    <xf numFmtId="42" fontId="4" fillId="0" borderId="16" xfId="3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1" fontId="25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42" fontId="4" fillId="0" borderId="2" xfId="3" applyFont="1" applyFill="1" applyBorder="1" applyAlignment="1">
      <alignment horizontal="center" vertical="center"/>
    </xf>
    <xf numFmtId="1" fontId="25" fillId="0" borderId="13" xfId="0" applyNumberFormat="1" applyFont="1" applyBorder="1" applyAlignment="1">
      <alignment horizontal="center" vertical="center"/>
    </xf>
    <xf numFmtId="42" fontId="4" fillId="0" borderId="14" xfId="3" applyFont="1" applyFill="1" applyBorder="1" applyAlignment="1">
      <alignment horizontal="center" vertical="center"/>
    </xf>
    <xf numFmtId="0" fontId="23" fillId="3" borderId="0" xfId="0" applyFont="1" applyFill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59055</xdr:rowOff>
    </xdr:from>
    <xdr:to>
      <xdr:col>4</xdr:col>
      <xdr:colOff>59055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795" y="1354455"/>
          <a:ext cx="28727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10551B</a:t>
          </a:r>
        </a:p>
        <a:p>
          <a:pPr algn="l"/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22</xdr:row>
      <xdr:rowOff>182880</xdr:rowOff>
    </xdr:from>
    <xdr:to>
      <xdr:col>5</xdr:col>
      <xdr:colOff>2065020</xdr:colOff>
      <xdr:row>25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770120"/>
          <a:ext cx="6355080" cy="65091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TRANSFERENCIA $86.000</a:t>
          </a:r>
        </a:p>
        <a:p>
          <a:pPr algn="l"/>
          <a:endParaRPr lang="es-CL" sz="1200" b="1" baseline="0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180975</xdr:rowOff>
    </xdr:from>
    <xdr:to>
      <xdr:col>2</xdr:col>
      <xdr:colOff>38100</xdr:colOff>
      <xdr:row>54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180975</xdr:rowOff>
    </xdr:from>
    <xdr:to>
      <xdr:col>2</xdr:col>
      <xdr:colOff>1019175</xdr:colOff>
      <xdr:row>53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180975</xdr:rowOff>
    </xdr:from>
    <xdr:to>
      <xdr:col>3</xdr:col>
      <xdr:colOff>352425</xdr:colOff>
      <xdr:row>54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180975</xdr:rowOff>
    </xdr:from>
    <xdr:to>
      <xdr:col>4</xdr:col>
      <xdr:colOff>257175</xdr:colOff>
      <xdr:row>54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180975</xdr:rowOff>
    </xdr:from>
    <xdr:to>
      <xdr:col>5</xdr:col>
      <xdr:colOff>447675</xdr:colOff>
      <xdr:row>53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180975</xdr:rowOff>
    </xdr:from>
    <xdr:to>
      <xdr:col>6</xdr:col>
      <xdr:colOff>0</xdr:colOff>
      <xdr:row>53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32</xdr:row>
      <xdr:rowOff>1904</xdr:rowOff>
    </xdr:from>
    <xdr:to>
      <xdr:col>5</xdr:col>
      <xdr:colOff>1855469</xdr:colOff>
      <xdr:row>35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56</xdr:row>
      <xdr:rowOff>7620</xdr:rowOff>
    </xdr:from>
    <xdr:to>
      <xdr:col>6</xdr:col>
      <xdr:colOff>0</xdr:colOff>
      <xdr:row>59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38</xdr:row>
      <xdr:rowOff>62865</xdr:rowOff>
    </xdr:from>
    <xdr:to>
      <xdr:col>1</xdr:col>
      <xdr:colOff>778903</xdr:colOff>
      <xdr:row>44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0"/>
  <sheetViews>
    <sheetView topLeftCell="A7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0.109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  <col min="10" max="10" width="15.3320312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77">
        <v>7030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54</v>
      </c>
      <c r="D10" s="24"/>
      <c r="E10" s="24"/>
      <c r="F10" s="25" t="s">
        <v>34</v>
      </c>
      <c r="G10" s="26">
        <v>45315</v>
      </c>
      <c r="H10" s="27"/>
    </row>
    <row r="11" spans="2:8" ht="16.8" x14ac:dyDescent="0.4">
      <c r="B11" s="28" t="s">
        <v>2</v>
      </c>
      <c r="C11" s="92"/>
      <c r="D11" s="29"/>
      <c r="E11" s="29"/>
      <c r="F11" s="29" t="s">
        <v>33</v>
      </c>
      <c r="G11" s="30">
        <v>45321</v>
      </c>
      <c r="H11" s="31"/>
    </row>
    <row r="12" spans="2:8" x14ac:dyDescent="0.3">
      <c r="B12" s="32" t="s">
        <v>47</v>
      </c>
      <c r="C12" s="33"/>
      <c r="D12" s="33"/>
      <c r="E12" s="33"/>
      <c r="F12" s="33" t="s">
        <v>49</v>
      </c>
      <c r="G12" s="91"/>
      <c r="H12" s="34"/>
    </row>
    <row r="13" spans="2:8" x14ac:dyDescent="0.3">
      <c r="B13" s="28" t="s">
        <v>20</v>
      </c>
      <c r="C13" s="93" t="s">
        <v>55</v>
      </c>
      <c r="D13" s="35"/>
      <c r="E13" s="29"/>
      <c r="F13" s="29" t="s">
        <v>48</v>
      </c>
      <c r="G13" s="29" t="s">
        <v>50</v>
      </c>
      <c r="H13" s="31"/>
    </row>
    <row r="14" spans="2:8" ht="16.8" x14ac:dyDescent="0.4">
      <c r="B14" s="32" t="s">
        <v>1</v>
      </c>
      <c r="C14" s="134"/>
      <c r="D14" s="33"/>
      <c r="E14" s="33"/>
      <c r="F14" s="36" t="s">
        <v>53</v>
      </c>
      <c r="G14" s="33"/>
      <c r="H14" s="34"/>
    </row>
    <row r="15" spans="2:8" ht="15" thickBot="1" x14ac:dyDescent="0.35">
      <c r="B15" s="37" t="s">
        <v>3</v>
      </c>
      <c r="C15" s="38"/>
      <c r="D15" s="38"/>
      <c r="E15" s="39"/>
      <c r="F15" s="117" t="s">
        <v>21</v>
      </c>
      <c r="G15" s="117"/>
      <c r="H15" s="118"/>
    </row>
    <row r="17" spans="2:13" ht="15" thickBot="1" x14ac:dyDescent="0.35"/>
    <row r="18" spans="2:13" x14ac:dyDescent="0.3">
      <c r="B18" s="119" t="s">
        <v>22</v>
      </c>
      <c r="C18" s="120"/>
      <c r="D18" s="120"/>
      <c r="E18" s="120"/>
      <c r="F18" s="120"/>
      <c r="G18" s="120"/>
      <c r="H18" s="121"/>
      <c r="I18" s="5"/>
      <c r="J18" s="5"/>
      <c r="K18" s="5"/>
    </row>
    <row r="19" spans="2:13" ht="15" thickBot="1" x14ac:dyDescent="0.35">
      <c r="B19" s="102" t="s">
        <v>23</v>
      </c>
      <c r="C19" s="103" t="s">
        <v>24</v>
      </c>
      <c r="D19" s="103" t="s">
        <v>25</v>
      </c>
      <c r="E19" s="103" t="s">
        <v>10</v>
      </c>
      <c r="F19" s="103" t="s">
        <v>26</v>
      </c>
      <c r="G19" s="103" t="s">
        <v>27</v>
      </c>
      <c r="H19" s="104" t="s">
        <v>5</v>
      </c>
      <c r="I19" s="4"/>
      <c r="J19" s="4"/>
    </row>
    <row r="20" spans="2:13" ht="18" x14ac:dyDescent="0.3">
      <c r="B20" s="105">
        <v>1</v>
      </c>
      <c r="C20" s="106" t="s">
        <v>57</v>
      </c>
      <c r="D20" s="107">
        <v>1700</v>
      </c>
      <c r="E20" s="107">
        <v>560</v>
      </c>
      <c r="F20" s="108" t="s">
        <v>56</v>
      </c>
      <c r="G20" s="109">
        <v>78460</v>
      </c>
      <c r="H20" s="110">
        <f>G20*B20</f>
        <v>78460</v>
      </c>
      <c r="J20" s="95"/>
      <c r="K20" s="49"/>
    </row>
    <row r="21" spans="2:13" ht="18" x14ac:dyDescent="0.3">
      <c r="B21" s="132">
        <v>1</v>
      </c>
      <c r="C21" s="129" t="s">
        <v>57</v>
      </c>
      <c r="D21" s="128">
        <v>1400</v>
      </c>
      <c r="E21" s="128">
        <v>560</v>
      </c>
      <c r="F21" s="130" t="s">
        <v>56</v>
      </c>
      <c r="G21" s="131">
        <v>65298</v>
      </c>
      <c r="H21" s="133">
        <f>G21*B21</f>
        <v>65298</v>
      </c>
      <c r="J21" s="95"/>
      <c r="K21" s="49"/>
    </row>
    <row r="22" spans="2:13" ht="18.600000000000001" thickBot="1" x14ac:dyDescent="0.35">
      <c r="B22" s="111">
        <v>1</v>
      </c>
      <c r="C22" s="112" t="s">
        <v>58</v>
      </c>
      <c r="D22" s="113">
        <v>3000</v>
      </c>
      <c r="E22" s="113">
        <v>100</v>
      </c>
      <c r="F22" s="114" t="s">
        <v>56</v>
      </c>
      <c r="G22" s="115">
        <v>3500</v>
      </c>
      <c r="H22" s="116">
        <f>G22*B22</f>
        <v>3500</v>
      </c>
      <c r="J22" s="95"/>
      <c r="K22" s="49"/>
    </row>
    <row r="23" spans="2:13" ht="15" thickBot="1" x14ac:dyDescent="0.35">
      <c r="B23" s="76"/>
      <c r="C23" s="78"/>
      <c r="D23" s="49"/>
      <c r="E23" s="49"/>
      <c r="F23" s="49"/>
      <c r="G23" s="79"/>
      <c r="H23" s="80"/>
      <c r="K23" s="90"/>
      <c r="L23" s="90"/>
    </row>
    <row r="24" spans="2:13" ht="16.95" customHeight="1" x14ac:dyDescent="0.3">
      <c r="B24" s="9"/>
      <c r="C24" s="49"/>
      <c r="D24" s="2"/>
      <c r="E24" s="2"/>
      <c r="F24" s="9"/>
      <c r="G24" s="82" t="s">
        <v>6</v>
      </c>
      <c r="H24" s="83">
        <f>SUM(H20:H22)</f>
        <v>147258</v>
      </c>
      <c r="L24" s="90"/>
      <c r="M24" s="90"/>
    </row>
    <row r="25" spans="2:13" ht="18" customHeight="1" x14ac:dyDescent="0.3">
      <c r="G25" s="84" t="s">
        <v>7</v>
      </c>
      <c r="H25" s="85">
        <f>H24*0.19</f>
        <v>27979.02</v>
      </c>
    </row>
    <row r="26" spans="2:13" ht="16.2" thickBot="1" x14ac:dyDescent="0.35">
      <c r="G26" s="86" t="s">
        <v>5</v>
      </c>
      <c r="H26" s="87">
        <f>H24+H25</f>
        <v>175237.02</v>
      </c>
    </row>
    <row r="27" spans="2:13" x14ac:dyDescent="0.3">
      <c r="C27" s="49"/>
    </row>
    <row r="28" spans="2:13" x14ac:dyDescent="0.3">
      <c r="B28" s="45" t="s">
        <v>31</v>
      </c>
      <c r="C28" s="49"/>
      <c r="D28" s="40"/>
      <c r="E28" s="40"/>
      <c r="F28" s="41"/>
    </row>
    <row r="29" spans="2:13" x14ac:dyDescent="0.3">
      <c r="B29" s="45" t="s">
        <v>32</v>
      </c>
      <c r="C29" s="49"/>
      <c r="D29" s="40"/>
      <c r="E29" s="40"/>
      <c r="F29" s="41"/>
    </row>
    <row r="30" spans="2:13" x14ac:dyDescent="0.3">
      <c r="B30" s="46" t="s">
        <v>28</v>
      </c>
      <c r="C30" s="49"/>
      <c r="E30" s="47" t="s">
        <v>29</v>
      </c>
    </row>
  </sheetData>
  <sortState xmlns:xlrd2="http://schemas.microsoft.com/office/spreadsheetml/2017/richdata2" ref="B44">
    <sortCondition sortBy="fontColor" ref="B44" dxfId="2"/>
  </sortState>
  <mergeCells count="2">
    <mergeCell ref="F15:H15"/>
    <mergeCell ref="B18:H18"/>
  </mergeCells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61"/>
  <sheetViews>
    <sheetView tabSelected="1" topLeftCell="A23" workbookViewId="0">
      <selection activeCell="F3" sqref="A3:F37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4.3320312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1" t="s">
        <v>30</v>
      </c>
      <c r="E4" s="52">
        <f>'5770'!G8</f>
        <v>7030</v>
      </c>
      <c r="G4" s="2"/>
    </row>
    <row r="5" spans="1:17" ht="15.6" x14ac:dyDescent="0.3">
      <c r="C5" s="53" t="s">
        <v>35</v>
      </c>
      <c r="D5" s="54" t="str">
        <f>'5770'!C10</f>
        <v>LIZANA SERVICIOS</v>
      </c>
      <c r="E5" s="33"/>
      <c r="F5" s="33"/>
      <c r="G5" s="2"/>
      <c r="J5" s="5"/>
      <c r="K5" s="5"/>
    </row>
    <row r="6" spans="1:17" ht="15.6" x14ac:dyDescent="0.3">
      <c r="C6" s="55"/>
      <c r="D6" s="56"/>
      <c r="G6" s="2"/>
      <c r="I6" s="5"/>
      <c r="J6" s="5"/>
      <c r="K6" s="5"/>
    </row>
    <row r="7" spans="1:17" ht="15.6" x14ac:dyDescent="0.3">
      <c r="C7" s="57" t="str">
        <f>'[1]4637'!F11</f>
        <v>FECHA ENTREGA :</v>
      </c>
      <c r="E7" s="58">
        <f>'5770'!G11</f>
        <v>45321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2" t="s">
        <v>36</v>
      </c>
      <c r="B10" s="122"/>
      <c r="C10" s="122"/>
      <c r="D10" s="122"/>
      <c r="E10" s="122"/>
      <c r="F10" s="122"/>
      <c r="G10" s="2"/>
      <c r="I10" s="5"/>
      <c r="J10" s="5"/>
      <c r="K10" s="5"/>
    </row>
    <row r="11" spans="1:17" ht="15.6" x14ac:dyDescent="0.3">
      <c r="C11" s="59"/>
      <c r="G11" s="2"/>
      <c r="I11" s="5"/>
      <c r="J11" s="5"/>
      <c r="K11" s="5"/>
    </row>
    <row r="12" spans="1:17" ht="15.6" x14ac:dyDescent="0.3">
      <c r="A12" s="2"/>
      <c r="B12" s="2"/>
      <c r="C12" s="2"/>
      <c r="D12" s="60" t="s">
        <v>9</v>
      </c>
      <c r="E12" s="60" t="s">
        <v>10</v>
      </c>
      <c r="F12" s="2"/>
      <c r="G12" s="2"/>
    </row>
    <row r="13" spans="1:17" ht="15.6" x14ac:dyDescent="0.3">
      <c r="A13" s="60" t="s">
        <v>11</v>
      </c>
      <c r="B13" s="88" t="s">
        <v>12</v>
      </c>
      <c r="C13" s="88" t="s">
        <v>13</v>
      </c>
      <c r="D13" s="61">
        <v>50</v>
      </c>
      <c r="E13" s="61">
        <v>-30</v>
      </c>
      <c r="F13" s="89" t="s">
        <v>37</v>
      </c>
      <c r="G13" s="2"/>
      <c r="J13" s="8" t="s">
        <v>9</v>
      </c>
      <c r="K13" s="8" t="s">
        <v>10</v>
      </c>
    </row>
    <row r="14" spans="1:17" ht="15.6" x14ac:dyDescent="0.3">
      <c r="A14" s="60" t="s">
        <v>51</v>
      </c>
      <c r="B14" s="66">
        <f>I14</f>
        <v>1</v>
      </c>
      <c r="C14" s="66"/>
      <c r="D14" s="66">
        <f>J14+D$13</f>
        <v>1750</v>
      </c>
      <c r="E14" s="81">
        <f>K14+E$13</f>
        <v>530</v>
      </c>
      <c r="F14" s="66" t="str">
        <f>C29</f>
        <v>CUB C/R R6</v>
      </c>
      <c r="G14" s="2"/>
      <c r="I14" s="6">
        <f t="shared" ref="I14:K15" si="0">I22</f>
        <v>1</v>
      </c>
      <c r="J14" s="7">
        <f t="shared" si="0"/>
        <v>1700</v>
      </c>
      <c r="K14" s="7">
        <f t="shared" si="0"/>
        <v>560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0"/>
      <c r="B15" s="66">
        <f>I15</f>
        <v>1</v>
      </c>
      <c r="C15" s="66"/>
      <c r="D15" s="66">
        <f>J15+D$13</f>
        <v>1450</v>
      </c>
      <c r="E15" s="81">
        <f>K15+E$13</f>
        <v>530</v>
      </c>
      <c r="F15" s="66" t="str">
        <f>C30</f>
        <v>CUB C/R R6</v>
      </c>
      <c r="G15" s="2"/>
      <c r="I15" s="6">
        <f t="shared" si="0"/>
        <v>1</v>
      </c>
      <c r="J15" s="7">
        <f t="shared" si="0"/>
        <v>1400</v>
      </c>
      <c r="K15" s="7">
        <f t="shared" si="0"/>
        <v>560</v>
      </c>
    </row>
    <row r="16" spans="1:17" ht="15.6" x14ac:dyDescent="0.3">
      <c r="A16" s="60"/>
      <c r="B16" s="9"/>
      <c r="C16" s="9"/>
      <c r="D16" s="9"/>
      <c r="E16" s="94"/>
      <c r="F16" s="9"/>
      <c r="G16" s="2"/>
      <c r="I16" s="5"/>
      <c r="J16" s="5"/>
      <c r="K16" s="5"/>
      <c r="Q16">
        <f>SUM(Q14:Q14)</f>
        <v>1.0800000000000001E-2</v>
      </c>
    </row>
    <row r="17" spans="1:11" ht="15.6" x14ac:dyDescent="0.3">
      <c r="G17" s="50"/>
    </row>
    <row r="18" spans="1:11" ht="15.6" x14ac:dyDescent="0.3">
      <c r="A18" s="122" t="s">
        <v>16</v>
      </c>
      <c r="B18" s="122"/>
      <c r="C18" s="122"/>
      <c r="D18" s="122"/>
      <c r="E18" s="122"/>
      <c r="F18" s="122"/>
      <c r="G18" s="50"/>
      <c r="I18" s="5"/>
      <c r="J18" s="5"/>
      <c r="K18" s="5"/>
    </row>
    <row r="19" spans="1:11" ht="15.6" x14ac:dyDescent="0.3">
      <c r="A19" s="2"/>
      <c r="B19" s="2"/>
      <c r="C19" s="59"/>
      <c r="D19" s="2"/>
      <c r="E19" s="2"/>
      <c r="F19" s="2"/>
      <c r="G19" s="50"/>
      <c r="I19" s="5"/>
      <c r="J19" s="5"/>
      <c r="K19" s="5"/>
    </row>
    <row r="20" spans="1:11" ht="15.6" x14ac:dyDescent="0.3">
      <c r="A20" s="2"/>
      <c r="B20" s="2"/>
      <c r="C20" s="2"/>
      <c r="D20" s="60" t="s">
        <v>9</v>
      </c>
      <c r="E20" s="60" t="s">
        <v>10</v>
      </c>
      <c r="F20" s="2"/>
      <c r="G20" s="50"/>
    </row>
    <row r="21" spans="1:11" ht="15.6" x14ac:dyDescent="0.3">
      <c r="A21" s="60" t="s">
        <v>11</v>
      </c>
      <c r="B21" s="88" t="s">
        <v>12</v>
      </c>
      <c r="C21" s="88" t="s">
        <v>13</v>
      </c>
      <c r="D21" s="101">
        <v>40</v>
      </c>
      <c r="E21" s="101">
        <v>130</v>
      </c>
      <c r="F21" s="89" t="s">
        <v>37</v>
      </c>
      <c r="G21" s="50"/>
      <c r="J21" s="8" t="s">
        <v>9</v>
      </c>
      <c r="K21" s="8" t="s">
        <v>10</v>
      </c>
    </row>
    <row r="22" spans="1:11" ht="15.6" x14ac:dyDescent="0.3">
      <c r="A22" s="60" t="s">
        <v>52</v>
      </c>
      <c r="B22" s="66">
        <f>B29</f>
        <v>1</v>
      </c>
      <c r="C22" s="66"/>
      <c r="D22" s="66">
        <f>J22+D$21</f>
        <v>1740</v>
      </c>
      <c r="E22" s="66">
        <f>K22+$E$21</f>
        <v>690</v>
      </c>
      <c r="F22" s="7" t="str">
        <f>C29</f>
        <v>CUB C/R R6</v>
      </c>
      <c r="G22" s="50"/>
      <c r="I22" s="6">
        <f>B29</f>
        <v>1</v>
      </c>
      <c r="J22" s="7">
        <f t="shared" ref="J22" si="1">D29</f>
        <v>1700</v>
      </c>
      <c r="K22" s="7">
        <f t="shared" ref="K22" si="2">E29</f>
        <v>560</v>
      </c>
    </row>
    <row r="23" spans="1:11" ht="15.6" x14ac:dyDescent="0.3">
      <c r="A23" s="60"/>
      <c r="B23" s="66">
        <f>B30</f>
        <v>1</v>
      </c>
      <c r="C23" s="66"/>
      <c r="D23" s="66">
        <f>J23+D$21</f>
        <v>1440</v>
      </c>
      <c r="E23" s="66">
        <f t="shared" ref="E23:E24" si="3">K23+$E$21</f>
        <v>690</v>
      </c>
      <c r="F23" s="7" t="str">
        <f>C30</f>
        <v>CUB C/R R6</v>
      </c>
      <c r="G23" s="50"/>
      <c r="I23" s="6">
        <f>B30</f>
        <v>1</v>
      </c>
      <c r="J23" s="7">
        <f t="shared" ref="J23" si="4">D30</f>
        <v>1400</v>
      </c>
      <c r="K23" s="7">
        <f t="shared" ref="K23" si="5">E30</f>
        <v>560</v>
      </c>
    </row>
    <row r="24" spans="1:11" ht="15.6" x14ac:dyDescent="0.3">
      <c r="A24" s="60"/>
      <c r="B24" s="66">
        <f>B32</f>
        <v>0</v>
      </c>
      <c r="C24" s="66"/>
      <c r="D24" s="66">
        <f>J24</f>
        <v>3000</v>
      </c>
      <c r="E24" s="66">
        <f>K24</f>
        <v>100</v>
      </c>
      <c r="F24" s="7" t="str">
        <f>C31</f>
        <v>ZOCALO</v>
      </c>
      <c r="G24" s="50"/>
      <c r="I24" s="6">
        <f>B31</f>
        <v>1</v>
      </c>
      <c r="J24" s="7">
        <f t="shared" ref="J24" si="6">D31</f>
        <v>3000</v>
      </c>
      <c r="K24" s="7">
        <f t="shared" ref="K24" si="7">E31</f>
        <v>100</v>
      </c>
    </row>
    <row r="25" spans="1:11" ht="16.2" thickBot="1" x14ac:dyDescent="0.35">
      <c r="A25" s="60"/>
      <c r="B25" s="9"/>
      <c r="C25" s="9"/>
      <c r="D25" s="9"/>
      <c r="E25" s="9"/>
      <c r="F25" s="62"/>
      <c r="G25" s="2"/>
      <c r="I25" s="5"/>
      <c r="J25" s="5"/>
      <c r="K25" s="5"/>
    </row>
    <row r="26" spans="1:11" ht="16.2" thickBot="1" x14ac:dyDescent="0.35">
      <c r="A26" s="60"/>
      <c r="B26" s="63" t="s">
        <v>38</v>
      </c>
      <c r="C26" s="64"/>
      <c r="D26" s="64"/>
      <c r="E26" s="64"/>
      <c r="F26" s="64"/>
      <c r="G26" s="2"/>
    </row>
    <row r="27" spans="1:11" ht="20.25" customHeight="1" x14ac:dyDescent="0.3">
      <c r="G27" s="2"/>
    </row>
    <row r="28" spans="1:11" ht="15.6" x14ac:dyDescent="0.3">
      <c r="A28" s="60" t="s">
        <v>11</v>
      </c>
      <c r="B28" s="65" t="s">
        <v>12</v>
      </c>
      <c r="C28" s="65" t="s">
        <v>37</v>
      </c>
      <c r="D28" s="100" t="s">
        <v>9</v>
      </c>
      <c r="E28" s="100" t="s">
        <v>10</v>
      </c>
      <c r="F28" s="65" t="s">
        <v>26</v>
      </c>
      <c r="G28" s="2"/>
    </row>
    <row r="29" spans="1:11" ht="15.6" x14ac:dyDescent="0.3">
      <c r="A29" s="60" t="s">
        <v>52</v>
      </c>
      <c r="B29" s="66">
        <f>'5770'!B20</f>
        <v>1</v>
      </c>
      <c r="C29" s="99" t="str">
        <f>'5770'!C20</f>
        <v>CUB C/R R6</v>
      </c>
      <c r="D29" s="66">
        <f>'5770'!D20</f>
        <v>1700</v>
      </c>
      <c r="E29" s="66">
        <f>'5770'!E20</f>
        <v>560</v>
      </c>
      <c r="F29" s="66" t="str">
        <f>F50</f>
        <v>CLASSIC</v>
      </c>
      <c r="G29" s="2"/>
    </row>
    <row r="30" spans="1:11" ht="15.6" x14ac:dyDescent="0.3">
      <c r="A30" s="60"/>
      <c r="B30" s="66">
        <f>'5770'!B21</f>
        <v>1</v>
      </c>
      <c r="C30" s="99" t="str">
        <f>'5770'!C21</f>
        <v>CUB C/R R6</v>
      </c>
      <c r="D30" s="66">
        <f>'5770'!D21</f>
        <v>1400</v>
      </c>
      <c r="E30" s="66">
        <f>'5770'!E21</f>
        <v>560</v>
      </c>
      <c r="F30" s="66" t="str">
        <f>'5770'!F21</f>
        <v>CLASSIC</v>
      </c>
      <c r="G30" s="2"/>
    </row>
    <row r="31" spans="1:11" ht="15.6" x14ac:dyDescent="0.3">
      <c r="A31" s="60"/>
      <c r="B31" s="66">
        <f>'5770'!B22</f>
        <v>1</v>
      </c>
      <c r="C31" s="99" t="str">
        <f>'5770'!C22</f>
        <v>ZOCALO</v>
      </c>
      <c r="D31" s="66">
        <f>'5770'!D22</f>
        <v>3000</v>
      </c>
      <c r="E31" s="66">
        <f>'5770'!E22</f>
        <v>100</v>
      </c>
      <c r="F31" s="66" t="str">
        <f>'5770'!F22</f>
        <v>CLASSIC</v>
      </c>
      <c r="G31" s="2"/>
    </row>
    <row r="32" spans="1:11" ht="15.6" x14ac:dyDescent="0.3">
      <c r="B32" s="9"/>
      <c r="C32" s="20"/>
      <c r="D32" s="9"/>
      <c r="E32" s="9"/>
      <c r="F32" s="62"/>
      <c r="G32" s="2"/>
    </row>
    <row r="33" spans="1:6" ht="15.6" x14ac:dyDescent="0.3">
      <c r="B33" s="9"/>
      <c r="C33" s="20"/>
      <c r="D33" s="9"/>
      <c r="E33" s="9"/>
      <c r="F33" s="62"/>
    </row>
    <row r="34" spans="1:6" ht="15.6" x14ac:dyDescent="0.3">
      <c r="B34" s="9"/>
      <c r="C34" s="20"/>
      <c r="D34" s="9"/>
      <c r="E34" s="9"/>
      <c r="F34" s="62"/>
    </row>
    <row r="35" spans="1:6" ht="15.6" x14ac:dyDescent="0.3">
      <c r="B35" s="9"/>
      <c r="C35" s="20"/>
      <c r="D35" s="9"/>
      <c r="E35" s="9"/>
      <c r="F35" s="62"/>
    </row>
    <row r="36" spans="1:6" ht="15.6" x14ac:dyDescent="0.3">
      <c r="B36" s="9"/>
      <c r="C36" s="20"/>
      <c r="D36" s="9"/>
      <c r="E36" s="9"/>
      <c r="F36" s="62"/>
    </row>
    <row r="37" spans="1:6" ht="15.6" x14ac:dyDescent="0.3">
      <c r="B37" s="9"/>
      <c r="C37" s="20"/>
      <c r="D37" s="9"/>
      <c r="E37" s="9"/>
      <c r="F37" s="62"/>
    </row>
    <row r="38" spans="1:6" ht="15.6" x14ac:dyDescent="0.3">
      <c r="B38" s="9"/>
      <c r="C38" s="20"/>
      <c r="D38" s="9"/>
      <c r="E38" s="9"/>
      <c r="F38" s="62"/>
    </row>
    <row r="40" spans="1:6" ht="15.6" x14ac:dyDescent="0.3">
      <c r="C40" s="51" t="s">
        <v>30</v>
      </c>
      <c r="E40" s="52">
        <f>'5770'!G8</f>
        <v>7030</v>
      </c>
    </row>
    <row r="41" spans="1:6" ht="20.399999999999999" customHeight="1" x14ac:dyDescent="0.3">
      <c r="C41" s="53" t="s">
        <v>35</v>
      </c>
      <c r="D41" s="54" t="str">
        <f>'5770'!C10</f>
        <v>LIZANA SERVICIOS</v>
      </c>
      <c r="E41" s="33"/>
      <c r="F41" s="33"/>
    </row>
    <row r="42" spans="1:6" x14ac:dyDescent="0.3">
      <c r="C42" s="55"/>
      <c r="D42" s="56"/>
    </row>
    <row r="43" spans="1:6" ht="15.6" x14ac:dyDescent="0.3">
      <c r="C43" s="57" t="str">
        <f>'[1]4637'!F11</f>
        <v>FECHA ENTREGA :</v>
      </c>
      <c r="E43" s="58">
        <f>'5770'!G11</f>
        <v>45321</v>
      </c>
      <c r="F43" s="2"/>
    </row>
    <row r="44" spans="1:6" x14ac:dyDescent="0.3">
      <c r="E44" t="str">
        <f>'5770'!B15</f>
        <v>CIUDAD:</v>
      </c>
      <c r="F44">
        <f>'5770'!C15</f>
        <v>0</v>
      </c>
    </row>
    <row r="46" spans="1:6" x14ac:dyDescent="0.3">
      <c r="A46" s="123" t="s">
        <v>39</v>
      </c>
      <c r="B46" s="123"/>
      <c r="C46" s="123"/>
      <c r="D46" s="123"/>
      <c r="E46" s="123"/>
      <c r="F46" s="123"/>
    </row>
    <row r="48" spans="1:6" x14ac:dyDescent="0.3">
      <c r="B48" s="124" t="s">
        <v>4</v>
      </c>
      <c r="C48" s="125"/>
      <c r="D48" s="126"/>
      <c r="E48" s="126"/>
      <c r="F48" s="127"/>
    </row>
    <row r="49" spans="1:6" x14ac:dyDescent="0.3">
      <c r="A49" s="1"/>
      <c r="B49" s="67" t="s">
        <v>12</v>
      </c>
      <c r="C49" s="68" t="s">
        <v>14</v>
      </c>
      <c r="D49" s="97" t="s">
        <v>9</v>
      </c>
      <c r="E49" s="97" t="s">
        <v>10</v>
      </c>
      <c r="F49" s="68" t="s">
        <v>26</v>
      </c>
    </row>
    <row r="50" spans="1:6" ht="18" x14ac:dyDescent="0.35">
      <c r="A50" s="60" t="s">
        <v>52</v>
      </c>
      <c r="B50" s="69">
        <f>'5770'!B20</f>
        <v>1</v>
      </c>
      <c r="C50" s="98" t="str">
        <f>'5770'!C20</f>
        <v>CUB C/R R6</v>
      </c>
      <c r="D50" s="96">
        <f>'5770'!D20</f>
        <v>1700</v>
      </c>
      <c r="E50" s="96">
        <f>'5770'!E20</f>
        <v>560</v>
      </c>
      <c r="F50" s="69" t="str">
        <f>'5770'!F20</f>
        <v>CLASSIC</v>
      </c>
    </row>
    <row r="51" spans="1:6" ht="18" x14ac:dyDescent="0.35">
      <c r="A51" s="60"/>
      <c r="B51" s="69">
        <f>'5770'!B21</f>
        <v>1</v>
      </c>
      <c r="C51" s="98" t="str">
        <f>'5770'!C21</f>
        <v>CUB C/R R6</v>
      </c>
      <c r="D51" s="96">
        <f>'5770'!D21</f>
        <v>1400</v>
      </c>
      <c r="E51" s="96">
        <f>'5770'!E21</f>
        <v>560</v>
      </c>
      <c r="F51" s="69" t="str">
        <f>'5770'!F21</f>
        <v>CLASSIC</v>
      </c>
    </row>
    <row r="52" spans="1:6" ht="18" x14ac:dyDescent="0.35">
      <c r="A52" s="60"/>
      <c r="B52" s="69">
        <f>'5770'!B22</f>
        <v>1</v>
      </c>
      <c r="C52" s="98" t="str">
        <f>'5770'!C22</f>
        <v>ZOCALO</v>
      </c>
      <c r="D52" s="96">
        <f>'5770'!D22</f>
        <v>3000</v>
      </c>
      <c r="E52" s="96">
        <f>'5770'!E22</f>
        <v>100</v>
      </c>
      <c r="F52" s="69" t="str">
        <f>'5770'!F22</f>
        <v>CLASSIC</v>
      </c>
    </row>
    <row r="53" spans="1:6" ht="15.6" x14ac:dyDescent="0.3">
      <c r="A53" s="70"/>
      <c r="B53" s="5"/>
      <c r="C53" s="46"/>
      <c r="D53" s="9"/>
      <c r="E53" s="9"/>
      <c r="F53" s="62"/>
    </row>
    <row r="54" spans="1:6" ht="15.6" x14ac:dyDescent="0.3">
      <c r="A54" s="70"/>
      <c r="B54" s="5"/>
      <c r="C54" s="46"/>
      <c r="D54" s="9"/>
      <c r="E54" s="9"/>
      <c r="F54" s="55"/>
    </row>
    <row r="55" spans="1:6" ht="15.6" x14ac:dyDescent="0.3">
      <c r="A55" s="70"/>
      <c r="B55" s="5"/>
      <c r="C55" s="46"/>
      <c r="D55" s="9"/>
      <c r="E55" s="9"/>
      <c r="F55" s="62"/>
    </row>
    <row r="56" spans="1:6" ht="15" thickBot="1" x14ac:dyDescent="0.35"/>
    <row r="57" spans="1:6" x14ac:dyDescent="0.3">
      <c r="B57" s="71" t="s">
        <v>15</v>
      </c>
      <c r="C57" s="72"/>
      <c r="D57" s="11"/>
      <c r="E57" s="11"/>
      <c r="F57" s="12"/>
    </row>
    <row r="58" spans="1:6" x14ac:dyDescent="0.3">
      <c r="B58" s="13"/>
      <c r="C58" s="73" t="s">
        <v>40</v>
      </c>
      <c r="D58" s="14"/>
      <c r="E58" s="14"/>
      <c r="F58" s="15"/>
    </row>
    <row r="59" spans="1:6" ht="18" x14ac:dyDescent="0.35">
      <c r="B59" s="73" t="s">
        <v>41</v>
      </c>
      <c r="C59" s="74"/>
      <c r="D59" s="16"/>
      <c r="E59" s="16"/>
      <c r="F59" s="17"/>
    </row>
    <row r="60" spans="1:6" ht="18.600000000000001" thickBot="1" x14ac:dyDescent="0.4">
      <c r="B60" s="75" t="s">
        <v>42</v>
      </c>
      <c r="C60" s="18"/>
      <c r="D60" s="18"/>
      <c r="E60" s="18"/>
      <c r="F60" s="19"/>
    </row>
    <row r="61" spans="1:6" ht="18" x14ac:dyDescent="0.35">
      <c r="A61" s="3"/>
      <c r="B61" s="10"/>
    </row>
  </sheetData>
  <mergeCells count="4">
    <mergeCell ref="A10:F10"/>
    <mergeCell ref="A18:F18"/>
    <mergeCell ref="A46:F46"/>
    <mergeCell ref="B48:F48"/>
  </mergeCells>
  <pageMargins left="0.70866141732283472" right="0.70866141732283472" top="0.74803149606299213" bottom="0.74803149606299213" header="0.31496062992125984" footer="0.31496062992125984"/>
  <pageSetup scale="8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2024-01-24T12:39:42Z</cp:lastPrinted>
  <dcterms:created xsi:type="dcterms:W3CDTF">2013-03-19T12:54:14Z</dcterms:created>
  <dcterms:modified xsi:type="dcterms:W3CDTF">2024-01-24T12:41:31Z</dcterms:modified>
</cp:coreProperties>
</file>