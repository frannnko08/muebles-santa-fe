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2D05C50B-44CA-4CDD-93D2-3FAF7063AF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CUBIERTA!$A$2:$F$35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H20" i="4"/>
  <c r="P14" i="3"/>
  <c r="H23" i="4" l="1"/>
  <c r="B27" i="3"/>
  <c r="B21" i="3" s="1"/>
  <c r="C27" i="3"/>
  <c r="F21" i="3" s="1"/>
  <c r="D27" i="3"/>
  <c r="J21" i="3" s="1"/>
  <c r="D21" i="3" s="1"/>
  <c r="E27" i="3"/>
  <c r="K21" i="3" s="1"/>
  <c r="F27" i="3"/>
  <c r="B47" i="3"/>
  <c r="C47" i="3"/>
  <c r="D47" i="3"/>
  <c r="E47" i="3"/>
  <c r="F47" i="3"/>
  <c r="K14" i="3" l="1"/>
  <c r="E14" i="3" s="1"/>
  <c r="J14" i="3"/>
  <c r="D14" i="3" s="1"/>
  <c r="I21" i="3"/>
  <c r="I14" i="3" s="1"/>
  <c r="F14" i="3"/>
  <c r="B14" i="3" l="1"/>
  <c r="Q14" i="3"/>
  <c r="Q15" i="3" s="1"/>
  <c r="F41" i="3"/>
  <c r="E41" i="3"/>
  <c r="D38" i="3" l="1"/>
  <c r="E40" i="3"/>
  <c r="E37" i="3"/>
  <c r="E7" i="3"/>
  <c r="E4" i="3"/>
  <c r="D5" i="3"/>
  <c r="C40" i="3"/>
  <c r="C7" i="3"/>
  <c r="H24" i="4" l="1"/>
  <c r="H25" i="4" l="1"/>
</calcChain>
</file>

<file path=xl/sharedStrings.xml><?xml version="1.0" encoding="utf-8"?>
<sst xmlns="http://schemas.openxmlformats.org/spreadsheetml/2006/main" count="89" uniqueCount="62">
  <si>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</si>
  <si>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</si>
  <si>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</si>
  <si>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</si>
  <si>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</si>
  <si>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</si>
  <si>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</si>
  <si>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</si>
  <si>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</si>
  <si>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</si>
  <si>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</si>
  <si>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</si>
  <si>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</si>
  <si>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</si>
  <si>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</si>
  <si>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</si>
  <si>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</si>
  <si>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</si>
  <si>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</si>
  <si>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</si>
  <si>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</si>
  <si>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</si>
  <si>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</si>
  <si>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</si>
  <si>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</si>
  <si>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</si>
  <si>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</si>
  <si>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</si>
  <si>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</si>
  <si>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</si>
  <si>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</si>
  <si>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</si>
  <si>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</si>
  <si>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</si>
  <si>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</si>
  <si>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</si>
  <si>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</si>
  <si>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</si>
  <si>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</si>
  <si>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</si>
  <si>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</si>
  <si>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</si>
  <si>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</si>
  <si>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</si>
  <si>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</si>
  <si>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</si>
  <si>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</si>
  <si>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</si>
  <si>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</si>
  <si>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</si>
  <si>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</si>
  <si>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</si>
  <si>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MDF18MM</t>
  </si>
  <si>
    <t>MDF 18MM</t>
  </si>
  <si>
    <t>FORMA DE PAGO : CONTADO</t>
  </si>
  <si>
    <t>DANIELA HERRERA</t>
  </si>
  <si>
    <t>+569 3447 9380</t>
  </si>
  <si>
    <t>CUB C/R 180°</t>
  </si>
  <si>
    <t xml:space="preserve">BLANCO OPACO MERINO 22191 </t>
  </si>
  <si>
    <t>GAD INVERSIONES Y NEGOCIOS SPA</t>
  </si>
  <si>
    <t>76.479.332-3</t>
  </si>
  <si>
    <t>LUIS THAYER OJEDA 1415 D/502 PROVI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</si>
</sst>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10523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$ 145.050.-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29</xdr:row>
      <xdr:rowOff>1904</xdr:rowOff>
    </xdr:from>
    <xdr:to>
      <xdr:col>5</xdr:col>
      <xdr:colOff>1855469</xdr:colOff>
      <xdr:row>32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CORTAR  RESPALDO A 7</a:t>
          </a:r>
          <a:r>
            <a:rPr lang="es-CL" sz="1050" b="1" i="1" baseline="0"/>
            <a:t> CMS</a:t>
          </a: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52</xdr:row>
      <xdr:rowOff>7620</xdr:rowOff>
    </xdr:from>
    <xdr:to>
      <xdr:col>6</xdr:col>
      <xdr:colOff>0</xdr:colOff>
      <xdr:row>55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OJO RESPALDO CORTAR</a:t>
          </a:r>
          <a:r>
            <a:rPr lang="es-CL" sz="1050" b="1" i="1" baseline="0"/>
            <a:t> A 7CMS</a:t>
          </a:r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35</xdr:row>
      <xdr:rowOff>62865</xdr:rowOff>
    </xdr:from>
    <xdr:to>
      <xdr:col>1</xdr:col>
      <xdr:colOff>778903</xdr:colOff>
      <xdr:row>41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topLeftCell="A3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82">
        <v>7026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59</v>
      </c>
      <c r="D10" s="24"/>
      <c r="E10" s="24"/>
      <c r="F10" s="25" t="s">
        <v>34</v>
      </c>
      <c r="G10" s="26">
        <v>45308</v>
      </c>
      <c r="H10" s="27"/>
    </row>
    <row r="11" spans="2:8" ht="16.8" x14ac:dyDescent="0.4">
      <c r="B11" s="28" t="s">
        <v>2</v>
      </c>
      <c r="C11" s="102" t="s">
        <v>60</v>
      </c>
      <c r="D11" s="29"/>
      <c r="E11" s="29"/>
      <c r="F11" s="29" t="s">
        <v>33</v>
      </c>
      <c r="G11" s="30">
        <v>45310</v>
      </c>
      <c r="H11" s="31"/>
    </row>
    <row r="12" spans="2:8" x14ac:dyDescent="0.3">
      <c r="B12" s="32" t="s">
        <v>47</v>
      </c>
      <c r="C12" t="s">
        <v>55</v>
      </c>
      <c r="D12" s="33"/>
      <c r="E12" s="33"/>
      <c r="F12" s="33" t="s">
        <v>50</v>
      </c>
      <c r="G12" s="101"/>
      <c r="H12" s="80"/>
    </row>
    <row r="13" spans="2:8" x14ac:dyDescent="0.3">
      <c r="B13" s="28" t="s">
        <v>20</v>
      </c>
      <c r="C13" s="103" t="s">
        <v>56</v>
      </c>
      <c r="D13" s="35"/>
      <c r="E13" s="29"/>
      <c r="F13" s="29" t="s">
        <v>49</v>
      </c>
      <c r="G13" s="29" t="s">
        <v>51</v>
      </c>
      <c r="H13" s="31"/>
    </row>
    <row r="14" spans="2:8" ht="16.8" x14ac:dyDescent="0.4">
      <c r="B14" s="32" t="s">
        <v>1</v>
      </c>
      <c r="C14" s="102" t="s">
        <v>61</v>
      </c>
      <c r="D14" s="33"/>
      <c r="E14" s="33"/>
      <c r="F14" s="36" t="s">
        <v>54</v>
      </c>
      <c r="G14" s="33"/>
      <c r="H14" s="34"/>
    </row>
    <row r="15" spans="2:8" ht="15" thickBot="1" x14ac:dyDescent="0.35">
      <c r="B15" s="37" t="s">
        <v>3</v>
      </c>
      <c r="C15" s="38" t="s">
        <v>48</v>
      </c>
      <c r="D15" s="38"/>
      <c r="E15" s="39"/>
      <c r="F15" s="115" t="s">
        <v>21</v>
      </c>
      <c r="G15" s="115"/>
      <c r="H15" s="116"/>
    </row>
    <row r="17" spans="2:13" ht="15" thickBot="1" x14ac:dyDescent="0.35"/>
    <row r="18" spans="2:13" x14ac:dyDescent="0.3">
      <c r="B18" s="117" t="s">
        <v>22</v>
      </c>
      <c r="C18" s="118"/>
      <c r="D18" s="118"/>
      <c r="E18" s="118"/>
      <c r="F18" s="118"/>
      <c r="G18" s="118"/>
      <c r="H18" s="119"/>
      <c r="I18" s="5"/>
      <c r="J18" s="5"/>
      <c r="K18" s="5"/>
    </row>
    <row r="19" spans="2:13" ht="15" thickBot="1" x14ac:dyDescent="0.35">
      <c r="B19" s="96" t="s">
        <v>23</v>
      </c>
      <c r="C19" s="97" t="s">
        <v>24</v>
      </c>
      <c r="D19" s="97" t="s">
        <v>25</v>
      </c>
      <c r="E19" s="97" t="s">
        <v>10</v>
      </c>
      <c r="F19" s="97" t="s">
        <v>26</v>
      </c>
      <c r="G19" s="97" t="s">
        <v>27</v>
      </c>
      <c r="H19" s="98" t="s">
        <v>5</v>
      </c>
      <c r="I19" s="4"/>
      <c r="J19" s="4"/>
    </row>
    <row r="20" spans="2:13" ht="15.6" x14ac:dyDescent="0.3">
      <c r="B20" s="109">
        <v>2</v>
      </c>
      <c r="C20" s="99" t="s">
        <v>57</v>
      </c>
      <c r="D20" s="100">
        <v>3000</v>
      </c>
      <c r="E20" s="100">
        <v>700</v>
      </c>
      <c r="F20" s="112" t="s">
        <v>58</v>
      </c>
      <c r="G20" s="113">
        <v>121892</v>
      </c>
      <c r="H20" s="114">
        <f>G20*B20</f>
        <v>243784</v>
      </c>
      <c r="I20" s="50"/>
      <c r="K20" s="50"/>
    </row>
    <row r="21" spans="2:13" ht="15.6" x14ac:dyDescent="0.3">
      <c r="B21" s="104"/>
      <c r="C21" s="105"/>
      <c r="D21" s="106"/>
      <c r="E21" s="106"/>
      <c r="F21" s="9"/>
      <c r="G21" s="107"/>
      <c r="H21" s="108"/>
      <c r="I21" s="50"/>
      <c r="K21" s="50"/>
    </row>
    <row r="22" spans="2:13" ht="15" thickBot="1" x14ac:dyDescent="0.35">
      <c r="B22" s="81"/>
      <c r="C22" s="83"/>
      <c r="D22" s="50"/>
      <c r="E22" s="50"/>
      <c r="F22" s="50"/>
      <c r="G22" s="84"/>
      <c r="H22" s="85"/>
      <c r="K22" s="95"/>
      <c r="L22" s="95"/>
    </row>
    <row r="23" spans="2:13" ht="16.95" customHeight="1" x14ac:dyDescent="0.3">
      <c r="B23" s="9"/>
      <c r="C23" s="50"/>
      <c r="D23" s="2"/>
      <c r="E23" s="2"/>
      <c r="F23" s="9"/>
      <c r="G23" s="87" t="s">
        <v>6</v>
      </c>
      <c r="H23" s="88">
        <f>SUM(H20:H22)</f>
        <v>243784</v>
      </c>
      <c r="L23" s="95"/>
      <c r="M23" s="95"/>
    </row>
    <row r="24" spans="2:13" ht="18" customHeight="1" x14ac:dyDescent="0.3">
      <c r="G24" s="89" t="s">
        <v>7</v>
      </c>
      <c r="H24" s="90">
        <f>H23*19%</f>
        <v>46318.96</v>
      </c>
    </row>
    <row r="25" spans="2:13" ht="16.2" thickBot="1" x14ac:dyDescent="0.35">
      <c r="G25" s="91" t="s">
        <v>5</v>
      </c>
      <c r="H25" s="92">
        <f>H23+H24</f>
        <v>290102.96000000002</v>
      </c>
    </row>
    <row r="26" spans="2:13" x14ac:dyDescent="0.3">
      <c r="C26" s="50"/>
    </row>
    <row r="27" spans="2:13" x14ac:dyDescent="0.3">
      <c r="B27" s="45" t="s">
        <v>31</v>
      </c>
      <c r="C27" s="50"/>
      <c r="D27" s="40"/>
      <c r="E27" s="40"/>
      <c r="F27" s="41"/>
    </row>
    <row r="28" spans="2:13" x14ac:dyDescent="0.3">
      <c r="B28" s="45" t="s">
        <v>32</v>
      </c>
      <c r="C28" s="50"/>
      <c r="D28" s="40"/>
      <c r="E28" s="40"/>
      <c r="F28" s="41"/>
    </row>
    <row r="29" spans="2:13" x14ac:dyDescent="0.3">
      <c r="B29" s="46" t="s">
        <v>28</v>
      </c>
      <c r="C29" s="50"/>
      <c r="E29" s="47" t="s">
        <v>29</v>
      </c>
    </row>
  </sheetData>
  <sortState xmlns:xlrd2="http://schemas.microsoft.com/office/spreadsheetml/2017/richdata2" ref="B43">
    <sortCondition sortBy="fontColor" ref="B43" dxfId="0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7"/>
  <sheetViews>
    <sheetView tabSelected="1" workbookViewId="0">
      <selection activeCell="A2" sqref="A2:F35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2" t="s">
        <v>30</v>
      </c>
      <c r="E4" s="53">
        <f>'5770'!G8</f>
        <v>7026</v>
      </c>
      <c r="G4" s="2"/>
    </row>
    <row r="5" spans="1:17" ht="15.6" x14ac:dyDescent="0.3">
      <c r="C5" s="54" t="s">
        <v>35</v>
      </c>
      <c r="D5" s="55" t="str">
        <f>'5770'!C10</f>
        <v>GAD INVERSIONES Y NEGOCIOS SPA</v>
      </c>
      <c r="E5" s="33"/>
      <c r="F5" s="33"/>
      <c r="G5" s="2"/>
      <c r="J5" s="5"/>
      <c r="K5" s="5"/>
    </row>
    <row r="6" spans="1:17" ht="15.6" x14ac:dyDescent="0.3">
      <c r="C6" s="56"/>
      <c r="D6" s="57"/>
      <c r="G6" s="2"/>
      <c r="I6" s="5"/>
      <c r="J6" s="5"/>
      <c r="K6" s="5"/>
    </row>
    <row r="7" spans="1:17" ht="15.6" x14ac:dyDescent="0.3">
      <c r="C7" s="58" t="str">
        <f>'[1]4637'!F11</f>
        <v>FECHA ENTREGA :</v>
      </c>
      <c r="E7" s="59">
        <f>'5770'!G11</f>
        <v>45310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0" t="s">
        <v>36</v>
      </c>
      <c r="B10" s="120"/>
      <c r="C10" s="120"/>
      <c r="D10" s="120"/>
      <c r="E10" s="120"/>
      <c r="F10" s="120"/>
      <c r="G10" s="2"/>
      <c r="I10" s="5"/>
      <c r="J10" s="5"/>
      <c r="K10" s="5"/>
    </row>
    <row r="11" spans="1:17" ht="15.6" x14ac:dyDescent="0.3">
      <c r="C11" s="60"/>
      <c r="G11" s="2"/>
      <c r="I11" s="5"/>
      <c r="J11" s="5"/>
      <c r="K11" s="5"/>
    </row>
    <row r="12" spans="1:17" ht="15.6" x14ac:dyDescent="0.3">
      <c r="A12" s="2"/>
      <c r="B12" s="2"/>
      <c r="C12" s="2"/>
      <c r="D12" s="61" t="s">
        <v>9</v>
      </c>
      <c r="E12" s="61" t="s">
        <v>10</v>
      </c>
      <c r="F12" s="2"/>
      <c r="G12" s="2"/>
    </row>
    <row r="13" spans="1:17" ht="15.6" x14ac:dyDescent="0.3">
      <c r="A13" s="61" t="s">
        <v>11</v>
      </c>
      <c r="B13" s="93" t="s">
        <v>12</v>
      </c>
      <c r="C13" s="93" t="s">
        <v>13</v>
      </c>
      <c r="D13" s="62">
        <v>50</v>
      </c>
      <c r="E13" s="62">
        <v>-30</v>
      </c>
      <c r="F13" s="94" t="s">
        <v>37</v>
      </c>
      <c r="G13" s="2"/>
      <c r="J13" s="8" t="s">
        <v>9</v>
      </c>
      <c r="K13" s="8" t="s">
        <v>10</v>
      </c>
    </row>
    <row r="14" spans="1:17" ht="15.6" x14ac:dyDescent="0.3">
      <c r="A14" s="61" t="s">
        <v>52</v>
      </c>
      <c r="B14" s="68">
        <f>I14</f>
        <v>2</v>
      </c>
      <c r="C14" s="68"/>
      <c r="D14" s="68">
        <f>J14+D$13</f>
        <v>3050</v>
      </c>
      <c r="E14" s="86">
        <f>K14+E$13</f>
        <v>670</v>
      </c>
      <c r="F14" s="68" t="str">
        <f>C27</f>
        <v>CUB C/R 180°</v>
      </c>
      <c r="G14" s="2"/>
      <c r="I14" s="6">
        <f>I21</f>
        <v>2</v>
      </c>
      <c r="J14" s="7">
        <f>J21</f>
        <v>3000</v>
      </c>
      <c r="K14" s="7">
        <f>K21</f>
        <v>700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2.1600000000000001E-2</v>
      </c>
    </row>
    <row r="15" spans="1:17" ht="15.6" x14ac:dyDescent="0.3">
      <c r="A15" s="61"/>
      <c r="B15" s="9"/>
      <c r="C15" s="9"/>
      <c r="D15" s="9"/>
      <c r="E15" s="111"/>
      <c r="F15" s="9"/>
      <c r="G15" s="2"/>
      <c r="I15" s="110"/>
      <c r="J15" s="5"/>
      <c r="K15" s="5"/>
      <c r="Q15">
        <f>SUM(Q14:Q14)</f>
        <v>2.1600000000000001E-2</v>
      </c>
    </row>
    <row r="16" spans="1:17" ht="15.6" x14ac:dyDescent="0.3">
      <c r="G16" s="51"/>
    </row>
    <row r="17" spans="1:11" ht="15.6" x14ac:dyDescent="0.3">
      <c r="A17" s="120" t="s">
        <v>16</v>
      </c>
      <c r="B17" s="120"/>
      <c r="C17" s="120"/>
      <c r="D17" s="120"/>
      <c r="E17" s="120"/>
      <c r="F17" s="120"/>
      <c r="G17" s="51"/>
      <c r="I17" s="5"/>
      <c r="J17" s="5"/>
      <c r="K17" s="5"/>
    </row>
    <row r="18" spans="1:11" ht="15.6" x14ac:dyDescent="0.3">
      <c r="A18" s="2"/>
      <c r="B18" s="2"/>
      <c r="C18" s="60"/>
      <c r="D18" s="2"/>
      <c r="E18" s="2"/>
      <c r="F18" s="2"/>
      <c r="G18" s="51"/>
      <c r="I18" s="5"/>
      <c r="J18" s="5"/>
      <c r="K18" s="5"/>
    </row>
    <row r="19" spans="1:11" ht="15.6" x14ac:dyDescent="0.3">
      <c r="A19" s="2"/>
      <c r="B19" s="2"/>
      <c r="C19" s="2"/>
      <c r="D19" s="61" t="s">
        <v>9</v>
      </c>
      <c r="E19" s="61" t="s">
        <v>10</v>
      </c>
      <c r="F19" s="2"/>
      <c r="G19" s="51"/>
    </row>
    <row r="20" spans="1:11" ht="15.6" x14ac:dyDescent="0.3">
      <c r="A20" s="61" t="s">
        <v>11</v>
      </c>
      <c r="B20" s="93" t="s">
        <v>12</v>
      </c>
      <c r="C20" s="93" t="s">
        <v>13</v>
      </c>
      <c r="D20" s="62">
        <v>40</v>
      </c>
      <c r="E20" s="62">
        <v>180</v>
      </c>
      <c r="F20" s="94" t="s">
        <v>37</v>
      </c>
      <c r="G20" s="51"/>
      <c r="J20" s="8" t="s">
        <v>9</v>
      </c>
      <c r="K20" s="8" t="s">
        <v>10</v>
      </c>
    </row>
    <row r="21" spans="1:11" ht="15.6" x14ac:dyDescent="0.3">
      <c r="A21" s="61" t="s">
        <v>53</v>
      </c>
      <c r="B21" s="68">
        <f>B27</f>
        <v>2</v>
      </c>
      <c r="C21" s="68"/>
      <c r="D21" s="68">
        <f t="shared" ref="D21" si="0">J21+D$20</f>
        <v>3040</v>
      </c>
      <c r="E21" s="68">
        <f>K21+E20</f>
        <v>880</v>
      </c>
      <c r="F21" s="68" t="str">
        <f>C27</f>
        <v>CUB C/R 180°</v>
      </c>
      <c r="G21" s="51"/>
      <c r="I21" s="6">
        <f>B27</f>
        <v>2</v>
      </c>
      <c r="J21" s="7">
        <f t="shared" ref="J21" si="1">D27</f>
        <v>3000</v>
      </c>
      <c r="K21" s="7">
        <f t="shared" ref="K21" si="2">E27</f>
        <v>700</v>
      </c>
    </row>
    <row r="22" spans="1:11" ht="15.6" x14ac:dyDescent="0.3">
      <c r="A22" s="61"/>
      <c r="B22" s="9"/>
      <c r="C22" s="9"/>
      <c r="D22" s="9"/>
      <c r="E22" s="9"/>
      <c r="F22" s="9"/>
      <c r="G22" s="51"/>
      <c r="I22" s="110"/>
      <c r="J22" s="5"/>
      <c r="K22" s="5"/>
    </row>
    <row r="23" spans="1:11" ht="16.2" thickBot="1" x14ac:dyDescent="0.35">
      <c r="A23" s="61"/>
      <c r="B23" s="9"/>
      <c r="C23" s="9"/>
      <c r="D23" s="9"/>
      <c r="E23" s="9"/>
      <c r="F23" s="63"/>
      <c r="G23" s="49"/>
      <c r="I23" s="5"/>
      <c r="J23" s="5"/>
      <c r="K23" s="5"/>
    </row>
    <row r="24" spans="1:11" ht="16.2" thickBot="1" x14ac:dyDescent="0.35">
      <c r="A24" s="61"/>
      <c r="B24" s="64" t="s">
        <v>38</v>
      </c>
      <c r="C24" s="65"/>
      <c r="D24" s="65"/>
      <c r="E24" s="65"/>
      <c r="F24" s="65"/>
      <c r="G24" s="2"/>
    </row>
    <row r="25" spans="1:11" ht="20.25" customHeight="1" x14ac:dyDescent="0.3">
      <c r="G25" s="2"/>
    </row>
    <row r="26" spans="1:11" ht="15.6" x14ac:dyDescent="0.3">
      <c r="A26" s="61" t="s">
        <v>11</v>
      </c>
      <c r="B26" s="66" t="s">
        <v>12</v>
      </c>
      <c r="C26" s="66" t="s">
        <v>37</v>
      </c>
      <c r="D26" s="66" t="s">
        <v>9</v>
      </c>
      <c r="E26" s="66" t="s">
        <v>10</v>
      </c>
      <c r="F26" s="66" t="s">
        <v>26</v>
      </c>
      <c r="G26" s="2"/>
    </row>
    <row r="27" spans="1:11" ht="15.6" x14ac:dyDescent="0.3">
      <c r="A27" s="61" t="s">
        <v>53</v>
      </c>
      <c r="B27" s="68">
        <f>'5770'!B20</f>
        <v>2</v>
      </c>
      <c r="C27" s="68" t="str">
        <f>'5770'!C20</f>
        <v>CUB C/R 180°</v>
      </c>
      <c r="D27" s="68">
        <f>'5770'!D20</f>
        <v>3000</v>
      </c>
      <c r="E27" s="68">
        <f>'5770'!E20</f>
        <v>700</v>
      </c>
      <c r="F27" s="68" t="str">
        <f>'5770'!F20</f>
        <v xml:space="preserve">BLANCO OPACO MERINO 22191 </v>
      </c>
      <c r="G27" s="2"/>
    </row>
    <row r="28" spans="1:11" ht="15.6" x14ac:dyDescent="0.3">
      <c r="A28" s="67"/>
      <c r="B28" s="9"/>
      <c r="C28" s="9"/>
      <c r="D28" s="9"/>
      <c r="E28" s="9"/>
      <c r="F28" s="9"/>
      <c r="G28" s="2"/>
    </row>
    <row r="29" spans="1:11" ht="15.6" x14ac:dyDescent="0.3">
      <c r="B29" s="9"/>
      <c r="C29" s="20"/>
      <c r="D29" s="9"/>
      <c r="E29" s="9"/>
      <c r="F29" s="63"/>
      <c r="G29" s="2"/>
    </row>
    <row r="30" spans="1:11" ht="15.6" x14ac:dyDescent="0.3">
      <c r="B30" s="9"/>
      <c r="C30" s="20"/>
      <c r="D30" s="9"/>
      <c r="E30" s="9"/>
      <c r="F30" s="63"/>
    </row>
    <row r="31" spans="1:11" ht="15.6" x14ac:dyDescent="0.3">
      <c r="B31" s="9"/>
      <c r="C31" s="20"/>
      <c r="D31" s="9"/>
      <c r="E31" s="9"/>
      <c r="F31" s="63"/>
    </row>
    <row r="32" spans="1:11" ht="15.6" x14ac:dyDescent="0.3">
      <c r="B32" s="9"/>
      <c r="C32" s="20"/>
      <c r="D32" s="9"/>
      <c r="E32" s="9"/>
      <c r="F32" s="63"/>
    </row>
    <row r="33" spans="1:6" ht="15.6" x14ac:dyDescent="0.3">
      <c r="B33" s="9"/>
      <c r="C33" s="20"/>
      <c r="D33" s="9"/>
      <c r="E33" s="9"/>
      <c r="F33" s="63"/>
    </row>
    <row r="34" spans="1:6" ht="15.6" x14ac:dyDescent="0.3">
      <c r="B34" s="9"/>
      <c r="C34" s="20"/>
      <c r="D34" s="9"/>
      <c r="E34" s="9"/>
      <c r="F34" s="63"/>
    </row>
    <row r="35" spans="1:6" ht="15.6" x14ac:dyDescent="0.3">
      <c r="B35" s="9"/>
      <c r="C35" s="20"/>
      <c r="D35" s="9"/>
      <c r="E35" s="9"/>
      <c r="F35" s="63"/>
    </row>
    <row r="37" spans="1:6" ht="15.6" x14ac:dyDescent="0.3">
      <c r="C37" s="52" t="s">
        <v>30</v>
      </c>
      <c r="E37" s="53">
        <f>'5770'!G8</f>
        <v>7026</v>
      </c>
    </row>
    <row r="38" spans="1:6" ht="20.399999999999999" customHeight="1" x14ac:dyDescent="0.3">
      <c r="C38" s="54" t="s">
        <v>35</v>
      </c>
      <c r="D38" s="55" t="str">
        <f>'5770'!C10</f>
        <v>GAD INVERSIONES Y NEGOCIOS SPA</v>
      </c>
      <c r="E38" s="33"/>
      <c r="F38" s="33"/>
    </row>
    <row r="39" spans="1:6" x14ac:dyDescent="0.3">
      <c r="C39" s="56"/>
      <c r="D39" s="57"/>
    </row>
    <row r="40" spans="1:6" ht="15.6" x14ac:dyDescent="0.3">
      <c r="C40" s="58" t="str">
        <f>'[1]4637'!F11</f>
        <v>FECHA ENTREGA :</v>
      </c>
      <c r="E40" s="59">
        <f>'5770'!G11</f>
        <v>45310</v>
      </c>
      <c r="F40" s="2"/>
    </row>
    <row r="41" spans="1:6" x14ac:dyDescent="0.3">
      <c r="E41" t="str">
        <f>'5770'!B15</f>
        <v>CIUDAD:</v>
      </c>
      <c r="F41" t="str">
        <f>'5770'!C15</f>
        <v xml:space="preserve">SANTIAGO </v>
      </c>
    </row>
    <row r="43" spans="1:6" x14ac:dyDescent="0.3">
      <c r="A43" s="121" t="s">
        <v>39</v>
      </c>
      <c r="B43" s="121"/>
      <c r="C43" s="121"/>
      <c r="D43" s="121"/>
      <c r="E43" s="121"/>
      <c r="F43" s="121"/>
    </row>
    <row r="45" spans="1:6" x14ac:dyDescent="0.3">
      <c r="B45" s="122" t="s">
        <v>4</v>
      </c>
      <c r="C45" s="123"/>
      <c r="D45" s="124"/>
      <c r="E45" s="124"/>
      <c r="F45" s="125"/>
    </row>
    <row r="46" spans="1:6" x14ac:dyDescent="0.3">
      <c r="A46" s="1"/>
      <c r="B46" s="69" t="s">
        <v>12</v>
      </c>
      <c r="C46" s="70" t="s">
        <v>14</v>
      </c>
      <c r="D46" s="71" t="s">
        <v>9</v>
      </c>
      <c r="E46" s="71" t="s">
        <v>10</v>
      </c>
      <c r="F46" s="70" t="s">
        <v>26</v>
      </c>
    </row>
    <row r="47" spans="1:6" x14ac:dyDescent="0.3">
      <c r="A47" s="61" t="s">
        <v>53</v>
      </c>
      <c r="B47" s="72">
        <f>'5770'!B20</f>
        <v>2</v>
      </c>
      <c r="C47" s="72" t="str">
        <f>'5770'!C20</f>
        <v>CUB C/R 180°</v>
      </c>
      <c r="D47" s="73">
        <f>'5770'!D20</f>
        <v>3000</v>
      </c>
      <c r="E47" s="73">
        <f>'5770'!E20</f>
        <v>700</v>
      </c>
      <c r="F47" s="72" t="str">
        <f>'5770'!F20</f>
        <v xml:space="preserve">BLANCO OPACO MERINO 22191 </v>
      </c>
    </row>
    <row r="48" spans="1:6" x14ac:dyDescent="0.3">
      <c r="A48" s="61"/>
      <c r="B48" s="5"/>
      <c r="C48" s="5"/>
      <c r="D48" s="5"/>
      <c r="E48" s="5"/>
      <c r="F48" s="5"/>
    </row>
    <row r="49" spans="1:6" ht="15.6" x14ac:dyDescent="0.3">
      <c r="A49" s="74"/>
      <c r="B49" s="5"/>
      <c r="C49" s="46"/>
      <c r="D49" s="9"/>
      <c r="E49" s="9"/>
      <c r="F49" s="63"/>
    </row>
    <row r="50" spans="1:6" ht="15.6" x14ac:dyDescent="0.3">
      <c r="A50" s="74"/>
      <c r="B50" s="5"/>
      <c r="C50" s="46"/>
      <c r="D50" s="9"/>
      <c r="E50" s="9"/>
      <c r="F50" s="56"/>
    </row>
    <row r="51" spans="1:6" ht="15.6" x14ac:dyDescent="0.3">
      <c r="A51" s="74"/>
      <c r="B51" s="5"/>
      <c r="C51" s="46"/>
      <c r="D51" s="9"/>
      <c r="E51" s="9"/>
      <c r="F51" s="63"/>
    </row>
    <row r="52" spans="1:6" ht="15" thickBot="1" x14ac:dyDescent="0.35"/>
    <row r="53" spans="1:6" x14ac:dyDescent="0.3">
      <c r="B53" s="75" t="s">
        <v>15</v>
      </c>
      <c r="C53" s="76"/>
      <c r="D53" s="11"/>
      <c r="E53" s="11"/>
      <c r="F53" s="12"/>
    </row>
    <row r="54" spans="1:6" x14ac:dyDescent="0.3">
      <c r="B54" s="13"/>
      <c r="C54" s="77" t="s">
        <v>40</v>
      </c>
      <c r="D54" s="14"/>
      <c r="E54" s="14"/>
      <c r="F54" s="15"/>
    </row>
    <row r="55" spans="1:6" ht="18" x14ac:dyDescent="0.35">
      <c r="B55" s="77" t="s">
        <v>41</v>
      </c>
      <c r="C55" s="78"/>
      <c r="D55" s="16"/>
      <c r="E55" s="16"/>
      <c r="F55" s="17"/>
    </row>
    <row r="56" spans="1:6" ht="18.600000000000001" thickBot="1" x14ac:dyDescent="0.4">
      <c r="B56" s="79" t="s">
        <v>42</v>
      </c>
      <c r="C56" s="18"/>
      <c r="D56" s="18"/>
      <c r="E56" s="18"/>
      <c r="F56" s="19"/>
    </row>
    <row r="57" spans="1:6" ht="18" x14ac:dyDescent="0.35">
      <c r="A57" s="3"/>
      <c r="B57" s="10"/>
    </row>
  </sheetData>
  <mergeCells count="4">
    <mergeCell ref="A10:F10"/>
    <mergeCell ref="A17:F17"/>
    <mergeCell ref="A43:F43"/>
    <mergeCell ref="B45:F45"/>
  </mergeCells>
  <pageMargins left="0.70866141732283472" right="0.70866141732283472" top="0.74803149606299213" bottom="0.74803149606299213" header="0.31496062992125984" footer="0.31496062992125984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2024-01-17T11:51:00Z</cp:lastPrinted>
  <dcterms:created xsi:type="dcterms:W3CDTF">2013-03-19T12:54:14Z</dcterms:created>
  <dcterms:modified xsi:type="dcterms:W3CDTF">2024-01-17T11:51:14Z</dcterms:modified>
</cp:coreProperties>
</file>