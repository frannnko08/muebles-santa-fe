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C922CA70-16DA-434B-AF8E-5250CE70AF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'5770'!$B$1:$H$35</definedName>
    <definedName name="_xlnm.Print_Area" localSheetId="1">CUBIERTA!$A$1:$G$38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I25" i="3" s="1"/>
  <c r="I16" i="3" s="1"/>
  <c r="B16" i="3" s="1"/>
  <c r="C32" i="3"/>
  <c r="F25" i="3" s="1"/>
  <c r="D32" i="3"/>
  <c r="J25" i="3" s="1"/>
  <c r="D25" i="3" s="1"/>
  <c r="E32" i="3"/>
  <c r="K25" i="3" s="1"/>
  <c r="E25" i="3" s="1"/>
  <c r="F32" i="3"/>
  <c r="B53" i="3"/>
  <c r="C53" i="3"/>
  <c r="D53" i="3"/>
  <c r="E53" i="3"/>
  <c r="F53" i="3"/>
  <c r="H22" i="4"/>
  <c r="H23" i="4"/>
  <c r="H24" i="4"/>
  <c r="F16" i="3" l="1"/>
  <c r="K16" i="3"/>
  <c r="E16" i="3" s="1"/>
  <c r="J16" i="3"/>
  <c r="D16" i="3" s="1"/>
  <c r="B25" i="3"/>
  <c r="H27" i="4"/>
  <c r="P15" i="3" l="1"/>
  <c r="P14" i="3"/>
  <c r="B31" i="3"/>
  <c r="B24" i="3" s="1"/>
  <c r="C31" i="3"/>
  <c r="F24" i="3" s="1"/>
  <c r="D31" i="3"/>
  <c r="J24" i="3" s="1"/>
  <c r="D24" i="3" s="1"/>
  <c r="E31" i="3"/>
  <c r="K24" i="3" s="1"/>
  <c r="E24" i="3" s="1"/>
  <c r="F31" i="3"/>
  <c r="B52" i="3"/>
  <c r="C52" i="3"/>
  <c r="D52" i="3"/>
  <c r="E52" i="3"/>
  <c r="F52" i="3"/>
  <c r="J15" i="3" l="1"/>
  <c r="D15" i="3" s="1"/>
  <c r="K15" i="3"/>
  <c r="E15" i="3" s="1"/>
  <c r="F15" i="3"/>
  <c r="I24" i="3"/>
  <c r="I15" i="3" s="1"/>
  <c r="B15" i="3" s="1"/>
  <c r="B30" i="3"/>
  <c r="B23" i="3" s="1"/>
  <c r="C30" i="3"/>
  <c r="F23" i="3" s="1"/>
  <c r="D30" i="3"/>
  <c r="J23" i="3" s="1"/>
  <c r="D23" i="3" s="1"/>
  <c r="E30" i="3"/>
  <c r="K23" i="3" s="1"/>
  <c r="E23" i="3" s="1"/>
  <c r="F30" i="3"/>
  <c r="B51" i="3"/>
  <c r="C51" i="3"/>
  <c r="D51" i="3"/>
  <c r="E51" i="3"/>
  <c r="F51" i="3"/>
  <c r="Q15" i="3" l="1"/>
  <c r="K14" i="3"/>
  <c r="E14" i="3" s="1"/>
  <c r="J14" i="3"/>
  <c r="D14" i="3" s="1"/>
  <c r="I23" i="3"/>
  <c r="I14" i="3" s="1"/>
  <c r="F14" i="3"/>
  <c r="B14" i="3" l="1"/>
  <c r="Q14" i="3"/>
  <c r="Q17" i="3" s="1"/>
  <c r="F45" i="3"/>
  <c r="E45" i="3"/>
  <c r="D42" i="3" l="1"/>
  <c r="E44" i="3"/>
  <c r="E41" i="3"/>
  <c r="E7" i="3"/>
  <c r="E4" i="3"/>
  <c r="D5" i="3"/>
  <c r="C44" i="3"/>
  <c r="C7" i="3"/>
  <c r="H28" i="4" l="1"/>
  <c r="H29" i="4" l="1"/>
</calcChain>
</file>

<file path=xl/sharedStrings.xml><?xml version="1.0" encoding="utf-8"?>
<sst xmlns="http://schemas.openxmlformats.org/spreadsheetml/2006/main" count="99" uniqueCount="68">
  <si>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</si>
  <si>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</si>
  <si>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</si>
  <si>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</si>
  <si>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</si>
  <si>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</si>
  <si>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</si>
  <si>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</si>
  <si>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</si>
  <si>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</si>
  <si>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</si>
  <si>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</si>
  <si>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</si>
  <si>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</si>
  <si>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</si>
  <si>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</si>
  <si>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</si>
  <si>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</si>
  <si>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</si>
  <si>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</si>
  <si>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</si>
  <si>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</si>
  <si>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</si>
  <si>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</si>
  <si>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</si>
  <si>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</si>
  <si>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</si>
  <si>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</si>
  <si>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</si>
  <si>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</si>
  <si>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</si>
  <si>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</si>
  <si>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</si>
  <si>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</si>
  <si>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</si>
  <si>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</si>
  <si>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</si>
  <si>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</si>
  <si>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</si>
  <si>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</si>
  <si>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</si>
  <si>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</si>
  <si>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</si>
  <si>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</si>
  <si>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</si>
  <si>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</si>
  <si>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</si>
  <si>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</si>
  <si>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SANTIAGO </t>
  </si>
  <si>
    <t xml:space="preserve">DESPACHO: </t>
  </si>
  <si>
    <t>ORDEN DE COMPRA</t>
  </si>
  <si>
    <t>NO</t>
  </si>
  <si>
    <t>CUB C/R R8</t>
  </si>
  <si>
    <t>MDF18MM</t>
  </si>
  <si>
    <t>MDF 18MM</t>
  </si>
  <si>
    <t>FORMA DE PAGO : CONTADO</t>
  </si>
  <si>
    <t>+569 4255 5273</t>
  </si>
  <si>
    <t>RAFAEL VELARDE</t>
  </si>
  <si>
    <t>GREY SLATE 3156 MT</t>
  </si>
  <si>
    <t>CUB MESA 3L R8</t>
  </si>
  <si>
    <t>2 CORTOS Y UNO LARGO</t>
  </si>
  <si>
    <t>VELARDE SOLUCIONES Spa</t>
  </si>
  <si>
    <t>77.276.532-0</t>
  </si>
  <si>
    <t>CORREO:</t>
  </si>
  <si>
    <t>RAFA7476@HOTMAIL.COM</t>
  </si>
  <si>
    <t>HUELEN 10 DEPTO. 403</t>
  </si>
  <si>
    <t>GIRO:</t>
  </si>
  <si>
    <t>CONSTRUCCIONES REMODELACIONES Y TERMINACION EN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</si>
</sst>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6" fillId="6" borderId="15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3" fillId="3" borderId="0" xfId="0" applyFont="1" applyFill="1" applyAlignment="1">
      <alignment horizontal="left"/>
    </xf>
    <xf numFmtId="0" fontId="24" fillId="0" borderId="0" xfId="0" applyFont="1"/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166" fontId="3" fillId="0" borderId="17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" fontId="22" fillId="0" borderId="32" xfId="0" applyNumberFormat="1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0" fontId="7" fillId="0" borderId="0" xfId="2"/>
    <xf numFmtId="0" fontId="26" fillId="0" borderId="0" xfId="0" applyFont="1"/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7</xdr:row>
      <xdr:rowOff>59055</xdr:rowOff>
    </xdr:from>
    <xdr:to>
      <xdr:col>4</xdr:col>
      <xdr:colOff>51435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9555" y="1402080"/>
          <a:ext cx="244983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10538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3</xdr:col>
      <xdr:colOff>9283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26</xdr:row>
      <xdr:rowOff>53340</xdr:rowOff>
    </xdr:from>
    <xdr:to>
      <xdr:col>5</xdr:col>
      <xdr:colOff>1070610</xdr:colOff>
      <xdr:row>28</xdr:row>
      <xdr:rowOff>160020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74320" y="4579620"/>
          <a:ext cx="4110990" cy="5486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0"/>
            <a:t>OBSERVACIONES ABONO</a:t>
          </a:r>
          <a:r>
            <a:rPr lang="es-CL" sz="900" b="1" i="0" baseline="0"/>
            <a:t> $ 150.000.-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180975</xdr:rowOff>
    </xdr:from>
    <xdr:to>
      <xdr:col>2</xdr:col>
      <xdr:colOff>38100</xdr:colOff>
      <xdr:row>55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180975</xdr:rowOff>
    </xdr:from>
    <xdr:to>
      <xdr:col>2</xdr:col>
      <xdr:colOff>1019175</xdr:colOff>
      <xdr:row>54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180975</xdr:rowOff>
    </xdr:from>
    <xdr:to>
      <xdr:col>3</xdr:col>
      <xdr:colOff>352425</xdr:colOff>
      <xdr:row>55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180975</xdr:rowOff>
    </xdr:from>
    <xdr:to>
      <xdr:col>4</xdr:col>
      <xdr:colOff>257175</xdr:colOff>
      <xdr:row>55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180975</xdr:rowOff>
    </xdr:from>
    <xdr:to>
      <xdr:col>5</xdr:col>
      <xdr:colOff>447675</xdr:colOff>
      <xdr:row>54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180975</xdr:rowOff>
    </xdr:from>
    <xdr:to>
      <xdr:col>6</xdr:col>
      <xdr:colOff>0</xdr:colOff>
      <xdr:row>54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33</xdr:row>
      <xdr:rowOff>1904</xdr:rowOff>
    </xdr:from>
    <xdr:to>
      <xdr:col>5</xdr:col>
      <xdr:colOff>1855469</xdr:colOff>
      <xdr:row>36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OJO CUBIERTA MESA 3 LADOS SON 2 CORTOS Y UNO LARGO, DESPUNTAR LAS PUNTAS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57</xdr:row>
      <xdr:rowOff>7620</xdr:rowOff>
    </xdr:from>
    <xdr:to>
      <xdr:col>6</xdr:col>
      <xdr:colOff>0</xdr:colOff>
      <xdr:row>60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OJO</a:t>
          </a:r>
          <a:r>
            <a:rPr lang="es-CL" sz="1050" b="1" i="1" baseline="0"/>
            <a:t> CUBIERTA MESA ES 2 CORTOS Y LARGO, DESPUNTAR LAS PUNTAS</a:t>
          </a:r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39</xdr:row>
      <xdr:rowOff>62865</xdr:rowOff>
    </xdr:from>
    <xdr:to>
      <xdr:col>1</xdr:col>
      <xdr:colOff>778903</xdr:colOff>
      <xdr:row>45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FA7476@HOT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3"/>
  <sheetViews>
    <sheetView tabSelected="1" topLeftCell="A6" workbookViewId="0">
      <selection activeCell="D15" sqref="D15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19.77734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3" t="s">
        <v>18</v>
      </c>
      <c r="C8" s="42"/>
      <c r="D8" s="44" t="s">
        <v>19</v>
      </c>
      <c r="F8" s="48" t="s">
        <v>30</v>
      </c>
      <c r="G8" s="82">
        <v>7024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61</v>
      </c>
      <c r="D10" s="24"/>
      <c r="E10" s="24"/>
      <c r="F10" s="25" t="s">
        <v>34</v>
      </c>
      <c r="G10" s="26">
        <v>45306</v>
      </c>
      <c r="H10" s="27"/>
    </row>
    <row r="11" spans="2:8" ht="16.8" x14ac:dyDescent="0.4">
      <c r="B11" s="28" t="s">
        <v>2</v>
      </c>
      <c r="C11" s="102" t="s">
        <v>62</v>
      </c>
      <c r="D11" s="29"/>
      <c r="E11" s="29"/>
      <c r="F11" s="29" t="s">
        <v>33</v>
      </c>
      <c r="G11" s="30">
        <v>45310</v>
      </c>
      <c r="H11" s="31"/>
    </row>
    <row r="12" spans="2:8" x14ac:dyDescent="0.3">
      <c r="B12" s="28" t="s">
        <v>66</v>
      </c>
      <c r="C12" s="135" t="s">
        <v>67</v>
      </c>
      <c r="D12" s="29"/>
      <c r="E12" s="29"/>
      <c r="F12" s="29"/>
      <c r="G12" s="30"/>
      <c r="H12" s="31"/>
    </row>
    <row r="13" spans="2:8" x14ac:dyDescent="0.3">
      <c r="B13" s="32" t="s">
        <v>47</v>
      </c>
      <c r="C13" t="s">
        <v>57</v>
      </c>
      <c r="D13" s="33"/>
      <c r="E13" s="33"/>
      <c r="F13" s="33" t="s">
        <v>50</v>
      </c>
      <c r="G13" s="101"/>
      <c r="H13" s="80"/>
    </row>
    <row r="14" spans="2:8" x14ac:dyDescent="0.3">
      <c r="B14" s="32" t="s">
        <v>63</v>
      </c>
      <c r="C14" s="134" t="s">
        <v>64</v>
      </c>
      <c r="D14" s="33"/>
      <c r="E14" s="33"/>
      <c r="F14" s="33"/>
      <c r="G14" s="101"/>
      <c r="H14" s="80"/>
    </row>
    <row r="15" spans="2:8" x14ac:dyDescent="0.3">
      <c r="B15" s="28" t="s">
        <v>20</v>
      </c>
      <c r="C15" s="103" t="s">
        <v>56</v>
      </c>
      <c r="D15" s="35"/>
      <c r="E15" s="29"/>
      <c r="F15" s="29" t="s">
        <v>49</v>
      </c>
      <c r="G15" s="29" t="s">
        <v>51</v>
      </c>
      <c r="H15" s="31"/>
    </row>
    <row r="16" spans="2:8" ht="16.8" x14ac:dyDescent="0.4">
      <c r="B16" s="32" t="s">
        <v>1</v>
      </c>
      <c r="C16" s="102" t="s">
        <v>65</v>
      </c>
      <c r="D16" s="33"/>
      <c r="E16" s="33"/>
      <c r="F16" s="36" t="s">
        <v>55</v>
      </c>
      <c r="G16" s="33"/>
      <c r="H16" s="34"/>
    </row>
    <row r="17" spans="2:13" ht="15" thickBot="1" x14ac:dyDescent="0.35">
      <c r="B17" s="37" t="s">
        <v>3</v>
      </c>
      <c r="C17" s="38" t="s">
        <v>48</v>
      </c>
      <c r="D17" s="38"/>
      <c r="E17" s="39"/>
      <c r="F17" s="123" t="s">
        <v>21</v>
      </c>
      <c r="G17" s="123"/>
      <c r="H17" s="124"/>
    </row>
    <row r="19" spans="2:13" ht="15" thickBot="1" x14ac:dyDescent="0.35"/>
    <row r="20" spans="2:13" x14ac:dyDescent="0.3">
      <c r="B20" s="125" t="s">
        <v>22</v>
      </c>
      <c r="C20" s="126"/>
      <c r="D20" s="126"/>
      <c r="E20" s="126"/>
      <c r="F20" s="126"/>
      <c r="G20" s="126"/>
      <c r="H20" s="127"/>
      <c r="I20" s="5"/>
      <c r="J20" s="5"/>
      <c r="K20" s="5"/>
    </row>
    <row r="21" spans="2:13" ht="15" thickBot="1" x14ac:dyDescent="0.35">
      <c r="B21" s="96" t="s">
        <v>23</v>
      </c>
      <c r="C21" s="97" t="s">
        <v>24</v>
      </c>
      <c r="D21" s="97" t="s">
        <v>25</v>
      </c>
      <c r="E21" s="97" t="s">
        <v>10</v>
      </c>
      <c r="F21" s="97" t="s">
        <v>26</v>
      </c>
      <c r="G21" s="97" t="s">
        <v>27</v>
      </c>
      <c r="H21" s="98" t="s">
        <v>5</v>
      </c>
      <c r="I21" s="4"/>
      <c r="J21" s="4"/>
    </row>
    <row r="22" spans="2:13" ht="16.2" thickBot="1" x14ac:dyDescent="0.35">
      <c r="B22" s="109">
        <v>1</v>
      </c>
      <c r="C22" s="99" t="s">
        <v>52</v>
      </c>
      <c r="D22" s="100">
        <v>2050</v>
      </c>
      <c r="E22" s="100">
        <v>600</v>
      </c>
      <c r="F22" s="112" t="s">
        <v>58</v>
      </c>
      <c r="G22" s="113">
        <v>129000</v>
      </c>
      <c r="H22" s="114">
        <f>G22*B22</f>
        <v>129000</v>
      </c>
      <c r="I22" s="50"/>
      <c r="K22" s="50"/>
    </row>
    <row r="23" spans="2:13" ht="16.2" thickBot="1" x14ac:dyDescent="0.35">
      <c r="B23" s="115">
        <v>1</v>
      </c>
      <c r="C23" s="116" t="s">
        <v>52</v>
      </c>
      <c r="D23" s="117">
        <v>1910</v>
      </c>
      <c r="E23" s="117">
        <v>560</v>
      </c>
      <c r="F23" s="118" t="s">
        <v>58</v>
      </c>
      <c r="G23" s="119">
        <v>65000</v>
      </c>
      <c r="H23" s="114">
        <f t="shared" ref="H23:H24" si="0">G23*B23</f>
        <v>65000</v>
      </c>
      <c r="I23" s="50"/>
      <c r="K23" s="50"/>
    </row>
    <row r="24" spans="2:13" ht="15.6" x14ac:dyDescent="0.3">
      <c r="B24" s="120">
        <v>1</v>
      </c>
      <c r="C24" s="120" t="s">
        <v>59</v>
      </c>
      <c r="D24" s="121">
        <v>650</v>
      </c>
      <c r="E24" s="121">
        <v>270</v>
      </c>
      <c r="F24" s="120" t="s">
        <v>58</v>
      </c>
      <c r="G24" s="122">
        <v>26000</v>
      </c>
      <c r="H24" s="114">
        <f t="shared" si="0"/>
        <v>26000</v>
      </c>
      <c r="I24" s="50"/>
      <c r="K24" s="50"/>
    </row>
    <row r="25" spans="2:13" ht="15.6" x14ac:dyDescent="0.3">
      <c r="B25" s="104"/>
      <c r="C25" s="105"/>
      <c r="D25" s="106"/>
      <c r="E25" s="106"/>
      <c r="F25" s="9"/>
      <c r="G25" s="107"/>
      <c r="H25" s="108"/>
      <c r="I25" s="50"/>
      <c r="K25" s="50"/>
    </row>
    <row r="26" spans="2:13" ht="15" thickBot="1" x14ac:dyDescent="0.35">
      <c r="B26" s="81"/>
      <c r="C26" s="83"/>
      <c r="D26" s="50"/>
      <c r="E26" s="50"/>
      <c r="F26" s="50"/>
      <c r="G26" s="84"/>
      <c r="H26" s="85"/>
      <c r="K26" s="95"/>
      <c r="L26" s="95"/>
    </row>
    <row r="27" spans="2:13" ht="16.95" customHeight="1" x14ac:dyDescent="0.3">
      <c r="B27" s="9"/>
      <c r="C27" s="50"/>
      <c r="D27" s="2"/>
      <c r="E27" s="2"/>
      <c r="F27" s="9"/>
      <c r="G27" s="87" t="s">
        <v>6</v>
      </c>
      <c r="H27" s="88">
        <f>SUM(H22:H26)</f>
        <v>220000</v>
      </c>
      <c r="L27" s="95"/>
      <c r="M27" s="95"/>
    </row>
    <row r="28" spans="2:13" ht="18" customHeight="1" x14ac:dyDescent="0.3">
      <c r="G28" s="89" t="s">
        <v>7</v>
      </c>
      <c r="H28" s="90">
        <f>H27*19%</f>
        <v>41800</v>
      </c>
    </row>
    <row r="29" spans="2:13" ht="16.2" thickBot="1" x14ac:dyDescent="0.35">
      <c r="G29" s="91" t="s">
        <v>5</v>
      </c>
      <c r="H29" s="92">
        <f>H27+H28</f>
        <v>261800</v>
      </c>
    </row>
    <row r="30" spans="2:13" x14ac:dyDescent="0.3">
      <c r="C30" s="50"/>
    </row>
    <row r="31" spans="2:13" x14ac:dyDescent="0.3">
      <c r="B31" s="45" t="s">
        <v>31</v>
      </c>
      <c r="C31" s="50"/>
      <c r="D31" s="40"/>
      <c r="E31" s="40"/>
      <c r="F31" s="41"/>
    </row>
    <row r="32" spans="2:13" x14ac:dyDescent="0.3">
      <c r="B32" s="45" t="s">
        <v>32</v>
      </c>
      <c r="C32" s="50"/>
      <c r="D32" s="40"/>
      <c r="E32" s="40"/>
      <c r="F32" s="41"/>
    </row>
    <row r="33" spans="2:5" x14ac:dyDescent="0.3">
      <c r="B33" s="46" t="s">
        <v>28</v>
      </c>
      <c r="C33" s="50"/>
      <c r="E33" s="47" t="s">
        <v>29</v>
      </c>
    </row>
  </sheetData>
  <sortState xmlns:xlrd2="http://schemas.microsoft.com/office/spreadsheetml/2017/richdata2" ref="B47">
    <sortCondition sortBy="fontColor" ref="B47" dxfId="2"/>
  </sortState>
  <mergeCells count="2">
    <mergeCell ref="F17:H17"/>
    <mergeCell ref="B20:H20"/>
  </mergeCells>
  <hyperlinks>
    <hyperlink ref="E33" r:id="rId1" xr:uid="{00000000-0004-0000-0000-000000000000}"/>
    <hyperlink ref="C14" r:id="rId2" xr:uid="{42044581-F8A2-4A7C-BDBB-6D1EC243170A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62"/>
  <sheetViews>
    <sheetView workbookViewId="0">
      <selection sqref="A1:G38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2" t="s">
        <v>30</v>
      </c>
      <c r="E4" s="53">
        <f>'5770'!G8</f>
        <v>7024</v>
      </c>
      <c r="G4" s="2"/>
    </row>
    <row r="5" spans="1:17" ht="15.6" x14ac:dyDescent="0.3">
      <c r="C5" s="54" t="s">
        <v>35</v>
      </c>
      <c r="D5" s="55" t="str">
        <f>'5770'!C10</f>
        <v>VELARDE SOLUCIONES Spa</v>
      </c>
      <c r="E5" s="33"/>
      <c r="F5" s="33"/>
      <c r="G5" s="2"/>
      <c r="J5" s="5"/>
      <c r="K5" s="5"/>
    </row>
    <row r="6" spans="1:17" ht="15.6" x14ac:dyDescent="0.3">
      <c r="C6" s="56"/>
      <c r="D6" s="57"/>
      <c r="G6" s="2"/>
      <c r="I6" s="5"/>
      <c r="J6" s="5"/>
      <c r="K6" s="5"/>
    </row>
    <row r="7" spans="1:17" ht="15.6" x14ac:dyDescent="0.3">
      <c r="C7" s="58" t="str">
        <f>'[1]4637'!F11</f>
        <v>FECHA ENTREGA :</v>
      </c>
      <c r="E7" s="59">
        <f>'5770'!G11</f>
        <v>45310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28" t="s">
        <v>36</v>
      </c>
      <c r="B10" s="128"/>
      <c r="C10" s="128"/>
      <c r="D10" s="128"/>
      <c r="E10" s="128"/>
      <c r="F10" s="128"/>
      <c r="G10" s="2"/>
      <c r="I10" s="5"/>
      <c r="J10" s="5"/>
      <c r="K10" s="5"/>
    </row>
    <row r="11" spans="1:17" ht="15.6" x14ac:dyDescent="0.3">
      <c r="C11" s="60"/>
      <c r="G11" s="2"/>
      <c r="I11" s="5"/>
      <c r="J11" s="5"/>
      <c r="K11" s="5"/>
    </row>
    <row r="12" spans="1:17" ht="15.6" x14ac:dyDescent="0.3">
      <c r="A12" s="2"/>
      <c r="B12" s="2"/>
      <c r="C12" s="2"/>
      <c r="D12" s="61" t="s">
        <v>9</v>
      </c>
      <c r="E12" s="61" t="s">
        <v>10</v>
      </c>
      <c r="F12" s="2"/>
      <c r="G12" s="2"/>
    </row>
    <row r="13" spans="1:17" ht="15.6" x14ac:dyDescent="0.3">
      <c r="A13" s="61" t="s">
        <v>11</v>
      </c>
      <c r="B13" s="93" t="s">
        <v>12</v>
      </c>
      <c r="C13" s="93" t="s">
        <v>13</v>
      </c>
      <c r="D13" s="62">
        <v>50</v>
      </c>
      <c r="E13" s="62">
        <v>-30</v>
      </c>
      <c r="F13" s="94" t="s">
        <v>37</v>
      </c>
      <c r="G13" s="2"/>
      <c r="J13" s="8" t="s">
        <v>9</v>
      </c>
      <c r="K13" s="8" t="s">
        <v>10</v>
      </c>
    </row>
    <row r="14" spans="1:17" ht="15.6" x14ac:dyDescent="0.3">
      <c r="A14" s="61" t="s">
        <v>53</v>
      </c>
      <c r="B14" s="68">
        <f>I14</f>
        <v>1</v>
      </c>
      <c r="C14" s="68"/>
      <c r="D14" s="68">
        <f>J14+D$13</f>
        <v>2100</v>
      </c>
      <c r="E14" s="86">
        <f>K14+E$13</f>
        <v>570</v>
      </c>
      <c r="F14" s="68" t="str">
        <f>C30</f>
        <v>CUB C/R R8</v>
      </c>
      <c r="G14" s="2"/>
      <c r="I14" s="6">
        <f>I23</f>
        <v>1</v>
      </c>
      <c r="J14" s="7">
        <f>J23</f>
        <v>2050</v>
      </c>
      <c r="K14" s="7">
        <f>K23</f>
        <v>600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61"/>
      <c r="B15" s="68">
        <f t="shared" ref="B15" si="0">I15</f>
        <v>1</v>
      </c>
      <c r="C15" s="68"/>
      <c r="D15" s="68">
        <f t="shared" ref="D15" si="1">J15+D$13</f>
        <v>1960</v>
      </c>
      <c r="E15" s="86">
        <f t="shared" ref="E15" si="2">K15+E$13</f>
        <v>530</v>
      </c>
      <c r="F15" s="68" t="str">
        <f>C31</f>
        <v>CUB C/R R8</v>
      </c>
      <c r="G15" s="2"/>
      <c r="I15" s="6">
        <f t="shared" ref="I15:K16" si="3">I24</f>
        <v>1</v>
      </c>
      <c r="J15" s="7">
        <f t="shared" si="3"/>
        <v>1910</v>
      </c>
      <c r="K15" s="7">
        <f t="shared" si="3"/>
        <v>560</v>
      </c>
      <c r="M15">
        <v>1.65</v>
      </c>
      <c r="N15">
        <v>0.4</v>
      </c>
      <c r="O15">
        <v>0.02</v>
      </c>
      <c r="P15">
        <f t="shared" ref="P15" si="4">M15*N15*O15</f>
        <v>1.3200000000000002E-2</v>
      </c>
      <c r="Q15">
        <f t="shared" ref="Q15" si="5">P15*I15</f>
        <v>1.3200000000000002E-2</v>
      </c>
    </row>
    <row r="16" spans="1:17" ht="15.6" x14ac:dyDescent="0.3">
      <c r="A16" s="61"/>
      <c r="B16" s="68">
        <f t="shared" ref="B16" si="6">I16</f>
        <v>1</v>
      </c>
      <c r="C16" s="68" t="s">
        <v>60</v>
      </c>
      <c r="D16" s="68">
        <f>J16</f>
        <v>650</v>
      </c>
      <c r="E16" s="86">
        <f>K16</f>
        <v>270</v>
      </c>
      <c r="F16" s="68" t="str">
        <f>C32</f>
        <v>CUB MESA 3L R8</v>
      </c>
      <c r="G16" s="2"/>
      <c r="I16" s="6">
        <f t="shared" si="3"/>
        <v>1</v>
      </c>
      <c r="J16" s="7">
        <f t="shared" si="3"/>
        <v>650</v>
      </c>
      <c r="K16" s="7">
        <f t="shared" si="3"/>
        <v>270</v>
      </c>
    </row>
    <row r="17" spans="1:17" ht="15.6" x14ac:dyDescent="0.3">
      <c r="A17" s="61"/>
      <c r="B17" s="9"/>
      <c r="C17" s="9"/>
      <c r="D17" s="9"/>
      <c r="E17" s="111"/>
      <c r="F17" s="9"/>
      <c r="G17" s="2"/>
      <c r="I17" s="110"/>
      <c r="J17" s="5"/>
      <c r="K17" s="5"/>
      <c r="Q17">
        <f>SUM(Q14:Q15)</f>
        <v>2.4E-2</v>
      </c>
    </row>
    <row r="18" spans="1:17" ht="15.6" x14ac:dyDescent="0.3">
      <c r="G18" s="51"/>
    </row>
    <row r="19" spans="1:17" ht="15.6" x14ac:dyDescent="0.3">
      <c r="A19" s="128" t="s">
        <v>16</v>
      </c>
      <c r="B19" s="128"/>
      <c r="C19" s="128"/>
      <c r="D19" s="128"/>
      <c r="E19" s="128"/>
      <c r="F19" s="128"/>
      <c r="G19" s="51"/>
      <c r="I19" s="5"/>
      <c r="J19" s="5"/>
      <c r="K19" s="5"/>
    </row>
    <row r="20" spans="1:17" ht="15.6" x14ac:dyDescent="0.3">
      <c r="A20" s="2"/>
      <c r="B20" s="2"/>
      <c r="C20" s="60"/>
      <c r="D20" s="2"/>
      <c r="E20" s="2"/>
      <c r="F20" s="2"/>
      <c r="G20" s="51"/>
      <c r="I20" s="5"/>
      <c r="J20" s="5"/>
      <c r="K20" s="5"/>
    </row>
    <row r="21" spans="1:17" ht="15.6" x14ac:dyDescent="0.3">
      <c r="A21" s="2"/>
      <c r="B21" s="2"/>
      <c r="C21" s="2"/>
      <c r="D21" s="61" t="s">
        <v>9</v>
      </c>
      <c r="E21" s="61" t="s">
        <v>10</v>
      </c>
      <c r="F21" s="2"/>
      <c r="G21" s="51"/>
    </row>
    <row r="22" spans="1:17" ht="15.6" x14ac:dyDescent="0.3">
      <c r="A22" s="61" t="s">
        <v>11</v>
      </c>
      <c r="B22" s="93" t="s">
        <v>12</v>
      </c>
      <c r="C22" s="93" t="s">
        <v>13</v>
      </c>
      <c r="D22" s="62">
        <v>40</v>
      </c>
      <c r="E22" s="62">
        <v>130</v>
      </c>
      <c r="F22" s="94" t="s">
        <v>37</v>
      </c>
      <c r="G22" s="51"/>
      <c r="J22" s="8" t="s">
        <v>9</v>
      </c>
      <c r="K22" s="8" t="s">
        <v>10</v>
      </c>
    </row>
    <row r="23" spans="1:17" ht="15.6" x14ac:dyDescent="0.3">
      <c r="A23" s="61" t="s">
        <v>54</v>
      </c>
      <c r="B23" s="68">
        <f>B30</f>
        <v>1</v>
      </c>
      <c r="C23" s="68"/>
      <c r="D23" s="68">
        <f t="shared" ref="D23" si="7">J23+D$22</f>
        <v>2090</v>
      </c>
      <c r="E23" s="68">
        <f>K23+60</f>
        <v>660</v>
      </c>
      <c r="F23" s="68" t="str">
        <f>C30</f>
        <v>CUB C/R R8</v>
      </c>
      <c r="G23" s="51"/>
      <c r="I23" s="6">
        <f>B30</f>
        <v>1</v>
      </c>
      <c r="J23" s="7">
        <f t="shared" ref="J23" si="8">D30</f>
        <v>2050</v>
      </c>
      <c r="K23" s="7">
        <f t="shared" ref="K23" si="9">E30</f>
        <v>600</v>
      </c>
    </row>
    <row r="24" spans="1:17" ht="15.6" x14ac:dyDescent="0.3">
      <c r="A24" s="61"/>
      <c r="B24" s="68">
        <f>B31</f>
        <v>1</v>
      </c>
      <c r="C24" s="68"/>
      <c r="D24" s="68">
        <f>J24+D$22</f>
        <v>1950</v>
      </c>
      <c r="E24" s="68">
        <f>K24+E$22</f>
        <v>690</v>
      </c>
      <c r="F24" s="68" t="str">
        <f>C31</f>
        <v>CUB C/R R8</v>
      </c>
      <c r="G24" s="51"/>
      <c r="I24" s="6">
        <f>B31</f>
        <v>1</v>
      </c>
      <c r="J24" s="7">
        <f>D31</f>
        <v>1910</v>
      </c>
      <c r="K24" s="7">
        <f>E31</f>
        <v>560</v>
      </c>
    </row>
    <row r="25" spans="1:17" ht="15.6" x14ac:dyDescent="0.3">
      <c r="A25" s="61"/>
      <c r="B25" s="68">
        <f>B32</f>
        <v>1</v>
      </c>
      <c r="C25" s="68" t="s">
        <v>60</v>
      </c>
      <c r="D25" s="68">
        <f>J25+120</f>
        <v>770</v>
      </c>
      <c r="E25" s="68">
        <f>K25+70</f>
        <v>340</v>
      </c>
      <c r="F25" s="68" t="str">
        <f>C32</f>
        <v>CUB MESA 3L R8</v>
      </c>
      <c r="G25" s="51"/>
      <c r="I25" s="6">
        <f>B32</f>
        <v>1</v>
      </c>
      <c r="J25" s="7">
        <f>D32</f>
        <v>650</v>
      </c>
      <c r="K25" s="7">
        <f>E32</f>
        <v>270</v>
      </c>
    </row>
    <row r="26" spans="1:17" ht="16.2" thickBot="1" x14ac:dyDescent="0.35">
      <c r="A26" s="61"/>
      <c r="B26" s="9"/>
      <c r="C26" s="9"/>
      <c r="D26" s="9"/>
      <c r="E26" s="9"/>
      <c r="F26" s="63"/>
      <c r="G26" s="49"/>
      <c r="I26" s="5"/>
      <c r="J26" s="5"/>
      <c r="K26" s="5"/>
    </row>
    <row r="27" spans="1:17" ht="16.2" thickBot="1" x14ac:dyDescent="0.35">
      <c r="A27" s="61"/>
      <c r="B27" s="64" t="s">
        <v>38</v>
      </c>
      <c r="C27" s="65"/>
      <c r="D27" s="65"/>
      <c r="E27" s="65"/>
      <c r="F27" s="65"/>
      <c r="G27" s="2"/>
    </row>
    <row r="28" spans="1:17" ht="20.25" customHeight="1" x14ac:dyDescent="0.3">
      <c r="G28" s="2"/>
    </row>
    <row r="29" spans="1:17" ht="15.6" x14ac:dyDescent="0.3">
      <c r="A29" s="61" t="s">
        <v>11</v>
      </c>
      <c r="B29" s="66" t="s">
        <v>12</v>
      </c>
      <c r="C29" s="66" t="s">
        <v>37</v>
      </c>
      <c r="D29" s="66" t="s">
        <v>9</v>
      </c>
      <c r="E29" s="66" t="s">
        <v>10</v>
      </c>
      <c r="F29" s="66" t="s">
        <v>26</v>
      </c>
      <c r="G29" s="2"/>
    </row>
    <row r="30" spans="1:17" ht="15.6" x14ac:dyDescent="0.3">
      <c r="A30" s="61" t="s">
        <v>54</v>
      </c>
      <c r="B30" s="68">
        <f>'5770'!B22</f>
        <v>1</v>
      </c>
      <c r="C30" s="68" t="str">
        <f>'5770'!C22</f>
        <v>CUB C/R R8</v>
      </c>
      <c r="D30" s="68">
        <f>'5770'!D22</f>
        <v>2050</v>
      </c>
      <c r="E30" s="68">
        <f>'5770'!E22</f>
        <v>600</v>
      </c>
      <c r="F30" s="68" t="str">
        <f>'5770'!F22</f>
        <v>GREY SLATE 3156 MT</v>
      </c>
      <c r="G30" s="2"/>
    </row>
    <row r="31" spans="1:17" ht="15.6" x14ac:dyDescent="0.3">
      <c r="A31" s="67"/>
      <c r="B31" s="68">
        <f>'5770'!B23</f>
        <v>1</v>
      </c>
      <c r="C31" s="68" t="str">
        <f>'5770'!C23</f>
        <v>CUB C/R R8</v>
      </c>
      <c r="D31" s="68">
        <f>'5770'!D23</f>
        <v>1910</v>
      </c>
      <c r="E31" s="68">
        <f>'5770'!E23</f>
        <v>560</v>
      </c>
      <c r="F31" s="68" t="str">
        <f>'5770'!F23</f>
        <v>GREY SLATE 3156 MT</v>
      </c>
      <c r="G31" s="2"/>
    </row>
    <row r="32" spans="1:17" ht="15.6" x14ac:dyDescent="0.3">
      <c r="A32" s="67"/>
      <c r="B32" s="68">
        <f>'5770'!B24</f>
        <v>1</v>
      </c>
      <c r="C32" s="68" t="str">
        <f>'5770'!C24</f>
        <v>CUB MESA 3L R8</v>
      </c>
      <c r="D32" s="68">
        <f>'5770'!D24</f>
        <v>650</v>
      </c>
      <c r="E32" s="68">
        <f>'5770'!E24</f>
        <v>270</v>
      </c>
      <c r="F32" s="68" t="str">
        <f>'5770'!F24</f>
        <v>GREY SLATE 3156 MT</v>
      </c>
      <c r="G32" s="2"/>
    </row>
    <row r="33" spans="1:7" ht="15.6" x14ac:dyDescent="0.3">
      <c r="B33" s="9"/>
      <c r="C33" s="20"/>
      <c r="D33" s="9"/>
      <c r="E33" s="9"/>
      <c r="F33" s="63"/>
      <c r="G33" s="2"/>
    </row>
    <row r="34" spans="1:7" ht="15.6" x14ac:dyDescent="0.3">
      <c r="B34" s="9"/>
      <c r="C34" s="20"/>
      <c r="D34" s="9"/>
      <c r="E34" s="9"/>
      <c r="F34" s="63"/>
    </row>
    <row r="35" spans="1:7" ht="15.6" x14ac:dyDescent="0.3">
      <c r="B35" s="9"/>
      <c r="C35" s="20"/>
      <c r="D35" s="9"/>
      <c r="E35" s="9"/>
      <c r="F35" s="63"/>
    </row>
    <row r="36" spans="1:7" ht="15.6" x14ac:dyDescent="0.3">
      <c r="B36" s="9"/>
      <c r="C36" s="20"/>
      <c r="D36" s="9"/>
      <c r="E36" s="9"/>
      <c r="F36" s="63"/>
    </row>
    <row r="37" spans="1:7" ht="15.6" x14ac:dyDescent="0.3">
      <c r="B37" s="9"/>
      <c r="C37" s="20"/>
      <c r="D37" s="9"/>
      <c r="E37" s="9"/>
      <c r="F37" s="63"/>
    </row>
    <row r="38" spans="1:7" ht="15.6" x14ac:dyDescent="0.3">
      <c r="B38" s="9"/>
      <c r="C38" s="20"/>
      <c r="D38" s="9"/>
      <c r="E38" s="9"/>
      <c r="F38" s="63"/>
    </row>
    <row r="39" spans="1:7" ht="15.6" x14ac:dyDescent="0.3">
      <c r="B39" s="9"/>
      <c r="C39" s="20"/>
      <c r="D39" s="9"/>
      <c r="E39" s="9"/>
      <c r="F39" s="63"/>
    </row>
    <row r="41" spans="1:7" ht="15.6" x14ac:dyDescent="0.3">
      <c r="C41" s="52" t="s">
        <v>30</v>
      </c>
      <c r="E41" s="53">
        <f>'5770'!G8</f>
        <v>7024</v>
      </c>
    </row>
    <row r="42" spans="1:7" ht="20.399999999999999" customHeight="1" x14ac:dyDescent="0.3">
      <c r="C42" s="54" t="s">
        <v>35</v>
      </c>
      <c r="D42" s="55" t="str">
        <f>'5770'!C10</f>
        <v>VELARDE SOLUCIONES Spa</v>
      </c>
      <c r="E42" s="33"/>
      <c r="F42" s="33"/>
    </row>
    <row r="43" spans="1:7" x14ac:dyDescent="0.3">
      <c r="C43" s="56"/>
      <c r="D43" s="57"/>
    </row>
    <row r="44" spans="1:7" ht="15.6" x14ac:dyDescent="0.3">
      <c r="C44" s="58" t="str">
        <f>'[1]4637'!F11</f>
        <v>FECHA ENTREGA :</v>
      </c>
      <c r="E44" s="59">
        <f>'5770'!G11</f>
        <v>45310</v>
      </c>
      <c r="F44" s="2"/>
    </row>
    <row r="45" spans="1:7" x14ac:dyDescent="0.3">
      <c r="E45" t="str">
        <f>'5770'!B17</f>
        <v>CIUDAD:</v>
      </c>
      <c r="F45" t="str">
        <f>'5770'!C17</f>
        <v xml:space="preserve">SANTIAGO </v>
      </c>
    </row>
    <row r="47" spans="1:7" x14ac:dyDescent="0.3">
      <c r="A47" s="129" t="s">
        <v>39</v>
      </c>
      <c r="B47" s="129"/>
      <c r="C47" s="129"/>
      <c r="D47" s="129"/>
      <c r="E47" s="129"/>
      <c r="F47" s="129"/>
    </row>
    <row r="49" spans="1:6" x14ac:dyDescent="0.3">
      <c r="B49" s="130" t="s">
        <v>4</v>
      </c>
      <c r="C49" s="131"/>
      <c r="D49" s="132"/>
      <c r="E49" s="132"/>
      <c r="F49" s="133"/>
    </row>
    <row r="50" spans="1:6" x14ac:dyDescent="0.3">
      <c r="A50" s="1"/>
      <c r="B50" s="69" t="s">
        <v>12</v>
      </c>
      <c r="C50" s="70" t="s">
        <v>14</v>
      </c>
      <c r="D50" s="71" t="s">
        <v>9</v>
      </c>
      <c r="E50" s="71" t="s">
        <v>10</v>
      </c>
      <c r="F50" s="70" t="s">
        <v>26</v>
      </c>
    </row>
    <row r="51" spans="1:6" x14ac:dyDescent="0.3">
      <c r="A51" s="61" t="s">
        <v>54</v>
      </c>
      <c r="B51" s="72">
        <f>'5770'!B22</f>
        <v>1</v>
      </c>
      <c r="C51" s="72" t="str">
        <f>'5770'!C22</f>
        <v>CUB C/R R8</v>
      </c>
      <c r="D51" s="73">
        <f>'5770'!D22</f>
        <v>2050</v>
      </c>
      <c r="E51" s="73">
        <f>'5770'!E22</f>
        <v>600</v>
      </c>
      <c r="F51" s="72" t="str">
        <f>'5770'!F22</f>
        <v>GREY SLATE 3156 MT</v>
      </c>
    </row>
    <row r="52" spans="1:6" x14ac:dyDescent="0.3">
      <c r="A52" s="61"/>
      <c r="B52" s="72">
        <f>'5770'!B23</f>
        <v>1</v>
      </c>
      <c r="C52" s="72" t="str">
        <f>'5770'!C23</f>
        <v>CUB C/R R8</v>
      </c>
      <c r="D52" s="73">
        <f>'5770'!D23</f>
        <v>1910</v>
      </c>
      <c r="E52" s="73">
        <f>'5770'!E23</f>
        <v>560</v>
      </c>
      <c r="F52" s="72" t="str">
        <f>'5770'!F23</f>
        <v>GREY SLATE 3156 MT</v>
      </c>
    </row>
    <row r="53" spans="1:6" x14ac:dyDescent="0.3">
      <c r="A53" s="61"/>
      <c r="B53" s="72">
        <f>'5770'!B24</f>
        <v>1</v>
      </c>
      <c r="C53" s="72" t="str">
        <f>'5770'!C24</f>
        <v>CUB MESA 3L R8</v>
      </c>
      <c r="D53" s="73">
        <f>'5770'!D24</f>
        <v>650</v>
      </c>
      <c r="E53" s="73">
        <f>'5770'!E24</f>
        <v>270</v>
      </c>
      <c r="F53" s="72" t="str">
        <f>'5770'!F24</f>
        <v>GREY SLATE 3156 MT</v>
      </c>
    </row>
    <row r="54" spans="1:6" ht="15.6" x14ac:dyDescent="0.3">
      <c r="A54" s="74"/>
      <c r="B54" s="5"/>
      <c r="C54" s="46"/>
      <c r="D54" s="9"/>
      <c r="E54" s="9"/>
      <c r="F54" s="63"/>
    </row>
    <row r="55" spans="1:6" ht="15.6" x14ac:dyDescent="0.3">
      <c r="A55" s="74"/>
      <c r="B55" s="5"/>
      <c r="C55" s="46"/>
      <c r="D55" s="9"/>
      <c r="E55" s="9"/>
      <c r="F55" s="56"/>
    </row>
    <row r="56" spans="1:6" ht="15.6" x14ac:dyDescent="0.3">
      <c r="A56" s="74"/>
      <c r="B56" s="5"/>
      <c r="C56" s="46"/>
      <c r="D56" s="9"/>
      <c r="E56" s="9"/>
      <c r="F56" s="63"/>
    </row>
    <row r="57" spans="1:6" ht="15" thickBot="1" x14ac:dyDescent="0.35"/>
    <row r="58" spans="1:6" x14ac:dyDescent="0.3">
      <c r="B58" s="75" t="s">
        <v>15</v>
      </c>
      <c r="C58" s="76"/>
      <c r="D58" s="11"/>
      <c r="E58" s="11"/>
      <c r="F58" s="12"/>
    </row>
    <row r="59" spans="1:6" x14ac:dyDescent="0.3">
      <c r="B59" s="13"/>
      <c r="C59" s="77" t="s">
        <v>40</v>
      </c>
      <c r="D59" s="14"/>
      <c r="E59" s="14"/>
      <c r="F59" s="15"/>
    </row>
    <row r="60" spans="1:6" ht="18" x14ac:dyDescent="0.35">
      <c r="B60" s="77" t="s">
        <v>41</v>
      </c>
      <c r="C60" s="78"/>
      <c r="D60" s="16"/>
      <c r="E60" s="16"/>
      <c r="F60" s="17"/>
    </row>
    <row r="61" spans="1:6" ht="18.600000000000001" thickBot="1" x14ac:dyDescent="0.4">
      <c r="B61" s="79" t="s">
        <v>42</v>
      </c>
      <c r="C61" s="18"/>
      <c r="D61" s="18"/>
      <c r="E61" s="18"/>
      <c r="F61" s="19"/>
    </row>
    <row r="62" spans="1:6" ht="18" x14ac:dyDescent="0.35">
      <c r="A62" s="3"/>
      <c r="B62" s="10"/>
    </row>
  </sheetData>
  <mergeCells count="4">
    <mergeCell ref="A10:F10"/>
    <mergeCell ref="A19:F19"/>
    <mergeCell ref="A47:F47"/>
    <mergeCell ref="B49:F49"/>
  </mergeCells>
  <pageMargins left="0.70866141732283472" right="0.70866141732283472" top="0.74803149606299213" bottom="0.74803149606299213" header="0.31496062992125984" footer="0.31496062992125984"/>
  <pageSetup scale="7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2024-01-15T13:25:53Z</cp:lastPrinted>
  <dcterms:created xsi:type="dcterms:W3CDTF">2013-03-19T12:54:14Z</dcterms:created>
  <dcterms:modified xsi:type="dcterms:W3CDTF">2024-01-18T14:59:52Z</dcterms:modified>
</cp:coreProperties>
</file>