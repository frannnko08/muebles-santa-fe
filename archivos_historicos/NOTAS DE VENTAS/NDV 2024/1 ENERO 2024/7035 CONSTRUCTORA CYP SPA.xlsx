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655A70A9-2D50-434B-ACF3-E99DD3B5B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CUBIERTA!$A$43:$F$70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E17" i="3" s="1"/>
  <c r="B34" i="3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35" i="3"/>
  <c r="I27" i="3" s="1"/>
  <c r="B27" i="3" s="1"/>
  <c r="C35" i="3"/>
  <c r="F27" i="3" s="1"/>
  <c r="D35" i="3"/>
  <c r="J27" i="3" s="1"/>
  <c r="D27" i="3" s="1"/>
  <c r="E35" i="3"/>
  <c r="K27" i="3" s="1"/>
  <c r="E27" i="3" s="1"/>
  <c r="F35" i="3"/>
  <c r="C59" i="3"/>
  <c r="C58" i="3"/>
  <c r="C57" i="3"/>
  <c r="B58" i="3"/>
  <c r="D58" i="3"/>
  <c r="E58" i="3"/>
  <c r="F58" i="3"/>
  <c r="B59" i="3"/>
  <c r="D59" i="3"/>
  <c r="E59" i="3"/>
  <c r="F59" i="3"/>
  <c r="H24" i="4"/>
  <c r="H23" i="4"/>
  <c r="H22" i="4"/>
  <c r="H21" i="4"/>
  <c r="H27" i="4" s="1"/>
  <c r="B33" i="3" l="1"/>
  <c r="I25" i="3" s="1"/>
  <c r="B25" i="3" s="1"/>
  <c r="C33" i="3"/>
  <c r="F15" i="3" s="1"/>
  <c r="D33" i="3"/>
  <c r="J15" i="3" s="1"/>
  <c r="D15" i="3" s="1"/>
  <c r="E33" i="3"/>
  <c r="K15" i="3" s="1"/>
  <c r="E15" i="3" s="1"/>
  <c r="F33" i="3"/>
  <c r="B57" i="3"/>
  <c r="D57" i="3"/>
  <c r="E57" i="3"/>
  <c r="F57" i="3"/>
  <c r="B56" i="3"/>
  <c r="C56" i="3"/>
  <c r="D56" i="3"/>
  <c r="E56" i="3"/>
  <c r="F56" i="3"/>
  <c r="B32" i="3"/>
  <c r="B14" i="3" s="1"/>
  <c r="C32" i="3"/>
  <c r="F24" i="3" s="1"/>
  <c r="D32" i="3"/>
  <c r="J14" i="3" s="1"/>
  <c r="D14" i="3" s="1"/>
  <c r="E32" i="3"/>
  <c r="K14" i="3" s="1"/>
  <c r="E14" i="3" s="1"/>
  <c r="F32" i="3"/>
  <c r="I15" i="3" l="1"/>
  <c r="B15" i="3" s="1"/>
  <c r="J25" i="3"/>
  <c r="D25" i="3" s="1"/>
  <c r="K25" i="3"/>
  <c r="E25" i="3" s="1"/>
  <c r="F25" i="3"/>
  <c r="H28" i="4"/>
  <c r="I24" i="3"/>
  <c r="B24" i="3" s="1"/>
  <c r="F14" i="3"/>
  <c r="K24" i="3"/>
  <c r="E24" i="3" s="1"/>
  <c r="J24" i="3"/>
  <c r="D24" i="3" s="1"/>
  <c r="H29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<sst xmlns="http://schemas.openxmlformats.org/spreadsheetml/2006/main" count="257" uniqueCount="148">
  <si>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</si>
  <si>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</si>
  <si>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</si>
  <si>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</si>
  <si>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</si>
  <si>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</si>
  <si>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</si>
  <si>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</si>
  <si>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</si>
  <si>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</si>
  <si>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</si>
  <si>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</si>
  <si>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</si>
  <si>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</si>
  <si>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</si>
  <si>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</si>
  <si>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</si>
  <si>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</si>
  <si>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</si>
  <si>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</si>
  <si>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</si>
  <si>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</si>
  <si>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</si>
  <si>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</si>
  <si>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</si>
  <si>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</si>
  <si>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</si>
  <si>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</si>
  <si>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</si>
  <si>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</si>
  <si>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</si>
  <si>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</si>
  <si>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</si>
  <si>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</si>
  <si>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</si>
  <si>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</si>
  <si>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</si>
  <si>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</si>
  <si>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</si>
  <si>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</si>
  <si>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</si>
  <si>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</si>
  <si>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</si>
  <si>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</si>
  <si>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</si>
  <si>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</si>
  <si>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</si>
  <si>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</si>
  <si>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</si>
  <si>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</si>
  <si>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</si>
  <si>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</si>
  <si>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</si>
  <si>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</si>
  <si>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</si>
  <si>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</si>
  <si>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</si>
  <si>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</si>
  <si>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</si>
  <si>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</si>
  <si>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</si>
  <si>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</si>
  <si>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</si>
  <si>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</si>
  <si>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</si>
  <si>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</si>
  <si>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</si>
  <si>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</si>
  <si>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</si>
  <si>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</si>
  <si>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</si>
  <si>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</si>
  <si>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</si>
  <si>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</si>
  <si>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</si>
  <si>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</si>
  <si>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</si>
  <si>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</si>
  <si>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</si>
  <si>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</si>
  <si>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</si>
  <si>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</si>
  <si>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</si>
  <si>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</si>
  <si>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</si>
  <si>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</si>
  <si>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</si>
  <si>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</si>
  <si>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</si>
  <si>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</si>
  <si>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</si>
  <si>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</si>
  <si>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</si>
  <si>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</si>
  <si>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</si>
  <si>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</si>
  <si>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</si>
  <si>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</si>
  <si>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</si>
  <si>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</si>
  <si>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</si>
  <si>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</si>
  <si>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</si>
  <si>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</si>
  <si>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</si>
  <si>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</si>
  <si>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</si>
  <si>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</si>
  <si>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</si>
  <si>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</si>
  <si>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</si>
  <si>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</si>
  <si>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</si>
  <si>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</si>
  <si>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</si>
  <si>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</si>
  <si>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</si>
  <si>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</si>
  <si>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</si>
  <si>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</si>
  <si>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</si>
  <si>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</si>
  <si>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</si>
  <si>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</si>
  <si>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</si>
  <si>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</si>
  <si>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</si>
  <si>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</si>
  <si>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</si>
  <si>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</si>
  <si>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</si>
  <si>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</si>
  <si>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</si>
  <si>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</si>
  <si>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30-01-/2024</t>
  </si>
  <si>
    <t>CONTACTO:</t>
  </si>
  <si>
    <t>CONSTRUCCION</t>
  </si>
  <si>
    <t>CyP CONSTRUCTORA Spa</t>
  </si>
  <si>
    <t>76.408.924-3</t>
  </si>
  <si>
    <t>PATRICIO NAVARRETE</t>
  </si>
  <si>
    <t>+569 7399 6756</t>
  </si>
  <si>
    <t>N°10601</t>
  </si>
  <si>
    <t>ENCHAPE RECTO 1 CARA MDF 30MM ***</t>
  </si>
  <si>
    <t>FANTASTIC TEAK 2125 MT</t>
  </si>
  <si>
    <t>NOCE AVEIRO PP-7987 UP</t>
  </si>
  <si>
    <t xml:space="preserve">ENCHAPE RECTO 1 CARA MDF 30MM </t>
  </si>
  <si>
    <t>MDF 30MM</t>
  </si>
  <si>
    <t>TRASCARA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</si>
</sst>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6" fillId="0" borderId="0" xfId="0" applyFont="1"/>
    <xf numFmtId="0" fontId="17" fillId="3" borderId="0" xfId="0" quotePrefix="1" applyFont="1" applyFill="1"/>
    <xf numFmtId="0" fontId="15" fillId="0" borderId="0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$ 300.000.-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0</xdr:rowOff>
    </xdr:from>
    <xdr:to>
      <xdr:col>3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60</xdr:row>
      <xdr:rowOff>190500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60</xdr:row>
      <xdr:rowOff>190500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60</xdr:row>
      <xdr:rowOff>190500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190500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190500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190500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OBSERVACIONES:VAN ENCHAPADAS CON TAPACANTO PVC 1,5MM</a:t>
          </a: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ENCHAPE TRASCARA BALANCE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DE 3050X1500 DEBE LLEVAN UNION DE LAMINADO AL LARGO A UN COSTADO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63</xdr:row>
      <xdr:rowOff>24765</xdr:rowOff>
    </xdr:from>
    <xdr:to>
      <xdr:col>5</xdr:col>
      <xdr:colOff>2396490</xdr:colOff>
      <xdr:row>67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VAN ENCHAPADAS CON TAPACANTO PVC 1,5MM </a:t>
          </a: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ENCHAPE TRASCARA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BALANCE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 DE 3050X1500 DEBE LLEVAR UNION DE LAMINADO AL LARGO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194310</xdr:rowOff>
    </xdr:from>
    <xdr:to>
      <xdr:col>2</xdr:col>
      <xdr:colOff>100723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15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7035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 t="s">
        <v>134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5" t="s">
        <v>138</v>
      </c>
      <c r="D11" s="60"/>
      <c r="E11" s="60"/>
      <c r="F11" s="60" t="s">
        <v>124</v>
      </c>
      <c r="G11" s="61">
        <v>45324</v>
      </c>
      <c r="H11" s="62"/>
      <c r="I11" s="1"/>
    </row>
    <row r="12" spans="1:17" ht="15.6" x14ac:dyDescent="0.3">
      <c r="A12" s="1"/>
      <c r="B12" s="63" t="s">
        <v>132</v>
      </c>
      <c r="C12" t="s">
        <v>136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6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02" t="s">
        <v>18</v>
      </c>
      <c r="G16" s="102"/>
      <c r="H16" s="10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4" t="s">
        <v>19</v>
      </c>
      <c r="C19" s="105"/>
      <c r="D19" s="105"/>
      <c r="E19" s="105"/>
      <c r="F19" s="105"/>
      <c r="G19" s="105"/>
      <c r="H19" s="10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98">
        <v>1</v>
      </c>
      <c r="C21" s="121" t="s">
        <v>142</v>
      </c>
      <c r="D21" s="120">
        <v>3050</v>
      </c>
      <c r="E21" s="120">
        <v>1500</v>
      </c>
      <c r="F21" s="99" t="s">
        <v>143</v>
      </c>
      <c r="G21" s="118">
        <v>459846</v>
      </c>
      <c r="H21" s="119">
        <f>G21*B21</f>
        <v>459846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98">
        <v>2</v>
      </c>
      <c r="C22" s="121" t="s">
        <v>142</v>
      </c>
      <c r="D22" s="120">
        <v>2000</v>
      </c>
      <c r="E22" s="120">
        <v>1100</v>
      </c>
      <c r="F22" s="99" t="s">
        <v>144</v>
      </c>
      <c r="G22" s="118">
        <v>188676</v>
      </c>
      <c r="H22" s="119">
        <f>G22*B22</f>
        <v>377352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98">
        <v>2</v>
      </c>
      <c r="C23" s="121" t="s">
        <v>145</v>
      </c>
      <c r="D23" s="120">
        <v>1600</v>
      </c>
      <c r="E23" s="120">
        <v>700</v>
      </c>
      <c r="F23" s="99" t="s">
        <v>144</v>
      </c>
      <c r="G23" s="118">
        <v>160912</v>
      </c>
      <c r="H23" s="119">
        <f>G23*B23</f>
        <v>321824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1</v>
      </c>
      <c r="C24" s="121" t="s">
        <v>145</v>
      </c>
      <c r="D24" s="120">
        <v>2200</v>
      </c>
      <c r="E24" s="120">
        <v>700</v>
      </c>
      <c r="F24" s="99" t="s">
        <v>144</v>
      </c>
      <c r="G24" s="118">
        <v>164793</v>
      </c>
      <c r="H24" s="119">
        <f>G24*B24</f>
        <v>164793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17"/>
      <c r="C25" s="117"/>
      <c r="D25" s="117"/>
      <c r="E25" s="117"/>
      <c r="F25" s="117"/>
      <c r="G25" s="97"/>
      <c r="H25" s="97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1323815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251524.85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1575339.85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100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5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07" t="s">
        <v>31</v>
      </c>
      <c r="C2" s="107"/>
      <c r="D2" s="107"/>
      <c r="E2" s="18"/>
      <c r="G2" s="107" t="s">
        <v>70</v>
      </c>
      <c r="H2" s="107"/>
      <c r="I2" s="107"/>
      <c r="P2" s="108" t="s">
        <v>58</v>
      </c>
      <c r="Q2" s="108"/>
      <c r="R2" s="10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08" t="s">
        <v>58</v>
      </c>
      <c r="M8" s="108"/>
      <c r="N8" s="10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topLeftCell="A32" zoomScaleNormal="100" workbookViewId="0">
      <selection activeCell="A43" sqref="A43:F7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40" t="s">
        <v>27</v>
      </c>
      <c r="D4" s="14">
        <f>'4637'!G8</f>
        <v>7035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CyP CONSTRUCTORA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45324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146</v>
      </c>
      <c r="B14" s="25">
        <f t="shared" ref="B14" si="0">I14</f>
        <v>7</v>
      </c>
      <c r="C14" s="25"/>
      <c r="D14" s="25">
        <f>J14+D$13</f>
        <v>3050</v>
      </c>
      <c r="E14" s="35">
        <f>K14+E$13</f>
        <v>1500</v>
      </c>
      <c r="F14" s="123" t="str">
        <f>C32</f>
        <v>ENCHAPE RECTO 1 CARA MDF 30MM ***</v>
      </c>
      <c r="G14" s="1"/>
      <c r="I14" s="3">
        <v>7</v>
      </c>
      <c r="J14" s="4">
        <f t="shared" ref="J14:K14" si="1">D32</f>
        <v>3050</v>
      </c>
      <c r="K14" s="4">
        <f t="shared" si="1"/>
        <v>1500</v>
      </c>
    </row>
    <row r="15" spans="1:14" ht="15.6" x14ac:dyDescent="0.3">
      <c r="A15" s="96"/>
      <c r="B15" s="25">
        <f t="shared" ref="B15" si="2">I15</f>
        <v>2</v>
      </c>
      <c r="C15" s="25"/>
      <c r="D15" s="25">
        <f t="shared" ref="D15" si="3">J15+D$13</f>
        <v>2000</v>
      </c>
      <c r="E15" s="35">
        <f t="shared" ref="E15" si="4">K15+E$13</f>
        <v>1100</v>
      </c>
      <c r="F15" s="123" t="str">
        <f t="shared" ref="F15" si="5">C33</f>
        <v>ENCHAPE RECTO 1 CARA MDF 30MM ***</v>
      </c>
      <c r="G15" s="1"/>
      <c r="I15" s="3">
        <f t="shared" ref="I15" si="6">B33</f>
        <v>2</v>
      </c>
      <c r="J15" s="4">
        <f t="shared" ref="J15" si="7">D33</f>
        <v>2000</v>
      </c>
      <c r="K15" s="4">
        <f t="shared" ref="K15" si="8">E33</f>
        <v>1100</v>
      </c>
    </row>
    <row r="16" spans="1:14" ht="15.6" x14ac:dyDescent="0.3">
      <c r="A16" s="96"/>
      <c r="B16" s="25">
        <f t="shared" ref="B16:B17" si="9">I16</f>
        <v>2</v>
      </c>
      <c r="C16" s="25"/>
      <c r="D16" s="25">
        <f t="shared" ref="D16:D17" si="10">J16+D$13</f>
        <v>1600</v>
      </c>
      <c r="E16" s="35">
        <f t="shared" ref="E16:E17" si="11">K16+E$13</f>
        <v>700</v>
      </c>
      <c r="F16" s="123" t="str">
        <f t="shared" ref="F16:F17" si="12">C34</f>
        <v xml:space="preserve">ENCHAPE RECTO 1 CARA MDF 30MM </v>
      </c>
      <c r="G16" s="1"/>
      <c r="I16" s="3">
        <f t="shared" ref="I16:I17" si="13">B34</f>
        <v>2</v>
      </c>
      <c r="J16" s="4">
        <f t="shared" ref="J16:J17" si="14">D34</f>
        <v>1600</v>
      </c>
      <c r="K16" s="4">
        <f t="shared" ref="K16:K17" si="15">E34</f>
        <v>700</v>
      </c>
    </row>
    <row r="17" spans="1:11" ht="15.6" x14ac:dyDescent="0.3">
      <c r="A17" s="96"/>
      <c r="B17" s="25">
        <f t="shared" si="9"/>
        <v>1</v>
      </c>
      <c r="C17" s="25"/>
      <c r="D17" s="25">
        <f t="shared" si="10"/>
        <v>2200</v>
      </c>
      <c r="E17" s="35">
        <f t="shared" si="11"/>
        <v>700</v>
      </c>
      <c r="F17" s="123" t="str">
        <f t="shared" si="12"/>
        <v xml:space="preserve">ENCHAPE RECTO 1 CARA MDF 30MM </v>
      </c>
      <c r="G17" s="1"/>
      <c r="I17" s="3">
        <f t="shared" si="13"/>
        <v>1</v>
      </c>
      <c r="J17" s="4">
        <f t="shared" si="14"/>
        <v>2200</v>
      </c>
      <c r="K17" s="4">
        <f t="shared" si="15"/>
        <v>700</v>
      </c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0" t="s">
        <v>14</v>
      </c>
      <c r="B20" s="110"/>
      <c r="C20" s="110"/>
      <c r="D20" s="110"/>
      <c r="E20" s="110"/>
      <c r="F20" s="11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20</v>
      </c>
      <c r="E23" s="21">
        <v>20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146</v>
      </c>
      <c r="B24" s="16">
        <f t="shared" ref="B24" si="16">I24</f>
        <v>1</v>
      </c>
      <c r="C24" s="16" t="s">
        <v>147</v>
      </c>
      <c r="D24" s="16">
        <f>J24+D$23</f>
        <v>3070</v>
      </c>
      <c r="E24" s="16">
        <f>K24+E$23</f>
        <v>1520</v>
      </c>
      <c r="F24" s="124" t="str">
        <f>C32</f>
        <v>ENCHAPE RECTO 1 CARA MDF 30MM ***</v>
      </c>
      <c r="G24" s="1"/>
      <c r="I24" s="3">
        <f>B32</f>
        <v>1</v>
      </c>
      <c r="J24" s="4">
        <f>D32</f>
        <v>3050</v>
      </c>
      <c r="K24" s="4">
        <f>E32</f>
        <v>1500</v>
      </c>
    </row>
    <row r="25" spans="1:11" ht="15.6" x14ac:dyDescent="0.3">
      <c r="A25" s="96"/>
      <c r="B25" s="16">
        <f t="shared" ref="B25" si="17">I25</f>
        <v>2</v>
      </c>
      <c r="C25" s="16" t="s">
        <v>147</v>
      </c>
      <c r="D25" s="16">
        <f>J25+D$23</f>
        <v>2020</v>
      </c>
      <c r="E25" s="16">
        <f>K25+E$23</f>
        <v>1120</v>
      </c>
      <c r="F25" s="124" t="str">
        <f t="shared" ref="F25" si="18">C33</f>
        <v>ENCHAPE RECTO 1 CARA MDF 30MM ***</v>
      </c>
      <c r="G25" s="1"/>
      <c r="I25" s="3">
        <f t="shared" ref="I25" si="19">B33</f>
        <v>2</v>
      </c>
      <c r="J25" s="4">
        <f t="shared" ref="J25:K25" si="20">D33</f>
        <v>2000</v>
      </c>
      <c r="K25" s="4">
        <f t="shared" si="20"/>
        <v>1100</v>
      </c>
    </row>
    <row r="26" spans="1:11" ht="15.6" x14ac:dyDescent="0.3">
      <c r="A26" s="96"/>
      <c r="B26" s="16">
        <f t="shared" ref="B26:B27" si="21">I26</f>
        <v>2</v>
      </c>
      <c r="C26" s="16"/>
      <c r="D26" s="16">
        <f t="shared" ref="D26:D27" si="22">J26+D$23</f>
        <v>1620</v>
      </c>
      <c r="E26" s="16">
        <f t="shared" ref="E26:E27" si="23">K26+E$23</f>
        <v>720</v>
      </c>
      <c r="F26" s="124" t="str">
        <f t="shared" ref="F26:F27" si="24">C34</f>
        <v xml:space="preserve">ENCHAPE RECTO 1 CARA MDF 30MM </v>
      </c>
      <c r="G26" s="1"/>
      <c r="I26" s="3">
        <f t="shared" ref="I26:I27" si="25">B34</f>
        <v>2</v>
      </c>
      <c r="J26" s="4">
        <f t="shared" ref="J26:J27" si="26">D34</f>
        <v>1600</v>
      </c>
      <c r="K26" s="4">
        <f t="shared" ref="K26:K27" si="27">E34</f>
        <v>700</v>
      </c>
    </row>
    <row r="27" spans="1:11" ht="15.6" x14ac:dyDescent="0.3">
      <c r="A27" s="96"/>
      <c r="B27" s="16">
        <f t="shared" si="21"/>
        <v>1</v>
      </c>
      <c r="C27" s="16"/>
      <c r="D27" s="16">
        <f t="shared" si="22"/>
        <v>2220</v>
      </c>
      <c r="E27" s="16">
        <f t="shared" si="23"/>
        <v>720</v>
      </c>
      <c r="F27" s="124" t="str">
        <f t="shared" si="24"/>
        <v xml:space="preserve">ENCHAPE RECTO 1 CARA MDF 30MM </v>
      </c>
      <c r="G27" s="1"/>
      <c r="I27" s="3">
        <f t="shared" si="25"/>
        <v>1</v>
      </c>
      <c r="J27" s="4">
        <f t="shared" si="26"/>
        <v>2200</v>
      </c>
      <c r="K27" s="4">
        <f t="shared" si="27"/>
        <v>700</v>
      </c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146</v>
      </c>
      <c r="B32" s="25">
        <f>'4637'!B21</f>
        <v>1</v>
      </c>
      <c r="C32" s="123" t="str">
        <f>'4637'!C21</f>
        <v>ENCHAPE RECTO 1 CARA MDF 30MM ***</v>
      </c>
      <c r="D32" s="25">
        <f>'4637'!D21</f>
        <v>3050</v>
      </c>
      <c r="E32" s="25">
        <f>'4637'!E21</f>
        <v>1500</v>
      </c>
      <c r="F32" s="25" t="str">
        <f>'4637'!F21</f>
        <v>FANTASTIC TEAK 2125 MT</v>
      </c>
      <c r="G32" s="1"/>
    </row>
    <row r="33" spans="1:7" ht="15.6" x14ac:dyDescent="0.3">
      <c r="A33" s="96"/>
      <c r="B33" s="25">
        <f>'4637'!B22</f>
        <v>2</v>
      </c>
      <c r="C33" s="123" t="str">
        <f>'4637'!C22</f>
        <v>ENCHAPE RECTO 1 CARA MDF 30MM ***</v>
      </c>
      <c r="D33" s="25">
        <f>'4637'!D22</f>
        <v>2000</v>
      </c>
      <c r="E33" s="25">
        <f>'4637'!E22</f>
        <v>1100</v>
      </c>
      <c r="F33" s="25" t="str">
        <f>'4637'!F22</f>
        <v>NOCE AVEIRO PP-7987 UP</v>
      </c>
      <c r="G33" s="1"/>
    </row>
    <row r="34" spans="1:7" ht="15.6" x14ac:dyDescent="0.3">
      <c r="A34" s="96"/>
      <c r="B34" s="25">
        <f>'4637'!B23</f>
        <v>2</v>
      </c>
      <c r="C34" s="25" t="str">
        <f>'4637'!C23</f>
        <v xml:space="preserve">ENCHAPE RECTO 1 CARA MDF 30MM </v>
      </c>
      <c r="D34" s="25">
        <f>'4637'!D23</f>
        <v>1600</v>
      </c>
      <c r="E34" s="25">
        <f>'4637'!E23</f>
        <v>700</v>
      </c>
      <c r="F34" s="25" t="str">
        <f>'4637'!F23</f>
        <v>NOCE AVEIRO PP-7987 UP</v>
      </c>
      <c r="G34" s="1"/>
    </row>
    <row r="35" spans="1:7" ht="15.6" x14ac:dyDescent="0.3">
      <c r="A35" s="96"/>
      <c r="B35" s="25">
        <f>'4637'!B24</f>
        <v>1</v>
      </c>
      <c r="C35" s="25" t="str">
        <f>'4637'!C24</f>
        <v xml:space="preserve">ENCHAPE RECTO 1 CARA MDF 30MM </v>
      </c>
      <c r="D35" s="25">
        <f>'4637'!D24</f>
        <v>2200</v>
      </c>
      <c r="E35" s="25">
        <f>'4637'!E24</f>
        <v>700</v>
      </c>
      <c r="F35" s="25" t="str">
        <f>'4637'!F24</f>
        <v>NOCE AVEIRO PP-7987 UP</v>
      </c>
      <c r="G35" s="1"/>
    </row>
    <row r="36" spans="1:7" ht="15.6" x14ac:dyDescent="0.3">
      <c r="A36" s="52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7035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CyP CONSTRUCTORA Spa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45324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10" t="s">
        <v>68</v>
      </c>
      <c r="B52" s="110"/>
      <c r="C52" s="110"/>
      <c r="D52" s="110"/>
      <c r="E52" s="110"/>
      <c r="F52" s="110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11" t="s">
        <v>69</v>
      </c>
      <c r="C54" s="112"/>
      <c r="D54" s="113"/>
      <c r="E54" s="113"/>
      <c r="F54" s="114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6" t="s">
        <v>146</v>
      </c>
      <c r="B56" s="38">
        <f>'4637'!B21</f>
        <v>1</v>
      </c>
      <c r="C56" s="122" t="str">
        <f>'4637'!C21</f>
        <v>ENCHAPE RECTO 1 CARA MDF 30MM ***</v>
      </c>
      <c r="D56" s="39">
        <f>'4637'!D21</f>
        <v>3050</v>
      </c>
      <c r="E56" s="39">
        <f>'4637'!E21</f>
        <v>1500</v>
      </c>
      <c r="F56" s="38" t="str">
        <f>'4637'!F21</f>
        <v>FANTASTIC TEAK 2125 MT</v>
      </c>
      <c r="G56" s="1"/>
    </row>
    <row r="57" spans="1:7" s="15" customFormat="1" ht="15" customHeight="1" x14ac:dyDescent="0.3">
      <c r="A57" s="96"/>
      <c r="B57" s="38">
        <f>'4637'!B22</f>
        <v>2</v>
      </c>
      <c r="C57" s="122" t="str">
        <f>'4637'!C22</f>
        <v>ENCHAPE RECTO 1 CARA MDF 30MM ***</v>
      </c>
      <c r="D57" s="39">
        <f>'4637'!D22</f>
        <v>2000</v>
      </c>
      <c r="E57" s="39">
        <f>'4637'!E22</f>
        <v>1100</v>
      </c>
      <c r="F57" s="38" t="str">
        <f>'4637'!F22</f>
        <v>NOCE AVEIRO PP-7987 UP</v>
      </c>
      <c r="G57" s="1"/>
    </row>
    <row r="58" spans="1:7" s="15" customFormat="1" ht="15" customHeight="1" x14ac:dyDescent="0.3">
      <c r="A58" s="96"/>
      <c r="B58" s="38">
        <f>'4637'!B23</f>
        <v>2</v>
      </c>
      <c r="C58" s="122" t="str">
        <f>'4637'!C23</f>
        <v xml:space="preserve">ENCHAPE RECTO 1 CARA MDF 30MM </v>
      </c>
      <c r="D58" s="39">
        <f>'4637'!D23</f>
        <v>1600</v>
      </c>
      <c r="E58" s="39">
        <f>'4637'!E23</f>
        <v>700</v>
      </c>
      <c r="F58" s="38" t="str">
        <f>'4637'!F23</f>
        <v>NOCE AVEIRO PP-7987 UP</v>
      </c>
      <c r="G58" s="1"/>
    </row>
    <row r="59" spans="1:7" s="15" customFormat="1" ht="15" customHeight="1" x14ac:dyDescent="0.3">
      <c r="A59" s="96"/>
      <c r="B59" s="38">
        <f>'4637'!B24</f>
        <v>1</v>
      </c>
      <c r="C59" s="122" t="str">
        <f>'4637'!C24</f>
        <v xml:space="preserve">ENCHAPE RECTO 1 CARA MDF 30MM </v>
      </c>
      <c r="D59" s="39">
        <f>'4637'!D24</f>
        <v>2200</v>
      </c>
      <c r="E59" s="39">
        <f>'4637'!E24</f>
        <v>700</v>
      </c>
      <c r="F59" s="38" t="str">
        <f>'4637'!F24</f>
        <v>NOCE AVEIRO PP-7987 UP</v>
      </c>
      <c r="G59" s="1"/>
    </row>
    <row r="60" spans="1:7" s="15" customFormat="1" ht="15" customHeight="1" x14ac:dyDescent="0.3">
      <c r="A60" s="50"/>
      <c r="B60" s="52"/>
      <c r="C60" s="52"/>
      <c r="D60" s="52"/>
      <c r="E60" s="52"/>
      <c r="F60" s="52"/>
      <c r="G60" s="1"/>
    </row>
    <row r="61" spans="1:7" ht="15.6" x14ac:dyDescent="0.3">
      <c r="A61" s="6"/>
      <c r="B61" s="6"/>
      <c r="C61" s="1"/>
      <c r="D61" s="6"/>
      <c r="E61" s="6"/>
      <c r="F61" s="44"/>
      <c r="G61" s="1"/>
    </row>
    <row r="62" spans="1:7" ht="15.6" x14ac:dyDescent="0.3">
      <c r="A62" s="6"/>
      <c r="B62" s="6"/>
      <c r="C62" s="1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6"/>
      <c r="B68" s="5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x14ac:dyDescent="0.3">
      <c r="B70" s="20"/>
      <c r="C70" s="20"/>
      <c r="D70" s="20"/>
      <c r="E70" s="20"/>
      <c r="F70" s="20"/>
    </row>
    <row r="71" spans="1:7" x14ac:dyDescent="0.3">
      <c r="B71" s="20"/>
      <c r="C71" s="20"/>
      <c r="E71" s="20"/>
      <c r="F71" s="20"/>
    </row>
  </sheetData>
  <mergeCells count="6">
    <mergeCell ref="M3:N3"/>
    <mergeCell ref="A20:F20"/>
    <mergeCell ref="A10:F10"/>
    <mergeCell ref="A52:F52"/>
    <mergeCell ref="B54:F54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2024-01-30T16:43:32Z</cp:lastPrinted>
  <dcterms:created xsi:type="dcterms:W3CDTF">2013-03-19T12:54:14Z</dcterms:created>
  <dcterms:modified xsi:type="dcterms:W3CDTF">2024-01-30T16:58:13Z</dcterms:modified>
</cp:coreProperties>
</file>