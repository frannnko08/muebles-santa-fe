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ENERO 2024\"/>
    </mc:Choice>
  </mc:AlternateContent>
  <xr:revisionPtr revIDLastSave="0" documentId="13_ncr:1_{0C5A8C77-53EF-422B-9F5F-9EA5821A7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'5770'!$B$1:$H$38</definedName>
    <definedName name="_xlnm.Print_Area" localSheetId="1">CUBIERTA!$A$2:$F$30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3" l="1"/>
  <c r="P16" i="3"/>
  <c r="P17" i="3"/>
  <c r="P18" i="3"/>
  <c r="P14" i="3"/>
  <c r="B36" i="3"/>
  <c r="B26" i="3" s="1"/>
  <c r="C36" i="3"/>
  <c r="F26" i="3" s="1"/>
  <c r="D36" i="3"/>
  <c r="J26" i="3" s="1"/>
  <c r="D26" i="3" s="1"/>
  <c r="E36" i="3"/>
  <c r="K26" i="3" s="1"/>
  <c r="E26" i="3" s="1"/>
  <c r="F36" i="3"/>
  <c r="B37" i="3"/>
  <c r="B27" i="3" s="1"/>
  <c r="C37" i="3"/>
  <c r="F27" i="3" s="1"/>
  <c r="D37" i="3"/>
  <c r="J27" i="3" s="1"/>
  <c r="D27" i="3" s="1"/>
  <c r="E37" i="3"/>
  <c r="K27" i="3" s="1"/>
  <c r="E27" i="3" s="1"/>
  <c r="F37" i="3"/>
  <c r="B38" i="3"/>
  <c r="I28" i="3" s="1"/>
  <c r="I17" i="3" s="1"/>
  <c r="B17" i="3" s="1"/>
  <c r="C38" i="3"/>
  <c r="F28" i="3" s="1"/>
  <c r="D38" i="3"/>
  <c r="J28" i="3" s="1"/>
  <c r="D28" i="3" s="1"/>
  <c r="E38" i="3"/>
  <c r="K28" i="3" s="1"/>
  <c r="E28" i="3" s="1"/>
  <c r="F38" i="3"/>
  <c r="B39" i="3"/>
  <c r="B29" i="3" s="1"/>
  <c r="C39" i="3"/>
  <c r="F29" i="3" s="1"/>
  <c r="D39" i="3"/>
  <c r="J29" i="3" s="1"/>
  <c r="J18" i="3" s="1"/>
  <c r="D18" i="3" s="1"/>
  <c r="E39" i="3"/>
  <c r="K29" i="3" s="1"/>
  <c r="E29" i="3" s="1"/>
  <c r="F39" i="3"/>
  <c r="B60" i="3"/>
  <c r="C60" i="3"/>
  <c r="D60" i="3"/>
  <c r="E60" i="3"/>
  <c r="F60" i="3"/>
  <c r="B61" i="3"/>
  <c r="C61" i="3"/>
  <c r="D61" i="3"/>
  <c r="E61" i="3"/>
  <c r="F61" i="3"/>
  <c r="B62" i="3"/>
  <c r="C62" i="3"/>
  <c r="D62" i="3"/>
  <c r="E62" i="3"/>
  <c r="F62" i="3"/>
  <c r="B63" i="3"/>
  <c r="C63" i="3"/>
  <c r="D63" i="3"/>
  <c r="E63" i="3"/>
  <c r="F63" i="3"/>
  <c r="H24" i="4"/>
  <c r="H23" i="4"/>
  <c r="H22" i="4"/>
  <c r="H21" i="4"/>
  <c r="H20" i="4"/>
  <c r="D29" i="3" l="1"/>
  <c r="K18" i="3"/>
  <c r="E18" i="3" s="1"/>
  <c r="Q17" i="3"/>
  <c r="K17" i="3"/>
  <c r="J17" i="3"/>
  <c r="D17" i="3" s="1"/>
  <c r="K16" i="3"/>
  <c r="E16" i="3" s="1"/>
  <c r="J15" i="3"/>
  <c r="D15" i="3" s="1"/>
  <c r="K15" i="3"/>
  <c r="E15" i="3" s="1"/>
  <c r="J16" i="3"/>
  <c r="D16" i="3" s="1"/>
  <c r="F18" i="3"/>
  <c r="F17" i="3"/>
  <c r="F16" i="3"/>
  <c r="F15" i="3"/>
  <c r="B28" i="3"/>
  <c r="I29" i="3"/>
  <c r="I18" i="3" s="1"/>
  <c r="B18" i="3" s="1"/>
  <c r="I27" i="3"/>
  <c r="I16" i="3" s="1"/>
  <c r="B16" i="3" s="1"/>
  <c r="I26" i="3"/>
  <c r="I15" i="3" s="1"/>
  <c r="B15" i="3" s="1"/>
  <c r="H30" i="4"/>
  <c r="B35" i="3"/>
  <c r="B25" i="3" s="1"/>
  <c r="C35" i="3"/>
  <c r="F25" i="3" s="1"/>
  <c r="D35" i="3"/>
  <c r="J25" i="3" s="1"/>
  <c r="D25" i="3" s="1"/>
  <c r="E35" i="3"/>
  <c r="K25" i="3" s="1"/>
  <c r="E25" i="3" s="1"/>
  <c r="F35" i="3"/>
  <c r="B59" i="3"/>
  <c r="C59" i="3"/>
  <c r="D59" i="3"/>
  <c r="E59" i="3"/>
  <c r="F59" i="3"/>
  <c r="Q18" i="3" l="1"/>
  <c r="Q16" i="3"/>
  <c r="Q15" i="3"/>
  <c r="K14" i="3"/>
  <c r="J14" i="3"/>
  <c r="D14" i="3" s="1"/>
  <c r="I25" i="3"/>
  <c r="I14" i="3" s="1"/>
  <c r="F14" i="3"/>
  <c r="B14" i="3" l="1"/>
  <c r="Q14" i="3"/>
  <c r="Q19" i="3" s="1"/>
  <c r="F53" i="3"/>
  <c r="E53" i="3"/>
  <c r="D50" i="3" l="1"/>
  <c r="E52" i="3"/>
  <c r="E49" i="3"/>
  <c r="E7" i="3"/>
  <c r="E4" i="3"/>
  <c r="D5" i="3"/>
  <c r="C52" i="3"/>
  <c r="C7" i="3"/>
  <c r="H31" i="4" l="1"/>
  <c r="H32" i="4" l="1"/>
</calcChain>
</file>

<file path=xl/sharedStrings.xml><?xml version="1.0" encoding="utf-8"?>
<sst xmlns="http://schemas.openxmlformats.org/spreadsheetml/2006/main" count="94" uniqueCount="59">
  <si>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</si>
  <si>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</si>
  <si>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</si>
  <si>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</si>
  <si>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</si>
  <si>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</si>
  <si>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</si>
  <si>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</si>
  <si>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</si>
  <si>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</si>
  <si>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</si>
  <si>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</si>
  <si>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</si>
  <si>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</si>
  <si>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</si>
  <si>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</si>
  <si>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</si>
  <si>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</si>
  <si>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</si>
  <si>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</si>
  <si>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</si>
  <si>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</si>
  <si>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</si>
  <si>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</si>
  <si>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</si>
  <si>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</si>
  <si>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</si>
  <si>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</si>
  <si>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</si>
  <si>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</si>
  <si>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</si>
  <si>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</si>
  <si>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</si>
  <si>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</si>
  <si>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</si>
  <si>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</si>
  <si>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</si>
  <si>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</si>
  <si>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</si>
  <si>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</si>
  <si>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</si>
  <si>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</si>
  <si>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</si>
  <si>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</si>
  <si>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</si>
  <si>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</si>
  <si>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</si>
  <si>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</si>
  <si>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</si>
  <si>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</si>
  <si>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FORMA DE PAGO : O/C 30 DIAS</t>
  </si>
  <si>
    <t>SI</t>
  </si>
  <si>
    <t>ORDEN DE COMPRA</t>
  </si>
  <si>
    <t>ANTONIETA</t>
  </si>
  <si>
    <t>+569</t>
  </si>
  <si>
    <t>PR6</t>
  </si>
  <si>
    <t>PR6 1 LADO</t>
  </si>
  <si>
    <t>HAYA NATURAL 1803 MT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</si>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</sst>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166" fontId="3" fillId="0" borderId="28" xfId="1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0" fontId="22" fillId="0" borderId="0" xfId="0" applyFont="1" applyBorder="1" applyAlignment="1">
      <alignment horizontal="center" vertical="center"/>
    </xf>
    <xf numFmtId="1" fontId="22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10510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3</xdr:col>
      <xdr:colOff>9283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29</xdr:row>
      <xdr:rowOff>53340</xdr:rowOff>
    </xdr:from>
    <xdr:to>
      <xdr:col>5</xdr:col>
      <xdr:colOff>1070610</xdr:colOff>
      <xdr:row>31</xdr:row>
      <xdr:rowOff>160020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4320" y="4579620"/>
          <a:ext cx="4110990" cy="5486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0"/>
            <a:t>OBSERVACIONES : ABONO $ 350.000.- + $ 9.856.-</a:t>
          </a:r>
          <a:endParaRPr lang="es-CL" sz="900" b="1" i="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1685924</xdr:colOff>
      <xdr:row>55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180975</xdr:rowOff>
    </xdr:from>
    <xdr:to>
      <xdr:col>2</xdr:col>
      <xdr:colOff>38100</xdr:colOff>
      <xdr:row>66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180975</xdr:rowOff>
    </xdr:from>
    <xdr:to>
      <xdr:col>2</xdr:col>
      <xdr:colOff>1019175</xdr:colOff>
      <xdr:row>65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180975</xdr:rowOff>
    </xdr:from>
    <xdr:to>
      <xdr:col>3</xdr:col>
      <xdr:colOff>352425</xdr:colOff>
      <xdr:row>66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180975</xdr:rowOff>
    </xdr:from>
    <xdr:to>
      <xdr:col>4</xdr:col>
      <xdr:colOff>257175</xdr:colOff>
      <xdr:row>66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180975</xdr:rowOff>
    </xdr:from>
    <xdr:to>
      <xdr:col>5</xdr:col>
      <xdr:colOff>447675</xdr:colOff>
      <xdr:row>65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180975</xdr:rowOff>
    </xdr:from>
    <xdr:to>
      <xdr:col>6</xdr:col>
      <xdr:colOff>0</xdr:colOff>
      <xdr:row>65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190500</xdr:rowOff>
    </xdr:from>
    <xdr:to>
      <xdr:col>2</xdr:col>
      <xdr:colOff>304800</xdr:colOff>
      <xdr:row>67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190500</xdr:rowOff>
    </xdr:from>
    <xdr:to>
      <xdr:col>2</xdr:col>
      <xdr:colOff>1276350</xdr:colOff>
      <xdr:row>67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190500</xdr:rowOff>
    </xdr:from>
    <xdr:to>
      <xdr:col>3</xdr:col>
      <xdr:colOff>619125</xdr:colOff>
      <xdr:row>67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190500</xdr:rowOff>
    </xdr:from>
    <xdr:to>
      <xdr:col>4</xdr:col>
      <xdr:colOff>523875</xdr:colOff>
      <xdr:row>67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190500</xdr:rowOff>
    </xdr:from>
    <xdr:to>
      <xdr:col>5</xdr:col>
      <xdr:colOff>723900</xdr:colOff>
      <xdr:row>67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190500</xdr:rowOff>
    </xdr:from>
    <xdr:to>
      <xdr:col>6</xdr:col>
      <xdr:colOff>0</xdr:colOff>
      <xdr:row>67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41</xdr:row>
      <xdr:rowOff>1904</xdr:rowOff>
    </xdr:from>
    <xdr:to>
      <xdr:col>5</xdr:col>
      <xdr:colOff>1855469</xdr:colOff>
      <xdr:row>44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SON PUERTAS PARA INSTALACION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68</xdr:row>
      <xdr:rowOff>7620</xdr:rowOff>
    </xdr:from>
    <xdr:to>
      <xdr:col>6</xdr:col>
      <xdr:colOff>0</xdr:colOff>
      <xdr:row>71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SON PUERTAS PARA INSTALACION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49</xdr:row>
      <xdr:rowOff>38100</xdr:rowOff>
    </xdr:from>
    <xdr:to>
      <xdr:col>6</xdr:col>
      <xdr:colOff>0</xdr:colOff>
      <xdr:row>50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47</xdr:row>
      <xdr:rowOff>62865</xdr:rowOff>
    </xdr:from>
    <xdr:to>
      <xdr:col>1</xdr:col>
      <xdr:colOff>778903</xdr:colOff>
      <xdr:row>53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6"/>
  <sheetViews>
    <sheetView tabSelected="1" topLeftCell="A15" workbookViewId="0">
      <selection activeCell="J19" sqref="J1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19.77734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82">
        <v>7022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53</v>
      </c>
      <c r="D10" s="24"/>
      <c r="E10" s="24"/>
      <c r="F10" s="25" t="s">
        <v>34</v>
      </c>
      <c r="G10" s="26">
        <v>45306</v>
      </c>
      <c r="H10" s="27"/>
    </row>
    <row r="11" spans="2:8" ht="16.8" x14ac:dyDescent="0.4">
      <c r="B11" s="28" t="s">
        <v>2</v>
      </c>
      <c r="C11" s="103"/>
      <c r="D11" s="29"/>
      <c r="E11" s="29"/>
      <c r="F11" s="29" t="s">
        <v>33</v>
      </c>
      <c r="G11" s="30">
        <v>45309</v>
      </c>
      <c r="H11" s="31"/>
    </row>
    <row r="12" spans="2:8" x14ac:dyDescent="0.3">
      <c r="B12" s="32" t="s">
        <v>47</v>
      </c>
      <c r="D12" s="33"/>
      <c r="E12" s="33"/>
      <c r="F12" s="33" t="s">
        <v>52</v>
      </c>
      <c r="G12" s="102"/>
      <c r="H12" s="80"/>
    </row>
    <row r="13" spans="2:8" x14ac:dyDescent="0.3">
      <c r="B13" s="28" t="s">
        <v>20</v>
      </c>
      <c r="C13" s="104" t="s">
        <v>54</v>
      </c>
      <c r="D13" s="35"/>
      <c r="E13" s="29"/>
      <c r="F13" s="29" t="s">
        <v>49</v>
      </c>
      <c r="G13" s="29" t="s">
        <v>51</v>
      </c>
      <c r="H13" s="31"/>
    </row>
    <row r="14" spans="2:8" ht="16.8" x14ac:dyDescent="0.4">
      <c r="B14" s="32" t="s">
        <v>1</v>
      </c>
      <c r="C14" s="103"/>
      <c r="D14" s="33"/>
      <c r="E14" s="33"/>
      <c r="F14" s="36" t="s">
        <v>50</v>
      </c>
      <c r="G14" s="33"/>
      <c r="H14" s="34"/>
    </row>
    <row r="15" spans="2:8" ht="15" thickBot="1" x14ac:dyDescent="0.35">
      <c r="B15" s="37" t="s">
        <v>3</v>
      </c>
      <c r="C15" s="38" t="s">
        <v>48</v>
      </c>
      <c r="D15" s="38"/>
      <c r="E15" s="39"/>
      <c r="F15" s="114" t="s">
        <v>21</v>
      </c>
      <c r="G15" s="114"/>
      <c r="H15" s="115"/>
    </row>
    <row r="17" spans="2:13" ht="15" thickBot="1" x14ac:dyDescent="0.35"/>
    <row r="18" spans="2:13" x14ac:dyDescent="0.3">
      <c r="B18" s="116" t="s">
        <v>22</v>
      </c>
      <c r="C18" s="117"/>
      <c r="D18" s="117"/>
      <c r="E18" s="117"/>
      <c r="F18" s="117"/>
      <c r="G18" s="117"/>
      <c r="H18" s="118"/>
      <c r="I18" s="5"/>
      <c r="J18" s="5"/>
      <c r="K18" s="5"/>
    </row>
    <row r="19" spans="2:13" ht="15" thickBot="1" x14ac:dyDescent="0.35">
      <c r="B19" s="97" t="s">
        <v>23</v>
      </c>
      <c r="C19" s="98" t="s">
        <v>24</v>
      </c>
      <c r="D19" s="98" t="s">
        <v>25</v>
      </c>
      <c r="E19" s="98" t="s">
        <v>10</v>
      </c>
      <c r="F19" s="98" t="s">
        <v>26</v>
      </c>
      <c r="G19" s="98" t="s">
        <v>27</v>
      </c>
      <c r="H19" s="99" t="s">
        <v>5</v>
      </c>
      <c r="I19" s="4"/>
      <c r="J19" s="4"/>
    </row>
    <row r="20" spans="2:13" ht="15.6" x14ac:dyDescent="0.3">
      <c r="B20" s="110">
        <v>2</v>
      </c>
      <c r="C20" s="100" t="s">
        <v>56</v>
      </c>
      <c r="D20" s="101">
        <v>685</v>
      </c>
      <c r="E20" s="101">
        <v>330</v>
      </c>
      <c r="F20" s="100" t="s">
        <v>57</v>
      </c>
      <c r="G20" s="96">
        <v>49498</v>
      </c>
      <c r="H20" s="111">
        <f t="shared" ref="H20:H24" si="0">G20*B20</f>
        <v>98996</v>
      </c>
      <c r="I20" s="50"/>
      <c r="K20" s="50"/>
    </row>
    <row r="21" spans="2:13" ht="15.6" x14ac:dyDescent="0.3">
      <c r="B21" s="110">
        <v>2</v>
      </c>
      <c r="C21" s="100" t="s">
        <v>55</v>
      </c>
      <c r="D21" s="101">
        <v>685</v>
      </c>
      <c r="E21" s="101">
        <v>423</v>
      </c>
      <c r="F21" s="100" t="s">
        <v>57</v>
      </c>
      <c r="G21" s="96">
        <v>61208</v>
      </c>
      <c r="H21" s="111">
        <f t="shared" si="0"/>
        <v>122416</v>
      </c>
      <c r="I21" s="50"/>
      <c r="K21" s="50"/>
    </row>
    <row r="22" spans="2:13" ht="15.6" x14ac:dyDescent="0.3">
      <c r="B22" s="110">
        <v>1</v>
      </c>
      <c r="C22" s="100" t="s">
        <v>55</v>
      </c>
      <c r="D22" s="101">
        <v>685</v>
      </c>
      <c r="E22" s="101">
        <v>348</v>
      </c>
      <c r="F22" s="100" t="s">
        <v>57</v>
      </c>
      <c r="G22" s="96">
        <v>29421</v>
      </c>
      <c r="H22" s="111">
        <f t="shared" si="0"/>
        <v>29421</v>
      </c>
      <c r="I22" s="50"/>
      <c r="K22" s="50"/>
    </row>
    <row r="23" spans="2:13" ht="15.6" x14ac:dyDescent="0.3">
      <c r="B23" s="110">
        <v>2</v>
      </c>
      <c r="C23" s="100" t="s">
        <v>56</v>
      </c>
      <c r="D23" s="101">
        <v>685</v>
      </c>
      <c r="E23" s="101">
        <v>330</v>
      </c>
      <c r="F23" s="100" t="s">
        <v>57</v>
      </c>
      <c r="G23" s="96">
        <v>46897</v>
      </c>
      <c r="H23" s="111">
        <f t="shared" si="0"/>
        <v>93794</v>
      </c>
      <c r="I23" s="50"/>
      <c r="K23" s="50"/>
    </row>
    <row r="24" spans="2:13" ht="15.6" x14ac:dyDescent="0.3">
      <c r="B24" s="110">
        <v>1</v>
      </c>
      <c r="C24" s="100" t="s">
        <v>55</v>
      </c>
      <c r="D24" s="101">
        <v>685</v>
      </c>
      <c r="E24" s="101">
        <v>398</v>
      </c>
      <c r="F24" s="100" t="s">
        <v>57</v>
      </c>
      <c r="G24" s="96">
        <v>63356</v>
      </c>
      <c r="H24" s="111">
        <f t="shared" si="0"/>
        <v>63356</v>
      </c>
      <c r="I24" s="50"/>
      <c r="K24" s="50"/>
    </row>
    <row r="25" spans="2:13" ht="15.6" x14ac:dyDescent="0.3">
      <c r="B25" s="125"/>
      <c r="C25" s="125"/>
      <c r="D25" s="126"/>
      <c r="E25" s="126"/>
      <c r="F25" s="125"/>
      <c r="G25" s="108"/>
      <c r="H25" s="108"/>
      <c r="I25" s="50"/>
      <c r="K25" s="50"/>
    </row>
    <row r="26" spans="2:13" ht="15.6" x14ac:dyDescent="0.3">
      <c r="B26" s="125"/>
      <c r="C26" s="125"/>
      <c r="D26" s="126"/>
      <c r="E26" s="126"/>
      <c r="F26" s="125"/>
      <c r="G26" s="108"/>
      <c r="H26" s="108"/>
      <c r="I26" s="50"/>
      <c r="K26" s="50"/>
    </row>
    <row r="27" spans="2:13" ht="15.6" x14ac:dyDescent="0.3">
      <c r="B27" s="125"/>
      <c r="C27" s="125"/>
      <c r="D27" s="126"/>
      <c r="E27" s="126"/>
      <c r="F27" s="125"/>
      <c r="G27" s="108"/>
      <c r="H27" s="108"/>
      <c r="I27" s="50"/>
      <c r="K27" s="50"/>
    </row>
    <row r="28" spans="2:13" ht="15.6" x14ac:dyDescent="0.3">
      <c r="B28" s="105"/>
      <c r="C28" s="106"/>
      <c r="D28" s="107"/>
      <c r="E28" s="107"/>
      <c r="F28" s="9"/>
      <c r="G28" s="108"/>
      <c r="H28" s="109"/>
      <c r="I28" s="50"/>
      <c r="K28" s="50"/>
    </row>
    <row r="29" spans="2:13" ht="15" thickBot="1" x14ac:dyDescent="0.35">
      <c r="B29" s="81"/>
      <c r="C29" s="83"/>
      <c r="D29" s="50"/>
      <c r="E29" s="50"/>
      <c r="F29" s="50"/>
      <c r="G29" s="84"/>
      <c r="H29" s="85"/>
      <c r="K29" s="95"/>
      <c r="L29" s="95"/>
    </row>
    <row r="30" spans="2:13" ht="16.95" customHeight="1" x14ac:dyDescent="0.3">
      <c r="B30" s="9"/>
      <c r="C30" s="50"/>
      <c r="D30" s="2"/>
      <c r="E30" s="2"/>
      <c r="F30" s="9"/>
      <c r="G30" s="87" t="s">
        <v>6</v>
      </c>
      <c r="H30" s="88">
        <f>SUM(H20:H29)</f>
        <v>407983</v>
      </c>
      <c r="L30" s="95"/>
      <c r="M30" s="95"/>
    </row>
    <row r="31" spans="2:13" ht="18" customHeight="1" x14ac:dyDescent="0.3">
      <c r="G31" s="89" t="s">
        <v>7</v>
      </c>
      <c r="H31" s="90">
        <f>H30*19%</f>
        <v>77516.77</v>
      </c>
    </row>
    <row r="32" spans="2:13" ht="16.2" thickBot="1" x14ac:dyDescent="0.35">
      <c r="G32" s="91" t="s">
        <v>5</v>
      </c>
      <c r="H32" s="92">
        <f>H30+H31</f>
        <v>485499.77</v>
      </c>
    </row>
    <row r="33" spans="2:6" x14ac:dyDescent="0.3">
      <c r="C33" s="50"/>
    </row>
    <row r="34" spans="2:6" x14ac:dyDescent="0.3">
      <c r="B34" s="45" t="s">
        <v>31</v>
      </c>
      <c r="C34" s="50"/>
      <c r="D34" s="40"/>
      <c r="E34" s="40"/>
      <c r="F34" s="41"/>
    </row>
    <row r="35" spans="2:6" x14ac:dyDescent="0.3">
      <c r="B35" s="45" t="s">
        <v>32</v>
      </c>
      <c r="C35" s="50"/>
      <c r="D35" s="40"/>
      <c r="E35" s="40"/>
      <c r="F35" s="41"/>
    </row>
    <row r="36" spans="2:6" x14ac:dyDescent="0.3">
      <c r="B36" s="46" t="s">
        <v>28</v>
      </c>
      <c r="C36" s="50"/>
      <c r="E36" s="47" t="s">
        <v>29</v>
      </c>
    </row>
  </sheetData>
  <sortState xmlns:xlrd2="http://schemas.microsoft.com/office/spreadsheetml/2017/richdata2" ref="B50">
    <sortCondition sortBy="fontColor" ref="B50" dxfId="2"/>
  </sortState>
  <mergeCells count="2">
    <mergeCell ref="F15:H15"/>
    <mergeCell ref="B18:H18"/>
  </mergeCells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73"/>
  <sheetViews>
    <sheetView workbookViewId="0">
      <selection activeCell="A2" sqref="A2:F30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1.554687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2" t="s">
        <v>30</v>
      </c>
      <c r="E4" s="53">
        <f>'5770'!G8</f>
        <v>7022</v>
      </c>
      <c r="G4" s="2"/>
    </row>
    <row r="5" spans="1:17" ht="15.6" x14ac:dyDescent="0.3">
      <c r="C5" s="54" t="s">
        <v>35</v>
      </c>
      <c r="D5" s="55" t="str">
        <f>'5770'!C10</f>
        <v>ANTONIETA</v>
      </c>
      <c r="E5" s="33"/>
      <c r="F5" s="33"/>
      <c r="G5" s="2"/>
      <c r="J5" s="5"/>
      <c r="K5" s="5"/>
    </row>
    <row r="6" spans="1:17" ht="15.6" x14ac:dyDescent="0.3">
      <c r="C6" s="56"/>
      <c r="D6" s="57"/>
      <c r="G6" s="2"/>
      <c r="I6" s="5"/>
      <c r="J6" s="5"/>
      <c r="K6" s="5"/>
    </row>
    <row r="7" spans="1:17" ht="15.6" x14ac:dyDescent="0.3">
      <c r="C7" s="58" t="str">
        <f>'[1]4637'!F11</f>
        <v>FECHA ENTREGA :</v>
      </c>
      <c r="E7" s="59">
        <f>'5770'!G11</f>
        <v>45309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19" t="s">
        <v>36</v>
      </c>
      <c r="B10" s="119"/>
      <c r="C10" s="119"/>
      <c r="D10" s="119"/>
      <c r="E10" s="119"/>
      <c r="F10" s="119"/>
      <c r="G10" s="2"/>
      <c r="I10" s="5"/>
      <c r="J10" s="5"/>
      <c r="K10" s="5"/>
    </row>
    <row r="11" spans="1:17" ht="15.6" x14ac:dyDescent="0.3">
      <c r="C11" s="60"/>
      <c r="G11" s="2"/>
      <c r="I11" s="5"/>
      <c r="J11" s="5"/>
      <c r="K11" s="5"/>
    </row>
    <row r="12" spans="1:17" ht="15.6" x14ac:dyDescent="0.3">
      <c r="A12" s="2"/>
      <c r="B12" s="2"/>
      <c r="C12" s="2"/>
      <c r="D12" s="61" t="s">
        <v>9</v>
      </c>
      <c r="E12" s="61" t="s">
        <v>10</v>
      </c>
      <c r="F12" s="2"/>
      <c r="G12" s="2"/>
    </row>
    <row r="13" spans="1:17" ht="15.6" x14ac:dyDescent="0.3">
      <c r="A13" s="61" t="s">
        <v>11</v>
      </c>
      <c r="B13" s="93" t="s">
        <v>12</v>
      </c>
      <c r="C13" s="93" t="s">
        <v>13</v>
      </c>
      <c r="D13" s="62">
        <v>50</v>
      </c>
      <c r="E13" s="62">
        <v>-2</v>
      </c>
      <c r="F13" s="94" t="s">
        <v>37</v>
      </c>
      <c r="G13" s="2"/>
      <c r="J13" s="8" t="s">
        <v>9</v>
      </c>
      <c r="K13" s="8" t="s">
        <v>10</v>
      </c>
    </row>
    <row r="14" spans="1:17" ht="15.6" x14ac:dyDescent="0.3">
      <c r="A14" s="61" t="s">
        <v>58</v>
      </c>
      <c r="B14" s="68">
        <f>I14</f>
        <v>2</v>
      </c>
      <c r="C14" s="68"/>
      <c r="D14" s="68">
        <f>J14+D$13</f>
        <v>735</v>
      </c>
      <c r="E14" s="86">
        <v>330</v>
      </c>
      <c r="F14" s="68" t="str">
        <f>C35</f>
        <v>PR6 1 LADO</v>
      </c>
      <c r="G14" s="2"/>
      <c r="I14" s="6">
        <f>I25</f>
        <v>2</v>
      </c>
      <c r="J14" s="7">
        <f>J25</f>
        <v>685</v>
      </c>
      <c r="K14" s="7">
        <f>K25</f>
        <v>330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2.1600000000000001E-2</v>
      </c>
    </row>
    <row r="15" spans="1:17" ht="15.6" x14ac:dyDescent="0.3">
      <c r="A15" s="61"/>
      <c r="B15" s="68">
        <f t="shared" ref="B15:B18" si="0">I15</f>
        <v>2</v>
      </c>
      <c r="C15" s="68"/>
      <c r="D15" s="68">
        <f t="shared" ref="D15:D18" si="1">J15+D$13</f>
        <v>735</v>
      </c>
      <c r="E15" s="86">
        <f t="shared" ref="E15:E18" si="2">K15+E$13</f>
        <v>421</v>
      </c>
      <c r="F15" s="68" t="str">
        <f>C36</f>
        <v>PR6</v>
      </c>
      <c r="G15" s="2"/>
      <c r="I15" s="6">
        <f t="shared" ref="I15:K15" si="3">I26</f>
        <v>2</v>
      </c>
      <c r="J15" s="7">
        <f t="shared" si="3"/>
        <v>685</v>
      </c>
      <c r="K15" s="7">
        <f t="shared" si="3"/>
        <v>423</v>
      </c>
      <c r="M15">
        <v>1.65</v>
      </c>
      <c r="N15">
        <v>0.4</v>
      </c>
      <c r="O15">
        <v>0.02</v>
      </c>
      <c r="P15">
        <f t="shared" ref="P15:P18" si="4">M15*N15*O15</f>
        <v>1.3200000000000002E-2</v>
      </c>
      <c r="Q15">
        <f t="shared" ref="Q15:Q18" si="5">P15*I15</f>
        <v>2.6400000000000003E-2</v>
      </c>
    </row>
    <row r="16" spans="1:17" ht="15.6" x14ac:dyDescent="0.3">
      <c r="A16" s="61"/>
      <c r="B16" s="68">
        <f t="shared" si="0"/>
        <v>1</v>
      </c>
      <c r="C16" s="68"/>
      <c r="D16" s="68">
        <f t="shared" si="1"/>
        <v>735</v>
      </c>
      <c r="E16" s="86">
        <f t="shared" si="2"/>
        <v>346</v>
      </c>
      <c r="F16" s="68" t="str">
        <f>C37</f>
        <v>PR6</v>
      </c>
      <c r="G16" s="2"/>
      <c r="I16" s="6">
        <f t="shared" ref="I16:K16" si="6">I27</f>
        <v>1</v>
      </c>
      <c r="J16" s="7">
        <f t="shared" si="6"/>
        <v>685</v>
      </c>
      <c r="K16" s="7">
        <f t="shared" si="6"/>
        <v>348</v>
      </c>
      <c r="M16">
        <v>0.7</v>
      </c>
      <c r="N16">
        <v>0.4</v>
      </c>
      <c r="O16">
        <v>0.02</v>
      </c>
      <c r="P16">
        <f t="shared" si="4"/>
        <v>5.5999999999999999E-3</v>
      </c>
      <c r="Q16">
        <f t="shared" si="5"/>
        <v>5.5999999999999999E-3</v>
      </c>
    </row>
    <row r="17" spans="1:17" ht="15.6" x14ac:dyDescent="0.3">
      <c r="A17" s="61"/>
      <c r="B17" s="68">
        <f t="shared" si="0"/>
        <v>2</v>
      </c>
      <c r="C17" s="68"/>
      <c r="D17" s="68">
        <f t="shared" si="1"/>
        <v>735</v>
      </c>
      <c r="E17" s="86">
        <v>330</v>
      </c>
      <c r="F17" s="68" t="str">
        <f>C38</f>
        <v>PR6 1 LADO</v>
      </c>
      <c r="G17" s="2"/>
      <c r="I17" s="6">
        <f t="shared" ref="I17:K17" si="7">I28</f>
        <v>2</v>
      </c>
      <c r="J17" s="7">
        <f t="shared" si="7"/>
        <v>685</v>
      </c>
      <c r="K17" s="7">
        <f t="shared" si="7"/>
        <v>330</v>
      </c>
      <c r="M17">
        <v>1.75</v>
      </c>
      <c r="N17">
        <v>0.28000000000000003</v>
      </c>
      <c r="O17">
        <v>0.02</v>
      </c>
      <c r="P17">
        <f t="shared" si="4"/>
        <v>9.8000000000000014E-3</v>
      </c>
      <c r="Q17">
        <f t="shared" si="5"/>
        <v>1.9600000000000003E-2</v>
      </c>
    </row>
    <row r="18" spans="1:17" ht="15.6" x14ac:dyDescent="0.3">
      <c r="A18" s="61"/>
      <c r="B18" s="68">
        <f t="shared" si="0"/>
        <v>1</v>
      </c>
      <c r="C18" s="68"/>
      <c r="D18" s="68">
        <f t="shared" si="1"/>
        <v>735</v>
      </c>
      <c r="E18" s="86">
        <f t="shared" si="2"/>
        <v>396</v>
      </c>
      <c r="F18" s="68" t="str">
        <f>C39</f>
        <v>PR6</v>
      </c>
      <c r="G18" s="2"/>
      <c r="I18" s="6">
        <f t="shared" ref="I18:K18" si="8">I29</f>
        <v>1</v>
      </c>
      <c r="J18" s="7">
        <f t="shared" si="8"/>
        <v>685</v>
      </c>
      <c r="K18" s="7">
        <f t="shared" si="8"/>
        <v>398</v>
      </c>
      <c r="M18">
        <v>3.66</v>
      </c>
      <c r="N18">
        <v>0.2</v>
      </c>
      <c r="O18">
        <v>0.02</v>
      </c>
      <c r="P18">
        <f t="shared" si="4"/>
        <v>1.4640000000000002E-2</v>
      </c>
      <c r="Q18">
        <f t="shared" si="5"/>
        <v>1.4640000000000002E-2</v>
      </c>
    </row>
    <row r="19" spans="1:17" ht="15.6" x14ac:dyDescent="0.3">
      <c r="A19" s="61"/>
      <c r="B19" s="9"/>
      <c r="C19" s="9"/>
      <c r="D19" s="9"/>
      <c r="E19" s="113"/>
      <c r="F19" s="9"/>
      <c r="G19" s="2"/>
      <c r="I19" s="112"/>
      <c r="J19" s="5"/>
      <c r="K19" s="5"/>
      <c r="Q19">
        <f>SUM(Q14:Q18)</f>
        <v>8.7840000000000001E-2</v>
      </c>
    </row>
    <row r="20" spans="1:17" ht="15.6" x14ac:dyDescent="0.3">
      <c r="G20" s="51"/>
    </row>
    <row r="21" spans="1:17" ht="15.6" x14ac:dyDescent="0.3">
      <c r="A21" s="119" t="s">
        <v>16</v>
      </c>
      <c r="B21" s="119"/>
      <c r="C21" s="119"/>
      <c r="D21" s="119"/>
      <c r="E21" s="119"/>
      <c r="F21" s="119"/>
      <c r="G21" s="51"/>
      <c r="I21" s="5"/>
      <c r="J21" s="5"/>
      <c r="K21" s="5"/>
    </row>
    <row r="22" spans="1:17" ht="15.6" x14ac:dyDescent="0.3">
      <c r="A22" s="2"/>
      <c r="B22" s="2"/>
      <c r="C22" s="60"/>
      <c r="D22" s="2"/>
      <c r="E22" s="2"/>
      <c r="F22" s="2"/>
      <c r="G22" s="51"/>
      <c r="I22" s="5"/>
      <c r="J22" s="5"/>
      <c r="K22" s="5"/>
    </row>
    <row r="23" spans="1:17" ht="15.6" x14ac:dyDescent="0.3">
      <c r="A23" s="2"/>
      <c r="B23" s="2"/>
      <c r="C23" s="2"/>
      <c r="D23" s="61" t="s">
        <v>9</v>
      </c>
      <c r="E23" s="61" t="s">
        <v>10</v>
      </c>
      <c r="F23" s="2"/>
      <c r="G23" s="51"/>
    </row>
    <row r="24" spans="1:17" ht="15.6" x14ac:dyDescent="0.3">
      <c r="A24" s="61" t="s">
        <v>11</v>
      </c>
      <c r="B24" s="93" t="s">
        <v>12</v>
      </c>
      <c r="C24" s="93" t="s">
        <v>13</v>
      </c>
      <c r="D24" s="62">
        <v>40</v>
      </c>
      <c r="E24" s="62">
        <v>90</v>
      </c>
      <c r="F24" s="94" t="s">
        <v>37</v>
      </c>
      <c r="G24" s="51"/>
      <c r="J24" s="8" t="s">
        <v>9</v>
      </c>
      <c r="K24" s="8" t="s">
        <v>10</v>
      </c>
    </row>
    <row r="25" spans="1:17" ht="15.6" x14ac:dyDescent="0.3">
      <c r="A25" s="61" t="s">
        <v>58</v>
      </c>
      <c r="B25" s="68">
        <f>B35</f>
        <v>2</v>
      </c>
      <c r="C25" s="68"/>
      <c r="D25" s="68">
        <f t="shared" ref="D25" si="9">J25+D$24</f>
        <v>725</v>
      </c>
      <c r="E25" s="68">
        <f>K25+60</f>
        <v>390</v>
      </c>
      <c r="F25" s="68" t="str">
        <f>C35</f>
        <v>PR6 1 LADO</v>
      </c>
      <c r="G25" s="51"/>
      <c r="I25" s="6">
        <f>B35</f>
        <v>2</v>
      </c>
      <c r="J25" s="7">
        <f t="shared" ref="J25" si="10">D35</f>
        <v>685</v>
      </c>
      <c r="K25" s="7">
        <f t="shared" ref="K25" si="11">E35</f>
        <v>330</v>
      </c>
    </row>
    <row r="26" spans="1:17" ht="15.6" x14ac:dyDescent="0.3">
      <c r="A26" s="61"/>
      <c r="B26" s="68">
        <f>B36</f>
        <v>2</v>
      </c>
      <c r="C26" s="68"/>
      <c r="D26" s="68">
        <f>J26+D$24</f>
        <v>725</v>
      </c>
      <c r="E26" s="68">
        <f>K26+E$24</f>
        <v>513</v>
      </c>
      <c r="F26" s="68" t="str">
        <f>C36</f>
        <v>PR6</v>
      </c>
      <c r="G26" s="51"/>
      <c r="I26" s="6">
        <f>B36</f>
        <v>2</v>
      </c>
      <c r="J26" s="7">
        <f t="shared" ref="J26:K29" si="12">D36</f>
        <v>685</v>
      </c>
      <c r="K26" s="7">
        <f t="shared" si="12"/>
        <v>423</v>
      </c>
    </row>
    <row r="27" spans="1:17" ht="15.6" x14ac:dyDescent="0.3">
      <c r="A27" s="61"/>
      <c r="B27" s="68">
        <f>B37</f>
        <v>1</v>
      </c>
      <c r="C27" s="68"/>
      <c r="D27" s="68">
        <f>J27+D$24</f>
        <v>725</v>
      </c>
      <c r="E27" s="68">
        <f t="shared" ref="E27:E29" si="13">K27+E$24</f>
        <v>438</v>
      </c>
      <c r="F27" s="68" t="str">
        <f>C37</f>
        <v>PR6</v>
      </c>
      <c r="G27" s="51"/>
      <c r="I27" s="6">
        <f>B37</f>
        <v>1</v>
      </c>
      <c r="J27" s="7">
        <f t="shared" si="12"/>
        <v>685</v>
      </c>
      <c r="K27" s="7">
        <f t="shared" si="12"/>
        <v>348</v>
      </c>
    </row>
    <row r="28" spans="1:17" ht="15.6" x14ac:dyDescent="0.3">
      <c r="A28" s="61"/>
      <c r="B28" s="68">
        <f>B38</f>
        <v>2</v>
      </c>
      <c r="C28" s="68"/>
      <c r="D28" s="68">
        <f>J28+D$24</f>
        <v>725</v>
      </c>
      <c r="E28" s="68">
        <f>K28+60</f>
        <v>390</v>
      </c>
      <c r="F28" s="68" t="str">
        <f>C38</f>
        <v>PR6 1 LADO</v>
      </c>
      <c r="G28" s="51"/>
      <c r="I28" s="6">
        <f>B38</f>
        <v>2</v>
      </c>
      <c r="J28" s="7">
        <f t="shared" si="12"/>
        <v>685</v>
      </c>
      <c r="K28" s="7">
        <f t="shared" si="12"/>
        <v>330</v>
      </c>
    </row>
    <row r="29" spans="1:17" ht="15.6" x14ac:dyDescent="0.3">
      <c r="A29" s="61"/>
      <c r="B29" s="68">
        <f>B39</f>
        <v>1</v>
      </c>
      <c r="C29" s="68"/>
      <c r="D29" s="68">
        <f>J29+D$24</f>
        <v>725</v>
      </c>
      <c r="E29" s="68">
        <f t="shared" si="13"/>
        <v>488</v>
      </c>
      <c r="F29" s="68" t="str">
        <f>C39</f>
        <v>PR6</v>
      </c>
      <c r="G29" s="51"/>
      <c r="I29" s="6">
        <f>B39</f>
        <v>1</v>
      </c>
      <c r="J29" s="7">
        <f t="shared" si="12"/>
        <v>685</v>
      </c>
      <c r="K29" s="7">
        <f t="shared" si="12"/>
        <v>398</v>
      </c>
    </row>
    <row r="30" spans="1:17" ht="15.6" x14ac:dyDescent="0.3">
      <c r="A30" s="61"/>
      <c r="B30" s="9"/>
      <c r="C30" s="9"/>
      <c r="D30" s="9"/>
      <c r="E30" s="9"/>
      <c r="F30" s="9"/>
      <c r="G30" s="51"/>
      <c r="I30" s="112"/>
      <c r="J30" s="5"/>
      <c r="K30" s="5"/>
    </row>
    <row r="31" spans="1:17" ht="16.2" thickBot="1" x14ac:dyDescent="0.35">
      <c r="A31" s="61"/>
      <c r="B31" s="9"/>
      <c r="C31" s="9"/>
      <c r="D31" s="9"/>
      <c r="E31" s="9"/>
      <c r="F31" s="63"/>
      <c r="G31" s="49"/>
      <c r="I31" s="5"/>
      <c r="J31" s="5"/>
      <c r="K31" s="5"/>
    </row>
    <row r="32" spans="1:17" ht="16.2" thickBot="1" x14ac:dyDescent="0.35">
      <c r="A32" s="61"/>
      <c r="B32" s="64" t="s">
        <v>38</v>
      </c>
      <c r="C32" s="65"/>
      <c r="D32" s="65"/>
      <c r="E32" s="65"/>
      <c r="F32" s="65"/>
      <c r="G32" s="2"/>
    </row>
    <row r="33" spans="1:7" ht="20.25" customHeight="1" x14ac:dyDescent="0.3">
      <c r="G33" s="2"/>
    </row>
    <row r="34" spans="1:7" ht="15.6" x14ac:dyDescent="0.3">
      <c r="A34" s="61" t="s">
        <v>11</v>
      </c>
      <c r="B34" s="66" t="s">
        <v>12</v>
      </c>
      <c r="C34" s="66" t="s">
        <v>37</v>
      </c>
      <c r="D34" s="66" t="s">
        <v>9</v>
      </c>
      <c r="E34" s="66" t="s">
        <v>10</v>
      </c>
      <c r="F34" s="66" t="s">
        <v>26</v>
      </c>
      <c r="G34" s="2"/>
    </row>
    <row r="35" spans="1:7" ht="15.6" x14ac:dyDescent="0.3">
      <c r="A35" s="61" t="s">
        <v>58</v>
      </c>
      <c r="B35" s="68">
        <f>'5770'!B20</f>
        <v>2</v>
      </c>
      <c r="C35" s="68" t="str">
        <f>'5770'!C20</f>
        <v>PR6 1 LADO</v>
      </c>
      <c r="D35" s="68">
        <f>'5770'!D20</f>
        <v>685</v>
      </c>
      <c r="E35" s="68">
        <f>'5770'!E20</f>
        <v>330</v>
      </c>
      <c r="F35" s="68" t="str">
        <f>'5770'!F20</f>
        <v>HAYA NATURAL 1803 MT</v>
      </c>
      <c r="G35" s="2"/>
    </row>
    <row r="36" spans="1:7" ht="15.6" x14ac:dyDescent="0.3">
      <c r="A36" s="67"/>
      <c r="B36" s="68">
        <f>'5770'!B21</f>
        <v>2</v>
      </c>
      <c r="C36" s="68" t="str">
        <f>'5770'!C21</f>
        <v>PR6</v>
      </c>
      <c r="D36" s="68">
        <f>'5770'!D21</f>
        <v>685</v>
      </c>
      <c r="E36" s="68">
        <f>'5770'!E21</f>
        <v>423</v>
      </c>
      <c r="F36" s="68" t="str">
        <f>'5770'!F21</f>
        <v>HAYA NATURAL 1803 MT</v>
      </c>
      <c r="G36" s="2"/>
    </row>
    <row r="37" spans="1:7" ht="15.6" x14ac:dyDescent="0.3">
      <c r="A37" s="67"/>
      <c r="B37" s="68">
        <f>'5770'!B22</f>
        <v>1</v>
      </c>
      <c r="C37" s="68" t="str">
        <f>'5770'!C22</f>
        <v>PR6</v>
      </c>
      <c r="D37" s="68">
        <f>'5770'!D22</f>
        <v>685</v>
      </c>
      <c r="E37" s="68">
        <f>'5770'!E22</f>
        <v>348</v>
      </c>
      <c r="F37" s="68" t="str">
        <f>'5770'!F22</f>
        <v>HAYA NATURAL 1803 MT</v>
      </c>
      <c r="G37" s="2"/>
    </row>
    <row r="38" spans="1:7" ht="15.6" x14ac:dyDescent="0.3">
      <c r="A38" s="67"/>
      <c r="B38" s="68">
        <f>'5770'!B23</f>
        <v>2</v>
      </c>
      <c r="C38" s="68" t="str">
        <f>'5770'!C23</f>
        <v>PR6 1 LADO</v>
      </c>
      <c r="D38" s="68">
        <f>'5770'!D23</f>
        <v>685</v>
      </c>
      <c r="E38" s="68">
        <f>'5770'!E23</f>
        <v>330</v>
      </c>
      <c r="F38" s="68" t="str">
        <f>'5770'!F23</f>
        <v>HAYA NATURAL 1803 MT</v>
      </c>
      <c r="G38" s="2"/>
    </row>
    <row r="39" spans="1:7" ht="15.6" x14ac:dyDescent="0.3">
      <c r="A39" s="67"/>
      <c r="B39" s="68">
        <f>'5770'!B24</f>
        <v>1</v>
      </c>
      <c r="C39" s="68" t="str">
        <f>'5770'!C24</f>
        <v>PR6</v>
      </c>
      <c r="D39" s="68">
        <f>'5770'!D24</f>
        <v>685</v>
      </c>
      <c r="E39" s="68">
        <f>'5770'!E24</f>
        <v>398</v>
      </c>
      <c r="F39" s="68" t="str">
        <f>'5770'!F24</f>
        <v>HAYA NATURAL 1803 MT</v>
      </c>
      <c r="G39" s="2"/>
    </row>
    <row r="40" spans="1:7" ht="15.6" x14ac:dyDescent="0.3">
      <c r="A40" s="67"/>
      <c r="B40" s="9"/>
      <c r="C40" s="9"/>
      <c r="D40" s="9"/>
      <c r="E40" s="9"/>
      <c r="F40" s="9"/>
      <c r="G40" s="2"/>
    </row>
    <row r="41" spans="1:7" ht="15.6" x14ac:dyDescent="0.3">
      <c r="B41" s="9"/>
      <c r="C41" s="20"/>
      <c r="D41" s="9"/>
      <c r="E41" s="9"/>
      <c r="F41" s="63"/>
      <c r="G41" s="2"/>
    </row>
    <row r="42" spans="1:7" ht="15.6" x14ac:dyDescent="0.3">
      <c r="B42" s="9"/>
      <c r="C42" s="20"/>
      <c r="D42" s="9"/>
      <c r="E42" s="9"/>
      <c r="F42" s="63"/>
    </row>
    <row r="43" spans="1:7" ht="15.6" x14ac:dyDescent="0.3">
      <c r="B43" s="9"/>
      <c r="C43" s="20"/>
      <c r="D43" s="9"/>
      <c r="E43" s="9"/>
      <c r="F43" s="63"/>
    </row>
    <row r="44" spans="1:7" ht="15.6" x14ac:dyDescent="0.3">
      <c r="B44" s="9"/>
      <c r="C44" s="20"/>
      <c r="D44" s="9"/>
      <c r="E44" s="9"/>
      <c r="F44" s="63"/>
    </row>
    <row r="45" spans="1:7" ht="15.6" x14ac:dyDescent="0.3">
      <c r="B45" s="9"/>
      <c r="C45" s="20"/>
      <c r="D45" s="9"/>
      <c r="E45" s="9"/>
      <c r="F45" s="63"/>
    </row>
    <row r="46" spans="1:7" ht="15.6" x14ac:dyDescent="0.3">
      <c r="B46" s="9"/>
      <c r="C46" s="20"/>
      <c r="D46" s="9"/>
      <c r="E46" s="9"/>
      <c r="F46" s="63"/>
    </row>
    <row r="47" spans="1:7" ht="15.6" x14ac:dyDescent="0.3">
      <c r="B47" s="9"/>
      <c r="C47" s="20"/>
      <c r="D47" s="9"/>
      <c r="E47" s="9"/>
      <c r="F47" s="63"/>
    </row>
    <row r="49" spans="1:6" ht="15.6" x14ac:dyDescent="0.3">
      <c r="C49" s="52" t="s">
        <v>30</v>
      </c>
      <c r="E49" s="53">
        <f>'5770'!G8</f>
        <v>7022</v>
      </c>
    </row>
    <row r="50" spans="1:6" ht="20.399999999999999" customHeight="1" x14ac:dyDescent="0.3">
      <c r="C50" s="54" t="s">
        <v>35</v>
      </c>
      <c r="D50" s="55" t="str">
        <f>'5770'!C10</f>
        <v>ANTONIETA</v>
      </c>
      <c r="E50" s="33"/>
      <c r="F50" s="33"/>
    </row>
    <row r="51" spans="1:6" x14ac:dyDescent="0.3">
      <c r="C51" s="56"/>
      <c r="D51" s="57"/>
    </row>
    <row r="52" spans="1:6" ht="15.6" x14ac:dyDescent="0.3">
      <c r="C52" s="58" t="str">
        <f>'[1]4637'!F11</f>
        <v>FECHA ENTREGA :</v>
      </c>
      <c r="E52" s="59">
        <f>'5770'!G11</f>
        <v>45309</v>
      </c>
      <c r="F52" s="2"/>
    </row>
    <row r="53" spans="1:6" x14ac:dyDescent="0.3">
      <c r="E53" t="str">
        <f>'5770'!B15</f>
        <v>CIUDAD:</v>
      </c>
      <c r="F53" t="str">
        <f>'5770'!C15</f>
        <v xml:space="preserve">SANTIAGO </v>
      </c>
    </row>
    <row r="55" spans="1:6" x14ac:dyDescent="0.3">
      <c r="A55" s="120" t="s">
        <v>39</v>
      </c>
      <c r="B55" s="120"/>
      <c r="C55" s="120"/>
      <c r="D55" s="120"/>
      <c r="E55" s="120"/>
      <c r="F55" s="120"/>
    </row>
    <row r="57" spans="1:6" x14ac:dyDescent="0.3">
      <c r="B57" s="121" t="s">
        <v>4</v>
      </c>
      <c r="C57" s="122"/>
      <c r="D57" s="123"/>
      <c r="E57" s="123"/>
      <c r="F57" s="124"/>
    </row>
    <row r="58" spans="1:6" x14ac:dyDescent="0.3">
      <c r="A58" s="1"/>
      <c r="B58" s="69" t="s">
        <v>12</v>
      </c>
      <c r="C58" s="70" t="s">
        <v>14</v>
      </c>
      <c r="D58" s="71" t="s">
        <v>9</v>
      </c>
      <c r="E58" s="71" t="s">
        <v>10</v>
      </c>
      <c r="F58" s="70" t="s">
        <v>26</v>
      </c>
    </row>
    <row r="59" spans="1:6" x14ac:dyDescent="0.3">
      <c r="A59" s="61" t="s">
        <v>58</v>
      </c>
      <c r="B59" s="72">
        <f>'5770'!B20</f>
        <v>2</v>
      </c>
      <c r="C59" s="72" t="str">
        <f>'5770'!C20</f>
        <v>PR6 1 LADO</v>
      </c>
      <c r="D59" s="73">
        <f>'5770'!D20</f>
        <v>685</v>
      </c>
      <c r="E59" s="73">
        <f>'5770'!E20</f>
        <v>330</v>
      </c>
      <c r="F59" s="72" t="str">
        <f>'5770'!F20</f>
        <v>HAYA NATURAL 1803 MT</v>
      </c>
    </row>
    <row r="60" spans="1:6" x14ac:dyDescent="0.3">
      <c r="A60" s="61"/>
      <c r="B60" s="72">
        <f>'5770'!B21</f>
        <v>2</v>
      </c>
      <c r="C60" s="72" t="str">
        <f>'5770'!C21</f>
        <v>PR6</v>
      </c>
      <c r="D60" s="73">
        <f>'5770'!D21</f>
        <v>685</v>
      </c>
      <c r="E60" s="73">
        <f>'5770'!E21</f>
        <v>423</v>
      </c>
      <c r="F60" s="72" t="str">
        <f>'5770'!F21</f>
        <v>HAYA NATURAL 1803 MT</v>
      </c>
    </row>
    <row r="61" spans="1:6" x14ac:dyDescent="0.3">
      <c r="A61" s="61"/>
      <c r="B61" s="72">
        <f>'5770'!B22</f>
        <v>1</v>
      </c>
      <c r="C61" s="72" t="str">
        <f>'5770'!C22</f>
        <v>PR6</v>
      </c>
      <c r="D61" s="73">
        <f>'5770'!D22</f>
        <v>685</v>
      </c>
      <c r="E61" s="73">
        <f>'5770'!E22</f>
        <v>348</v>
      </c>
      <c r="F61" s="72" t="str">
        <f>'5770'!F22</f>
        <v>HAYA NATURAL 1803 MT</v>
      </c>
    </row>
    <row r="62" spans="1:6" x14ac:dyDescent="0.3">
      <c r="A62" s="61"/>
      <c r="B62" s="72">
        <f>'5770'!B23</f>
        <v>2</v>
      </c>
      <c r="C62" s="72" t="str">
        <f>'5770'!C23</f>
        <v>PR6 1 LADO</v>
      </c>
      <c r="D62" s="73">
        <f>'5770'!D23</f>
        <v>685</v>
      </c>
      <c r="E62" s="73">
        <f>'5770'!E23</f>
        <v>330</v>
      </c>
      <c r="F62" s="72" t="str">
        <f>'5770'!F23</f>
        <v>HAYA NATURAL 1803 MT</v>
      </c>
    </row>
    <row r="63" spans="1:6" x14ac:dyDescent="0.3">
      <c r="A63" s="61"/>
      <c r="B63" s="72">
        <f>'5770'!B24</f>
        <v>1</v>
      </c>
      <c r="C63" s="72" t="str">
        <f>'5770'!C24</f>
        <v>PR6</v>
      </c>
      <c r="D63" s="73">
        <f>'5770'!D24</f>
        <v>685</v>
      </c>
      <c r="E63" s="73">
        <f>'5770'!E24</f>
        <v>398</v>
      </c>
      <c r="F63" s="72" t="str">
        <f>'5770'!F24</f>
        <v>HAYA NATURAL 1803 MT</v>
      </c>
    </row>
    <row r="64" spans="1:6" x14ac:dyDescent="0.3">
      <c r="A64" s="61"/>
      <c r="B64" s="5"/>
      <c r="C64" s="5"/>
      <c r="D64" s="5"/>
      <c r="E64" s="5"/>
      <c r="F64" s="5"/>
    </row>
    <row r="65" spans="1:6" ht="15.6" x14ac:dyDescent="0.3">
      <c r="A65" s="74"/>
      <c r="B65" s="5"/>
      <c r="C65" s="46"/>
      <c r="D65" s="9"/>
      <c r="E65" s="9"/>
      <c r="F65" s="63"/>
    </row>
    <row r="66" spans="1:6" ht="15.6" x14ac:dyDescent="0.3">
      <c r="A66" s="74"/>
      <c r="B66" s="5"/>
      <c r="C66" s="46"/>
      <c r="D66" s="9"/>
      <c r="E66" s="9"/>
      <c r="F66" s="56"/>
    </row>
    <row r="67" spans="1:6" ht="15.6" x14ac:dyDescent="0.3">
      <c r="A67" s="74"/>
      <c r="B67" s="5"/>
      <c r="C67" s="46"/>
      <c r="D67" s="9"/>
      <c r="E67" s="9"/>
      <c r="F67" s="63"/>
    </row>
    <row r="68" spans="1:6" ht="15" thickBot="1" x14ac:dyDescent="0.35"/>
    <row r="69" spans="1:6" x14ac:dyDescent="0.3">
      <c r="B69" s="75" t="s">
        <v>15</v>
      </c>
      <c r="C69" s="76"/>
      <c r="D69" s="11"/>
      <c r="E69" s="11"/>
      <c r="F69" s="12"/>
    </row>
    <row r="70" spans="1:6" x14ac:dyDescent="0.3">
      <c r="B70" s="13"/>
      <c r="C70" s="77" t="s">
        <v>40</v>
      </c>
      <c r="D70" s="14"/>
      <c r="E70" s="14"/>
      <c r="F70" s="15"/>
    </row>
    <row r="71" spans="1:6" ht="18" x14ac:dyDescent="0.35">
      <c r="B71" s="77" t="s">
        <v>41</v>
      </c>
      <c r="C71" s="78"/>
      <c r="D71" s="16"/>
      <c r="E71" s="16"/>
      <c r="F71" s="17"/>
    </row>
    <row r="72" spans="1:6" ht="18.600000000000001" thickBot="1" x14ac:dyDescent="0.4">
      <c r="B72" s="79" t="s">
        <v>42</v>
      </c>
      <c r="C72" s="18"/>
      <c r="D72" s="18"/>
      <c r="E72" s="18"/>
      <c r="F72" s="19"/>
    </row>
    <row r="73" spans="1:6" ht="18" x14ac:dyDescent="0.35">
      <c r="A73" s="3"/>
      <c r="B73" s="10"/>
    </row>
  </sheetData>
  <mergeCells count="4">
    <mergeCell ref="A10:F10"/>
    <mergeCell ref="A21:F21"/>
    <mergeCell ref="A55:F55"/>
    <mergeCell ref="B57:F57"/>
  </mergeCells>
  <pageMargins left="0.70866141732283472" right="0.70866141732283472" top="0.74803149606299213" bottom="0.74803149606299213" header="0.31496062992125984" footer="0.31496062992125984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2024-01-15T13:22:58Z</cp:lastPrinted>
  <dcterms:created xsi:type="dcterms:W3CDTF">2013-03-19T12:54:14Z</dcterms:created>
  <dcterms:modified xsi:type="dcterms:W3CDTF">2024-04-01T15:36:02Z</dcterms:modified>
</cp:coreProperties>
</file>