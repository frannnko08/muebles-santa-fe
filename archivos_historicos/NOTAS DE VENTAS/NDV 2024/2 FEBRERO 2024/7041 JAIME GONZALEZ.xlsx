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D1C09BEB-01FD-4566-AD70-A9D4A38D76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B32" i="3"/>
  <c r="I25" i="3" s="1"/>
  <c r="B25" i="3" s="1"/>
  <c r="C32" i="3"/>
  <c r="F25" i="3" s="1"/>
  <c r="D32" i="3"/>
  <c r="J25" i="3" s="1"/>
  <c r="D25" i="3" s="1"/>
  <c r="E32" i="3"/>
  <c r="K25" i="3" s="1"/>
  <c r="E25" i="3" s="1"/>
  <c r="F32" i="3"/>
  <c r="B33" i="3"/>
  <c r="C33" i="3"/>
  <c r="D33" i="3"/>
  <c r="E33" i="3"/>
  <c r="F33" i="3"/>
  <c r="B56" i="3"/>
  <c r="C56" i="3"/>
  <c r="D56" i="3"/>
  <c r="E56" i="3"/>
  <c r="F56" i="3"/>
  <c r="B57" i="3"/>
  <c r="C57" i="3"/>
  <c r="D57" i="3"/>
  <c r="E57" i="3"/>
  <c r="F57" i="3"/>
  <c r="H24" i="4"/>
  <c r="H23" i="4"/>
  <c r="H22" i="4"/>
  <c r="H21" i="4"/>
  <c r="C55" i="3" l="1"/>
  <c r="H27" i="4" l="1"/>
  <c r="B31" i="3"/>
  <c r="I24" i="3" s="1"/>
  <c r="C31" i="3"/>
  <c r="F15" i="3" s="1"/>
  <c r="D31" i="3"/>
  <c r="J15" i="3" s="1"/>
  <c r="D15" i="3" s="1"/>
  <c r="E31" i="3"/>
  <c r="K15" i="3" s="1"/>
  <c r="E15" i="3" s="1"/>
  <c r="F31" i="3"/>
  <c r="B55" i="3"/>
  <c r="D55" i="3"/>
  <c r="E55" i="3"/>
  <c r="F55" i="3"/>
  <c r="B54" i="3"/>
  <c r="C54" i="3"/>
  <c r="D54" i="3"/>
  <c r="E54" i="3"/>
  <c r="F54" i="3"/>
  <c r="B30" i="3"/>
  <c r="C30" i="3"/>
  <c r="F23" i="3" s="1"/>
  <c r="D30" i="3"/>
  <c r="J14" i="3" s="1"/>
  <c r="D14" i="3" s="1"/>
  <c r="E30" i="3"/>
  <c r="K14" i="3" s="1"/>
  <c r="E14" i="3" s="1"/>
  <c r="F30" i="3"/>
  <c r="B24" i="3" l="1"/>
  <c r="I15" i="3"/>
  <c r="B15" i="3" s="1"/>
  <c r="J24" i="3"/>
  <c r="D24" i="3" s="1"/>
  <c r="K24" i="3"/>
  <c r="E24" i="3" s="1"/>
  <c r="F24" i="3"/>
  <c r="H28" i="4"/>
  <c r="I23" i="3"/>
  <c r="F14" i="3"/>
  <c r="K23" i="3"/>
  <c r="E23" i="3" s="1"/>
  <c r="J23" i="3"/>
  <c r="D23" i="3" s="1"/>
  <c r="B23" i="3" l="1"/>
  <c r="I14" i="3"/>
  <c r="B14" i="3" s="1"/>
  <c r="H29" i="4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<sst xmlns="http://schemas.openxmlformats.org/spreadsheetml/2006/main" count="250" uniqueCount="144">
  <si>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</si>
  <si>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</si>
  <si>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</si>
  <si>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</si>
  <si>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</si>
  <si>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</si>
  <si>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</si>
  <si>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</si>
  <si>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</si>
  <si>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</si>
  <si>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</si>
  <si>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</si>
  <si>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</si>
  <si>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</si>
  <si>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</si>
  <si>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</si>
  <si>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</si>
  <si>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</si>
  <si>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</si>
  <si>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</si>
  <si>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</si>
  <si>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</si>
  <si>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</si>
  <si>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</si>
  <si>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</si>
  <si>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</si>
  <si>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</si>
  <si>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</si>
  <si>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</si>
  <si>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</si>
  <si>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</si>
  <si>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</si>
  <si>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</si>
  <si>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</si>
  <si>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</si>
  <si>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</si>
  <si>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</si>
  <si>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</si>
  <si>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</si>
  <si>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</si>
  <si>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</si>
  <si>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</si>
  <si>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</si>
  <si>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</si>
  <si>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</si>
  <si>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</si>
  <si>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</si>
  <si>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</si>
  <si>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</si>
  <si>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</si>
  <si>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</si>
  <si>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</si>
  <si>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</si>
  <si>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</si>
  <si>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</si>
  <si>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</si>
  <si>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</si>
  <si>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</si>
  <si>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</si>
  <si>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</si>
  <si>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</si>
  <si>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</si>
  <si>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</si>
  <si>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</si>
  <si>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</si>
  <si>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</si>
  <si>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</si>
  <si>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</si>
  <si>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</si>
  <si>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</si>
  <si>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</si>
  <si>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</si>
  <si>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</si>
  <si>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</si>
  <si>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</si>
  <si>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</si>
  <si>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</si>
  <si>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</si>
  <si>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</si>
  <si>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</si>
  <si>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</si>
  <si>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</si>
  <si>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</si>
  <si>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</si>
  <si>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</si>
  <si>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</si>
  <si>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</si>
  <si>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</si>
  <si>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</si>
  <si>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</si>
  <si>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</si>
  <si>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</si>
  <si>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</si>
  <si>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</si>
  <si>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</si>
  <si>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</si>
  <si>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</si>
  <si>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</si>
  <si>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</si>
  <si>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</si>
  <si>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</si>
  <si>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</si>
  <si>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</si>
  <si>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</si>
  <si>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</si>
  <si>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</si>
  <si>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</si>
  <si>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</si>
  <si>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</si>
  <si>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</si>
  <si>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</si>
  <si>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</si>
  <si>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</si>
  <si>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</si>
  <si>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</si>
  <si>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</si>
  <si>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</si>
  <si>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</si>
  <si>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</si>
  <si>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</si>
  <si>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</si>
  <si>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</si>
  <si>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</si>
  <si>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</si>
  <si>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</si>
  <si>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</si>
  <si>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</si>
  <si>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</si>
  <si>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</si>
  <si>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</si>
  <si>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</si>
  <si>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</si>
  <si>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</si>
  <si>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</si>
  <si>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</si>
  <si>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</si>
  <si>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</si>
  <si>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N°10624</t>
  </si>
  <si>
    <t>JAIME GONZALEZ</t>
  </si>
  <si>
    <t>+569 7884 9484</t>
  </si>
  <si>
    <t>CUB CON RESPALDO FRENTE 180°</t>
  </si>
  <si>
    <t>HUMO 2108 MT</t>
  </si>
  <si>
    <t>E/R 1 CARA 18MM</t>
  </si>
  <si>
    <t>SERVICIO DE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</si>
</sst>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quotePrefix="1" applyFont="1"/>
    <xf numFmtId="0" fontId="5" fillId="9" borderId="0" xfId="0" applyFont="1" applyFill="1" applyBorder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$ 162.827.--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 ENCHAPADAS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62</xdr:row>
      <xdr:rowOff>24765</xdr:rowOff>
    </xdr:from>
    <xdr:to>
      <xdr:col>5</xdr:col>
      <xdr:colOff>2396490</xdr:colOff>
      <xdr:row>66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 ENCHAPADAS</a:t>
          </a:r>
        </a:p>
      </xdr:txBody>
    </xdr:sp>
    <xdr:clientData/>
  </xdr:twoCellAnchor>
  <xdr:twoCellAnchor editAs="oneCell">
    <xdr:from>
      <xdr:col>0</xdr:col>
      <xdr:colOff>38100</xdr:colOff>
      <xdr:row>40</xdr:row>
      <xdr:rowOff>163830</xdr:rowOff>
    </xdr:from>
    <xdr:to>
      <xdr:col>1</xdr:col>
      <xdr:colOff>908443</xdr:colOff>
      <xdr:row>47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6" workbookViewId="0">
      <selection activeCell="D23" sqref="D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7041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6" t="s">
        <v>138</v>
      </c>
      <c r="D10" s="50"/>
      <c r="E10" s="50"/>
      <c r="F10" s="51" t="s">
        <v>28</v>
      </c>
      <c r="G10" s="52">
        <v>45336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7"/>
      <c r="D11" s="55"/>
      <c r="E11" s="55"/>
      <c r="F11" s="55" t="s">
        <v>124</v>
      </c>
      <c r="G11" s="56">
        <v>45341</v>
      </c>
      <c r="H11" s="57"/>
      <c r="I11" s="1"/>
    </row>
    <row r="12" spans="1:17" ht="15.6" x14ac:dyDescent="0.3">
      <c r="A12" s="1"/>
      <c r="B12" s="58" t="s">
        <v>132</v>
      </c>
      <c r="C12" s="114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s="114"/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13" t="s">
        <v>139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8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9" t="s">
        <v>133</v>
      </c>
      <c r="D16" s="64"/>
      <c r="E16" s="65"/>
      <c r="F16" s="100" t="s">
        <v>18</v>
      </c>
      <c r="G16" s="100"/>
      <c r="H16" s="10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2" t="s">
        <v>19</v>
      </c>
      <c r="C19" s="103"/>
      <c r="D19" s="103"/>
      <c r="E19" s="103"/>
      <c r="F19" s="103"/>
      <c r="G19" s="103"/>
      <c r="H19" s="104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115">
        <v>1</v>
      </c>
      <c r="C21" s="116" t="s">
        <v>140</v>
      </c>
      <c r="D21" s="95">
        <v>3070</v>
      </c>
      <c r="E21" s="95">
        <v>600</v>
      </c>
      <c r="F21" s="116" t="s">
        <v>141</v>
      </c>
      <c r="G21" s="117">
        <v>131041</v>
      </c>
      <c r="H21" s="94">
        <f>G21*B21</f>
        <v>131041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118">
        <v>1</v>
      </c>
      <c r="C22" s="116" t="s">
        <v>142</v>
      </c>
      <c r="D22" s="122">
        <v>3030</v>
      </c>
      <c r="E22" s="122">
        <v>300</v>
      </c>
      <c r="F22" s="116" t="s">
        <v>141</v>
      </c>
      <c r="G22" s="120">
        <v>70074</v>
      </c>
      <c r="H22" s="121">
        <f>G22*B22</f>
        <v>70074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18">
        <v>2</v>
      </c>
      <c r="C23" s="116" t="s">
        <v>142</v>
      </c>
      <c r="D23" s="122">
        <v>600</v>
      </c>
      <c r="E23" s="122">
        <v>300</v>
      </c>
      <c r="F23" s="116" t="s">
        <v>141</v>
      </c>
      <c r="G23" s="120">
        <v>28772</v>
      </c>
      <c r="H23" s="121">
        <f>G23*B23</f>
        <v>57544</v>
      </c>
      <c r="I23" s="1"/>
      <c r="K23" s="16"/>
      <c r="L23" s="24"/>
      <c r="M23" s="16"/>
      <c r="N23" s="16"/>
      <c r="O23" s="24"/>
      <c r="P23" s="31"/>
    </row>
    <row r="24" spans="1:16" ht="18" customHeight="1" thickBot="1" x14ac:dyDescent="0.35">
      <c r="A24" s="1"/>
      <c r="B24" s="118">
        <v>1</v>
      </c>
      <c r="C24" s="116" t="s">
        <v>143</v>
      </c>
      <c r="D24" s="119"/>
      <c r="E24" s="119"/>
      <c r="F24" s="116"/>
      <c r="G24" s="120">
        <v>15000</v>
      </c>
      <c r="H24" s="121">
        <f>G24*B24</f>
        <v>15000</v>
      </c>
      <c r="I24" s="1"/>
      <c r="K24" s="16"/>
      <c r="L24" s="24"/>
      <c r="M24" s="16"/>
      <c r="N24" s="16"/>
      <c r="O24" s="24"/>
      <c r="P24" s="31"/>
    </row>
    <row r="25" spans="1:16" ht="18" customHeight="1" x14ac:dyDescent="0.3">
      <c r="A25" s="1"/>
      <c r="B25" s="93"/>
      <c r="C25" s="93"/>
      <c r="D25" s="93"/>
      <c r="E25" s="93"/>
      <c r="F25" s="93"/>
      <c r="G25" s="91"/>
      <c r="H25" s="91"/>
      <c r="I25" s="1"/>
      <c r="K25" s="16"/>
      <c r="L25" s="24"/>
      <c r="M25" s="16"/>
      <c r="N25" s="16"/>
      <c r="O25" s="24"/>
      <c r="P25" s="31"/>
    </row>
    <row r="26" spans="1:16" ht="8.25" customHeight="1" thickBot="1" x14ac:dyDescent="0.35">
      <c r="A26" s="1"/>
      <c r="B26" s="69"/>
      <c r="C26" s="69"/>
      <c r="D26" s="69"/>
      <c r="E26" s="69"/>
      <c r="F26" s="69"/>
      <c r="G26" s="70"/>
      <c r="H26" s="70"/>
      <c r="I26" s="1"/>
    </row>
    <row r="27" spans="1:16" ht="15.6" x14ac:dyDescent="0.3">
      <c r="A27" s="1"/>
      <c r="B27" s="1"/>
      <c r="C27" s="1"/>
      <c r="D27" s="1"/>
      <c r="E27" s="1"/>
      <c r="F27" s="1"/>
      <c r="G27" s="71" t="s">
        <v>5</v>
      </c>
      <c r="H27" s="72">
        <f>SUM(H21:H26)</f>
        <v>273659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3" t="s">
        <v>6</v>
      </c>
      <c r="H28" s="74">
        <f>H27*19%</f>
        <v>51995.21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5" t="s">
        <v>4</v>
      </c>
      <c r="H29" s="76">
        <f>H27+H28</f>
        <v>325654.21000000002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47"/>
      <c r="H30" s="92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77" t="s">
        <v>123</v>
      </c>
      <c r="C32" s="78"/>
      <c r="D32" s="79"/>
      <c r="E32" s="79"/>
      <c r="F32" s="69"/>
      <c r="G32" s="1"/>
      <c r="H32" s="1"/>
      <c r="I32" s="1"/>
    </row>
    <row r="33" spans="1:9" ht="15.6" x14ac:dyDescent="0.3">
      <c r="A33" s="1"/>
      <c r="B33" s="77" t="s">
        <v>122</v>
      </c>
      <c r="C33" s="78"/>
      <c r="D33" s="79"/>
      <c r="E33" s="79"/>
      <c r="F33" s="69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0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5" t="s">
        <v>31</v>
      </c>
      <c r="C2" s="105"/>
      <c r="D2" s="105"/>
      <c r="E2" s="17"/>
      <c r="G2" s="105" t="s">
        <v>70</v>
      </c>
      <c r="H2" s="105"/>
      <c r="I2" s="105"/>
      <c r="P2" s="106" t="s">
        <v>58</v>
      </c>
      <c r="Q2" s="106"/>
      <c r="R2" s="106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06" t="s">
        <v>58</v>
      </c>
      <c r="M8" s="106"/>
      <c r="N8" s="10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zoomScaleNormal="100" workbookViewId="0">
      <selection sqref="A1:F4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07" t="s">
        <v>61</v>
      </c>
      <c r="L3" s="107"/>
      <c r="M3" s="107" t="s">
        <v>14</v>
      </c>
      <c r="N3" s="107"/>
    </row>
    <row r="4" spans="1:14" ht="15.75" customHeight="1" x14ac:dyDescent="0.3">
      <c r="A4" s="1"/>
      <c r="B4" s="1"/>
      <c r="C4" s="35" t="s">
        <v>27</v>
      </c>
      <c r="D4" s="14">
        <f>'4637'!G8</f>
        <v>7041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JAIME GONZALEZ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45341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8" t="s">
        <v>61</v>
      </c>
      <c r="B10" s="108"/>
      <c r="C10" s="108"/>
      <c r="D10" s="108"/>
      <c r="E10" s="108"/>
      <c r="F10" s="10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27">
        <f t="shared" ref="B14" si="0">I14</f>
        <v>1</v>
      </c>
      <c r="C14" s="127"/>
      <c r="D14" s="127">
        <f>J14+D$13</f>
        <v>3120</v>
      </c>
      <c r="E14" s="129">
        <f>K14+E$13</f>
        <v>570</v>
      </c>
      <c r="F14" s="127" t="str">
        <f>C30</f>
        <v>CUB CON RESPALDO FRENTE 180°</v>
      </c>
      <c r="G14" s="1"/>
      <c r="I14" s="3">
        <f>I23</f>
        <v>1</v>
      </c>
      <c r="J14" s="4">
        <f t="shared" ref="J14:K14" si="1">D30</f>
        <v>3070</v>
      </c>
      <c r="K14" s="4">
        <f t="shared" si="1"/>
        <v>600</v>
      </c>
    </row>
    <row r="15" spans="1:14" ht="18" x14ac:dyDescent="0.35">
      <c r="A15" s="90"/>
      <c r="B15" s="127">
        <f t="shared" ref="B15" si="2">I15</f>
        <v>1</v>
      </c>
      <c r="C15" s="127"/>
      <c r="D15" s="127">
        <f t="shared" ref="D15" si="3">J15+D$13</f>
        <v>3080</v>
      </c>
      <c r="E15" s="129">
        <f>K15</f>
        <v>300</v>
      </c>
      <c r="F15" s="127" t="str">
        <f t="shared" ref="F15" si="4">C31</f>
        <v>E/R 1 CARA 18MM</v>
      </c>
      <c r="G15" s="1"/>
      <c r="I15" s="3">
        <f t="shared" ref="I15" si="5">B31</f>
        <v>1</v>
      </c>
      <c r="J15" s="4">
        <f t="shared" ref="J15" si="6">D31</f>
        <v>3030</v>
      </c>
      <c r="K15" s="4">
        <f t="shared" ref="K15" si="7">E31</f>
        <v>300</v>
      </c>
    </row>
    <row r="16" spans="1:14" ht="18" x14ac:dyDescent="0.35">
      <c r="A16" s="90"/>
      <c r="B16" s="127">
        <f t="shared" ref="B16" si="8">I16</f>
        <v>2</v>
      </c>
      <c r="C16" s="127"/>
      <c r="D16" s="127">
        <f t="shared" ref="D16" si="9">J16+D$13</f>
        <v>650</v>
      </c>
      <c r="E16" s="129">
        <f>K16</f>
        <v>300</v>
      </c>
      <c r="F16" s="127" t="str">
        <f t="shared" ref="F16" si="10">C32</f>
        <v>E/R 1 CARA 18MM</v>
      </c>
      <c r="G16" s="1"/>
      <c r="I16" s="3">
        <f t="shared" ref="I16" si="11">B32</f>
        <v>2</v>
      </c>
      <c r="J16" s="4">
        <f t="shared" ref="J16" si="12">D32</f>
        <v>600</v>
      </c>
      <c r="K16" s="4">
        <f t="shared" ref="K16" si="13">E32</f>
        <v>300</v>
      </c>
    </row>
    <row r="17" spans="1:11" ht="15.6" x14ac:dyDescent="0.3">
      <c r="A17" s="47"/>
      <c r="B17" s="6"/>
      <c r="C17" s="6"/>
      <c r="D17" s="6"/>
      <c r="E17" s="83"/>
      <c r="F17" s="6"/>
      <c r="G17" s="1"/>
      <c r="I17" s="84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08" t="s">
        <v>14</v>
      </c>
      <c r="B19" s="108"/>
      <c r="C19" s="108"/>
      <c r="D19" s="108"/>
      <c r="E19" s="108"/>
      <c r="F19" s="10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47" t="s">
        <v>7</v>
      </c>
      <c r="E21" s="47" t="s">
        <v>8</v>
      </c>
      <c r="F21" s="1"/>
      <c r="G21" s="1"/>
    </row>
    <row r="22" spans="1:11" ht="15.6" x14ac:dyDescent="0.3">
      <c r="A22" s="47" t="s">
        <v>9</v>
      </c>
      <c r="B22" s="33" t="s">
        <v>10</v>
      </c>
      <c r="C22" s="33" t="s">
        <v>11</v>
      </c>
      <c r="D22" s="20">
        <v>40</v>
      </c>
      <c r="E22" s="20">
        <v>150</v>
      </c>
      <c r="F22" s="33" t="s">
        <v>110</v>
      </c>
      <c r="G22" s="1"/>
      <c r="J22" s="5" t="s">
        <v>7</v>
      </c>
      <c r="K22" s="5" t="s">
        <v>8</v>
      </c>
    </row>
    <row r="23" spans="1:11" ht="18" x14ac:dyDescent="0.35">
      <c r="A23" s="90" t="s">
        <v>135</v>
      </c>
      <c r="B23" s="128">
        <f t="shared" ref="B23" si="14">I23</f>
        <v>1</v>
      </c>
      <c r="C23" s="128"/>
      <c r="D23" s="128">
        <f>J23+D$22</f>
        <v>3110</v>
      </c>
      <c r="E23" s="128">
        <f>K23+E$22</f>
        <v>750</v>
      </c>
      <c r="F23" s="128" t="str">
        <f>C30</f>
        <v>CUB CON RESPALDO FRENTE 180°</v>
      </c>
      <c r="G23" s="1"/>
      <c r="I23" s="3">
        <f>B30</f>
        <v>1</v>
      </c>
      <c r="J23" s="4">
        <f>D30</f>
        <v>3070</v>
      </c>
      <c r="K23" s="4">
        <f>E30</f>
        <v>600</v>
      </c>
    </row>
    <row r="24" spans="1:11" ht="18" x14ac:dyDescent="0.35">
      <c r="A24" s="90"/>
      <c r="B24" s="128">
        <f t="shared" ref="B24" si="15">I24</f>
        <v>1</v>
      </c>
      <c r="C24" s="128"/>
      <c r="D24" s="128">
        <f>J24+D$22</f>
        <v>3070</v>
      </c>
      <c r="E24" s="128">
        <f>K24+20</f>
        <v>320</v>
      </c>
      <c r="F24" s="128" t="str">
        <f t="shared" ref="F24" si="16">C31</f>
        <v>E/R 1 CARA 18MM</v>
      </c>
      <c r="G24" s="1"/>
      <c r="I24" s="3">
        <f t="shared" ref="I24" si="17">B31</f>
        <v>1</v>
      </c>
      <c r="J24" s="4">
        <f t="shared" ref="J24:K24" si="18">D31</f>
        <v>3030</v>
      </c>
      <c r="K24" s="4">
        <f t="shared" si="18"/>
        <v>300</v>
      </c>
    </row>
    <row r="25" spans="1:11" ht="18" x14ac:dyDescent="0.35">
      <c r="A25" s="90"/>
      <c r="B25" s="128">
        <f t="shared" ref="B25" si="19">I25</f>
        <v>2</v>
      </c>
      <c r="C25" s="128"/>
      <c r="D25" s="128">
        <f>J25+D$22</f>
        <v>640</v>
      </c>
      <c r="E25" s="128">
        <f>K25+20</f>
        <v>320</v>
      </c>
      <c r="F25" s="128" t="str">
        <f t="shared" ref="F25" si="20">C32</f>
        <v>E/R 1 CARA 18MM</v>
      </c>
      <c r="G25" s="1"/>
      <c r="I25" s="3">
        <f t="shared" ref="I25" si="21">B32</f>
        <v>2</v>
      </c>
      <c r="J25" s="4">
        <f t="shared" ref="J25" si="22">D32</f>
        <v>600</v>
      </c>
      <c r="K25" s="4">
        <f t="shared" ref="K25" si="23">E32</f>
        <v>300</v>
      </c>
    </row>
    <row r="26" spans="1:11" ht="16.2" thickBot="1" x14ac:dyDescent="0.35">
      <c r="A26" s="47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47"/>
      <c r="B27" s="21" t="s">
        <v>107</v>
      </c>
      <c r="C27" s="22"/>
      <c r="D27" s="22"/>
      <c r="E27" s="22"/>
      <c r="F27" s="23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47" t="s">
        <v>9</v>
      </c>
      <c r="B29" s="82" t="s">
        <v>10</v>
      </c>
      <c r="C29" s="82" t="s">
        <v>110</v>
      </c>
      <c r="D29" s="82" t="s">
        <v>7</v>
      </c>
      <c r="E29" s="82" t="s">
        <v>8</v>
      </c>
      <c r="F29" s="82" t="s">
        <v>23</v>
      </c>
      <c r="G29" s="1"/>
    </row>
    <row r="30" spans="1:11" ht="18" x14ac:dyDescent="0.35">
      <c r="A30" s="90" t="s">
        <v>135</v>
      </c>
      <c r="B30" s="127">
        <f>'4637'!B21</f>
        <v>1</v>
      </c>
      <c r="C30" s="127" t="str">
        <f>'4637'!C21</f>
        <v>CUB CON RESPALDO FRENTE 180°</v>
      </c>
      <c r="D30" s="127">
        <f>'4637'!D21</f>
        <v>3070</v>
      </c>
      <c r="E30" s="127">
        <f>'4637'!E21</f>
        <v>600</v>
      </c>
      <c r="F30" s="127" t="str">
        <f>'4637'!F21</f>
        <v>HUMO 2108 MT</v>
      </c>
      <c r="G30" s="1"/>
    </row>
    <row r="31" spans="1:11" ht="18" x14ac:dyDescent="0.35">
      <c r="A31" s="90"/>
      <c r="B31" s="127">
        <f>'4637'!B22</f>
        <v>1</v>
      </c>
      <c r="C31" s="127" t="str">
        <f>'4637'!C22</f>
        <v>E/R 1 CARA 18MM</v>
      </c>
      <c r="D31" s="127">
        <f>'4637'!D22</f>
        <v>3030</v>
      </c>
      <c r="E31" s="127">
        <f>'4637'!E22</f>
        <v>300</v>
      </c>
      <c r="F31" s="127" t="str">
        <f>'4637'!F22</f>
        <v>HUMO 2108 MT</v>
      </c>
      <c r="G31" s="1"/>
    </row>
    <row r="32" spans="1:11" ht="18" x14ac:dyDescent="0.35">
      <c r="A32" s="90"/>
      <c r="B32" s="127">
        <f>'4637'!B23</f>
        <v>2</v>
      </c>
      <c r="C32" s="127" t="str">
        <f>'4637'!C23</f>
        <v>E/R 1 CARA 18MM</v>
      </c>
      <c r="D32" s="127">
        <f>'4637'!D23</f>
        <v>600</v>
      </c>
      <c r="E32" s="127">
        <f>'4637'!E23</f>
        <v>300</v>
      </c>
      <c r="F32" s="127" t="str">
        <f>'4637'!F23</f>
        <v>HUMO 2108 MT</v>
      </c>
      <c r="G32" s="1"/>
    </row>
    <row r="33" spans="1:7" ht="18" x14ac:dyDescent="0.35">
      <c r="A33" s="90"/>
      <c r="B33" s="127">
        <f>'4637'!B24</f>
        <v>1</v>
      </c>
      <c r="C33" s="127" t="str">
        <f>'4637'!C24</f>
        <v>SERVICIO DE ENCHAPE</v>
      </c>
      <c r="D33" s="127">
        <f>'4637'!D24</f>
        <v>0</v>
      </c>
      <c r="E33" s="127">
        <f>'4637'!E24</f>
        <v>0</v>
      </c>
      <c r="F33" s="127">
        <f>'4637'!F24</f>
        <v>0</v>
      </c>
      <c r="G33" s="1"/>
    </row>
    <row r="34" spans="1:7" ht="15.6" x14ac:dyDescent="0.3">
      <c r="A34" s="47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5" t="s">
        <v>27</v>
      </c>
      <c r="D44" s="14">
        <f>'4637'!G8</f>
        <v>7041</v>
      </c>
      <c r="E44" s="1"/>
      <c r="F44" s="1"/>
      <c r="G44" s="1"/>
    </row>
    <row r="45" spans="1:7" ht="17.25" customHeight="1" x14ac:dyDescent="0.3">
      <c r="A45" s="1"/>
      <c r="B45" s="1"/>
      <c r="C45" s="36" t="s">
        <v>67</v>
      </c>
      <c r="D45" s="37" t="str">
        <f>'4637'!C10</f>
        <v>JAIME GONZALEZ</v>
      </c>
      <c r="E45" s="38"/>
      <c r="F45" s="38"/>
      <c r="G45" s="1"/>
    </row>
    <row r="46" spans="1:7" ht="4.5" customHeight="1" x14ac:dyDescent="0.3">
      <c r="A46" s="1"/>
      <c r="B46" s="1"/>
      <c r="C46" s="39"/>
      <c r="D46" s="40"/>
      <c r="E46" s="1"/>
      <c r="F46" s="1"/>
      <c r="G46" s="1"/>
    </row>
    <row r="47" spans="1:7" ht="15.6" x14ac:dyDescent="0.3">
      <c r="A47" s="1"/>
      <c r="B47" s="1"/>
      <c r="C47" s="41" t="str">
        <f>'4637'!F11</f>
        <v>FECHA LIMITE :</v>
      </c>
      <c r="D47" s="13">
        <f>'4637'!G11</f>
        <v>45341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08" t="s">
        <v>68</v>
      </c>
      <c r="B50" s="108"/>
      <c r="C50" s="108"/>
      <c r="D50" s="108"/>
      <c r="E50" s="108"/>
      <c r="F50" s="108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09" t="s">
        <v>69</v>
      </c>
      <c r="C52" s="110"/>
      <c r="D52" s="111"/>
      <c r="E52" s="111"/>
      <c r="F52" s="112"/>
      <c r="G52" s="1"/>
    </row>
    <row r="53" spans="1:7" s="15" customFormat="1" ht="12.75" customHeight="1" x14ac:dyDescent="0.3">
      <c r="A53" s="1"/>
      <c r="B53" s="33" t="s">
        <v>10</v>
      </c>
      <c r="C53" s="42" t="s">
        <v>11</v>
      </c>
      <c r="D53" s="43" t="s">
        <v>7</v>
      </c>
      <c r="E53" s="43" t="s">
        <v>8</v>
      </c>
      <c r="F53" s="44" t="s">
        <v>12</v>
      </c>
      <c r="G53" s="1"/>
    </row>
    <row r="54" spans="1:7" s="15" customFormat="1" ht="15" customHeight="1" x14ac:dyDescent="0.35">
      <c r="A54" s="90" t="s">
        <v>135</v>
      </c>
      <c r="B54" s="125">
        <f>'4637'!B21</f>
        <v>1</v>
      </c>
      <c r="C54" s="125" t="str">
        <f>'4637'!C21</f>
        <v>CUB CON RESPALDO FRENTE 180°</v>
      </c>
      <c r="D54" s="126">
        <f>'4637'!D21</f>
        <v>3070</v>
      </c>
      <c r="E54" s="126">
        <f>'4637'!E21</f>
        <v>600</v>
      </c>
      <c r="F54" s="125" t="str">
        <f>'4637'!F21</f>
        <v>HUMO 2108 MT</v>
      </c>
      <c r="G54" s="1"/>
    </row>
    <row r="55" spans="1:7" s="15" customFormat="1" ht="15" customHeight="1" x14ac:dyDescent="0.35">
      <c r="A55" s="90"/>
      <c r="B55" s="125">
        <f>'4637'!B22</f>
        <v>1</v>
      </c>
      <c r="C55" s="125" t="str">
        <f>'4637'!C22</f>
        <v>E/R 1 CARA 18MM</v>
      </c>
      <c r="D55" s="126">
        <f>'4637'!D22</f>
        <v>3030</v>
      </c>
      <c r="E55" s="126">
        <f>'4637'!E22</f>
        <v>300</v>
      </c>
      <c r="F55" s="125" t="str">
        <f>'4637'!F22</f>
        <v>HUMO 2108 MT</v>
      </c>
      <c r="G55" s="1"/>
    </row>
    <row r="56" spans="1:7" s="15" customFormat="1" ht="15" customHeight="1" x14ac:dyDescent="0.35">
      <c r="A56" s="90"/>
      <c r="B56" s="125">
        <f>'4637'!B23</f>
        <v>2</v>
      </c>
      <c r="C56" s="125" t="str">
        <f>'4637'!C23</f>
        <v>E/R 1 CARA 18MM</v>
      </c>
      <c r="D56" s="126">
        <f>'4637'!D23</f>
        <v>600</v>
      </c>
      <c r="E56" s="126">
        <f>'4637'!E23</f>
        <v>300</v>
      </c>
      <c r="F56" s="125" t="str">
        <f>'4637'!F23</f>
        <v>HUMO 2108 MT</v>
      </c>
      <c r="G56" s="1"/>
    </row>
    <row r="57" spans="1:7" s="15" customFormat="1" ht="15" customHeight="1" x14ac:dyDescent="0.35">
      <c r="A57" s="90"/>
      <c r="B57" s="125">
        <f>'4637'!B24</f>
        <v>1</v>
      </c>
      <c r="C57" s="125" t="str">
        <f>'4637'!C24</f>
        <v>SERVICIO DE ENCHAPE</v>
      </c>
      <c r="D57" s="126">
        <f>'4637'!D24</f>
        <v>0</v>
      </c>
      <c r="E57" s="126">
        <f>'4637'!E24</f>
        <v>0</v>
      </c>
      <c r="F57" s="125">
        <f>'4637'!F24</f>
        <v>0</v>
      </c>
      <c r="G57" s="1"/>
    </row>
    <row r="58" spans="1:7" s="15" customFormat="1" ht="15" customHeight="1" x14ac:dyDescent="0.3">
      <c r="A58" s="90"/>
      <c r="B58" s="123"/>
      <c r="C58" s="124"/>
      <c r="D58" s="123"/>
      <c r="E58" s="123"/>
      <c r="F58" s="123"/>
      <c r="G58" s="1"/>
    </row>
    <row r="59" spans="1:7" s="15" customFormat="1" ht="15" customHeight="1" x14ac:dyDescent="0.3">
      <c r="A59" s="45"/>
      <c r="B59" s="47"/>
      <c r="C59" s="47"/>
      <c r="D59" s="47"/>
      <c r="E59" s="47"/>
      <c r="F59" s="47"/>
      <c r="G59" s="1"/>
    </row>
    <row r="60" spans="1:7" ht="15.6" x14ac:dyDescent="0.3">
      <c r="A60" s="6"/>
      <c r="B60" s="6"/>
      <c r="C60" s="1"/>
      <c r="D60" s="6"/>
      <c r="E60" s="6"/>
      <c r="F60" s="39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46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19"/>
      <c r="C69" s="19"/>
      <c r="D69" s="19"/>
      <c r="E69" s="19"/>
      <c r="F69" s="19"/>
    </row>
    <row r="70" spans="1:7" x14ac:dyDescent="0.3">
      <c r="B70" s="19"/>
      <c r="C70" s="19"/>
      <c r="E70" s="19"/>
      <c r="F70" s="19"/>
    </row>
  </sheetData>
  <mergeCells count="6">
    <mergeCell ref="M3:N3"/>
    <mergeCell ref="A19:F19"/>
    <mergeCell ref="A10:F10"/>
    <mergeCell ref="A50:F50"/>
    <mergeCell ref="B52:F52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2024-02-16T13:07:45Z</cp:lastPrinted>
  <dcterms:created xsi:type="dcterms:W3CDTF">2013-03-19T12:54:14Z</dcterms:created>
  <dcterms:modified xsi:type="dcterms:W3CDTF">2024-02-16T13:12:25Z</dcterms:modified>
</cp:coreProperties>
</file>