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FEBRERO\"/>
    </mc:Choice>
  </mc:AlternateContent>
  <xr:revisionPtr revIDLastSave="0" documentId="13_ncr:1_{BA376E74-4016-4AA4-9793-267357153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C30" i="3"/>
  <c r="D30" i="3"/>
  <c r="E30" i="3"/>
  <c r="F30" i="3"/>
  <c r="C53" i="3"/>
  <c r="C52" i="3"/>
  <c r="B53" i="3"/>
  <c r="D53" i="3"/>
  <c r="E53" i="3"/>
  <c r="F53" i="3"/>
  <c r="H23" i="4"/>
  <c r="H22" i="4"/>
  <c r="H21" i="4"/>
  <c r="H26" i="4" l="1"/>
  <c r="B29" i="3"/>
  <c r="I23" i="3" s="1"/>
  <c r="B23" i="3" s="1"/>
  <c r="C29" i="3"/>
  <c r="F15" i="3" s="1"/>
  <c r="D29" i="3"/>
  <c r="J15" i="3" s="1"/>
  <c r="D15" i="3" s="1"/>
  <c r="E29" i="3"/>
  <c r="K15" i="3" s="1"/>
  <c r="E15" i="3" s="1"/>
  <c r="F29" i="3"/>
  <c r="B52" i="3"/>
  <c r="D52" i="3"/>
  <c r="E52" i="3"/>
  <c r="F52" i="3"/>
  <c r="B51" i="3"/>
  <c r="C51" i="3"/>
  <c r="D51" i="3"/>
  <c r="E51" i="3"/>
  <c r="F51" i="3"/>
  <c r="B28" i="3"/>
  <c r="B14" i="3" s="1"/>
  <c r="C28" i="3"/>
  <c r="F22" i="3" s="1"/>
  <c r="D28" i="3"/>
  <c r="J14" i="3" s="1"/>
  <c r="D14" i="3" s="1"/>
  <c r="E28" i="3"/>
  <c r="K14" i="3" s="1"/>
  <c r="E14" i="3" s="1"/>
  <c r="F28" i="3"/>
  <c r="I15" i="3" l="1"/>
  <c r="B15" i="3" s="1"/>
  <c r="J23" i="3"/>
  <c r="D23" i="3" s="1"/>
  <c r="K23" i="3"/>
  <c r="E23" i="3" s="1"/>
  <c r="F23" i="3"/>
  <c r="H27" i="4"/>
  <c r="I22" i="3"/>
  <c r="B22" i="3" s="1"/>
  <c r="F14" i="3"/>
  <c r="K22" i="3"/>
  <c r="E22" i="3" s="1"/>
  <c r="J22" i="3"/>
  <c r="D22" i="3" s="1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<sst xmlns="http://schemas.openxmlformats.org/spreadsheetml/2006/main" count="252" uniqueCount="147">
  <si>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</si>
  <si>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</si>
  <si>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</si>
  <si>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</si>
  <si>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</si>
  <si>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</si>
  <si>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</si>
  <si>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</si>
  <si>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</si>
  <si>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</si>
  <si>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</si>
  <si>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</si>
  <si>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</si>
  <si>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</si>
  <si>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</si>
  <si>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</si>
  <si>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</si>
  <si>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</si>
  <si>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</si>
  <si>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</si>
  <si>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</si>
  <si>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</si>
  <si>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</si>
  <si>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</si>
  <si>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</si>
  <si>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</si>
  <si>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</si>
  <si>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</si>
  <si>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</si>
  <si>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</si>
  <si>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</si>
  <si>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</si>
  <si>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</si>
  <si>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</si>
  <si>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</si>
  <si>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</si>
  <si>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</si>
  <si>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</si>
  <si>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</si>
  <si>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</si>
  <si>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</si>
  <si>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</si>
  <si>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</si>
  <si>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</si>
  <si>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</si>
  <si>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</si>
  <si>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</si>
  <si>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</si>
  <si>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</si>
  <si>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</si>
  <si>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</si>
  <si>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</si>
  <si>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</si>
  <si>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</si>
  <si>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</si>
  <si>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</si>
  <si>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</si>
  <si>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</si>
  <si>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</si>
  <si>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</si>
  <si>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</si>
  <si>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</si>
  <si>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</si>
  <si>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</si>
  <si>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</si>
  <si>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</si>
  <si>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</si>
  <si>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</si>
  <si>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</si>
  <si>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</si>
  <si>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</si>
  <si>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</si>
  <si>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</si>
  <si>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</si>
  <si>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</si>
  <si>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</si>
  <si>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</si>
  <si>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</si>
  <si>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</si>
  <si>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</si>
  <si>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</si>
  <si>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</si>
  <si>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</si>
  <si>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</si>
  <si>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</si>
  <si>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</si>
  <si>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</si>
  <si>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</si>
  <si>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</si>
  <si>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</si>
  <si>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</si>
  <si>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</si>
  <si>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</si>
  <si>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</si>
  <si>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</si>
  <si>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</si>
  <si>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</si>
  <si>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</si>
  <si>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</si>
  <si>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</si>
  <si>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</si>
  <si>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</si>
  <si>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</si>
  <si>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</si>
  <si>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</si>
  <si>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</si>
  <si>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</si>
  <si>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</si>
  <si>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</si>
  <si>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</si>
  <si>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</si>
  <si>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</si>
  <si>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</si>
  <si>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</si>
  <si>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</si>
  <si>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</si>
  <si>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</si>
  <si>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</si>
  <si>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</si>
  <si>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</si>
  <si>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</si>
  <si>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</si>
  <si>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</si>
  <si>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</si>
  <si>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</si>
  <si>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</si>
  <si>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</si>
  <si>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</si>
  <si>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</si>
  <si>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</si>
  <si>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</si>
  <si>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</si>
  <si>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</si>
  <si>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</si>
  <si>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</si>
  <si>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N°10601</t>
  </si>
  <si>
    <t>GRIGNEN DISEÑO  INTEGRAL LTDA</t>
  </si>
  <si>
    <t>76.606.552-K</t>
  </si>
  <si>
    <t>OBRAS MENORES EN CONSTRUCCION</t>
  </si>
  <si>
    <t>SOLANGE AVALOS</t>
  </si>
  <si>
    <t>+56990154887</t>
  </si>
  <si>
    <t>EL AVELLANO 5040 BARRIO NUEVO NOS, SAN BERNARDO</t>
  </si>
  <si>
    <t>CUBIERTA CON RESPALDO R8</t>
  </si>
  <si>
    <t>MARMORE CARRARA PP-5859 BR</t>
  </si>
  <si>
    <t>CORTE 45°</t>
  </si>
  <si>
    <t>MDF 18MM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</si>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</sst>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9" borderId="4" xfId="0" applyFont="1" applyFill="1" applyBorder="1"/>
    <xf numFmtId="0" fontId="1" fillId="8" borderId="0" xfId="0" applyFont="1" applyFill="1"/>
    <xf numFmtId="0" fontId="5" fillId="9" borderId="0" xfId="0" applyFont="1" applyFill="1"/>
    <xf numFmtId="0" fontId="17" fillId="8" borderId="0" xfId="2" quotePrefix="1" applyFont="1" applyFill="1" applyBorder="1"/>
    <xf numFmtId="0" fontId="18" fillId="9" borderId="0" xfId="0" applyFont="1" applyFill="1"/>
    <xf numFmtId="0" fontId="1" fillId="8" borderId="9" xfId="2" applyFont="1" applyFill="1" applyBorder="1" applyAlignment="1">
      <alignment horizontal="left"/>
    </xf>
    <xf numFmtId="1" fontId="15" fillId="0" borderId="11" xfId="0" applyNumberFormat="1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/>
    </xf>
    <xf numFmtId="42" fontId="3" fillId="0" borderId="2" xfId="3" applyFont="1" applyFill="1" applyBorder="1" applyAlignment="1">
      <alignment horizontal="center" vertical="center"/>
    </xf>
    <xf numFmtId="1" fontId="15" fillId="0" borderId="14" xfId="0" applyNumberFormat="1" applyFont="1" applyBorder="1" applyAlignment="1">
      <alignment horizontal="center" vertical="center"/>
    </xf>
    <xf numFmtId="42" fontId="3" fillId="0" borderId="33" xfId="3" applyFont="1" applyFill="1" applyBorder="1" applyAlignment="1">
      <alignment horizontal="center" vertical="center"/>
    </xf>
    <xf numFmtId="165" fontId="19" fillId="0" borderId="3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165" fontId="15" fillId="0" borderId="33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$ 124.964.-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CORTE 45°, CORTADAS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57</xdr:row>
      <xdr:rowOff>24765</xdr:rowOff>
    </xdr:from>
    <xdr:to>
      <xdr:col>5</xdr:col>
      <xdr:colOff>2396490</xdr:colOff>
      <xdr:row>61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LLEVA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DE 45°</a:t>
          </a:r>
          <a:endParaRPr lang="es-CL" sz="11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C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ADJUNTO DETALLE DE CORTE, CORTADAS A LA MEDIDA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194310</xdr:rowOff>
    </xdr:from>
    <xdr:to>
      <xdr:col>2</xdr:col>
      <xdr:colOff>100723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135</v>
      </c>
      <c r="E8" s="1"/>
      <c r="F8" s="93" t="s">
        <v>27</v>
      </c>
      <c r="G8" s="94">
        <v>7036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104" t="s">
        <v>136</v>
      </c>
      <c r="D10" s="55"/>
      <c r="E10" s="55"/>
      <c r="F10" s="56" t="s">
        <v>28</v>
      </c>
      <c r="G10" s="57">
        <v>45328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5" t="s">
        <v>137</v>
      </c>
      <c r="D11" s="60"/>
      <c r="E11" s="60"/>
      <c r="F11" s="60" t="s">
        <v>124</v>
      </c>
      <c r="G11" s="61">
        <v>45331</v>
      </c>
      <c r="H11" s="62"/>
      <c r="I11" s="1"/>
    </row>
    <row r="12" spans="1:17" ht="16.2" thickBot="1" x14ac:dyDescent="0.35">
      <c r="A12" s="1"/>
      <c r="B12" s="63" t="s">
        <v>132</v>
      </c>
      <c r="C12" s="106" t="s">
        <v>138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104" t="s">
        <v>139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7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8" t="s">
        <v>141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109" t="s">
        <v>133</v>
      </c>
      <c r="D16" s="69"/>
      <c r="E16" s="70"/>
      <c r="F16" s="119" t="s">
        <v>18</v>
      </c>
      <c r="G16" s="119"/>
      <c r="H16" s="12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1" t="s">
        <v>19</v>
      </c>
      <c r="C19" s="122"/>
      <c r="D19" s="122"/>
      <c r="E19" s="122"/>
      <c r="F19" s="122"/>
      <c r="G19" s="122"/>
      <c r="H19" s="123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10">
        <v>1</v>
      </c>
      <c r="C21" s="111" t="s">
        <v>142</v>
      </c>
      <c r="D21" s="100">
        <v>1835</v>
      </c>
      <c r="E21" s="100">
        <v>600</v>
      </c>
      <c r="F21" s="117" t="s">
        <v>143</v>
      </c>
      <c r="G21" s="112">
        <v>110231</v>
      </c>
      <c r="H21" s="99">
        <f>G21*B21</f>
        <v>110231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13">
        <v>1</v>
      </c>
      <c r="C22" s="111" t="s">
        <v>142</v>
      </c>
      <c r="D22" s="118">
        <v>1335</v>
      </c>
      <c r="E22" s="118">
        <v>600</v>
      </c>
      <c r="F22" s="117" t="s">
        <v>143</v>
      </c>
      <c r="G22" s="114">
        <v>84793</v>
      </c>
      <c r="H22" s="99">
        <f>G22*B22</f>
        <v>84793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15">
        <v>2</v>
      </c>
      <c r="C23" s="124" t="s">
        <v>144</v>
      </c>
      <c r="D23" s="124"/>
      <c r="E23" s="124"/>
      <c r="F23" s="124"/>
      <c r="G23" s="116">
        <v>7500</v>
      </c>
      <c r="H23" s="99">
        <f>G23*B23</f>
        <v>15000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/>
      <c r="C24" s="98"/>
      <c r="D24" s="98"/>
      <c r="E24" s="98"/>
      <c r="F24" s="98"/>
      <c r="G24" s="96"/>
      <c r="H24" s="96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210024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39904.559999999998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249928.56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7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3">
    <mergeCell ref="F16:H16"/>
    <mergeCell ref="B19:H19"/>
    <mergeCell ref="C23:F23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31</v>
      </c>
      <c r="C2" s="125"/>
      <c r="D2" s="125"/>
      <c r="E2" s="18"/>
      <c r="G2" s="125" t="s">
        <v>70</v>
      </c>
      <c r="H2" s="125"/>
      <c r="I2" s="125"/>
      <c r="P2" s="126" t="s">
        <v>58</v>
      </c>
      <c r="Q2" s="126"/>
      <c r="R2" s="12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6" t="s">
        <v>58</v>
      </c>
      <c r="M8" s="126"/>
      <c r="N8" s="12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zoomScaleNormal="100" workbookViewId="0">
      <selection sqref="A1:G37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7" t="s">
        <v>61</v>
      </c>
      <c r="L3" s="127"/>
      <c r="M3" s="127" t="s">
        <v>14</v>
      </c>
      <c r="N3" s="127"/>
    </row>
    <row r="4" spans="1:14" ht="15.75" customHeight="1" x14ac:dyDescent="0.3">
      <c r="A4" s="1"/>
      <c r="B4" s="1"/>
      <c r="C4" s="40" t="s">
        <v>27</v>
      </c>
      <c r="D4" s="14">
        <f>'4637'!G8</f>
        <v>7036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GRIGNEN DISEÑO  INTEGRAL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45331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8" t="s">
        <v>61</v>
      </c>
      <c r="B10" s="128"/>
      <c r="C10" s="128"/>
      <c r="D10" s="128"/>
      <c r="E10" s="128"/>
      <c r="F10" s="12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146</v>
      </c>
      <c r="B14" s="25">
        <f t="shared" ref="B14" si="0">I14</f>
        <v>7</v>
      </c>
      <c r="C14" s="25"/>
      <c r="D14" s="25">
        <f>J14+D$13</f>
        <v>1885</v>
      </c>
      <c r="E14" s="35">
        <f>K14+E$13</f>
        <v>570</v>
      </c>
      <c r="F14" s="102" t="str">
        <f>C28</f>
        <v>CUBIERTA CON RESPALDO R8</v>
      </c>
      <c r="G14" s="1"/>
      <c r="I14" s="3">
        <v>7</v>
      </c>
      <c r="J14" s="4">
        <f t="shared" ref="J14:K14" si="1">D28</f>
        <v>1835</v>
      </c>
      <c r="K14" s="4">
        <f t="shared" si="1"/>
        <v>600</v>
      </c>
    </row>
    <row r="15" spans="1:14" ht="15.6" x14ac:dyDescent="0.3">
      <c r="A15" s="95"/>
      <c r="B15" s="25">
        <f t="shared" ref="B15" si="2">I15</f>
        <v>1</v>
      </c>
      <c r="C15" s="25"/>
      <c r="D15" s="25">
        <f t="shared" ref="D15" si="3">J15+D$13</f>
        <v>1385</v>
      </c>
      <c r="E15" s="35">
        <f t="shared" ref="E15" si="4">K15+E$13</f>
        <v>570</v>
      </c>
      <c r="F15" s="102" t="str">
        <f t="shared" ref="F15" si="5">C29</f>
        <v>CUBIERTA CON RESPALDO R8</v>
      </c>
      <c r="G15" s="1"/>
      <c r="I15" s="3">
        <f t="shared" ref="I15" si="6">B29</f>
        <v>1</v>
      </c>
      <c r="J15" s="4">
        <f t="shared" ref="J15" si="7">D29</f>
        <v>1335</v>
      </c>
      <c r="K15" s="4">
        <f t="shared" ref="K15" si="8">E29</f>
        <v>600</v>
      </c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8" t="s">
        <v>14</v>
      </c>
      <c r="B18" s="128"/>
      <c r="C18" s="128"/>
      <c r="D18" s="128"/>
      <c r="E18" s="128"/>
      <c r="F18" s="12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 t="s">
        <v>145</v>
      </c>
      <c r="B22" s="16">
        <f t="shared" ref="B22" si="9">I22</f>
        <v>1</v>
      </c>
      <c r="C22" s="16"/>
      <c r="D22" s="16">
        <f>J22+D$21</f>
        <v>1875</v>
      </c>
      <c r="E22" s="16">
        <f>K22+E$21</f>
        <v>730</v>
      </c>
      <c r="F22" s="103" t="str">
        <f>C28</f>
        <v>CUBIERTA CON RESPALDO R8</v>
      </c>
      <c r="G22" s="1"/>
      <c r="I22" s="3">
        <f>B28</f>
        <v>1</v>
      </c>
      <c r="J22" s="4">
        <f>D28</f>
        <v>1835</v>
      </c>
      <c r="K22" s="4">
        <f>E28</f>
        <v>600</v>
      </c>
    </row>
    <row r="23" spans="1:11" ht="15.6" x14ac:dyDescent="0.3">
      <c r="A23" s="95"/>
      <c r="B23" s="16">
        <f t="shared" ref="B23" si="10">I23</f>
        <v>1</v>
      </c>
      <c r="C23" s="16"/>
      <c r="D23" s="16">
        <f>J23+D$21</f>
        <v>1375</v>
      </c>
      <c r="E23" s="16">
        <f>K23+E$21</f>
        <v>730</v>
      </c>
      <c r="F23" s="103" t="str">
        <f t="shared" ref="F23" si="11">C29</f>
        <v>CUBIERTA CON RESPALDO R8</v>
      </c>
      <c r="G23" s="1"/>
      <c r="I23" s="3">
        <f t="shared" ref="I23" si="12">B29</f>
        <v>1</v>
      </c>
      <c r="J23" s="4">
        <f t="shared" ref="J23:K23" si="13">D29</f>
        <v>1335</v>
      </c>
      <c r="K23" s="4">
        <f t="shared" si="13"/>
        <v>600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</row>
    <row r="28" spans="1:11" ht="15.6" x14ac:dyDescent="0.3">
      <c r="A28" s="95" t="s">
        <v>145</v>
      </c>
      <c r="B28" s="25">
        <f>'4637'!B21</f>
        <v>1</v>
      </c>
      <c r="C28" s="102" t="str">
        <f>'4637'!C21</f>
        <v>CUBIERTA CON RESPALDO R8</v>
      </c>
      <c r="D28" s="25">
        <f>'4637'!D21</f>
        <v>1835</v>
      </c>
      <c r="E28" s="25">
        <f>'4637'!E21</f>
        <v>600</v>
      </c>
      <c r="F28" s="25" t="str">
        <f>'4637'!F21</f>
        <v>MARMORE CARRARA PP-5859 BR</v>
      </c>
      <c r="G28" s="1"/>
    </row>
    <row r="29" spans="1:11" ht="15.6" x14ac:dyDescent="0.3">
      <c r="A29" s="95"/>
      <c r="B29" s="25">
        <f>'4637'!B22</f>
        <v>1</v>
      </c>
      <c r="C29" s="102" t="str">
        <f>'4637'!C22</f>
        <v>CUBIERTA CON RESPALDO R8</v>
      </c>
      <c r="D29" s="25">
        <f>'4637'!D22</f>
        <v>1335</v>
      </c>
      <c r="E29" s="25">
        <f>'4637'!E22</f>
        <v>600</v>
      </c>
      <c r="F29" s="25" t="str">
        <f>'4637'!F22</f>
        <v>MARMORE CARRARA PP-5859 BR</v>
      </c>
      <c r="G29" s="1"/>
    </row>
    <row r="30" spans="1:11" ht="15.6" x14ac:dyDescent="0.3">
      <c r="A30" s="95"/>
      <c r="B30" s="25">
        <f>'4637'!B23</f>
        <v>2</v>
      </c>
      <c r="C30" s="25" t="str">
        <f>'4637'!C23</f>
        <v>CORTE 45°</v>
      </c>
      <c r="D30" s="25">
        <f>'4637'!D23</f>
        <v>0</v>
      </c>
      <c r="E30" s="25">
        <f>'4637'!E23</f>
        <v>0</v>
      </c>
      <c r="F30" s="25">
        <f>'4637'!F23</f>
        <v>0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7036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GRIGNEN DISEÑO  INTEGRAL LTDA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45331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8" t="s">
        <v>68</v>
      </c>
      <c r="B47" s="128"/>
      <c r="C47" s="128"/>
      <c r="D47" s="128"/>
      <c r="E47" s="128"/>
      <c r="F47" s="128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9" t="s">
        <v>69</v>
      </c>
      <c r="C49" s="130"/>
      <c r="D49" s="131"/>
      <c r="E49" s="131"/>
      <c r="F49" s="132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5" t="s">
        <v>145</v>
      </c>
      <c r="B51" s="38">
        <f>'4637'!B21</f>
        <v>1</v>
      </c>
      <c r="C51" s="101" t="str">
        <f>'4637'!C21</f>
        <v>CUBIERTA CON RESPALDO R8</v>
      </c>
      <c r="D51" s="39">
        <f>'4637'!D21</f>
        <v>1835</v>
      </c>
      <c r="E51" s="39">
        <f>'4637'!E21</f>
        <v>600</v>
      </c>
      <c r="F51" s="38" t="str">
        <f>'4637'!F21</f>
        <v>MARMORE CARRARA PP-5859 BR</v>
      </c>
      <c r="G51" s="1"/>
    </row>
    <row r="52" spans="1:7" s="15" customFormat="1" ht="15" customHeight="1" x14ac:dyDescent="0.3">
      <c r="A52" s="95"/>
      <c r="B52" s="38">
        <f>'4637'!B22</f>
        <v>1</v>
      </c>
      <c r="C52" s="101" t="str">
        <f>'4637'!C22</f>
        <v>CUBIERTA CON RESPALDO R8</v>
      </c>
      <c r="D52" s="39">
        <f>'4637'!D22</f>
        <v>1335</v>
      </c>
      <c r="E52" s="39">
        <f>'4637'!E22</f>
        <v>600</v>
      </c>
      <c r="F52" s="38" t="str">
        <f>'4637'!F22</f>
        <v>MARMORE CARRARA PP-5859 BR</v>
      </c>
      <c r="G52" s="1"/>
    </row>
    <row r="53" spans="1:7" s="15" customFormat="1" ht="15" customHeight="1" x14ac:dyDescent="0.3">
      <c r="A53" s="95"/>
      <c r="B53" s="38">
        <f>'4637'!B23</f>
        <v>2</v>
      </c>
      <c r="C53" s="101" t="str">
        <f>'4637'!C23</f>
        <v>CORTE 45°</v>
      </c>
      <c r="D53" s="39">
        <f>'4637'!D23</f>
        <v>0</v>
      </c>
      <c r="E53" s="39">
        <f>'4637'!E23</f>
        <v>0</v>
      </c>
      <c r="F53" s="38">
        <f>'4637'!F23</f>
        <v>0</v>
      </c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2024-02-06T13:15:16Z</cp:lastPrinted>
  <dcterms:created xsi:type="dcterms:W3CDTF">2013-03-19T12:54:14Z</dcterms:created>
  <dcterms:modified xsi:type="dcterms:W3CDTF">2024-02-08T19:36:25Z</dcterms:modified>
</cp:coreProperties>
</file>