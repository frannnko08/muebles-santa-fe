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NOTAS DE VENTAS TOPMOBILI\NDV 2024\2024 FEBRERO\"/>
    </mc:Choice>
  </mc:AlternateContent>
  <xr:revisionPtr revIDLastSave="0" documentId="13_ncr:1_{B68D1443-F0C5-4095-83C0-DE74C27F6E28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'4637'!$A$1:$H$30</definedName>
    <definedName name="_xlnm.Print_Area" localSheetId="2">CUBIERTA!$A$1:$G$36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1" i="4" l="1"/>
  <c r="H24" i="4" l="1"/>
  <c r="B49" i="3"/>
  <c r="C49" i="3"/>
  <c r="D49" i="3"/>
  <c r="E49" i="3"/>
  <c r="F49" i="3"/>
  <c r="B28" i="3"/>
  <c r="C28" i="3"/>
  <c r="F22" i="3" s="1"/>
  <c r="D28" i="3"/>
  <c r="J14" i="3" s="1"/>
  <c r="D14" i="3" s="1"/>
  <c r="E28" i="3"/>
  <c r="K14" i="3" s="1"/>
  <c r="E14" i="3" s="1"/>
  <c r="F28" i="3"/>
  <c r="H25" i="4" l="1"/>
  <c r="I22" i="3"/>
  <c r="F14" i="3"/>
  <c r="K22" i="3"/>
  <c r="E22" i="3" s="1"/>
  <c r="J22" i="3"/>
  <c r="D22" i="3" s="1"/>
  <c r="B22" i="3" l="1"/>
  <c r="B14" i="3"/>
  <c r="H26" i="4"/>
  <c r="N5" i="3" l="1"/>
  <c r="M5" i="3" l="1"/>
  <c r="L5" i="3"/>
  <c r="K5" i="3"/>
  <c r="C42" i="3" l="1"/>
  <c r="C7" i="3"/>
  <c r="D40" i="3"/>
  <c r="D5" i="3"/>
  <c r="D42" i="3"/>
  <c r="D7" i="3"/>
  <c r="D39" i="3"/>
  <c r="D4" i="3"/>
</calcChain>
</file>

<file path=xl/sharedStrings.xml><?xml version="1.0" encoding="utf-8"?>
<sst xmlns="http://schemas.openxmlformats.org/spreadsheetml/2006/main" count="251" uniqueCount="147">
  <si>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</si>
  <si>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</si>
  <si>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</si>
  <si>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</si>
  <si>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</si>
  <si>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</si>
  <si>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</si>
  <si>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</si>
  <si>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</si>
  <si>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</si>
  <si>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</si>
  <si>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</si>
  <si>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</si>
  <si>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</si>
  <si>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</si>
  <si>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</si>
  <si>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</si>
  <si>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</si>
  <si>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</si>
  <si>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</si>
  <si>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</si>
  <si>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</si>
  <si>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</si>
  <si>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</si>
  <si>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</si>
  <si>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</si>
  <si>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</si>
  <si>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</si>
  <si>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</si>
  <si>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</si>
  <si>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</si>
  <si>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</si>
  <si>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</si>
  <si>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</si>
  <si>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</si>
  <si>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</si>
  <si>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</si>
  <si>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</si>
  <si>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</si>
  <si>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</si>
  <si>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</si>
  <si>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</si>
  <si>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</si>
  <si>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</si>
  <si>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</si>
  <si>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</si>
  <si>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</si>
  <si>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</si>
  <si>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</si>
  <si>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</si>
  <si>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</si>
  <si>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</si>
  <si>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</si>
  <si>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</si>
  <si>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</si>
  <si>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</si>
  <si>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</si>
  <si>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</si>
  <si>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</si>
  <si>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</si>
  <si>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</si>
  <si>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</si>
  <si>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</si>
  <si>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</si>
  <si>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</si>
  <si>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</si>
  <si>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</si>
  <si>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</si>
  <si>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</si>
  <si>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</si>
  <si>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</si>
  <si>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</si>
  <si>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</si>
  <si>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</si>
  <si>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</si>
  <si>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</si>
  <si>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</si>
  <si>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</si>
  <si>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</si>
  <si>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</si>
  <si>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</si>
  <si>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</si>
  <si>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</si>
  <si>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</si>
  <si>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</si>
  <si>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</si>
  <si>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</si>
  <si>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</si>
  <si>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</si>
  <si>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</si>
  <si>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</si>
  <si>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</si>
  <si>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</si>
  <si>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</si>
  <si>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</si>
  <si>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</si>
  <si>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</si>
  <si>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</si>
  <si>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</si>
  <si>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</si>
  <si>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</si>
  <si>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</si>
  <si>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</si>
  <si>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</si>
  <si>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</si>
  <si>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</si>
  <si>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</si>
  <si>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</si>
  <si>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</si>
  <si>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</si>
  <si>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</si>
  <si>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</si>
  <si>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</si>
  <si>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</si>
  <si>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</si>
  <si>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</si>
  <si>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</si>
  <si>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</si>
  <si>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</si>
  <si>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</si>
  <si>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</si>
  <si>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</si>
  <si>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</si>
  <si>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</si>
  <si>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</si>
  <si>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</si>
  <si>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</si>
  <si>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CONTADO</t>
  </si>
  <si>
    <t>CUB C/R R6</t>
  </si>
  <si>
    <t>HECHO POR:</t>
  </si>
  <si>
    <t xml:space="preserve">CLIENTE: </t>
  </si>
  <si>
    <t>FERNANDO DONOSO</t>
  </si>
  <si>
    <t xml:space="preserve">GIRO: </t>
  </si>
  <si>
    <t>CONTACTO:</t>
  </si>
  <si>
    <t>MDF 18MM</t>
  </si>
  <si>
    <t>MDF18MM</t>
  </si>
  <si>
    <t>SANTIAGO</t>
  </si>
  <si>
    <t>QCLASS S.A.</t>
  </si>
  <si>
    <t>96.913.350-4</t>
  </si>
  <si>
    <t>CARLOS ARANDA</t>
  </si>
  <si>
    <t>+569 76844745</t>
  </si>
  <si>
    <t>SI</t>
  </si>
  <si>
    <t>CUBIERTA MESON 180° 360MM</t>
  </si>
  <si>
    <t>VAINILLA 2109 BRILLO</t>
  </si>
  <si>
    <t>VER DESARROLLO LAMINA</t>
  </si>
  <si>
    <t>SERVICIO EXPRESS</t>
  </si>
  <si>
    <t>N°10637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</si>
</sst>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$&quot;* #,##0_ ;_ &quot;$&quot;* \-#,##0_ ;_ &quot;$&quot;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21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i/>
      <sz val="11"/>
      <color rgb="FF1F497D"/>
      <name val="Arial"/>
      <family val="2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  <xf numFmtId="42" fontId="4" fillId="0" borderId="0" applyFont="0" applyFill="0" applyBorder="0" applyAlignment="0" applyProtection="0"/>
  </cellStyleXfs>
  <cellXfs count="127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6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9" fillId="0" borderId="18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1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1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9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3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31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30" xfId="1" applyNumberFormat="1" applyFont="1" applyFill="1" applyBorder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4" fillId="0" borderId="0" xfId="2" applyFont="1" applyFill="1" applyBorder="1" applyAlignment="1">
      <alignment horizontal="left" vertical="center" indent="1"/>
    </xf>
    <xf numFmtId="14" fontId="11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42" fontId="15" fillId="0" borderId="0" xfId="3" applyFont="1" applyBorder="1" applyAlignment="1">
      <alignment horizontal="center" vertical="center"/>
    </xf>
    <xf numFmtId="166" fontId="1" fillId="0" borderId="0" xfId="1" applyNumberFormat="1" applyFont="1" applyFill="1" applyBorder="1"/>
    <xf numFmtId="0" fontId="15" fillId="0" borderId="0" xfId="0" applyFont="1" applyAlignment="1">
      <alignment horizontal="center" vertical="center"/>
    </xf>
    <xf numFmtId="166" fontId="3" fillId="0" borderId="12" xfId="1" applyNumberFormat="1" applyFont="1" applyFill="1" applyBorder="1" applyAlignment="1">
      <alignment horizontal="center" vertical="center"/>
    </xf>
    <xf numFmtId="1" fontId="15" fillId="0" borderId="32" xfId="0" applyNumberFormat="1" applyFont="1" applyBorder="1" applyAlignment="1">
      <alignment horizontal="center" vertical="center"/>
    </xf>
    <xf numFmtId="0" fontId="5" fillId="9" borderId="4" xfId="0" applyFont="1" applyFill="1" applyBorder="1"/>
    <xf numFmtId="0" fontId="1" fillId="8" borderId="0" xfId="0" applyFont="1" applyFill="1"/>
    <xf numFmtId="0" fontId="17" fillId="9" borderId="0" xfId="0" applyFont="1" applyFill="1"/>
    <xf numFmtId="0" fontId="1" fillId="8" borderId="9" xfId="2" applyFont="1" applyFill="1" applyBorder="1" applyAlignment="1">
      <alignment horizontal="left"/>
    </xf>
    <xf numFmtId="0" fontId="18" fillId="0" borderId="0" xfId="0" quotePrefix="1" applyFont="1"/>
    <xf numFmtId="0" fontId="5" fillId="9" borderId="0" xfId="0" applyFont="1" applyFill="1"/>
    <xf numFmtId="0" fontId="15" fillId="0" borderId="11" xfId="0" applyFont="1" applyBorder="1" applyAlignment="1">
      <alignment horizontal="center" vertical="center"/>
    </xf>
    <xf numFmtId="0" fontId="15" fillId="0" borderId="32" xfId="0" applyFont="1" applyBorder="1" applyAlignment="1">
      <alignment horizontal="center" vertical="center"/>
    </xf>
    <xf numFmtId="166" fontId="3" fillId="0" borderId="32" xfId="1" applyNumberFormat="1" applyFont="1" applyFill="1" applyBorder="1" applyAlignment="1">
      <alignment horizontal="center" vertical="center"/>
    </xf>
    <xf numFmtId="0" fontId="16" fillId="0" borderId="0" xfId="0" applyFont="1" applyAlignment="1">
      <alignment horizontal="center"/>
    </xf>
    <xf numFmtId="0" fontId="19" fillId="0" borderId="18" xfId="0" applyFont="1" applyBorder="1" applyAlignment="1">
      <alignment horizontal="center"/>
    </xf>
    <xf numFmtId="0" fontId="19" fillId="0" borderId="27" xfId="0" applyFont="1" applyBorder="1" applyAlignment="1">
      <alignment horizontal="center"/>
    </xf>
    <xf numFmtId="0" fontId="20" fillId="0" borderId="2" xfId="0" applyFont="1" applyBorder="1" applyAlignment="1">
      <alignment horizontal="center"/>
    </xf>
    <xf numFmtId="0" fontId="20" fillId="0" borderId="18" xfId="0" applyFont="1" applyBorder="1" applyAlignment="1">
      <alignment horizontal="center"/>
    </xf>
    <xf numFmtId="0" fontId="20" fillId="3" borderId="2" xfId="0" applyFont="1" applyFill="1" applyBorder="1" applyAlignment="1">
      <alignment horizontal="center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20" fillId="3" borderId="0" xfId="0" applyFont="1" applyFill="1" applyAlignment="1">
      <alignment horizontal="center"/>
    </xf>
    <xf numFmtId="0" fontId="11" fillId="4" borderId="9" xfId="0" applyFont="1" applyFill="1" applyBorder="1" applyAlignment="1">
      <alignment horizontal="left"/>
    </xf>
    <xf numFmtId="0" fontId="11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8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</cellXfs>
  <cellStyles count="4">
    <cellStyle name="Hipervínculo" xfId="2" builtinId="8"/>
    <cellStyle name="Millares" xfId="1" builtinId="3"/>
    <cellStyle name="Moneda [0]" xfId="3" builtinId="7"/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</xdr:colOff>
      <xdr:row>23</xdr:row>
      <xdr:rowOff>9525</xdr:rowOff>
    </xdr:from>
    <xdr:to>
      <xdr:col>5</xdr:col>
      <xdr:colOff>1390650</xdr:colOff>
      <xdr:row>27</xdr:row>
      <xdr:rowOff>47625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01930" y="5800725"/>
          <a:ext cx="5532120" cy="6477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ABONO  $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6</xdr:row>
      <xdr:rowOff>26670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16</xdr:row>
      <xdr:rowOff>76200</xdr:rowOff>
    </xdr:from>
    <xdr:to>
      <xdr:col>5</xdr:col>
      <xdr:colOff>1676399</xdr:colOff>
      <xdr:row>18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1514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43</xdr:row>
      <xdr:rowOff>171450</xdr:rowOff>
    </xdr:from>
    <xdr:to>
      <xdr:col>5</xdr:col>
      <xdr:colOff>1685924</xdr:colOff>
      <xdr:row>45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0</xdr:rowOff>
    </xdr:from>
    <xdr:to>
      <xdr:col>6</xdr:col>
      <xdr:colOff>0</xdr:colOff>
      <xdr:row>42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38100</xdr:rowOff>
    </xdr:from>
    <xdr:to>
      <xdr:col>6</xdr:col>
      <xdr:colOff>0</xdr:colOff>
      <xdr:row>40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52</xdr:row>
      <xdr:rowOff>0</xdr:rowOff>
    </xdr:from>
    <xdr:to>
      <xdr:col>2</xdr:col>
      <xdr:colOff>38100</xdr:colOff>
      <xdr:row>53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52</xdr:row>
      <xdr:rowOff>0</xdr:rowOff>
    </xdr:from>
    <xdr:to>
      <xdr:col>2</xdr:col>
      <xdr:colOff>1019175</xdr:colOff>
      <xdr:row>52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52</xdr:row>
      <xdr:rowOff>0</xdr:rowOff>
    </xdr:from>
    <xdr:to>
      <xdr:col>3</xdr:col>
      <xdr:colOff>352425</xdr:colOff>
      <xdr:row>53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52</xdr:row>
      <xdr:rowOff>0</xdr:rowOff>
    </xdr:from>
    <xdr:to>
      <xdr:col>4</xdr:col>
      <xdr:colOff>257175</xdr:colOff>
      <xdr:row>53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52</xdr:row>
      <xdr:rowOff>0</xdr:rowOff>
    </xdr:from>
    <xdr:to>
      <xdr:col>5</xdr:col>
      <xdr:colOff>447675</xdr:colOff>
      <xdr:row>52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52</xdr:row>
      <xdr:rowOff>0</xdr:rowOff>
    </xdr:from>
    <xdr:to>
      <xdr:col>6</xdr:col>
      <xdr:colOff>0</xdr:colOff>
      <xdr:row>52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52</xdr:row>
      <xdr:rowOff>190500</xdr:rowOff>
    </xdr:from>
    <xdr:to>
      <xdr:col>2</xdr:col>
      <xdr:colOff>304800</xdr:colOff>
      <xdr:row>54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52</xdr:row>
      <xdr:rowOff>190500</xdr:rowOff>
    </xdr:from>
    <xdr:to>
      <xdr:col>2</xdr:col>
      <xdr:colOff>1276350</xdr:colOff>
      <xdr:row>54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52</xdr:row>
      <xdr:rowOff>190500</xdr:rowOff>
    </xdr:from>
    <xdr:to>
      <xdr:col>3</xdr:col>
      <xdr:colOff>619125</xdr:colOff>
      <xdr:row>54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52</xdr:row>
      <xdr:rowOff>190500</xdr:rowOff>
    </xdr:from>
    <xdr:to>
      <xdr:col>4</xdr:col>
      <xdr:colOff>523875</xdr:colOff>
      <xdr:row>54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52</xdr:row>
      <xdr:rowOff>190500</xdr:rowOff>
    </xdr:from>
    <xdr:to>
      <xdr:col>5</xdr:col>
      <xdr:colOff>723900</xdr:colOff>
      <xdr:row>54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52</xdr:row>
      <xdr:rowOff>190500</xdr:rowOff>
    </xdr:from>
    <xdr:to>
      <xdr:col>6</xdr:col>
      <xdr:colOff>0</xdr:colOff>
      <xdr:row>54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392430</xdr:colOff>
      <xdr:row>30</xdr:row>
      <xdr:rowOff>15239</xdr:rowOff>
    </xdr:from>
    <xdr:to>
      <xdr:col>6</xdr:col>
      <xdr:colOff>68580</xdr:colOff>
      <xdr:row>34</xdr:row>
      <xdr:rowOff>57150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6473189"/>
          <a:ext cx="7820025" cy="84201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OBSERVACIONES:CORTADA A LA MEDIDA Y ENCHAPADA CON TAPACANTO PVC 0,4MM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23</xdr:row>
      <xdr:rowOff>200025</xdr:rowOff>
    </xdr:from>
    <xdr:to>
      <xdr:col>6</xdr:col>
      <xdr:colOff>19049</xdr:colOff>
      <xdr:row>25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721995</xdr:colOff>
      <xdr:row>55</xdr:row>
      <xdr:rowOff>24765</xdr:rowOff>
    </xdr:from>
    <xdr:to>
      <xdr:col>5</xdr:col>
      <xdr:colOff>2396490</xdr:colOff>
      <xdr:row>59</xdr:row>
      <xdr:rowOff>144780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1995" y="11157585"/>
          <a:ext cx="7717155" cy="9048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OBSERVACIONES:CORTAR A LA MEDIDA Y ENCHAPAR CON TAPACANTO PVC 0,4MM</a:t>
          </a:r>
          <a:endParaRPr lang="es-CL" sz="1100" b="1" i="1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0</xdr:col>
      <xdr:colOff>38100</xdr:colOff>
      <xdr:row>35</xdr:row>
      <xdr:rowOff>163830</xdr:rowOff>
    </xdr:from>
    <xdr:to>
      <xdr:col>1</xdr:col>
      <xdr:colOff>908443</xdr:colOff>
      <xdr:row>42</xdr:row>
      <xdr:rowOff>60960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7341870"/>
          <a:ext cx="1594243" cy="1154430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2</xdr:col>
      <xdr:colOff>79768</xdr:colOff>
      <xdr:row>7</xdr:row>
      <xdr:rowOff>194310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3"/>
  <sheetViews>
    <sheetView workbookViewId="0">
      <selection activeCell="J10" sqref="J10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42.77734375" customWidth="1"/>
    <col min="4" max="5" width="9.109375" customWidth="1"/>
    <col min="6" max="6" width="27.44140625" customWidth="1"/>
    <col min="7" max="8" width="13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119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120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121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85" t="s">
        <v>16</v>
      </c>
      <c r="C8" s="86"/>
      <c r="D8" s="87" t="s">
        <v>146</v>
      </c>
      <c r="E8" s="1"/>
      <c r="F8" s="88" t="s">
        <v>27</v>
      </c>
      <c r="G8" s="89">
        <v>7044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6.2" thickBot="1" x14ac:dyDescent="0.35">
      <c r="A10" s="1"/>
      <c r="B10" s="49" t="s">
        <v>130</v>
      </c>
      <c r="C10" s="96" t="s">
        <v>137</v>
      </c>
      <c r="D10" s="50"/>
      <c r="E10" s="50"/>
      <c r="F10" s="51" t="s">
        <v>28</v>
      </c>
      <c r="G10" s="52">
        <v>45344</v>
      </c>
      <c r="H10" s="53"/>
      <c r="I10" s="1"/>
      <c r="J10" s="1"/>
      <c r="K10" s="1"/>
      <c r="L10" s="1"/>
      <c r="M10" s="1"/>
      <c r="N10" s="1"/>
      <c r="O10" s="1"/>
      <c r="P10" s="1"/>
      <c r="Q10" s="1"/>
    </row>
    <row r="11" spans="1:17" ht="16.2" thickBot="1" x14ac:dyDescent="0.35">
      <c r="A11" s="1"/>
      <c r="B11" s="54" t="s">
        <v>2</v>
      </c>
      <c r="C11" s="97" t="s">
        <v>138</v>
      </c>
      <c r="D11" s="55"/>
      <c r="E11" s="55"/>
      <c r="F11" s="55" t="s">
        <v>124</v>
      </c>
      <c r="G11" s="56">
        <v>45345</v>
      </c>
      <c r="H11" s="57"/>
      <c r="I11" s="1"/>
    </row>
    <row r="12" spans="1:17" ht="15.6" x14ac:dyDescent="0.3">
      <c r="A12" s="1"/>
      <c r="B12" s="58" t="s">
        <v>132</v>
      </c>
      <c r="C12" s="101"/>
      <c r="D12" s="38"/>
      <c r="E12" s="38"/>
      <c r="F12" s="38" t="s">
        <v>30</v>
      </c>
      <c r="G12" s="59"/>
      <c r="H12" s="60"/>
      <c r="I12" s="1"/>
    </row>
    <row r="13" spans="1:17" ht="15.6" x14ac:dyDescent="0.3">
      <c r="A13" s="1"/>
      <c r="B13" s="58" t="s">
        <v>133</v>
      </c>
      <c r="C13" s="101" t="s">
        <v>139</v>
      </c>
      <c r="D13" s="38"/>
      <c r="E13" s="38"/>
      <c r="F13" s="38" t="s">
        <v>129</v>
      </c>
      <c r="G13" s="59" t="s">
        <v>131</v>
      </c>
      <c r="H13" s="60"/>
      <c r="I13" s="1"/>
    </row>
    <row r="14" spans="1:17" ht="15.6" x14ac:dyDescent="0.3">
      <c r="A14" s="1"/>
      <c r="B14" s="54" t="s">
        <v>17</v>
      </c>
      <c r="C14" s="100" t="s">
        <v>140</v>
      </c>
      <c r="D14" s="61"/>
      <c r="E14" s="55"/>
      <c r="F14" s="55" t="s">
        <v>29</v>
      </c>
      <c r="G14" s="55" t="s">
        <v>141</v>
      </c>
      <c r="H14" s="57"/>
      <c r="I14" s="1"/>
    </row>
    <row r="15" spans="1:17" ht="15.6" x14ac:dyDescent="0.3">
      <c r="A15" s="1"/>
      <c r="B15" s="58" t="s">
        <v>1</v>
      </c>
      <c r="C15" s="98"/>
      <c r="D15" s="38"/>
      <c r="E15" s="38"/>
      <c r="F15" s="62" t="s">
        <v>75</v>
      </c>
      <c r="G15" s="62" t="s">
        <v>127</v>
      </c>
      <c r="H15" s="60"/>
      <c r="I15" s="1"/>
    </row>
    <row r="16" spans="1:17" ht="16.2" thickBot="1" x14ac:dyDescent="0.35">
      <c r="A16" s="1"/>
      <c r="B16" s="63" t="s">
        <v>3</v>
      </c>
      <c r="C16" s="99" t="s">
        <v>136</v>
      </c>
      <c r="D16" s="64"/>
      <c r="E16" s="65"/>
      <c r="F16" s="114" t="s">
        <v>18</v>
      </c>
      <c r="G16" s="114"/>
      <c r="H16" s="115"/>
      <c r="I16" s="1"/>
    </row>
    <row r="17" spans="1:16" ht="15.6" x14ac:dyDescent="0.3">
      <c r="A17" s="1"/>
      <c r="B17" s="1"/>
      <c r="C17" s="1"/>
      <c r="D17" s="1"/>
      <c r="E17" s="1"/>
      <c r="F17" s="1"/>
      <c r="G17" s="1"/>
      <c r="H17" s="1"/>
      <c r="I17" s="1"/>
    </row>
    <row r="18" spans="1:16" ht="16.2" thickBot="1" x14ac:dyDescent="0.35">
      <c r="A18" s="1"/>
      <c r="B18" s="1"/>
      <c r="C18" s="1"/>
      <c r="D18" s="1"/>
      <c r="E18" s="1"/>
      <c r="F18" s="1"/>
      <c r="G18" s="1"/>
      <c r="H18" s="1"/>
      <c r="I18" s="1"/>
    </row>
    <row r="19" spans="1:16" ht="16.2" thickBot="1" x14ac:dyDescent="0.35">
      <c r="A19" s="1"/>
      <c r="B19" s="116" t="s">
        <v>19</v>
      </c>
      <c r="C19" s="117"/>
      <c r="D19" s="117"/>
      <c r="E19" s="117"/>
      <c r="F19" s="117"/>
      <c r="G19" s="117"/>
      <c r="H19" s="118"/>
      <c r="I19" s="1"/>
    </row>
    <row r="20" spans="1:16" ht="16.2" thickBot="1" x14ac:dyDescent="0.35">
      <c r="A20" s="1"/>
      <c r="B20" s="66" t="s">
        <v>20</v>
      </c>
      <c r="C20" s="67" t="s">
        <v>21</v>
      </c>
      <c r="D20" s="67" t="s">
        <v>22</v>
      </c>
      <c r="E20" s="67" t="s">
        <v>8</v>
      </c>
      <c r="F20" s="68" t="s">
        <v>23</v>
      </c>
      <c r="G20" s="66" t="s">
        <v>24</v>
      </c>
      <c r="H20" s="68" t="s">
        <v>4</v>
      </c>
      <c r="I20" s="1"/>
    </row>
    <row r="21" spans="1:16" ht="18" customHeight="1" x14ac:dyDescent="0.3">
      <c r="A21" s="1"/>
      <c r="B21" s="102">
        <v>1</v>
      </c>
      <c r="C21" s="103" t="s">
        <v>142</v>
      </c>
      <c r="D21" s="95">
        <v>1135</v>
      </c>
      <c r="E21" s="95">
        <v>200</v>
      </c>
      <c r="F21" s="103" t="s">
        <v>143</v>
      </c>
      <c r="G21" s="104">
        <v>121633</v>
      </c>
      <c r="H21" s="94">
        <f>G21*B21</f>
        <v>121633</v>
      </c>
      <c r="I21" s="1"/>
      <c r="K21" s="16"/>
      <c r="L21" s="24"/>
      <c r="M21" s="16"/>
      <c r="N21" s="16"/>
      <c r="O21" s="24"/>
      <c r="P21" s="31"/>
    </row>
    <row r="22" spans="1:16" ht="18" customHeight="1" x14ac:dyDescent="0.3">
      <c r="A22" s="1"/>
      <c r="B22" s="93"/>
      <c r="C22" s="93"/>
      <c r="D22" s="93"/>
      <c r="E22" s="93"/>
      <c r="F22" s="93"/>
      <c r="G22" s="91"/>
      <c r="H22" s="91"/>
      <c r="I22" s="1"/>
      <c r="K22" s="16"/>
      <c r="L22" s="24"/>
      <c r="M22" s="16"/>
      <c r="N22" s="16"/>
      <c r="O22" s="24"/>
      <c r="P22" s="31"/>
    </row>
    <row r="23" spans="1:16" ht="8.25" customHeight="1" thickBot="1" x14ac:dyDescent="0.35">
      <c r="A23" s="1"/>
      <c r="B23" s="69"/>
      <c r="C23" s="69"/>
      <c r="D23" s="69"/>
      <c r="E23" s="69"/>
      <c r="F23" s="69"/>
      <c r="G23" s="70"/>
      <c r="H23" s="70"/>
      <c r="I23" s="1"/>
    </row>
    <row r="24" spans="1:16" ht="15.6" x14ac:dyDescent="0.3">
      <c r="A24" s="1"/>
      <c r="B24" s="1"/>
      <c r="C24" s="1"/>
      <c r="D24" s="1"/>
      <c r="E24" s="1"/>
      <c r="F24" s="1"/>
      <c r="G24" s="71" t="s">
        <v>5</v>
      </c>
      <c r="H24" s="72">
        <f>SUM(H21:H23)</f>
        <v>121633</v>
      </c>
      <c r="I24" s="1"/>
    </row>
    <row r="25" spans="1:16" ht="15.6" x14ac:dyDescent="0.3">
      <c r="A25" s="1"/>
      <c r="B25" s="1"/>
      <c r="C25" s="1"/>
      <c r="D25" s="1"/>
      <c r="E25" s="1"/>
      <c r="F25" s="1"/>
      <c r="G25" s="73" t="s">
        <v>6</v>
      </c>
      <c r="H25" s="74">
        <f>H24*19%</f>
        <v>23110.27</v>
      </c>
      <c r="I25" s="1"/>
    </row>
    <row r="26" spans="1:16" ht="16.2" thickBot="1" x14ac:dyDescent="0.35">
      <c r="A26" s="1"/>
      <c r="B26" s="1"/>
      <c r="C26" s="1"/>
      <c r="D26" s="1"/>
      <c r="E26" s="1"/>
      <c r="F26" s="1"/>
      <c r="G26" s="75" t="s">
        <v>4</v>
      </c>
      <c r="H26" s="76">
        <f>H24+H25</f>
        <v>144743.26999999999</v>
      </c>
      <c r="I26" s="1"/>
    </row>
    <row r="27" spans="1:16" ht="15.6" x14ac:dyDescent="0.3">
      <c r="A27" s="1"/>
      <c r="B27" s="1"/>
      <c r="C27" s="1"/>
      <c r="D27" s="1"/>
      <c r="E27" s="1"/>
      <c r="F27" s="1"/>
      <c r="G27" s="47"/>
      <c r="H27" s="92"/>
      <c r="I27" s="1"/>
    </row>
    <row r="28" spans="1:16" ht="15.6" x14ac:dyDescent="0.3">
      <c r="A28" s="1"/>
      <c r="B28" s="1"/>
      <c r="C28" s="1"/>
      <c r="D28" s="1"/>
      <c r="E28" s="1"/>
      <c r="F28" s="1"/>
      <c r="G28" s="1"/>
      <c r="H28" s="1"/>
      <c r="I28" s="1"/>
    </row>
    <row r="29" spans="1:16" ht="15.6" x14ac:dyDescent="0.3">
      <c r="A29" s="1"/>
      <c r="B29" s="77" t="s">
        <v>123</v>
      </c>
      <c r="C29" s="78"/>
      <c r="D29" s="79"/>
      <c r="E29" s="79"/>
      <c r="F29" s="69"/>
      <c r="G29" s="1"/>
      <c r="H29" s="1"/>
      <c r="I29" s="1"/>
    </row>
    <row r="30" spans="1:16" ht="15.6" x14ac:dyDescent="0.3">
      <c r="A30" s="1"/>
      <c r="B30" s="77" t="s">
        <v>122</v>
      </c>
      <c r="C30" s="78"/>
      <c r="D30" s="79"/>
      <c r="E30" s="79"/>
      <c r="F30" s="69"/>
      <c r="G30" s="1"/>
      <c r="H30" s="1"/>
      <c r="I30" s="1"/>
    </row>
    <row r="31" spans="1:16" ht="15.6" x14ac:dyDescent="0.3">
      <c r="A31" s="1"/>
      <c r="B31" s="1" t="s">
        <v>25</v>
      </c>
      <c r="C31" s="1"/>
      <c r="D31" s="1"/>
      <c r="E31" s="80" t="s">
        <v>26</v>
      </c>
      <c r="F31" s="1"/>
      <c r="G31" s="1"/>
      <c r="H31" s="1"/>
      <c r="I31" s="1"/>
    </row>
    <row r="32" spans="1:16" ht="15.6" x14ac:dyDescent="0.3">
      <c r="A32" s="1"/>
      <c r="B32" s="1"/>
      <c r="C32" s="1"/>
      <c r="D32" s="1"/>
      <c r="E32" s="1"/>
      <c r="F32" s="1"/>
      <c r="G32" s="1"/>
      <c r="H32" s="1"/>
      <c r="I32" s="1"/>
    </row>
    <row r="33" spans="1:9" ht="15.6" x14ac:dyDescent="0.3">
      <c r="A33" s="1"/>
      <c r="B33" s="1"/>
      <c r="C33" s="1"/>
      <c r="D33" s="1"/>
      <c r="E33" s="1"/>
      <c r="F33" s="1"/>
      <c r="G33" s="1"/>
      <c r="H33" s="1"/>
      <c r="I33" s="1"/>
    </row>
  </sheetData>
  <sortState xmlns:xlrd2="http://schemas.microsoft.com/office/spreadsheetml/2017/richdata2" ref="B35">
    <sortCondition sortBy="fontColor" ref="B35" dxfId="1"/>
  </sortState>
  <mergeCells count="2">
    <mergeCell ref="F16:H16"/>
    <mergeCell ref="B19:H19"/>
  </mergeCells>
  <phoneticPr fontId="10" type="noConversion"/>
  <hyperlinks>
    <hyperlink ref="E31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69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19" t="s">
        <v>31</v>
      </c>
      <c r="C2" s="119"/>
      <c r="D2" s="119"/>
      <c r="E2" s="17"/>
      <c r="G2" s="119" t="s">
        <v>70</v>
      </c>
      <c r="H2" s="119"/>
      <c r="I2" s="119"/>
      <c r="P2" s="120" t="s">
        <v>58</v>
      </c>
      <c r="Q2" s="120"/>
      <c r="R2" s="120"/>
    </row>
    <row r="3" spans="2:18" x14ac:dyDescent="0.3">
      <c r="B3" s="11" t="s">
        <v>7</v>
      </c>
      <c r="C3" s="11" t="s">
        <v>8</v>
      </c>
      <c r="D3" s="11" t="s">
        <v>21</v>
      </c>
      <c r="E3" s="18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3">
      <c r="B4" s="9">
        <v>40</v>
      </c>
      <c r="C4" s="9">
        <v>60</v>
      </c>
      <c r="D4" s="10" t="s">
        <v>113</v>
      </c>
      <c r="E4" s="8" t="s">
        <v>101</v>
      </c>
      <c r="G4" s="27">
        <v>50</v>
      </c>
      <c r="H4" s="27">
        <v>100</v>
      </c>
      <c r="I4" s="28" t="s">
        <v>113</v>
      </c>
      <c r="J4" s="29" t="s">
        <v>109</v>
      </c>
      <c r="K4" s="29"/>
      <c r="L4" s="29"/>
      <c r="M4" s="29"/>
      <c r="P4">
        <v>50</v>
      </c>
      <c r="Q4">
        <v>-30</v>
      </c>
      <c r="R4" t="s">
        <v>32</v>
      </c>
    </row>
    <row r="5" spans="2:18" x14ac:dyDescent="0.3">
      <c r="B5" s="9">
        <v>40</v>
      </c>
      <c r="C5" s="9">
        <v>90</v>
      </c>
      <c r="D5" s="10" t="s">
        <v>114</v>
      </c>
      <c r="E5" s="8" t="s">
        <v>102</v>
      </c>
      <c r="G5" s="27">
        <v>50</v>
      </c>
      <c r="H5" s="27"/>
      <c r="I5" s="28" t="s">
        <v>115</v>
      </c>
      <c r="J5" s="29" t="s">
        <v>117</v>
      </c>
      <c r="K5" s="29"/>
      <c r="L5" s="29"/>
      <c r="M5" s="29"/>
      <c r="P5">
        <v>50</v>
      </c>
      <c r="Q5">
        <v>-30</v>
      </c>
      <c r="R5" t="s">
        <v>32</v>
      </c>
    </row>
    <row r="6" spans="2:18" x14ac:dyDescent="0.3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3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3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20" t="s">
        <v>58</v>
      </c>
      <c r="M8" s="120"/>
      <c r="N8" s="120"/>
      <c r="P8">
        <v>50</v>
      </c>
      <c r="Q8">
        <v>-30</v>
      </c>
      <c r="R8" t="s">
        <v>50</v>
      </c>
    </row>
    <row r="9" spans="2:18" x14ac:dyDescent="0.3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3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3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3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3">
      <c r="B13" s="9">
        <v>40</v>
      </c>
      <c r="C13" s="9">
        <v>130</v>
      </c>
      <c r="D13" s="10" t="s">
        <v>128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3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3">
      <c r="B15" s="9">
        <v>40</v>
      </c>
      <c r="C15" s="9">
        <v>150</v>
      </c>
      <c r="D15" s="10" t="s">
        <v>116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3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3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3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3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3">
      <c r="B20" s="9">
        <v>40</v>
      </c>
      <c r="C20" s="9">
        <v>100</v>
      </c>
      <c r="D20" s="10" t="s">
        <v>118</v>
      </c>
      <c r="E20" s="8" t="s">
        <v>86</v>
      </c>
      <c r="G20" s="9">
        <v>50</v>
      </c>
      <c r="H20" s="9">
        <v>0</v>
      </c>
      <c r="I20" s="10" t="s">
        <v>118</v>
      </c>
      <c r="J20" s="29" t="s">
        <v>111</v>
      </c>
      <c r="K20" s="29"/>
      <c r="L20" s="29"/>
      <c r="M20" s="29"/>
      <c r="P20">
        <v>50</v>
      </c>
      <c r="Q20">
        <v>0</v>
      </c>
      <c r="R20" t="s">
        <v>52</v>
      </c>
    </row>
    <row r="21" spans="2:18" x14ac:dyDescent="0.3">
      <c r="B21" s="9">
        <v>100</v>
      </c>
      <c r="C21" s="9">
        <v>100</v>
      </c>
      <c r="D21" s="10" t="s">
        <v>112</v>
      </c>
      <c r="E21" s="8" t="s">
        <v>87</v>
      </c>
      <c r="G21" s="9">
        <v>50</v>
      </c>
      <c r="H21" s="9">
        <v>0</v>
      </c>
      <c r="I21" s="10" t="s">
        <v>112</v>
      </c>
      <c r="P21">
        <v>50</v>
      </c>
      <c r="Q21">
        <v>0</v>
      </c>
      <c r="R21" t="s">
        <v>53</v>
      </c>
    </row>
    <row r="22" spans="2:18" x14ac:dyDescent="0.3">
      <c r="B22" s="9">
        <v>100</v>
      </c>
      <c r="C22" s="9">
        <v>100</v>
      </c>
      <c r="D22" s="10" t="s">
        <v>35</v>
      </c>
      <c r="E22" s="8" t="s">
        <v>88</v>
      </c>
      <c r="G22" s="27"/>
      <c r="H22" s="27"/>
      <c r="I22" s="28" t="s">
        <v>35</v>
      </c>
      <c r="P22">
        <v>50</v>
      </c>
      <c r="Q22">
        <v>0</v>
      </c>
      <c r="R22" t="s">
        <v>49</v>
      </c>
    </row>
    <row r="23" spans="2:18" x14ac:dyDescent="0.3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3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3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3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3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3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3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3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3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3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3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3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3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3">
      <c r="B36" s="25">
        <v>40</v>
      </c>
      <c r="C36" s="25">
        <v>90</v>
      </c>
      <c r="D36" s="26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3">
      <c r="B37" s="25">
        <v>40</v>
      </c>
      <c r="C37" s="25">
        <v>90</v>
      </c>
      <c r="D37" s="26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63"/>
  <sheetViews>
    <sheetView tabSelected="1" zoomScaleNormal="100" workbookViewId="0">
      <selection sqref="A1:G36"/>
    </sheetView>
  </sheetViews>
  <sheetFormatPr baseColWidth="10" defaultRowHeight="14.4" x14ac:dyDescent="0.3"/>
  <cols>
    <col min="1" max="1" width="10.5546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6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2" t="s">
        <v>126</v>
      </c>
      <c r="L2" s="32"/>
      <c r="M2" s="32"/>
    </row>
    <row r="3" spans="1:14" ht="15.6" x14ac:dyDescent="0.3">
      <c r="A3" s="1"/>
      <c r="B3" s="1"/>
      <c r="C3" s="1"/>
      <c r="D3" s="1"/>
      <c r="E3" s="1"/>
      <c r="F3" s="1"/>
      <c r="G3" s="1"/>
      <c r="K3" s="121" t="s">
        <v>61</v>
      </c>
      <c r="L3" s="121"/>
      <c r="M3" s="121" t="s">
        <v>14</v>
      </c>
      <c r="N3" s="121"/>
    </row>
    <row r="4" spans="1:14" ht="15.75" customHeight="1" x14ac:dyDescent="0.3">
      <c r="A4" s="1"/>
      <c r="B4" s="1"/>
      <c r="C4" s="35" t="s">
        <v>27</v>
      </c>
      <c r="D4" s="14">
        <f>'4637'!G8</f>
        <v>7044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36" t="s">
        <v>67</v>
      </c>
      <c r="D5" s="37" t="str">
        <f>'4637'!C10</f>
        <v>QCLASS S.A.</v>
      </c>
      <c r="E5" s="38"/>
      <c r="F5" s="38"/>
      <c r="G5" s="1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A6" s="1"/>
      <c r="B6" s="1"/>
      <c r="C6" s="39"/>
      <c r="D6" s="40"/>
      <c r="E6" s="1"/>
      <c r="F6" s="1"/>
      <c r="G6" s="1"/>
    </row>
    <row r="7" spans="1:14" ht="15.6" x14ac:dyDescent="0.3">
      <c r="A7" s="1"/>
      <c r="B7" s="1"/>
      <c r="C7" s="81" t="str">
        <f>'4637'!F11</f>
        <v>FECHA LIMITE :</v>
      </c>
      <c r="D7" s="13">
        <f>'4637'!G11</f>
        <v>45345</v>
      </c>
      <c r="E7" s="1"/>
      <c r="F7" s="1"/>
      <c r="G7" s="1"/>
    </row>
    <row r="8" spans="1:14" ht="15.6" x14ac:dyDescent="0.3">
      <c r="A8" s="1"/>
      <c r="B8" s="1"/>
      <c r="C8" s="48" t="s">
        <v>125</v>
      </c>
      <c r="D8" s="1"/>
      <c r="E8" s="1"/>
      <c r="F8" s="1"/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22" t="s">
        <v>61</v>
      </c>
      <c r="B10" s="122"/>
      <c r="C10" s="122"/>
      <c r="D10" s="122"/>
      <c r="E10" s="122"/>
      <c r="F10" s="122"/>
      <c r="G10" s="1"/>
    </row>
    <row r="11" spans="1:14" ht="15.6" x14ac:dyDescent="0.3">
      <c r="A11" s="1"/>
      <c r="B11" s="1"/>
      <c r="C11" s="12"/>
      <c r="D11" s="1"/>
      <c r="E11" s="1"/>
      <c r="F11" s="1" t="s">
        <v>145</v>
      </c>
      <c r="G11" s="1"/>
    </row>
    <row r="12" spans="1:14" ht="15.6" x14ac:dyDescent="0.3">
      <c r="A12" s="1"/>
      <c r="B12" s="1"/>
      <c r="C12" s="1"/>
      <c r="D12" s="47" t="s">
        <v>7</v>
      </c>
      <c r="E12" s="47" t="s">
        <v>8</v>
      </c>
      <c r="F12" s="1"/>
      <c r="G12" s="1"/>
    </row>
    <row r="13" spans="1:14" ht="15.6" x14ac:dyDescent="0.3">
      <c r="A13" s="47" t="s">
        <v>9</v>
      </c>
      <c r="B13" s="34" t="s">
        <v>10</v>
      </c>
      <c r="C13" s="34" t="s">
        <v>11</v>
      </c>
      <c r="D13" s="30">
        <v>50</v>
      </c>
      <c r="E13" s="30"/>
      <c r="F13" s="34" t="s">
        <v>110</v>
      </c>
      <c r="G13" s="1"/>
      <c r="J13" s="5" t="s">
        <v>7</v>
      </c>
      <c r="K13" s="5" t="s">
        <v>8</v>
      </c>
    </row>
    <row r="14" spans="1:14" ht="18" x14ac:dyDescent="0.35">
      <c r="A14" s="90" t="s">
        <v>135</v>
      </c>
      <c r="B14" s="108">
        <f t="shared" ref="B14" si="0">I14</f>
        <v>2</v>
      </c>
      <c r="C14" s="108"/>
      <c r="D14" s="108">
        <f>J14+D$13</f>
        <v>1185</v>
      </c>
      <c r="E14" s="110">
        <f>K14+E$13</f>
        <v>200</v>
      </c>
      <c r="F14" s="108" t="str">
        <f>C28</f>
        <v>CUBIERTA MESON 180° 360MM</v>
      </c>
      <c r="G14" s="1"/>
      <c r="I14" s="3">
        <v>2</v>
      </c>
      <c r="J14" s="4">
        <f t="shared" ref="J14:K14" si="1">D28</f>
        <v>1135</v>
      </c>
      <c r="K14" s="4">
        <f t="shared" si="1"/>
        <v>200</v>
      </c>
    </row>
    <row r="15" spans="1:14" ht="18" x14ac:dyDescent="0.35">
      <c r="A15" s="90"/>
      <c r="B15" s="112"/>
      <c r="C15" s="112"/>
      <c r="D15" s="112"/>
      <c r="E15" s="113"/>
      <c r="F15" s="112"/>
      <c r="G15" s="1"/>
      <c r="I15" s="84"/>
      <c r="J15" s="2"/>
      <c r="K15" s="2"/>
    </row>
    <row r="16" spans="1:14" ht="15.6" x14ac:dyDescent="0.3">
      <c r="A16" s="47"/>
      <c r="B16" s="6"/>
      <c r="C16" s="6"/>
      <c r="D16" s="6"/>
      <c r="E16" s="83"/>
      <c r="F16" s="6"/>
      <c r="G16" s="1"/>
      <c r="I16" s="84"/>
      <c r="J16" s="2"/>
      <c r="K16" s="2"/>
    </row>
    <row r="17" spans="1:11" ht="6.75" customHeight="1" x14ac:dyDescent="0.3">
      <c r="A17" s="1"/>
      <c r="B17" s="1"/>
      <c r="C17" s="1"/>
      <c r="D17" s="1"/>
      <c r="E17" s="1"/>
      <c r="F17" s="1"/>
      <c r="G17" s="1"/>
    </row>
    <row r="18" spans="1:11" ht="15.6" x14ac:dyDescent="0.3">
      <c r="A18" s="122" t="s">
        <v>14</v>
      </c>
      <c r="B18" s="122"/>
      <c r="C18" s="122"/>
      <c r="D18" s="122"/>
      <c r="E18" s="122"/>
      <c r="F18" s="122"/>
      <c r="G18" s="1"/>
    </row>
    <row r="19" spans="1:11" ht="10.5" customHeight="1" x14ac:dyDescent="0.3">
      <c r="A19" s="1"/>
      <c r="B19" s="1"/>
      <c r="C19" s="12"/>
      <c r="D19" s="1"/>
      <c r="E19" s="1"/>
      <c r="F19" s="1"/>
      <c r="G19" s="1"/>
    </row>
    <row r="20" spans="1:11" ht="15.6" x14ac:dyDescent="0.3">
      <c r="A20" s="1"/>
      <c r="B20" s="1"/>
      <c r="C20" s="1"/>
      <c r="D20" s="47" t="s">
        <v>7</v>
      </c>
      <c r="E20" s="47" t="s">
        <v>8</v>
      </c>
      <c r="F20" s="1"/>
      <c r="G20" s="1"/>
    </row>
    <row r="21" spans="1:11" ht="15.6" x14ac:dyDescent="0.3">
      <c r="A21" s="47" t="s">
        <v>9</v>
      </c>
      <c r="B21" s="33" t="s">
        <v>10</v>
      </c>
      <c r="C21" s="33" t="s">
        <v>11</v>
      </c>
      <c r="D21" s="20">
        <v>40</v>
      </c>
      <c r="E21" s="20">
        <v>150</v>
      </c>
      <c r="F21" s="33" t="s">
        <v>110</v>
      </c>
      <c r="G21" s="1"/>
      <c r="J21" s="5" t="s">
        <v>7</v>
      </c>
      <c r="K21" s="5" t="s">
        <v>8</v>
      </c>
    </row>
    <row r="22" spans="1:11" ht="18" x14ac:dyDescent="0.35">
      <c r="A22" s="90" t="s">
        <v>134</v>
      </c>
      <c r="B22" s="109">
        <f t="shared" ref="B22" si="2">I22</f>
        <v>1</v>
      </c>
      <c r="C22" s="109" t="s">
        <v>144</v>
      </c>
      <c r="D22" s="109">
        <f>J22+D$21</f>
        <v>1175</v>
      </c>
      <c r="E22" s="109">
        <f>K22+E$21</f>
        <v>350</v>
      </c>
      <c r="F22" s="109" t="str">
        <f>C28</f>
        <v>CUBIERTA MESON 180° 360MM</v>
      </c>
      <c r="G22" s="1"/>
      <c r="I22" s="3">
        <f>B28</f>
        <v>1</v>
      </c>
      <c r="J22" s="4">
        <f>D28</f>
        <v>1135</v>
      </c>
      <c r="K22" s="4">
        <f>E28</f>
        <v>200</v>
      </c>
    </row>
    <row r="23" spans="1:11" ht="18" x14ac:dyDescent="0.35">
      <c r="A23" s="90"/>
      <c r="B23" s="112"/>
      <c r="C23" s="112"/>
      <c r="D23" s="112"/>
      <c r="E23" s="112"/>
      <c r="F23" s="112"/>
      <c r="G23" s="1"/>
      <c r="I23" s="84"/>
      <c r="J23" s="2"/>
      <c r="K23" s="2"/>
    </row>
    <row r="24" spans="1:11" ht="16.2" thickBot="1" x14ac:dyDescent="0.35">
      <c r="A24" s="47"/>
      <c r="B24" s="6"/>
      <c r="C24" s="6"/>
      <c r="D24" s="6"/>
      <c r="E24" s="6"/>
      <c r="F24" s="6"/>
      <c r="G24" s="1"/>
      <c r="I24" s="2"/>
      <c r="J24" s="2"/>
      <c r="K24" s="2"/>
    </row>
    <row r="25" spans="1:11" ht="16.2" thickBot="1" x14ac:dyDescent="0.35">
      <c r="A25" s="47"/>
      <c r="B25" s="21" t="s">
        <v>107</v>
      </c>
      <c r="C25" s="22"/>
      <c r="D25" s="22"/>
      <c r="E25" s="22"/>
      <c r="F25" s="23"/>
      <c r="G25" s="1"/>
      <c r="I25" s="2"/>
      <c r="J25" s="2"/>
      <c r="K25" s="2"/>
    </row>
    <row r="26" spans="1:11" ht="10.5" customHeight="1" x14ac:dyDescent="0.3">
      <c r="A26" s="1"/>
      <c r="B26" s="1"/>
      <c r="C26" s="1"/>
      <c r="D26" s="1"/>
      <c r="E26" s="1"/>
      <c r="F26" s="1"/>
      <c r="G26" s="1"/>
    </row>
    <row r="27" spans="1:11" ht="15.6" x14ac:dyDescent="0.3">
      <c r="A27" s="47" t="s">
        <v>9</v>
      </c>
      <c r="B27" s="82" t="s">
        <v>10</v>
      </c>
      <c r="C27" s="82" t="s">
        <v>110</v>
      </c>
      <c r="D27" s="82" t="s">
        <v>7</v>
      </c>
      <c r="E27" s="82" t="s">
        <v>8</v>
      </c>
      <c r="F27" s="82" t="s">
        <v>23</v>
      </c>
      <c r="G27" s="1"/>
    </row>
    <row r="28" spans="1:11" ht="18" x14ac:dyDescent="0.35">
      <c r="A28" s="90" t="s">
        <v>134</v>
      </c>
      <c r="B28" s="108">
        <f>'4637'!B21</f>
        <v>1</v>
      </c>
      <c r="C28" s="108" t="str">
        <f>'4637'!C21</f>
        <v>CUBIERTA MESON 180° 360MM</v>
      </c>
      <c r="D28" s="108">
        <f>'4637'!D21</f>
        <v>1135</v>
      </c>
      <c r="E28" s="108">
        <f>'4637'!E21</f>
        <v>200</v>
      </c>
      <c r="F28" s="108" t="str">
        <f>'4637'!F21</f>
        <v>VAINILLA 2109 BRILLO</v>
      </c>
      <c r="G28" s="1"/>
    </row>
    <row r="29" spans="1:11" ht="15.6" x14ac:dyDescent="0.3">
      <c r="A29" s="47"/>
      <c r="B29" s="6"/>
      <c r="C29" s="6"/>
      <c r="D29" s="6"/>
      <c r="E29" s="6"/>
      <c r="F29" s="6"/>
      <c r="G29" s="1"/>
    </row>
    <row r="30" spans="1:11" ht="15.6" x14ac:dyDescent="0.3">
      <c r="A30" s="1"/>
      <c r="B30" s="6"/>
      <c r="C30" s="6"/>
      <c r="D30" s="6"/>
      <c r="E30" s="6"/>
      <c r="F30" s="6"/>
      <c r="G30" s="1"/>
    </row>
    <row r="31" spans="1:11" ht="15.6" x14ac:dyDescent="0.3">
      <c r="A31" s="1"/>
      <c r="B31" s="6"/>
      <c r="C31" s="6"/>
      <c r="D31" s="6"/>
      <c r="E31" s="6"/>
      <c r="F31" s="6"/>
      <c r="G31" s="1"/>
    </row>
    <row r="32" spans="1:11" ht="15.6" x14ac:dyDescent="0.3">
      <c r="A32" s="1"/>
      <c r="B32" s="6"/>
      <c r="C32" s="6"/>
      <c r="D32" s="6"/>
      <c r="E32" s="6"/>
      <c r="F32" s="6"/>
      <c r="G32" s="1"/>
    </row>
    <row r="33" spans="1:7" ht="15.6" x14ac:dyDescent="0.3">
      <c r="A33" s="1"/>
      <c r="B33" s="6"/>
      <c r="C33" s="6"/>
      <c r="D33" s="6"/>
      <c r="E33" s="6"/>
      <c r="F33" s="6"/>
      <c r="G33" s="1"/>
    </row>
    <row r="34" spans="1:7" ht="15.6" x14ac:dyDescent="0.3">
      <c r="A34" s="1"/>
      <c r="B34" s="6"/>
      <c r="C34" s="6"/>
      <c r="D34" s="6"/>
      <c r="E34" s="6"/>
      <c r="F34" s="6"/>
      <c r="G34" s="1"/>
    </row>
    <row r="35" spans="1:7" ht="15.6" x14ac:dyDescent="0.3">
      <c r="A35" s="1"/>
      <c r="B35" s="6"/>
      <c r="C35" s="6"/>
      <c r="D35" s="6"/>
      <c r="E35" s="6"/>
      <c r="F35" s="6"/>
      <c r="G35" s="1"/>
    </row>
    <row r="36" spans="1:7" ht="15.6" x14ac:dyDescent="0.3">
      <c r="A36" s="1"/>
      <c r="B36" s="6"/>
      <c r="C36" s="6"/>
      <c r="D36" s="6"/>
      <c r="E36" s="6"/>
      <c r="F36" s="6"/>
      <c r="G36" s="1"/>
    </row>
    <row r="37" spans="1:7" ht="15.6" x14ac:dyDescent="0.3">
      <c r="A37" s="1"/>
      <c r="B37" s="6"/>
      <c r="C37" s="6"/>
      <c r="D37" s="6"/>
      <c r="E37" s="6"/>
      <c r="F37" s="6"/>
      <c r="G37" s="1"/>
    </row>
    <row r="38" spans="1:7" ht="15.6" x14ac:dyDescent="0.3">
      <c r="A38" s="1"/>
      <c r="B38" s="1"/>
      <c r="C38" s="1"/>
      <c r="D38" s="1"/>
      <c r="E38" s="1"/>
      <c r="F38" s="1"/>
      <c r="G38" s="1"/>
    </row>
    <row r="39" spans="1:7" ht="15.6" x14ac:dyDescent="0.3">
      <c r="A39" s="1"/>
      <c r="B39" s="1"/>
      <c r="C39" s="35" t="s">
        <v>27</v>
      </c>
      <c r="D39" s="14">
        <f>'4637'!G8</f>
        <v>7044</v>
      </c>
      <c r="E39" s="1"/>
      <c r="F39" s="1"/>
      <c r="G39" s="1"/>
    </row>
    <row r="40" spans="1:7" ht="17.25" customHeight="1" x14ac:dyDescent="0.3">
      <c r="A40" s="1"/>
      <c r="B40" s="1"/>
      <c r="C40" s="36" t="s">
        <v>67</v>
      </c>
      <c r="D40" s="37" t="str">
        <f>'4637'!C10</f>
        <v>QCLASS S.A.</v>
      </c>
      <c r="E40" s="38"/>
      <c r="F40" s="38"/>
      <c r="G40" s="1"/>
    </row>
    <row r="41" spans="1:7" ht="4.5" customHeight="1" x14ac:dyDescent="0.3">
      <c r="A41" s="1"/>
      <c r="B41" s="1"/>
      <c r="C41" s="39"/>
      <c r="D41" s="40"/>
      <c r="E41" s="1"/>
      <c r="F41" s="1"/>
      <c r="G41" s="1"/>
    </row>
    <row r="42" spans="1:7" ht="15.6" x14ac:dyDescent="0.3">
      <c r="A42" s="1"/>
      <c r="B42" s="1"/>
      <c r="C42" s="41" t="str">
        <f>'4637'!F11</f>
        <v>FECHA LIMITE :</v>
      </c>
      <c r="D42" s="13">
        <f>'4637'!G11</f>
        <v>45345</v>
      </c>
      <c r="E42" s="1"/>
      <c r="F42" s="1"/>
      <c r="G42" s="1"/>
    </row>
    <row r="43" spans="1:7" ht="15.6" x14ac:dyDescent="0.3">
      <c r="A43" s="1"/>
      <c r="B43" s="1"/>
      <c r="C43" s="1"/>
      <c r="D43" s="1"/>
      <c r="E43" s="1"/>
      <c r="F43" s="1" t="s">
        <v>145</v>
      </c>
      <c r="G43" s="1"/>
    </row>
    <row r="44" spans="1:7" ht="15.6" x14ac:dyDescent="0.3">
      <c r="A44" s="1"/>
      <c r="B44" s="1"/>
      <c r="C44" s="1"/>
      <c r="D44" s="1"/>
      <c r="E44" s="1"/>
      <c r="F44" s="1"/>
      <c r="G44" s="1"/>
    </row>
    <row r="45" spans="1:7" ht="15.6" x14ac:dyDescent="0.3">
      <c r="A45" s="122" t="s">
        <v>68</v>
      </c>
      <c r="B45" s="122"/>
      <c r="C45" s="122"/>
      <c r="D45" s="122"/>
      <c r="E45" s="122"/>
      <c r="F45" s="122"/>
      <c r="G45" s="1"/>
    </row>
    <row r="46" spans="1:7" ht="15.6" x14ac:dyDescent="0.3">
      <c r="A46" s="1"/>
      <c r="B46" s="1"/>
      <c r="C46" s="1"/>
      <c r="D46" s="1"/>
      <c r="E46" s="1"/>
      <c r="F46" s="1"/>
      <c r="G46" s="1"/>
    </row>
    <row r="47" spans="1:7" ht="15.75" customHeight="1" x14ac:dyDescent="0.3">
      <c r="A47" s="1"/>
      <c r="B47" s="123" t="s">
        <v>69</v>
      </c>
      <c r="C47" s="124"/>
      <c r="D47" s="125"/>
      <c r="E47" s="125"/>
      <c r="F47" s="126"/>
      <c r="G47" s="1"/>
    </row>
    <row r="48" spans="1:7" s="15" customFormat="1" ht="12.75" customHeight="1" x14ac:dyDescent="0.3">
      <c r="A48" s="1"/>
      <c r="B48" s="33" t="s">
        <v>10</v>
      </c>
      <c r="C48" s="42" t="s">
        <v>11</v>
      </c>
      <c r="D48" s="43" t="s">
        <v>7</v>
      </c>
      <c r="E48" s="43" t="s">
        <v>8</v>
      </c>
      <c r="F48" s="44" t="s">
        <v>12</v>
      </c>
      <c r="G48" s="1"/>
    </row>
    <row r="49" spans="1:7" s="15" customFormat="1" ht="15" customHeight="1" x14ac:dyDescent="0.35">
      <c r="A49" s="90" t="s">
        <v>134</v>
      </c>
      <c r="B49" s="106">
        <f>'4637'!B21</f>
        <v>1</v>
      </c>
      <c r="C49" s="106" t="str">
        <f>'4637'!C21</f>
        <v>CUBIERTA MESON 180° 360MM</v>
      </c>
      <c r="D49" s="107">
        <f>'4637'!D21</f>
        <v>1135</v>
      </c>
      <c r="E49" s="107">
        <f>'4637'!E21</f>
        <v>200</v>
      </c>
      <c r="F49" s="106" t="str">
        <f>'4637'!F21</f>
        <v>VAINILLA 2109 BRILLO</v>
      </c>
      <c r="G49" s="1"/>
    </row>
    <row r="50" spans="1:7" s="15" customFormat="1" ht="15" customHeight="1" x14ac:dyDescent="0.35">
      <c r="A50" s="90"/>
      <c r="B50" s="111"/>
      <c r="C50" s="111"/>
      <c r="D50" s="111"/>
      <c r="E50" s="111"/>
      <c r="F50" s="111"/>
      <c r="G50" s="1"/>
    </row>
    <row r="51" spans="1:7" s="15" customFormat="1" ht="15" customHeight="1" x14ac:dyDescent="0.3">
      <c r="A51" s="90"/>
      <c r="B51" s="47"/>
      <c r="C51" s="105"/>
      <c r="D51" s="47"/>
      <c r="E51" s="47"/>
      <c r="F51" s="47"/>
      <c r="G51" s="1"/>
    </row>
    <row r="52" spans="1:7" s="15" customFormat="1" ht="15" customHeight="1" x14ac:dyDescent="0.3">
      <c r="A52" s="45"/>
      <c r="B52" s="47"/>
      <c r="C52" s="47"/>
      <c r="D52" s="47"/>
      <c r="E52" s="47"/>
      <c r="F52" s="47"/>
      <c r="G52" s="1"/>
    </row>
    <row r="53" spans="1:7" ht="15.6" x14ac:dyDescent="0.3">
      <c r="A53" s="6"/>
      <c r="B53" s="6"/>
      <c r="C53" s="1"/>
      <c r="D53" s="6"/>
      <c r="E53" s="6"/>
      <c r="F53" s="39"/>
      <c r="G53" s="1"/>
    </row>
    <row r="54" spans="1:7" ht="15.6" x14ac:dyDescent="0.3">
      <c r="A54" s="6"/>
      <c r="B54" s="6"/>
      <c r="C54" s="1"/>
      <c r="D54" s="6"/>
      <c r="E54" s="6"/>
      <c r="F54" s="6"/>
      <c r="G54" s="1"/>
    </row>
    <row r="55" spans="1:7" ht="15.6" x14ac:dyDescent="0.3">
      <c r="A55" s="1"/>
      <c r="B55" s="1"/>
      <c r="C55" s="1"/>
      <c r="D55" s="1"/>
      <c r="E55" s="1"/>
      <c r="F55" s="1"/>
      <c r="G55" s="1"/>
    </row>
    <row r="56" spans="1:7" ht="15.6" x14ac:dyDescent="0.3">
      <c r="A56" s="1"/>
      <c r="B56" s="1"/>
      <c r="C56" s="1"/>
      <c r="D56" s="1"/>
      <c r="E56" s="1"/>
      <c r="F56" s="1"/>
      <c r="G56" s="1"/>
    </row>
    <row r="57" spans="1:7" ht="15.6" x14ac:dyDescent="0.3">
      <c r="A57" s="1"/>
      <c r="B57" s="1"/>
      <c r="C57" s="1"/>
      <c r="D57" s="1"/>
      <c r="E57" s="1"/>
      <c r="F57" s="1"/>
      <c r="G57" s="1"/>
    </row>
    <row r="58" spans="1:7" ht="15" customHeight="1" x14ac:dyDescent="0.3">
      <c r="A58" s="1"/>
      <c r="B58" s="1"/>
      <c r="C58" s="1"/>
      <c r="D58" s="1"/>
      <c r="E58" s="1"/>
      <c r="F58" s="1"/>
      <c r="G58" s="1"/>
    </row>
    <row r="59" spans="1:7" ht="15.6" x14ac:dyDescent="0.3">
      <c r="A59" s="1"/>
      <c r="B59" s="1"/>
      <c r="C59" s="1"/>
      <c r="D59" s="1"/>
      <c r="E59" s="1"/>
      <c r="F59" s="1"/>
      <c r="G59" s="1"/>
    </row>
    <row r="60" spans="1:7" ht="15.6" x14ac:dyDescent="0.3">
      <c r="A60" s="6"/>
      <c r="B60" s="46"/>
      <c r="C60" s="1"/>
      <c r="D60" s="1"/>
      <c r="E60" s="1"/>
      <c r="F60" s="1"/>
      <c r="G60" s="1"/>
    </row>
    <row r="61" spans="1:7" ht="15.6" x14ac:dyDescent="0.3">
      <c r="A61" s="1"/>
      <c r="B61" s="1"/>
      <c r="C61" s="1"/>
      <c r="D61" s="1"/>
      <c r="E61" s="1"/>
      <c r="F61" s="1"/>
      <c r="G61" s="1"/>
    </row>
    <row r="62" spans="1:7" x14ac:dyDescent="0.3">
      <c r="B62" s="19"/>
      <c r="C62" s="19"/>
      <c r="D62" s="19"/>
      <c r="E62" s="19"/>
      <c r="F62" s="19"/>
    </row>
    <row r="63" spans="1:7" x14ac:dyDescent="0.3">
      <c r="B63" s="19"/>
      <c r="C63" s="19"/>
      <c r="E63" s="19"/>
      <c r="F63" s="19"/>
    </row>
  </sheetData>
  <mergeCells count="6">
    <mergeCell ref="M3:N3"/>
    <mergeCell ref="A18:F18"/>
    <mergeCell ref="A10:F10"/>
    <mergeCell ref="A45:F45"/>
    <mergeCell ref="B47:F47"/>
    <mergeCell ref="K3:L3"/>
  </mergeCells>
  <pageMargins left="0.70866141732283472" right="0.70866141732283472" top="0.74803149606299213" bottom="0.74803149606299213" header="0.31496062992125984" footer="0.31496062992125984"/>
  <pageSetup scale="67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2024-02-22T19:06:42Z</cp:lastPrinted>
  <dcterms:created xsi:type="dcterms:W3CDTF">2013-03-19T12:54:14Z</dcterms:created>
  <dcterms:modified xsi:type="dcterms:W3CDTF">2024-02-22T19:07:14Z</dcterms:modified>
</cp:coreProperties>
</file>