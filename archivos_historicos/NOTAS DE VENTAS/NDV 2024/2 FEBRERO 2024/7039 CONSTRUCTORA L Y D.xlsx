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FEBRERO\"/>
    </mc:Choice>
  </mc:AlternateContent>
  <xr:revisionPtr revIDLastSave="0" documentId="13_ncr:1_{88A50518-1562-459E-855C-421DDD9DE8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26" i="3"/>
  <c r="E27" i="3"/>
  <c r="E16" i="3"/>
  <c r="E17" i="3"/>
  <c r="B34" i="3" l="1"/>
  <c r="I26" i="3" s="1"/>
  <c r="B26" i="3" s="1"/>
  <c r="C34" i="3"/>
  <c r="F26" i="3" s="1"/>
  <c r="D34" i="3"/>
  <c r="J26" i="3" s="1"/>
  <c r="E34" i="3"/>
  <c r="K26" i="3" s="1"/>
  <c r="F34" i="3"/>
  <c r="B35" i="3"/>
  <c r="I27" i="3" s="1"/>
  <c r="B27" i="3" s="1"/>
  <c r="C35" i="3"/>
  <c r="F27" i="3" s="1"/>
  <c r="D35" i="3"/>
  <c r="J27" i="3" s="1"/>
  <c r="D27" i="3" s="1"/>
  <c r="E35" i="3"/>
  <c r="K27" i="3" s="1"/>
  <c r="F35" i="3"/>
  <c r="B58" i="3"/>
  <c r="C58" i="3"/>
  <c r="D58" i="3"/>
  <c r="E58" i="3"/>
  <c r="F58" i="3"/>
  <c r="B59" i="3"/>
  <c r="C59" i="3"/>
  <c r="D59" i="3"/>
  <c r="E59" i="3"/>
  <c r="F59" i="3"/>
  <c r="H23" i="4"/>
  <c r="H24" i="4"/>
  <c r="C57" i="3"/>
  <c r="H22" i="4"/>
  <c r="H21" i="4"/>
  <c r="I16" i="3" l="1"/>
  <c r="B16" i="3" s="1"/>
  <c r="J17" i="3"/>
  <c r="D17" i="3" s="1"/>
  <c r="J16" i="3"/>
  <c r="I17" i="3"/>
  <c r="B17" i="3" s="1"/>
  <c r="F17" i="3"/>
  <c r="F16" i="3"/>
  <c r="K17" i="3"/>
  <c r="K16" i="3"/>
  <c r="H27" i="4"/>
  <c r="B33" i="3"/>
  <c r="I25" i="3" s="1"/>
  <c r="B25" i="3" s="1"/>
  <c r="C33" i="3"/>
  <c r="F15" i="3" s="1"/>
  <c r="D33" i="3"/>
  <c r="J15" i="3" s="1"/>
  <c r="E33" i="3"/>
  <c r="K15" i="3" s="1"/>
  <c r="E15" i="3" s="1"/>
  <c r="F33" i="3"/>
  <c r="B57" i="3"/>
  <c r="D57" i="3"/>
  <c r="E57" i="3"/>
  <c r="F57" i="3"/>
  <c r="B56" i="3"/>
  <c r="C56" i="3"/>
  <c r="D56" i="3"/>
  <c r="E56" i="3"/>
  <c r="F56" i="3"/>
  <c r="B32" i="3"/>
  <c r="B14" i="3" s="1"/>
  <c r="C32" i="3"/>
  <c r="F24" i="3" s="1"/>
  <c r="D32" i="3"/>
  <c r="J14" i="3" s="1"/>
  <c r="E32" i="3"/>
  <c r="K14" i="3" s="1"/>
  <c r="E14" i="3" s="1"/>
  <c r="F32" i="3"/>
  <c r="I15" i="3" l="1"/>
  <c r="B15" i="3" s="1"/>
  <c r="J25" i="3"/>
  <c r="K25" i="3"/>
  <c r="F25" i="3"/>
  <c r="H28" i="4"/>
  <c r="I24" i="3"/>
  <c r="B24" i="3" s="1"/>
  <c r="F14" i="3"/>
  <c r="K24" i="3"/>
  <c r="E24" i="3" s="1"/>
  <c r="J24" i="3"/>
  <c r="H29" i="4" l="1"/>
  <c r="N5" i="3" l="1"/>
  <c r="M5" i="3" l="1"/>
  <c r="L5" i="3"/>
  <c r="K5" i="3"/>
  <c r="C49" i="3" l="1"/>
  <c r="C7" i="3"/>
  <c r="D47" i="3"/>
  <c r="D5" i="3"/>
  <c r="D49" i="3"/>
  <c r="D7" i="3"/>
  <c r="D46" i="3"/>
  <c r="D4" i="3"/>
</calcChain>
</file>

<file path=xl/sharedStrings.xml><?xml version="1.0" encoding="utf-8"?>
<sst xmlns="http://schemas.openxmlformats.org/spreadsheetml/2006/main" count="255" uniqueCount="146">
  <si>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</si>
  <si>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</si>
  <si>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</si>
  <si>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</si>
  <si>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</si>
  <si>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</si>
  <si>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</si>
  <si>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</si>
  <si>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</si>
  <si>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</si>
  <si>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</si>
  <si>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</si>
  <si>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</si>
  <si>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</si>
  <si>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</si>
  <si>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</si>
  <si>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</si>
  <si>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</si>
  <si>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</si>
  <si>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</si>
  <si>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</si>
  <si>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</si>
  <si>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</si>
  <si>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</si>
  <si>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</si>
  <si>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</si>
  <si>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</si>
  <si>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</si>
  <si>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</si>
  <si>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</si>
  <si>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</si>
  <si>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</si>
  <si>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</si>
  <si>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</si>
  <si>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</si>
  <si>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</si>
  <si>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</si>
  <si>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</si>
  <si>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</si>
  <si>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</si>
  <si>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</si>
  <si>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</si>
  <si>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</si>
  <si>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</si>
  <si>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</si>
  <si>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</si>
  <si>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</si>
  <si>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</si>
  <si>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</si>
  <si>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</si>
  <si>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</si>
  <si>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</si>
  <si>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</si>
  <si>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</si>
  <si>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</si>
  <si>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</si>
  <si>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</si>
  <si>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</si>
  <si>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</si>
  <si>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</si>
  <si>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</si>
  <si>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</si>
  <si>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</si>
  <si>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</si>
  <si>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</si>
  <si>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</si>
  <si>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</si>
  <si>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</si>
  <si>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</si>
  <si>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</si>
  <si>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</si>
  <si>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</si>
  <si>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</si>
  <si>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</si>
  <si>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</si>
  <si>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</si>
  <si>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</si>
  <si>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</si>
  <si>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</si>
  <si>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</si>
  <si>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</si>
  <si>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</si>
  <si>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</si>
  <si>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</si>
  <si>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</si>
  <si>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</si>
  <si>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</si>
  <si>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</si>
  <si>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</si>
  <si>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</si>
  <si>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</si>
  <si>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</si>
  <si>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</si>
  <si>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</si>
  <si>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</si>
  <si>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</si>
  <si>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</si>
  <si>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</si>
  <si>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</si>
  <si>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</si>
  <si>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</si>
  <si>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</si>
  <si>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</si>
  <si>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</si>
  <si>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</si>
  <si>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</si>
  <si>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</si>
  <si>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</si>
  <si>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</si>
  <si>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</si>
  <si>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</si>
  <si>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</si>
  <si>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</si>
  <si>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</si>
  <si>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</si>
  <si>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</si>
  <si>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</si>
  <si>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</si>
  <si>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</si>
  <si>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</si>
  <si>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</si>
  <si>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</si>
  <si>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</si>
  <si>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</si>
  <si>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</si>
  <si>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</si>
  <si>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</si>
  <si>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</si>
  <si>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</si>
  <si>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</si>
  <si>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</si>
  <si>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</si>
  <si>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</si>
  <si>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</si>
  <si>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</si>
  <si>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MDF 18MM</t>
  </si>
  <si>
    <t>MDF18MM</t>
  </si>
  <si>
    <t>N°10603</t>
  </si>
  <si>
    <t>+56995819251</t>
  </si>
  <si>
    <t>289-3288</t>
  </si>
  <si>
    <t>15-02-024</t>
  </si>
  <si>
    <t>CONSTRUCTORA L Y D S.A.</t>
  </si>
  <si>
    <t>96.528.140-1</t>
  </si>
  <si>
    <t>CONSTRUCCION</t>
  </si>
  <si>
    <t>CORNISA 180° 1 LADO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</si>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</sst>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5" fillId="9" borderId="4" xfId="0" applyFont="1" applyFill="1" applyBorder="1"/>
    <xf numFmtId="0" fontId="1" fillId="8" borderId="0" xfId="0" applyFont="1" applyFill="1"/>
    <xf numFmtId="0" fontId="5" fillId="9" borderId="0" xfId="0" applyFont="1" applyFill="1"/>
    <xf numFmtId="0" fontId="17" fillId="8" borderId="0" xfId="2" quotePrefix="1" applyFont="1" applyFill="1" applyBorder="1"/>
    <xf numFmtId="0" fontId="18" fillId="9" borderId="0" xfId="0" applyFont="1" applyFill="1"/>
    <xf numFmtId="0" fontId="1" fillId="8" borderId="9" xfId="2" applyFont="1" applyFill="1" applyBorder="1" applyAlignment="1">
      <alignment horizontal="left"/>
    </xf>
    <xf numFmtId="1" fontId="19" fillId="0" borderId="11" xfId="0" applyNumberFormat="1" applyFont="1" applyBorder="1" applyAlignment="1">
      <alignment horizontal="center" vertical="center"/>
    </xf>
    <xf numFmtId="165" fontId="20" fillId="0" borderId="32" xfId="0" applyNumberFormat="1" applyFont="1" applyBorder="1" applyAlignment="1">
      <alignment horizontal="center" vertical="center"/>
    </xf>
    <xf numFmtId="165" fontId="19" fillId="0" borderId="32" xfId="0" applyNumberFormat="1" applyFont="1" applyBorder="1" applyAlignment="1">
      <alignment horizontal="center" vertical="center"/>
    </xf>
    <xf numFmtId="42" fontId="21" fillId="0" borderId="32" xfId="3" applyFont="1" applyFill="1" applyBorder="1" applyAlignment="1">
      <alignment horizontal="center" vertical="center"/>
    </xf>
    <xf numFmtId="1" fontId="19" fillId="0" borderId="32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50</xdr:row>
      <xdr:rowOff>171450</xdr:rowOff>
    </xdr:from>
    <xdr:to>
      <xdr:col>5</xdr:col>
      <xdr:colOff>1685924</xdr:colOff>
      <xdr:row>52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38100</xdr:rowOff>
    </xdr:from>
    <xdr:to>
      <xdr:col>6</xdr:col>
      <xdr:colOff>0</xdr:colOff>
      <xdr:row>47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0</xdr:rowOff>
    </xdr:from>
    <xdr:to>
      <xdr:col>6</xdr:col>
      <xdr:colOff>0</xdr:colOff>
      <xdr:row>46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61</xdr:row>
      <xdr:rowOff>0</xdr:rowOff>
    </xdr:from>
    <xdr:to>
      <xdr:col>2</xdr:col>
      <xdr:colOff>38100</xdr:colOff>
      <xdr:row>62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61</xdr:row>
      <xdr:rowOff>0</xdr:rowOff>
    </xdr:from>
    <xdr:to>
      <xdr:col>2</xdr:col>
      <xdr:colOff>1019175</xdr:colOff>
      <xdr:row>61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61</xdr:row>
      <xdr:rowOff>0</xdr:rowOff>
    </xdr:from>
    <xdr:to>
      <xdr:col>3</xdr:col>
      <xdr:colOff>352425</xdr:colOff>
      <xdr:row>62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61</xdr:row>
      <xdr:rowOff>0</xdr:rowOff>
    </xdr:from>
    <xdr:to>
      <xdr:col>4</xdr:col>
      <xdr:colOff>257175</xdr:colOff>
      <xdr:row>62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61</xdr:row>
      <xdr:rowOff>0</xdr:rowOff>
    </xdr:from>
    <xdr:to>
      <xdr:col>5</xdr:col>
      <xdr:colOff>447675</xdr:colOff>
      <xdr:row>61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61</xdr:row>
      <xdr:rowOff>0</xdr:rowOff>
    </xdr:from>
    <xdr:to>
      <xdr:col>6</xdr:col>
      <xdr:colOff>0</xdr:colOff>
      <xdr:row>61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61</xdr:row>
      <xdr:rowOff>190500</xdr:rowOff>
    </xdr:from>
    <xdr:to>
      <xdr:col>2</xdr:col>
      <xdr:colOff>304800</xdr:colOff>
      <xdr:row>63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61</xdr:row>
      <xdr:rowOff>190500</xdr:rowOff>
    </xdr:from>
    <xdr:to>
      <xdr:col>2</xdr:col>
      <xdr:colOff>1276350</xdr:colOff>
      <xdr:row>63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61</xdr:row>
      <xdr:rowOff>190500</xdr:rowOff>
    </xdr:from>
    <xdr:to>
      <xdr:col>3</xdr:col>
      <xdr:colOff>619125</xdr:colOff>
      <xdr:row>63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61</xdr:row>
      <xdr:rowOff>190500</xdr:rowOff>
    </xdr:from>
    <xdr:to>
      <xdr:col>4</xdr:col>
      <xdr:colOff>523875</xdr:colOff>
      <xdr:row>63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61</xdr:row>
      <xdr:rowOff>190500</xdr:rowOff>
    </xdr:from>
    <xdr:to>
      <xdr:col>5</xdr:col>
      <xdr:colOff>723900</xdr:colOff>
      <xdr:row>63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61</xdr:row>
      <xdr:rowOff>190500</xdr:rowOff>
    </xdr:from>
    <xdr:to>
      <xdr:col>6</xdr:col>
      <xdr:colOff>0</xdr:colOff>
      <xdr:row>63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37</xdr:row>
      <xdr:rowOff>15239</xdr:rowOff>
    </xdr:from>
    <xdr:to>
      <xdr:col>6</xdr:col>
      <xdr:colOff>68580</xdr:colOff>
      <xdr:row>41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REBAJAR EL REGRUESO A 2 CMS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721995</xdr:colOff>
      <xdr:row>64</xdr:row>
      <xdr:rowOff>24765</xdr:rowOff>
    </xdr:from>
    <xdr:to>
      <xdr:col>5</xdr:col>
      <xdr:colOff>2396490</xdr:colOff>
      <xdr:row>68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1995" y="1115758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REBAJAR EL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REGRUESO A 2 CMS</a:t>
          </a:r>
        </a:p>
      </xdr:txBody>
    </xdr:sp>
    <xdr:clientData/>
  </xdr:twoCellAnchor>
  <xdr:twoCellAnchor editAs="oneCell">
    <xdr:from>
      <xdr:col>0</xdr:col>
      <xdr:colOff>160020</xdr:colOff>
      <xdr:row>42</xdr:row>
      <xdr:rowOff>194310</xdr:rowOff>
    </xdr:from>
    <xdr:to>
      <xdr:col>1</xdr:col>
      <xdr:colOff>809383</xdr:colOff>
      <xdr:row>49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788428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abSelected="1" topLeftCell="A9" workbookViewId="0">
      <selection activeCell="B23" sqref="B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0" t="s">
        <v>16</v>
      </c>
      <c r="C8" s="91"/>
      <c r="D8" s="92" t="s">
        <v>137</v>
      </c>
      <c r="E8" s="1"/>
      <c r="F8" s="93" t="s">
        <v>27</v>
      </c>
      <c r="G8" s="94">
        <v>7039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103" t="s">
        <v>141</v>
      </c>
      <c r="D10" s="55"/>
      <c r="E10" s="55"/>
      <c r="F10" s="56" t="s">
        <v>28</v>
      </c>
      <c r="G10" s="57">
        <v>45331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04" t="s">
        <v>142</v>
      </c>
      <c r="D11" s="60"/>
      <c r="E11" s="60"/>
      <c r="F11" s="60" t="s">
        <v>124</v>
      </c>
      <c r="G11" s="61" t="s">
        <v>140</v>
      </c>
      <c r="H11" s="62"/>
      <c r="I11" s="1"/>
    </row>
    <row r="12" spans="1:17" ht="16.2" thickBot="1" x14ac:dyDescent="0.35">
      <c r="A12" s="1"/>
      <c r="B12" s="63" t="s">
        <v>132</v>
      </c>
      <c r="C12" s="105" t="s">
        <v>143</v>
      </c>
      <c r="D12" s="43"/>
      <c r="E12" s="43"/>
      <c r="F12" s="43" t="s">
        <v>30</v>
      </c>
      <c r="G12" s="64" t="s">
        <v>139</v>
      </c>
      <c r="H12" s="65"/>
      <c r="I12" s="1"/>
    </row>
    <row r="13" spans="1:17" ht="15.6" x14ac:dyDescent="0.3">
      <c r="A13" s="1"/>
      <c r="B13" s="63" t="s">
        <v>134</v>
      </c>
      <c r="C13" s="103"/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6" t="s">
        <v>138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7"/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108" t="s">
        <v>133</v>
      </c>
      <c r="D16" s="69"/>
      <c r="E16" s="70"/>
      <c r="F16" s="116" t="s">
        <v>18</v>
      </c>
      <c r="G16" s="116"/>
      <c r="H16" s="11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8" t="s">
        <v>19</v>
      </c>
      <c r="C19" s="119"/>
      <c r="D19" s="119"/>
      <c r="E19" s="119"/>
      <c r="F19" s="119"/>
      <c r="G19" s="119"/>
      <c r="H19" s="120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9">
        <v>4</v>
      </c>
      <c r="C21" s="110" t="s">
        <v>144</v>
      </c>
      <c r="D21" s="113">
        <v>1600</v>
      </c>
      <c r="E21" s="113">
        <v>280</v>
      </c>
      <c r="F21" s="111" t="s">
        <v>145</v>
      </c>
      <c r="G21" s="112">
        <v>38709</v>
      </c>
      <c r="H21" s="99">
        <f>G21*B21</f>
        <v>154836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09">
        <v>80</v>
      </c>
      <c r="C22" s="110" t="s">
        <v>144</v>
      </c>
      <c r="D22" s="113">
        <v>1600</v>
      </c>
      <c r="E22" s="113">
        <v>200</v>
      </c>
      <c r="F22" s="111" t="s">
        <v>145</v>
      </c>
      <c r="G22" s="112">
        <v>30507</v>
      </c>
      <c r="H22" s="99">
        <f>G22*B22</f>
        <v>2440560</v>
      </c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109">
        <v>4</v>
      </c>
      <c r="C23" s="110" t="s">
        <v>144</v>
      </c>
      <c r="D23" s="113">
        <v>2100</v>
      </c>
      <c r="E23" s="113">
        <v>200</v>
      </c>
      <c r="F23" s="111" t="s">
        <v>145</v>
      </c>
      <c r="G23" s="112">
        <v>36771</v>
      </c>
      <c r="H23" s="99">
        <f t="shared" ref="H23:H24" si="0">G23*B23</f>
        <v>147084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9">
        <v>24</v>
      </c>
      <c r="C24" s="110" t="s">
        <v>144</v>
      </c>
      <c r="D24" s="113">
        <v>2400</v>
      </c>
      <c r="E24" s="113">
        <v>200</v>
      </c>
      <c r="F24" s="111" t="s">
        <v>145</v>
      </c>
      <c r="G24" s="112">
        <v>40449</v>
      </c>
      <c r="H24" s="99">
        <f t="shared" si="0"/>
        <v>970776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8"/>
      <c r="C25" s="98"/>
      <c r="D25" s="98"/>
      <c r="E25" s="98"/>
      <c r="F25" s="98"/>
      <c r="G25" s="96"/>
      <c r="H25" s="96"/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4"/>
      <c r="C26" s="74"/>
      <c r="D26" s="74"/>
      <c r="E26" s="74"/>
      <c r="F26" s="74"/>
      <c r="G26" s="75"/>
      <c r="H26" s="75"/>
      <c r="I26" s="1"/>
    </row>
    <row r="27" spans="1:16" ht="15.6" x14ac:dyDescent="0.3">
      <c r="A27" s="1"/>
      <c r="B27" s="1"/>
      <c r="C27" s="1"/>
      <c r="D27" s="1"/>
      <c r="E27" s="1"/>
      <c r="F27" s="1"/>
      <c r="G27" s="76" t="s">
        <v>5</v>
      </c>
      <c r="H27" s="77">
        <f>SUM(H21:H26)</f>
        <v>3713256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8" t="s">
        <v>6</v>
      </c>
      <c r="H28" s="79">
        <f>H27*19%</f>
        <v>705518.64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80" t="s">
        <v>4</v>
      </c>
      <c r="H29" s="81">
        <f>H27+H28</f>
        <v>4418774.6399999997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52"/>
      <c r="H30" s="97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82" t="s">
        <v>123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82" t="s">
        <v>122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5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1" t="s">
        <v>31</v>
      </c>
      <c r="C2" s="121"/>
      <c r="D2" s="121"/>
      <c r="E2" s="18"/>
      <c r="G2" s="121" t="s">
        <v>70</v>
      </c>
      <c r="H2" s="121"/>
      <c r="I2" s="121"/>
      <c r="P2" s="122" t="s">
        <v>58</v>
      </c>
      <c r="Q2" s="122"/>
      <c r="R2" s="12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2" t="s">
        <v>58</v>
      </c>
      <c r="M8" s="122"/>
      <c r="N8" s="12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2"/>
  <sheetViews>
    <sheetView zoomScaleNormal="100" workbookViewId="0">
      <selection sqref="A1:G43"/>
    </sheetView>
  </sheetViews>
  <sheetFormatPr baseColWidth="10" defaultRowHeight="14.4" x14ac:dyDescent="0.3"/>
  <cols>
    <col min="1" max="1" width="13.777343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3" t="s">
        <v>61</v>
      </c>
      <c r="L3" s="123"/>
      <c r="M3" s="123" t="s">
        <v>14</v>
      </c>
      <c r="N3" s="123"/>
    </row>
    <row r="4" spans="1:14" ht="15.75" customHeight="1" x14ac:dyDescent="0.3">
      <c r="A4" s="1"/>
      <c r="B4" s="1"/>
      <c r="C4" s="40" t="s">
        <v>27</v>
      </c>
      <c r="D4" s="14">
        <f>'4637'!G8</f>
        <v>7039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CONSTRUCTORA L Y D S.A.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6" t="str">
        <f>'4637'!F11</f>
        <v>FECHA LIMITE :</v>
      </c>
      <c r="D7" s="13" t="str">
        <f>'4637'!G11</f>
        <v>15-02-024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4" t="s">
        <v>61</v>
      </c>
      <c r="B10" s="124"/>
      <c r="C10" s="124"/>
      <c r="D10" s="124"/>
      <c r="E10" s="124"/>
      <c r="F10" s="12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5" t="s">
        <v>136</v>
      </c>
      <c r="B14" s="25">
        <f t="shared" ref="B14" si="0">I14</f>
        <v>7</v>
      </c>
      <c r="C14" s="25"/>
      <c r="D14" s="25">
        <v>1660</v>
      </c>
      <c r="E14" s="35">
        <f>K14+E$13</f>
        <v>280</v>
      </c>
      <c r="F14" s="101" t="str">
        <f>C32</f>
        <v>CORNISA 180° 1 LADO</v>
      </c>
      <c r="G14" s="1"/>
      <c r="I14" s="3">
        <v>7</v>
      </c>
      <c r="J14" s="4">
        <f t="shared" ref="J14:K14" si="1">D32</f>
        <v>1600</v>
      </c>
      <c r="K14" s="4">
        <f t="shared" si="1"/>
        <v>280</v>
      </c>
    </row>
    <row r="15" spans="1:14" ht="15.6" x14ac:dyDescent="0.3">
      <c r="A15" s="95"/>
      <c r="B15" s="25">
        <f t="shared" ref="B15" si="2">I15</f>
        <v>80</v>
      </c>
      <c r="C15" s="25"/>
      <c r="D15" s="25">
        <v>1660</v>
      </c>
      <c r="E15" s="35">
        <f t="shared" ref="E15:E17" si="3">K15+E$13</f>
        <v>200</v>
      </c>
      <c r="F15" s="101" t="str">
        <f t="shared" ref="F15" si="4">C33</f>
        <v>CORNISA 180° 1 LADO</v>
      </c>
      <c r="G15" s="1"/>
      <c r="I15" s="3">
        <f t="shared" ref="I15" si="5">B33</f>
        <v>80</v>
      </c>
      <c r="J15" s="4">
        <f t="shared" ref="J15" si="6">D33</f>
        <v>1600</v>
      </c>
      <c r="K15" s="4">
        <f t="shared" ref="K15" si="7">E33</f>
        <v>200</v>
      </c>
    </row>
    <row r="16" spans="1:14" ht="15.6" x14ac:dyDescent="0.3">
      <c r="A16" s="95"/>
      <c r="B16" s="25">
        <f t="shared" ref="B16:B17" si="8">I16</f>
        <v>4</v>
      </c>
      <c r="C16" s="25"/>
      <c r="D16" s="25">
        <v>2190</v>
      </c>
      <c r="E16" s="35">
        <f t="shared" si="3"/>
        <v>200</v>
      </c>
      <c r="F16" s="101" t="str">
        <f>C34</f>
        <v>CORNISA 180° 1 LADO</v>
      </c>
      <c r="G16" s="1"/>
      <c r="I16" s="3">
        <f>B34</f>
        <v>4</v>
      </c>
      <c r="J16" s="4">
        <f>D34</f>
        <v>2100</v>
      </c>
      <c r="K16" s="4">
        <f>E34</f>
        <v>200</v>
      </c>
    </row>
    <row r="17" spans="1:11" ht="15.6" x14ac:dyDescent="0.3">
      <c r="A17" s="115"/>
      <c r="B17" s="25">
        <f t="shared" si="8"/>
        <v>24</v>
      </c>
      <c r="C17" s="25"/>
      <c r="D17" s="25">
        <f t="shared" ref="D17" si="9">J17+D$13</f>
        <v>2450</v>
      </c>
      <c r="E17" s="35">
        <f t="shared" si="3"/>
        <v>200</v>
      </c>
      <c r="F17" s="101" t="str">
        <f t="shared" ref="F17" si="10">C35</f>
        <v>CORNISA 180° 1 LADO</v>
      </c>
      <c r="G17" s="1"/>
      <c r="I17" s="3">
        <f t="shared" ref="I17" si="11">B35</f>
        <v>24</v>
      </c>
      <c r="J17" s="4">
        <f t="shared" ref="J17" si="12">D35</f>
        <v>2400</v>
      </c>
      <c r="K17" s="4">
        <f t="shared" ref="K17" si="13">E35</f>
        <v>200</v>
      </c>
    </row>
    <row r="18" spans="1:11" ht="15.6" x14ac:dyDescent="0.3">
      <c r="A18" s="52"/>
      <c r="B18" s="6"/>
      <c r="C18" s="6"/>
      <c r="D18" s="6"/>
      <c r="E18" s="88"/>
      <c r="F18" s="6"/>
      <c r="G18" s="1"/>
      <c r="I18" s="89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24" t="s">
        <v>14</v>
      </c>
      <c r="B20" s="124"/>
      <c r="C20" s="124"/>
      <c r="D20" s="124"/>
      <c r="E20" s="124"/>
      <c r="F20" s="124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70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5" t="s">
        <v>135</v>
      </c>
      <c r="B24" s="16">
        <f t="shared" ref="B24" si="14">I24</f>
        <v>4</v>
      </c>
      <c r="C24" s="16"/>
      <c r="D24" s="16">
        <v>1670</v>
      </c>
      <c r="E24" s="16">
        <f>K24+E$23</f>
        <v>350</v>
      </c>
      <c r="F24" s="102" t="str">
        <f>C32</f>
        <v>CORNISA 180° 1 LADO</v>
      </c>
      <c r="G24" s="1"/>
      <c r="I24" s="3">
        <f>B32</f>
        <v>4</v>
      </c>
      <c r="J24" s="4">
        <f>D32</f>
        <v>1600</v>
      </c>
      <c r="K24" s="4">
        <f>E32</f>
        <v>280</v>
      </c>
    </row>
    <row r="25" spans="1:11" ht="15.6" x14ac:dyDescent="0.3">
      <c r="A25" s="95"/>
      <c r="B25" s="16">
        <f t="shared" ref="B25" si="15">I25</f>
        <v>80</v>
      </c>
      <c r="C25" s="16"/>
      <c r="D25" s="16">
        <v>1670</v>
      </c>
      <c r="E25" s="16">
        <f t="shared" ref="E25:E27" si="16">K25+E$23</f>
        <v>270</v>
      </c>
      <c r="F25" s="102" t="str">
        <f t="shared" ref="F25" si="17">C33</f>
        <v>CORNISA 180° 1 LADO</v>
      </c>
      <c r="G25" s="1"/>
      <c r="I25" s="3">
        <f t="shared" ref="I25" si="18">B33</f>
        <v>80</v>
      </c>
      <c r="J25" s="4">
        <f t="shared" ref="J25:K25" si="19">D33</f>
        <v>1600</v>
      </c>
      <c r="K25" s="4">
        <f t="shared" si="19"/>
        <v>200</v>
      </c>
    </row>
    <row r="26" spans="1:11" ht="15.6" x14ac:dyDescent="0.3">
      <c r="A26" s="95"/>
      <c r="B26" s="16">
        <f t="shared" ref="B26:B27" si="20">I26</f>
        <v>4</v>
      </c>
      <c r="C26" s="16"/>
      <c r="D26" s="16">
        <v>2200</v>
      </c>
      <c r="E26" s="16">
        <f t="shared" si="16"/>
        <v>270</v>
      </c>
      <c r="F26" s="102" t="str">
        <f t="shared" ref="F26:F27" si="21">C34</f>
        <v>CORNISA 180° 1 LADO</v>
      </c>
      <c r="G26" s="1"/>
      <c r="I26" s="3">
        <f t="shared" ref="I26:I27" si="22">B34</f>
        <v>4</v>
      </c>
      <c r="J26" s="4">
        <f t="shared" ref="J26:J27" si="23">D34</f>
        <v>2100</v>
      </c>
      <c r="K26" s="4">
        <f t="shared" ref="K26:K27" si="24">E34</f>
        <v>200</v>
      </c>
    </row>
    <row r="27" spans="1:11" ht="15.6" x14ac:dyDescent="0.3">
      <c r="A27" s="115"/>
      <c r="B27" s="16">
        <f t="shared" si="20"/>
        <v>24</v>
      </c>
      <c r="C27" s="16"/>
      <c r="D27" s="16">
        <f>J27+D$23</f>
        <v>2440</v>
      </c>
      <c r="E27" s="16">
        <f t="shared" si="16"/>
        <v>270</v>
      </c>
      <c r="F27" s="102" t="str">
        <f t="shared" si="21"/>
        <v>CORNISA 180° 1 LADO</v>
      </c>
      <c r="G27" s="1"/>
      <c r="I27" s="3">
        <f t="shared" si="22"/>
        <v>24</v>
      </c>
      <c r="J27" s="4">
        <f t="shared" si="23"/>
        <v>2400</v>
      </c>
      <c r="K27" s="4">
        <f t="shared" si="24"/>
        <v>200</v>
      </c>
    </row>
    <row r="28" spans="1:11" ht="16.2" thickBot="1" x14ac:dyDescent="0.35">
      <c r="A28" s="52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52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52" t="s">
        <v>9</v>
      </c>
      <c r="B31" s="87" t="s">
        <v>10</v>
      </c>
      <c r="C31" s="87" t="s">
        <v>110</v>
      </c>
      <c r="D31" s="87" t="s">
        <v>7</v>
      </c>
      <c r="E31" s="87" t="s">
        <v>8</v>
      </c>
      <c r="F31" s="87" t="s">
        <v>23</v>
      </c>
      <c r="G31" s="1"/>
    </row>
    <row r="32" spans="1:11" ht="15.6" x14ac:dyDescent="0.3">
      <c r="A32" s="95" t="s">
        <v>135</v>
      </c>
      <c r="B32" s="25">
        <f>'4637'!B21</f>
        <v>4</v>
      </c>
      <c r="C32" s="101" t="str">
        <f>'4637'!C21</f>
        <v>CORNISA 180° 1 LADO</v>
      </c>
      <c r="D32" s="25">
        <f>'4637'!D21</f>
        <v>1600</v>
      </c>
      <c r="E32" s="25">
        <f>'4637'!E21</f>
        <v>280</v>
      </c>
      <c r="F32" s="25" t="str">
        <f>'4637'!F21</f>
        <v>BLANCO 2114 MT</v>
      </c>
      <c r="G32" s="1"/>
    </row>
    <row r="33" spans="1:7" ht="15.6" x14ac:dyDescent="0.3">
      <c r="A33" s="95"/>
      <c r="B33" s="25">
        <f>'4637'!B22</f>
        <v>80</v>
      </c>
      <c r="C33" s="101" t="str">
        <f>'4637'!C22</f>
        <v>CORNISA 180° 1 LADO</v>
      </c>
      <c r="D33" s="25">
        <f>'4637'!D22</f>
        <v>1600</v>
      </c>
      <c r="E33" s="25">
        <f>'4637'!E22</f>
        <v>200</v>
      </c>
      <c r="F33" s="25" t="str">
        <f>'4637'!F22</f>
        <v>BLANCO 2114 MT</v>
      </c>
      <c r="G33" s="1"/>
    </row>
    <row r="34" spans="1:7" ht="15.6" x14ac:dyDescent="0.3">
      <c r="A34" s="95"/>
      <c r="B34" s="25">
        <f>'4637'!B23</f>
        <v>4</v>
      </c>
      <c r="C34" s="101" t="str">
        <f>'4637'!C23</f>
        <v>CORNISA 180° 1 LADO</v>
      </c>
      <c r="D34" s="25">
        <f>'4637'!D23</f>
        <v>2100</v>
      </c>
      <c r="E34" s="25">
        <f>'4637'!E23</f>
        <v>200</v>
      </c>
      <c r="F34" s="25" t="str">
        <f>'4637'!F23</f>
        <v>BLANCO 2114 MT</v>
      </c>
      <c r="G34" s="1"/>
    </row>
    <row r="35" spans="1:7" ht="15.6" x14ac:dyDescent="0.3">
      <c r="A35" s="115"/>
      <c r="B35" s="25">
        <f>'4637'!B24</f>
        <v>24</v>
      </c>
      <c r="C35" s="101" t="str">
        <f>'4637'!C24</f>
        <v>CORNISA 180° 1 LADO</v>
      </c>
      <c r="D35" s="25">
        <f>'4637'!D24</f>
        <v>2400</v>
      </c>
      <c r="E35" s="25">
        <f>'4637'!E24</f>
        <v>200</v>
      </c>
      <c r="F35" s="25" t="str">
        <f>'4637'!F24</f>
        <v>BLANCO 2114 MT</v>
      </c>
      <c r="G35" s="1"/>
    </row>
    <row r="36" spans="1:7" ht="15.6" x14ac:dyDescent="0.3">
      <c r="A36" s="52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40" t="s">
        <v>27</v>
      </c>
      <c r="D46" s="14">
        <f>'4637'!G8</f>
        <v>7039</v>
      </c>
      <c r="E46" s="1"/>
      <c r="F46" s="1"/>
      <c r="G46" s="1"/>
    </row>
    <row r="47" spans="1:7" ht="17.25" customHeight="1" x14ac:dyDescent="0.3">
      <c r="A47" s="1"/>
      <c r="B47" s="1"/>
      <c r="C47" s="41" t="s">
        <v>67</v>
      </c>
      <c r="D47" s="42" t="str">
        <f>'4637'!C10</f>
        <v>CONSTRUCTORA L Y D S.A.</v>
      </c>
      <c r="E47" s="43"/>
      <c r="F47" s="43"/>
      <c r="G47" s="1"/>
    </row>
    <row r="48" spans="1:7" ht="4.5" customHeight="1" x14ac:dyDescent="0.3">
      <c r="A48" s="1"/>
      <c r="B48" s="1"/>
      <c r="C48" s="44"/>
      <c r="D48" s="45"/>
      <c r="E48" s="1"/>
      <c r="F48" s="1"/>
      <c r="G48" s="1"/>
    </row>
    <row r="49" spans="1:7" ht="15.6" x14ac:dyDescent="0.3">
      <c r="A49" s="1"/>
      <c r="B49" s="1"/>
      <c r="C49" s="46" t="str">
        <f>'4637'!F11</f>
        <v>FECHA LIMITE :</v>
      </c>
      <c r="D49" s="13" t="str">
        <f>'4637'!G11</f>
        <v>15-02-024</v>
      </c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6" x14ac:dyDescent="0.3">
      <c r="A52" s="124" t="s">
        <v>68</v>
      </c>
      <c r="B52" s="124"/>
      <c r="C52" s="124"/>
      <c r="D52" s="124"/>
      <c r="E52" s="124"/>
      <c r="F52" s="124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75" customHeight="1" x14ac:dyDescent="0.3">
      <c r="A54" s="1"/>
      <c r="B54" s="125" t="s">
        <v>69</v>
      </c>
      <c r="C54" s="126"/>
      <c r="D54" s="127"/>
      <c r="E54" s="127"/>
      <c r="F54" s="128"/>
      <c r="G54" s="1"/>
    </row>
    <row r="55" spans="1:7" s="15" customFormat="1" ht="12.75" customHeight="1" x14ac:dyDescent="0.3">
      <c r="A55" s="1"/>
      <c r="B55" s="36" t="s">
        <v>10</v>
      </c>
      <c r="C55" s="47" t="s">
        <v>11</v>
      </c>
      <c r="D55" s="48" t="s">
        <v>7</v>
      </c>
      <c r="E55" s="48" t="s">
        <v>8</v>
      </c>
      <c r="F55" s="49" t="s">
        <v>12</v>
      </c>
      <c r="G55" s="1"/>
    </row>
    <row r="56" spans="1:7" s="15" customFormat="1" ht="15" customHeight="1" x14ac:dyDescent="0.3">
      <c r="A56" s="95" t="s">
        <v>135</v>
      </c>
      <c r="B56" s="38">
        <f>'4637'!B21</f>
        <v>4</v>
      </c>
      <c r="C56" s="100" t="str">
        <f>'4637'!C21</f>
        <v>CORNISA 180° 1 LADO</v>
      </c>
      <c r="D56" s="39">
        <f>'4637'!D21</f>
        <v>1600</v>
      </c>
      <c r="E56" s="39">
        <f>'4637'!E21</f>
        <v>280</v>
      </c>
      <c r="F56" s="38" t="str">
        <f>'4637'!F21</f>
        <v>BLANCO 2114 MT</v>
      </c>
      <c r="G56" s="1"/>
    </row>
    <row r="57" spans="1:7" s="15" customFormat="1" ht="15" customHeight="1" x14ac:dyDescent="0.3">
      <c r="A57" s="95"/>
      <c r="B57" s="38">
        <f>'4637'!B22</f>
        <v>80</v>
      </c>
      <c r="C57" s="100" t="str">
        <f>'4637'!C22</f>
        <v>CORNISA 180° 1 LADO</v>
      </c>
      <c r="D57" s="39">
        <f>'4637'!D22</f>
        <v>1600</v>
      </c>
      <c r="E57" s="39">
        <f>'4637'!E22</f>
        <v>200</v>
      </c>
      <c r="F57" s="38" t="str">
        <f>'4637'!F22</f>
        <v>BLANCO 2114 MT</v>
      </c>
      <c r="G57" s="1"/>
    </row>
    <row r="58" spans="1:7" s="15" customFormat="1" ht="15" customHeight="1" x14ac:dyDescent="0.3">
      <c r="A58" s="95"/>
      <c r="B58" s="38">
        <f>'4637'!B23</f>
        <v>4</v>
      </c>
      <c r="C58" s="100" t="str">
        <f>'4637'!C23</f>
        <v>CORNISA 180° 1 LADO</v>
      </c>
      <c r="D58" s="39">
        <f>'4637'!D23</f>
        <v>2100</v>
      </c>
      <c r="E58" s="39">
        <f>'4637'!E23</f>
        <v>200</v>
      </c>
      <c r="F58" s="38" t="str">
        <f>'4637'!F23</f>
        <v>BLANCO 2114 MT</v>
      </c>
      <c r="G58" s="1"/>
    </row>
    <row r="59" spans="1:7" s="15" customFormat="1" ht="15" customHeight="1" x14ac:dyDescent="0.3">
      <c r="A59" s="95"/>
      <c r="B59" s="38">
        <f>'4637'!B24</f>
        <v>24</v>
      </c>
      <c r="C59" s="100" t="str">
        <f>'4637'!C24</f>
        <v>CORNISA 180° 1 LADO</v>
      </c>
      <c r="D59" s="39">
        <f>'4637'!D24</f>
        <v>2400</v>
      </c>
      <c r="E59" s="39">
        <f>'4637'!E24</f>
        <v>200</v>
      </c>
      <c r="F59" s="38" t="str">
        <f>'4637'!F24</f>
        <v>BLANCO 2114 MT</v>
      </c>
      <c r="G59" s="1"/>
    </row>
    <row r="60" spans="1:7" s="15" customFormat="1" ht="15" customHeight="1" x14ac:dyDescent="0.3">
      <c r="A60" s="95"/>
      <c r="B60" s="52"/>
      <c r="C60" s="114"/>
      <c r="D60" s="52"/>
      <c r="E60" s="52"/>
      <c r="F60" s="52"/>
      <c r="G60" s="1"/>
    </row>
    <row r="61" spans="1:7" s="15" customFormat="1" ht="15" customHeight="1" x14ac:dyDescent="0.3">
      <c r="A61" s="50"/>
      <c r="B61" s="52"/>
      <c r="C61" s="52"/>
      <c r="D61" s="52"/>
      <c r="E61" s="52"/>
      <c r="F61" s="52"/>
      <c r="G61" s="1"/>
    </row>
    <row r="62" spans="1:7" ht="15.6" x14ac:dyDescent="0.3">
      <c r="A62" s="6"/>
      <c r="B62" s="6"/>
      <c r="C62" s="1"/>
      <c r="D62" s="6"/>
      <c r="E62" s="6"/>
      <c r="F62" s="44"/>
      <c r="G62" s="1"/>
    </row>
    <row r="63" spans="1:7" ht="15.6" x14ac:dyDescent="0.3">
      <c r="A63" s="6"/>
      <c r="B63" s="6"/>
      <c r="C63" s="1"/>
      <c r="D63" s="6"/>
      <c r="E63" s="6"/>
      <c r="F63" s="6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" customHeight="1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6"/>
      <c r="B69" s="5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x14ac:dyDescent="0.3">
      <c r="B71" s="20"/>
      <c r="C71" s="20"/>
      <c r="D71" s="20"/>
      <c r="E71" s="20"/>
      <c r="F71" s="20"/>
    </row>
    <row r="72" spans="1:7" x14ac:dyDescent="0.3">
      <c r="B72" s="20"/>
      <c r="C72" s="20"/>
      <c r="E72" s="20"/>
      <c r="F72" s="20"/>
    </row>
  </sheetData>
  <mergeCells count="6">
    <mergeCell ref="M3:N3"/>
    <mergeCell ref="A20:F20"/>
    <mergeCell ref="A10:F10"/>
    <mergeCell ref="A52:F52"/>
    <mergeCell ref="B54:F54"/>
    <mergeCell ref="K3:L3"/>
  </mergeCells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2024-02-09T14:26:50Z</cp:lastPrinted>
  <dcterms:created xsi:type="dcterms:W3CDTF">2013-03-19T12:54:14Z</dcterms:created>
  <dcterms:modified xsi:type="dcterms:W3CDTF">2024-02-12T10:44:38Z</dcterms:modified>
</cp:coreProperties>
</file>