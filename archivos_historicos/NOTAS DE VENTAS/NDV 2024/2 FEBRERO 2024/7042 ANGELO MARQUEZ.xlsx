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26DFB521-8A52-4768-AC2E-ED4C510CC8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CUBIERTA!$A$33:$F$58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B47" i="3"/>
  <c r="C47" i="3"/>
  <c r="D47" i="3"/>
  <c r="E47" i="3"/>
  <c r="F47" i="3"/>
  <c r="B26" i="3"/>
  <c r="C26" i="3"/>
  <c r="F21" i="3" s="1"/>
  <c r="D26" i="3"/>
  <c r="J14" i="3" s="1"/>
  <c r="D14" i="3" s="1"/>
  <c r="E26" i="3"/>
  <c r="K14" i="3" s="1"/>
  <c r="E14" i="3" s="1"/>
  <c r="F26" i="3"/>
  <c r="H25" i="4" l="1"/>
  <c r="I21" i="3"/>
  <c r="F14" i="3"/>
  <c r="K21" i="3"/>
  <c r="E21" i="3" s="1"/>
  <c r="J21" i="3"/>
  <c r="D21" i="3" s="1"/>
  <c r="B21" i="3" l="1"/>
  <c r="I14" i="3"/>
  <c r="B14" i="3" s="1"/>
  <c r="H26" i="4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<sst xmlns="http://schemas.openxmlformats.org/spreadsheetml/2006/main" count="245" uniqueCount="142">
  <si>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</si>
  <si>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</si>
  <si>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</si>
  <si>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</si>
  <si>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</si>
  <si>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</si>
  <si>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</si>
  <si>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</si>
  <si>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</si>
  <si>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</si>
  <si>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</si>
  <si>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</si>
  <si>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</si>
  <si>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</si>
  <si>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</si>
  <si>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</si>
  <si>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</si>
  <si>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</si>
  <si>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</si>
  <si>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</si>
  <si>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</si>
  <si>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</si>
  <si>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</si>
  <si>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</si>
  <si>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</si>
  <si>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</si>
  <si>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</si>
  <si>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</si>
  <si>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</si>
  <si>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</si>
  <si>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</si>
  <si>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</si>
  <si>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</si>
  <si>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</si>
  <si>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</si>
  <si>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</si>
  <si>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</si>
  <si>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</si>
  <si>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</si>
  <si>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</si>
  <si>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</si>
  <si>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</si>
  <si>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</si>
  <si>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</si>
  <si>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</si>
  <si>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</si>
  <si>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</si>
  <si>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</si>
  <si>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</si>
  <si>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</si>
  <si>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</si>
  <si>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</si>
  <si>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</si>
  <si>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</si>
  <si>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</si>
  <si>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</si>
  <si>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</si>
  <si>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</si>
  <si>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</si>
  <si>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</si>
  <si>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</si>
  <si>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</si>
  <si>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</si>
  <si>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</si>
  <si>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</si>
  <si>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</si>
  <si>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</si>
  <si>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</si>
  <si>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</si>
  <si>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</si>
  <si>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</si>
  <si>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</si>
  <si>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</si>
  <si>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</si>
  <si>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</si>
  <si>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</si>
  <si>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</si>
  <si>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</si>
  <si>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</si>
  <si>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</si>
  <si>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</si>
  <si>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</si>
  <si>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</si>
  <si>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</si>
  <si>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</si>
  <si>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</si>
  <si>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</si>
  <si>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</si>
  <si>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</si>
  <si>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</si>
  <si>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</si>
  <si>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</si>
  <si>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</si>
  <si>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</si>
  <si>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</si>
  <si>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</si>
  <si>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</si>
  <si>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</si>
  <si>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</si>
  <si>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</si>
  <si>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</si>
  <si>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</si>
  <si>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</si>
  <si>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</si>
  <si>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</si>
  <si>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</si>
  <si>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</si>
  <si>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</si>
  <si>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</si>
  <si>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</si>
  <si>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</si>
  <si>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</si>
  <si>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</si>
  <si>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</si>
  <si>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</si>
  <si>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</si>
  <si>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</si>
  <si>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</si>
  <si>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</si>
  <si>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</si>
  <si>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</si>
  <si>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</si>
  <si>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</si>
  <si>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</si>
  <si>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</si>
  <si>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</si>
  <si>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</si>
  <si>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</si>
  <si>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</si>
  <si>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</si>
  <si>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</si>
  <si>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</si>
  <si>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</si>
  <si>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</si>
  <si>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MDF 18MM</t>
  </si>
  <si>
    <t>MDF18MM</t>
  </si>
  <si>
    <t>CUB CON RESPALDO R8</t>
  </si>
  <si>
    <t>VALDIVIA</t>
  </si>
  <si>
    <t>ANGELO MARQUEZ</t>
  </si>
  <si>
    <t>+569 5328 7699</t>
  </si>
  <si>
    <t>N°10630</t>
  </si>
  <si>
    <t>PORTLAND MAPLE 10077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</si>
</sst>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1F497D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7" fillId="9" borderId="0" xfId="0" applyFont="1" applyFill="1"/>
    <xf numFmtId="0" fontId="1" fillId="8" borderId="9" xfId="2" applyFont="1" applyFill="1" applyBorder="1" applyAlignment="1">
      <alignment horizontal="left"/>
    </xf>
    <xf numFmtId="0" fontId="18" fillId="0" borderId="0" xfId="0" quotePrefix="1" applyFont="1"/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 59.296.-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DESPACHAR DESPUNTE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LAMINA AL CLIENTE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52</xdr:row>
      <xdr:rowOff>24765</xdr:rowOff>
    </xdr:from>
    <xdr:to>
      <xdr:col>5</xdr:col>
      <xdr:colOff>2396490</xdr:colOff>
      <xdr:row>56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DESPACHAR DESPUNTE DE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LAMINA AL CLIENTE</a:t>
          </a:r>
        </a:p>
      </xdr:txBody>
    </xdr:sp>
    <xdr:clientData/>
  </xdr:twoCellAnchor>
  <xdr:twoCellAnchor editAs="oneCell">
    <xdr:from>
      <xdr:col>0</xdr:col>
      <xdr:colOff>38100</xdr:colOff>
      <xdr:row>33</xdr:row>
      <xdr:rowOff>163830</xdr:rowOff>
    </xdr:from>
    <xdr:to>
      <xdr:col>1</xdr:col>
      <xdr:colOff>908443</xdr:colOff>
      <xdr:row>40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J21" sqref="J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140</v>
      </c>
      <c r="E8" s="1"/>
      <c r="F8" s="88" t="s">
        <v>27</v>
      </c>
      <c r="G8" s="89">
        <v>7042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6" t="s">
        <v>138</v>
      </c>
      <c r="D10" s="50"/>
      <c r="E10" s="50"/>
      <c r="F10" s="51" t="s">
        <v>28</v>
      </c>
      <c r="G10" s="52">
        <v>45341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7"/>
      <c r="D11" s="55"/>
      <c r="E11" s="55"/>
      <c r="F11" s="55" t="s">
        <v>124</v>
      </c>
      <c r="G11" s="56">
        <v>45344</v>
      </c>
      <c r="H11" s="57"/>
      <c r="I11" s="1"/>
    </row>
    <row r="12" spans="1:17" ht="15.6" x14ac:dyDescent="0.3">
      <c r="A12" s="1"/>
      <c r="B12" s="58" t="s">
        <v>132</v>
      </c>
      <c r="C12" s="101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133</v>
      </c>
      <c r="C13" s="101"/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0" t="s">
        <v>139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C15" s="98"/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9" t="s">
        <v>137</v>
      </c>
      <c r="D16" s="64"/>
      <c r="E16" s="65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x14ac:dyDescent="0.3">
      <c r="A21" s="1"/>
      <c r="B21" s="102">
        <v>1</v>
      </c>
      <c r="C21" s="103" t="s">
        <v>136</v>
      </c>
      <c r="D21" s="95">
        <v>1800</v>
      </c>
      <c r="E21" s="95">
        <v>500</v>
      </c>
      <c r="F21" s="103" t="s">
        <v>141</v>
      </c>
      <c r="G21" s="104">
        <v>99657</v>
      </c>
      <c r="H21" s="94">
        <f>G21*B21</f>
        <v>99657</v>
      </c>
      <c r="I21" s="1"/>
      <c r="K21" s="16"/>
      <c r="L21" s="24"/>
      <c r="M21" s="16"/>
      <c r="N21" s="16"/>
      <c r="O21" s="24"/>
      <c r="P21" s="31"/>
    </row>
    <row r="22" spans="1:16" ht="18" customHeight="1" x14ac:dyDescent="0.3">
      <c r="A22" s="1"/>
      <c r="B22" s="93"/>
      <c r="C22" s="93"/>
      <c r="D22" s="93"/>
      <c r="E22" s="93"/>
      <c r="F22" s="93"/>
      <c r="G22" s="91"/>
      <c r="H22" s="91"/>
      <c r="I22" s="1"/>
      <c r="K22" s="16"/>
      <c r="L22" s="24"/>
      <c r="M22" s="16"/>
      <c r="N22" s="16"/>
      <c r="O22" s="24"/>
      <c r="P22" s="31"/>
    </row>
    <row r="23" spans="1:16" ht="8.25" customHeight="1" thickBot="1" x14ac:dyDescent="0.35">
      <c r="A23" s="1"/>
      <c r="B23" s="69"/>
      <c r="C23" s="69"/>
      <c r="D23" s="69"/>
      <c r="E23" s="69"/>
      <c r="F23" s="69"/>
      <c r="G23" s="70"/>
      <c r="H23" s="70"/>
      <c r="I23" s="1"/>
    </row>
    <row r="24" spans="1:16" ht="15.6" x14ac:dyDescent="0.3">
      <c r="A24" s="1"/>
      <c r="B24" s="1"/>
      <c r="C24" s="1"/>
      <c r="D24" s="1"/>
      <c r="E24" s="1"/>
      <c r="F24" s="1"/>
      <c r="G24" s="71" t="s">
        <v>5</v>
      </c>
      <c r="H24" s="72">
        <f>SUM(H21:H23)</f>
        <v>99657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3" t="s">
        <v>6</v>
      </c>
      <c r="H25" s="74">
        <f>H24*19%</f>
        <v>18934.830000000002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5" t="s">
        <v>4</v>
      </c>
      <c r="H26" s="76">
        <f>H24+H25</f>
        <v>118591.83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47"/>
      <c r="H27" s="92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7" t="s">
        <v>123</v>
      </c>
      <c r="C29" s="78"/>
      <c r="D29" s="79"/>
      <c r="E29" s="79"/>
      <c r="F29" s="69"/>
      <c r="G29" s="1"/>
      <c r="H29" s="1"/>
      <c r="I29" s="1"/>
    </row>
    <row r="30" spans="1:16" ht="15.6" x14ac:dyDescent="0.3">
      <c r="A30" s="1"/>
      <c r="B30" s="77" t="s">
        <v>122</v>
      </c>
      <c r="C30" s="78"/>
      <c r="D30" s="79"/>
      <c r="E30" s="79"/>
      <c r="F30" s="69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0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7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topLeftCell="A21" zoomScaleNormal="100" workbookViewId="0">
      <selection activeCell="A33" sqref="A33:F58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5" t="s">
        <v>27</v>
      </c>
      <c r="D4" s="14">
        <f>'4637'!G8</f>
        <v>7042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ANGELO MARQUEZ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45344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135</v>
      </c>
      <c r="B14" s="108">
        <f t="shared" ref="B14" si="0">I14</f>
        <v>1</v>
      </c>
      <c r="C14" s="108"/>
      <c r="D14" s="108">
        <f>J14+D$13</f>
        <v>1850</v>
      </c>
      <c r="E14" s="110">
        <f>K14+E$13</f>
        <v>470</v>
      </c>
      <c r="F14" s="108" t="str">
        <f>C26</f>
        <v>CUB CON RESPALDO R8</v>
      </c>
      <c r="G14" s="1"/>
      <c r="I14" s="3">
        <f>I21</f>
        <v>1</v>
      </c>
      <c r="J14" s="4">
        <f t="shared" ref="J14:K14" si="1">D26</f>
        <v>1800</v>
      </c>
      <c r="K14" s="4">
        <f t="shared" si="1"/>
        <v>500</v>
      </c>
    </row>
    <row r="15" spans="1:14" ht="15.6" x14ac:dyDescent="0.3">
      <c r="A15" s="47"/>
      <c r="B15" s="6"/>
      <c r="C15" s="6"/>
      <c r="D15" s="6"/>
      <c r="E15" s="83"/>
      <c r="F15" s="6"/>
      <c r="G15" s="1"/>
      <c r="I15" s="84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47" t="s">
        <v>7</v>
      </c>
      <c r="E19" s="47" t="s">
        <v>8</v>
      </c>
      <c r="F19" s="1"/>
      <c r="G19" s="1"/>
    </row>
    <row r="20" spans="1:11" ht="15.6" x14ac:dyDescent="0.3">
      <c r="A20" s="47" t="s">
        <v>9</v>
      </c>
      <c r="B20" s="33" t="s">
        <v>10</v>
      </c>
      <c r="C20" s="33" t="s">
        <v>11</v>
      </c>
      <c r="D20" s="20">
        <v>40</v>
      </c>
      <c r="E20" s="20">
        <v>130</v>
      </c>
      <c r="F20" s="33" t="s">
        <v>110</v>
      </c>
      <c r="G20" s="1"/>
      <c r="J20" s="5" t="s">
        <v>7</v>
      </c>
      <c r="K20" s="5" t="s">
        <v>8</v>
      </c>
    </row>
    <row r="21" spans="1:11" ht="18" x14ac:dyDescent="0.35">
      <c r="A21" s="90" t="s">
        <v>134</v>
      </c>
      <c r="B21" s="109">
        <f t="shared" ref="B21" si="2">I21</f>
        <v>1</v>
      </c>
      <c r="C21" s="109"/>
      <c r="D21" s="109">
        <f>J21+D$20</f>
        <v>1840</v>
      </c>
      <c r="E21" s="109">
        <f>K21+E$20</f>
        <v>630</v>
      </c>
      <c r="F21" s="109" t="str">
        <f>C26</f>
        <v>CUB CON RESPALDO R8</v>
      </c>
      <c r="G21" s="1"/>
      <c r="I21" s="3">
        <f>B26</f>
        <v>1</v>
      </c>
      <c r="J21" s="4">
        <f>D26</f>
        <v>1800</v>
      </c>
      <c r="K21" s="4">
        <f>E26</f>
        <v>500</v>
      </c>
    </row>
    <row r="22" spans="1:11" ht="16.2" thickBot="1" x14ac:dyDescent="0.35">
      <c r="A22" s="47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47"/>
      <c r="B23" s="21" t="s">
        <v>107</v>
      </c>
      <c r="C23" s="22"/>
      <c r="D23" s="22"/>
      <c r="E23" s="22"/>
      <c r="F23" s="23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47" t="s">
        <v>9</v>
      </c>
      <c r="B25" s="82" t="s">
        <v>10</v>
      </c>
      <c r="C25" s="82" t="s">
        <v>110</v>
      </c>
      <c r="D25" s="82" t="s">
        <v>7</v>
      </c>
      <c r="E25" s="82" t="s">
        <v>8</v>
      </c>
      <c r="F25" s="82" t="s">
        <v>23</v>
      </c>
      <c r="G25" s="1"/>
    </row>
    <row r="26" spans="1:11" ht="18" x14ac:dyDescent="0.35">
      <c r="A26" s="90" t="s">
        <v>134</v>
      </c>
      <c r="B26" s="108">
        <f>'4637'!B21</f>
        <v>1</v>
      </c>
      <c r="C26" s="108" t="str">
        <f>'4637'!C21</f>
        <v>CUB CON RESPALDO R8</v>
      </c>
      <c r="D26" s="108">
        <f>'4637'!D21</f>
        <v>1800</v>
      </c>
      <c r="E26" s="108">
        <f>'4637'!E21</f>
        <v>500</v>
      </c>
      <c r="F26" s="108" t="str">
        <f>'4637'!F21</f>
        <v>PORTLAND MAPLE 10077 SF</v>
      </c>
      <c r="G26" s="1"/>
    </row>
    <row r="27" spans="1:11" ht="15.6" x14ac:dyDescent="0.3">
      <c r="A27" s="47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35" t="s">
        <v>27</v>
      </c>
      <c r="D37" s="14">
        <f>'4637'!G8</f>
        <v>7042</v>
      </c>
      <c r="E37" s="1"/>
      <c r="F37" s="1"/>
      <c r="G37" s="1"/>
    </row>
    <row r="38" spans="1:7" ht="17.25" customHeight="1" x14ac:dyDescent="0.3">
      <c r="A38" s="1"/>
      <c r="B38" s="1"/>
      <c r="C38" s="36" t="s">
        <v>67</v>
      </c>
      <c r="D38" s="37" t="str">
        <f>'4637'!C10</f>
        <v>ANGELO MARQUEZ</v>
      </c>
      <c r="E38" s="38"/>
      <c r="F38" s="38"/>
      <c r="G38" s="1"/>
    </row>
    <row r="39" spans="1:7" ht="4.5" customHeight="1" x14ac:dyDescent="0.3">
      <c r="A39" s="1"/>
      <c r="B39" s="1"/>
      <c r="C39" s="39"/>
      <c r="D39" s="40"/>
      <c r="E39" s="1"/>
      <c r="F39" s="1"/>
      <c r="G39" s="1"/>
    </row>
    <row r="40" spans="1:7" ht="15.6" x14ac:dyDescent="0.3">
      <c r="A40" s="1"/>
      <c r="B40" s="1"/>
      <c r="C40" s="41" t="str">
        <f>'4637'!F11</f>
        <v>FECHA LIMITE :</v>
      </c>
      <c r="D40" s="13">
        <f>'4637'!G11</f>
        <v>45344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9" t="s">
        <v>68</v>
      </c>
      <c r="B43" s="119"/>
      <c r="C43" s="119"/>
      <c r="D43" s="119"/>
      <c r="E43" s="119"/>
      <c r="F43" s="119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20" t="s">
        <v>69</v>
      </c>
      <c r="C45" s="121"/>
      <c r="D45" s="122"/>
      <c r="E45" s="122"/>
      <c r="F45" s="123"/>
      <c r="G45" s="1"/>
    </row>
    <row r="46" spans="1:7" s="15" customFormat="1" ht="12.75" customHeight="1" x14ac:dyDescent="0.3">
      <c r="A46" s="1"/>
      <c r="B46" s="33" t="s">
        <v>10</v>
      </c>
      <c r="C46" s="42" t="s">
        <v>11</v>
      </c>
      <c r="D46" s="43" t="s">
        <v>7</v>
      </c>
      <c r="E46" s="43" t="s">
        <v>8</v>
      </c>
      <c r="F46" s="44" t="s">
        <v>12</v>
      </c>
      <c r="G46" s="1"/>
    </row>
    <row r="47" spans="1:7" s="15" customFormat="1" ht="15" customHeight="1" x14ac:dyDescent="0.35">
      <c r="A47" s="90" t="s">
        <v>134</v>
      </c>
      <c r="B47" s="106">
        <f>'4637'!B21</f>
        <v>1</v>
      </c>
      <c r="C47" s="106" t="str">
        <f>'4637'!C21</f>
        <v>CUB CON RESPALDO R8</v>
      </c>
      <c r="D47" s="107">
        <f>'4637'!D21</f>
        <v>1800</v>
      </c>
      <c r="E47" s="107">
        <f>'4637'!E21</f>
        <v>500</v>
      </c>
      <c r="F47" s="106" t="str">
        <f>'4637'!F21</f>
        <v>PORTLAND MAPLE 10077 SF</v>
      </c>
      <c r="G47" s="1"/>
    </row>
    <row r="48" spans="1:7" s="15" customFormat="1" ht="15" customHeight="1" x14ac:dyDescent="0.3">
      <c r="A48" s="90"/>
      <c r="B48" s="47"/>
      <c r="C48" s="105"/>
      <c r="D48" s="47"/>
      <c r="E48" s="47"/>
      <c r="F48" s="47"/>
      <c r="G48" s="1"/>
    </row>
    <row r="49" spans="1:7" s="15" customFormat="1" ht="15" customHeight="1" x14ac:dyDescent="0.3">
      <c r="A49" s="45"/>
      <c r="B49" s="47"/>
      <c r="C49" s="47"/>
      <c r="D49" s="47"/>
      <c r="E49" s="47"/>
      <c r="F49" s="47"/>
      <c r="G49" s="1"/>
    </row>
    <row r="50" spans="1:7" ht="15.6" x14ac:dyDescent="0.3">
      <c r="A50" s="6"/>
      <c r="B50" s="6"/>
      <c r="C50" s="1"/>
      <c r="D50" s="6"/>
      <c r="E50" s="6"/>
      <c r="F50" s="39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46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19"/>
      <c r="C59" s="19"/>
      <c r="D59" s="19"/>
      <c r="E59" s="19"/>
      <c r="F59" s="19"/>
    </row>
    <row r="60" spans="1:7" x14ac:dyDescent="0.3">
      <c r="B60" s="19"/>
      <c r="C60" s="19"/>
      <c r="E60" s="19"/>
      <c r="F60" s="19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2024-02-20T19:49:55Z</cp:lastPrinted>
  <dcterms:created xsi:type="dcterms:W3CDTF">2013-03-19T12:54:14Z</dcterms:created>
  <dcterms:modified xsi:type="dcterms:W3CDTF">2024-02-20T19:52:09Z</dcterms:modified>
</cp:coreProperties>
</file>