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65A1B818-F0B1-48D8-A9F2-50A08C1ED2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5" i="3"/>
  <c r="F15" i="3"/>
  <c r="I15" i="3"/>
  <c r="B15" i="3" s="1"/>
  <c r="J15" i="3"/>
  <c r="K15" i="3"/>
  <c r="E15" i="3" s="1"/>
  <c r="F16" i="3"/>
  <c r="I16" i="3"/>
  <c r="B16" i="3" s="1"/>
  <c r="J16" i="3"/>
  <c r="D16" i="3" s="1"/>
  <c r="K16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34" i="3"/>
  <c r="I26" i="3" s="1"/>
  <c r="B26" i="3" s="1"/>
  <c r="C34" i="3"/>
  <c r="F26" i="3" s="1"/>
  <c r="D34" i="3"/>
  <c r="J26" i="3" s="1"/>
  <c r="D26" i="3" s="1"/>
  <c r="E34" i="3"/>
  <c r="K26" i="3" s="1"/>
  <c r="F34" i="3"/>
  <c r="B56" i="3"/>
  <c r="C56" i="3"/>
  <c r="D56" i="3"/>
  <c r="E56" i="3"/>
  <c r="F56" i="3"/>
  <c r="B57" i="3"/>
  <c r="C57" i="3"/>
  <c r="D57" i="3"/>
  <c r="E57" i="3"/>
  <c r="F57" i="3"/>
  <c r="H22" i="4"/>
  <c r="H23" i="4"/>
  <c r="H21" i="4" l="1"/>
  <c r="H26" i="4" l="1"/>
  <c r="B55" i="3"/>
  <c r="C55" i="3"/>
  <c r="D55" i="3"/>
  <c r="E55" i="3"/>
  <c r="F55" i="3"/>
  <c r="B32" i="3"/>
  <c r="C32" i="3"/>
  <c r="F24" i="3" s="1"/>
  <c r="D32" i="3"/>
  <c r="J14" i="3" s="1"/>
  <c r="D14" i="3" s="1"/>
  <c r="E32" i="3"/>
  <c r="K14" i="3" s="1"/>
  <c r="E14" i="3" s="1"/>
  <c r="F32" i="3"/>
  <c r="H27" i="4" l="1"/>
  <c r="I24" i="3"/>
  <c r="F14" i="3"/>
  <c r="K24" i="3"/>
  <c r="E24" i="3" s="1"/>
  <c r="J24" i="3"/>
  <c r="D24" i="3" s="1"/>
  <c r="B24" i="3" l="1"/>
  <c r="I14" i="3"/>
  <c r="B14" i="3" s="1"/>
  <c r="H28" i="4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<sst xmlns="http://schemas.openxmlformats.org/spreadsheetml/2006/main" count="251" uniqueCount="145">
  <si>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</si>
  <si>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</si>
  <si>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</si>
  <si>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</si>
  <si>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</si>
  <si>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</si>
  <si>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</si>
  <si>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</si>
  <si>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</si>
  <si>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</si>
  <si>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</si>
  <si>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</si>
  <si>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</si>
  <si>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</si>
  <si>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</si>
  <si>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</si>
  <si>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</si>
  <si>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</si>
  <si>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</si>
  <si>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</si>
  <si>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</si>
  <si>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</si>
  <si>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</si>
  <si>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</si>
  <si>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</si>
  <si>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</si>
  <si>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</si>
  <si>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</si>
  <si>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</si>
  <si>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</si>
  <si>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</si>
  <si>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</si>
  <si>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</si>
  <si>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</si>
  <si>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</si>
  <si>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</si>
  <si>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</si>
  <si>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</si>
  <si>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</si>
  <si>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</si>
  <si>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</si>
  <si>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</si>
  <si>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</si>
  <si>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</si>
  <si>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</si>
  <si>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</si>
  <si>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</si>
  <si>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</si>
  <si>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</si>
  <si>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</si>
  <si>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</si>
  <si>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</si>
  <si>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</si>
  <si>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</si>
  <si>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</si>
  <si>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</si>
  <si>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</si>
  <si>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</si>
  <si>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</si>
  <si>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</si>
  <si>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</si>
  <si>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</si>
  <si>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</si>
  <si>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</si>
  <si>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</si>
  <si>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</si>
  <si>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</si>
  <si>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</si>
  <si>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</si>
  <si>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</si>
  <si>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</si>
  <si>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</si>
  <si>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</si>
  <si>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</si>
  <si>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</si>
  <si>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</si>
  <si>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</si>
  <si>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</si>
  <si>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</si>
  <si>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</si>
  <si>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</si>
  <si>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</si>
  <si>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</si>
  <si>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</si>
  <si>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</si>
  <si>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</si>
  <si>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</si>
  <si>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</si>
  <si>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</si>
  <si>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</si>
  <si>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</si>
  <si>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</si>
  <si>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</si>
  <si>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</si>
  <si>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</si>
  <si>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</si>
  <si>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</si>
  <si>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</si>
  <si>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</si>
  <si>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</si>
  <si>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</si>
  <si>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</si>
  <si>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</si>
  <si>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</si>
  <si>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</si>
  <si>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</si>
  <si>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</si>
  <si>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</si>
  <si>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</si>
  <si>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</si>
  <si>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</si>
  <si>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</si>
  <si>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</si>
  <si>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</si>
  <si>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</si>
  <si>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</si>
  <si>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</si>
  <si>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</si>
  <si>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</si>
  <si>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</si>
  <si>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</si>
  <si>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</si>
  <si>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</si>
  <si>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</si>
  <si>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</si>
  <si>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</si>
  <si>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</si>
  <si>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</si>
  <si>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</si>
  <si>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</si>
  <si>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</si>
  <si>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</si>
  <si>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</si>
  <si>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</si>
  <si>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MDF 18MM</t>
  </si>
  <si>
    <t>MDF18MM</t>
  </si>
  <si>
    <t>FACTOR DISEÑO</t>
  </si>
  <si>
    <t>MARCELO CASTRO</t>
  </si>
  <si>
    <t>SANTIAGO</t>
  </si>
  <si>
    <t>N°10634</t>
  </si>
  <si>
    <t>+569 7137 9100</t>
  </si>
  <si>
    <t>CUB C/R FRENTE ESPAÑOL 180°</t>
  </si>
  <si>
    <t>VAINILLA 2109 MT</t>
  </si>
  <si>
    <t>CUB S/R FRENTE ESPAÑOL 180°</t>
  </si>
  <si>
    <t>76.870.721-9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</si>
</sst>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0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$ 224.217. 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63</xdr:row>
      <xdr:rowOff>24765</xdr:rowOff>
    </xdr:from>
    <xdr:to>
      <xdr:col>5</xdr:col>
      <xdr:colOff>2396490</xdr:colOff>
      <xdr:row>67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41</xdr:row>
      <xdr:rowOff>163830</xdr:rowOff>
    </xdr:from>
    <xdr:to>
      <xdr:col>1</xdr:col>
      <xdr:colOff>908443</xdr:colOff>
      <xdr:row>48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9" workbookViewId="0">
      <selection activeCell="C14" sqref="C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139</v>
      </c>
      <c r="E8" s="1"/>
      <c r="F8" s="88" t="s">
        <v>27</v>
      </c>
      <c r="G8" s="89">
        <v>7043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6" t="s">
        <v>136</v>
      </c>
      <c r="D10" s="50"/>
      <c r="E10" s="50"/>
      <c r="F10" s="51" t="s">
        <v>28</v>
      </c>
      <c r="G10" s="52">
        <v>45343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7" t="s">
        <v>144</v>
      </c>
      <c r="D11" s="55"/>
      <c r="E11" s="55"/>
      <c r="F11" s="55" t="s">
        <v>124</v>
      </c>
      <c r="G11" s="56">
        <v>45348</v>
      </c>
      <c r="H11" s="57"/>
      <c r="I11" s="1"/>
    </row>
    <row r="12" spans="1:17" ht="15.6" x14ac:dyDescent="0.3">
      <c r="A12" s="1"/>
      <c r="B12" s="58" t="s">
        <v>132</v>
      </c>
      <c r="C12" s="101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133</v>
      </c>
      <c r="C13" s="101" t="s">
        <v>137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0" t="s">
        <v>140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8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9" t="s">
        <v>138</v>
      </c>
      <c r="D16" s="64"/>
      <c r="E16" s="65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102">
        <v>1</v>
      </c>
      <c r="C21" s="103" t="s">
        <v>141</v>
      </c>
      <c r="D21" s="95">
        <v>2640</v>
      </c>
      <c r="E21" s="95">
        <v>600</v>
      </c>
      <c r="F21" s="103" t="s">
        <v>142</v>
      </c>
      <c r="G21" s="104">
        <v>143282</v>
      </c>
      <c r="H21" s="94">
        <f>G21*B21</f>
        <v>143282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102">
        <v>1</v>
      </c>
      <c r="C22" s="103" t="s">
        <v>141</v>
      </c>
      <c r="D22" s="95">
        <v>2330</v>
      </c>
      <c r="E22" s="95">
        <v>600</v>
      </c>
      <c r="F22" s="103" t="s">
        <v>142</v>
      </c>
      <c r="G22" s="104">
        <v>127115</v>
      </c>
      <c r="H22" s="94">
        <f t="shared" ref="H22:H23" si="0">G22*B22</f>
        <v>127115</v>
      </c>
      <c r="I22" s="1"/>
      <c r="K22" s="16"/>
      <c r="L22" s="24"/>
      <c r="M22" s="16"/>
      <c r="N22" s="16"/>
      <c r="O22" s="24"/>
      <c r="P22" s="31"/>
    </row>
    <row r="23" spans="1:16" ht="18" customHeight="1" x14ac:dyDescent="0.3">
      <c r="A23" s="1"/>
      <c r="B23" s="102">
        <v>1</v>
      </c>
      <c r="C23" s="103" t="s">
        <v>143</v>
      </c>
      <c r="D23" s="95">
        <v>1930</v>
      </c>
      <c r="E23" s="95">
        <v>600</v>
      </c>
      <c r="F23" s="103" t="s">
        <v>142</v>
      </c>
      <c r="G23" s="104">
        <v>106256</v>
      </c>
      <c r="H23" s="94">
        <f t="shared" si="0"/>
        <v>106256</v>
      </c>
      <c r="I23" s="1"/>
      <c r="K23" s="16"/>
      <c r="L23" s="24"/>
      <c r="M23" s="16"/>
      <c r="N23" s="16"/>
      <c r="O23" s="24"/>
      <c r="P23" s="31"/>
    </row>
    <row r="24" spans="1:16" ht="18" customHeight="1" x14ac:dyDescent="0.3">
      <c r="A24" s="1"/>
      <c r="B24" s="93"/>
      <c r="C24" s="93"/>
      <c r="D24" s="93"/>
      <c r="E24" s="93"/>
      <c r="F24" s="93"/>
      <c r="G24" s="91"/>
      <c r="H24" s="91"/>
      <c r="I24" s="1"/>
      <c r="K24" s="16"/>
      <c r="L24" s="24"/>
      <c r="M24" s="16"/>
      <c r="N24" s="16"/>
      <c r="O24" s="24"/>
      <c r="P24" s="31"/>
    </row>
    <row r="25" spans="1:16" ht="8.25" customHeight="1" thickBot="1" x14ac:dyDescent="0.35">
      <c r="A25" s="1"/>
      <c r="B25" s="69"/>
      <c r="C25" s="69"/>
      <c r="D25" s="69"/>
      <c r="E25" s="69"/>
      <c r="F25" s="69"/>
      <c r="G25" s="70"/>
      <c r="H25" s="70"/>
      <c r="I25" s="1"/>
    </row>
    <row r="26" spans="1:16" ht="15.6" x14ac:dyDescent="0.3">
      <c r="A26" s="1"/>
      <c r="B26" s="1"/>
      <c r="C26" s="1"/>
      <c r="D26" s="1"/>
      <c r="E26" s="1"/>
      <c r="F26" s="1"/>
      <c r="G26" s="71" t="s">
        <v>5</v>
      </c>
      <c r="H26" s="72">
        <f>SUM(H21:H25)</f>
        <v>376653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3" t="s">
        <v>6</v>
      </c>
      <c r="H27" s="74">
        <f>H26*19%</f>
        <v>71564.070000000007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5" t="s">
        <v>4</v>
      </c>
      <c r="H28" s="76">
        <f>H26+H27</f>
        <v>448217.07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47"/>
      <c r="H29" s="92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77" t="s">
        <v>123</v>
      </c>
      <c r="C31" s="78"/>
      <c r="D31" s="79"/>
      <c r="E31" s="79"/>
      <c r="F31" s="69"/>
      <c r="G31" s="1"/>
      <c r="H31" s="1"/>
      <c r="I31" s="1"/>
    </row>
    <row r="32" spans="1:16" ht="15.6" x14ac:dyDescent="0.3">
      <c r="A32" s="1"/>
      <c r="B32" s="77" t="s">
        <v>122</v>
      </c>
      <c r="C32" s="78"/>
      <c r="D32" s="79"/>
      <c r="E32" s="79"/>
      <c r="F32" s="69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0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7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abSelected="1" zoomScaleNormal="100" workbookViewId="0">
      <selection sqref="A1:G42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5" t="s">
        <v>27</v>
      </c>
      <c r="D4" s="14">
        <f>'4637'!G8</f>
        <v>7043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FACTOR DISEÑO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45348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135</v>
      </c>
      <c r="B14" s="108">
        <f t="shared" ref="B14" si="0">I14</f>
        <v>1</v>
      </c>
      <c r="C14" s="108"/>
      <c r="D14" s="108">
        <f>J14+D$13</f>
        <v>2690</v>
      </c>
      <c r="E14" s="110">
        <f>K14+E$13</f>
        <v>570</v>
      </c>
      <c r="F14" s="108" t="str">
        <f>C32</f>
        <v>CUB C/R FRENTE ESPAÑOL 180°</v>
      </c>
      <c r="G14" s="1"/>
      <c r="I14" s="3">
        <f>I24</f>
        <v>1</v>
      </c>
      <c r="J14" s="4">
        <f t="shared" ref="J14:K14" si="1">D32</f>
        <v>2640</v>
      </c>
      <c r="K14" s="4">
        <f t="shared" si="1"/>
        <v>600</v>
      </c>
    </row>
    <row r="15" spans="1:14" ht="18" x14ac:dyDescent="0.35">
      <c r="A15" s="90"/>
      <c r="B15" s="108">
        <f t="shared" ref="B15:B16" si="2">I15</f>
        <v>1</v>
      </c>
      <c r="C15" s="108"/>
      <c r="D15" s="108">
        <f t="shared" ref="D15:D16" si="3">J15+D$13</f>
        <v>2380</v>
      </c>
      <c r="E15" s="110">
        <f t="shared" ref="E15:E16" si="4">K15+E$13</f>
        <v>570</v>
      </c>
      <c r="F15" s="108" t="str">
        <f t="shared" ref="F15:F16" si="5">C33</f>
        <v>CUB C/R FRENTE ESPAÑOL 180°</v>
      </c>
      <c r="G15" s="1"/>
      <c r="I15" s="3">
        <f t="shared" ref="I15:I16" si="6">I25</f>
        <v>1</v>
      </c>
      <c r="J15" s="4">
        <f t="shared" ref="J15:J16" si="7">D33</f>
        <v>2330</v>
      </c>
      <c r="K15" s="4">
        <f t="shared" ref="K15:K16" si="8">E33</f>
        <v>600</v>
      </c>
    </row>
    <row r="16" spans="1:14" ht="18" x14ac:dyDescent="0.35">
      <c r="A16" s="90"/>
      <c r="B16" s="108">
        <f t="shared" si="2"/>
        <v>1</v>
      </c>
      <c r="C16" s="108"/>
      <c r="D16" s="108">
        <f t="shared" si="3"/>
        <v>1980</v>
      </c>
      <c r="E16" s="110">
        <f>K16</f>
        <v>600</v>
      </c>
      <c r="F16" s="108" t="str">
        <f t="shared" si="5"/>
        <v>CUB S/R FRENTE ESPAÑOL 180°</v>
      </c>
      <c r="G16" s="1"/>
      <c r="I16" s="3">
        <f t="shared" si="6"/>
        <v>1</v>
      </c>
      <c r="J16" s="4">
        <f t="shared" si="7"/>
        <v>1930</v>
      </c>
      <c r="K16" s="4">
        <f t="shared" si="8"/>
        <v>600</v>
      </c>
    </row>
    <row r="17" spans="1:11" ht="18" x14ac:dyDescent="0.35">
      <c r="A17" s="90"/>
      <c r="B17" s="125"/>
      <c r="C17" s="125"/>
      <c r="D17" s="125"/>
      <c r="E17" s="128"/>
      <c r="F17" s="125"/>
      <c r="G17" s="1"/>
      <c r="I17" s="126"/>
      <c r="J17" s="127"/>
      <c r="K17" s="127"/>
    </row>
    <row r="18" spans="1:11" ht="15.6" x14ac:dyDescent="0.3">
      <c r="A18" s="47"/>
      <c r="B18" s="6"/>
      <c r="C18" s="6"/>
      <c r="D18" s="6"/>
      <c r="E18" s="83"/>
      <c r="F18" s="6"/>
      <c r="G18" s="1"/>
      <c r="I18" s="84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47" t="s">
        <v>7</v>
      </c>
      <c r="E22" s="47" t="s">
        <v>8</v>
      </c>
      <c r="F22" s="1"/>
      <c r="G22" s="1"/>
    </row>
    <row r="23" spans="1:11" ht="15.6" x14ac:dyDescent="0.3">
      <c r="A23" s="47" t="s">
        <v>9</v>
      </c>
      <c r="B23" s="33" t="s">
        <v>10</v>
      </c>
      <c r="C23" s="33" t="s">
        <v>11</v>
      </c>
      <c r="D23" s="20">
        <v>40</v>
      </c>
      <c r="E23" s="20">
        <v>150</v>
      </c>
      <c r="F23" s="33" t="s">
        <v>110</v>
      </c>
      <c r="G23" s="1"/>
      <c r="J23" s="5" t="s">
        <v>7</v>
      </c>
      <c r="K23" s="5" t="s">
        <v>8</v>
      </c>
    </row>
    <row r="24" spans="1:11" ht="18" x14ac:dyDescent="0.35">
      <c r="A24" s="90" t="s">
        <v>134</v>
      </c>
      <c r="B24" s="109">
        <f t="shared" ref="B24" si="9">I24</f>
        <v>1</v>
      </c>
      <c r="C24" s="109"/>
      <c r="D24" s="109">
        <f>J24+D$23</f>
        <v>2680</v>
      </c>
      <c r="E24" s="109">
        <f>K24+E$23</f>
        <v>750</v>
      </c>
      <c r="F24" s="109" t="str">
        <f>C32</f>
        <v>CUB C/R FRENTE ESPAÑOL 180°</v>
      </c>
      <c r="G24" s="1"/>
      <c r="I24" s="3">
        <f>B32</f>
        <v>1</v>
      </c>
      <c r="J24" s="4">
        <f>D32</f>
        <v>2640</v>
      </c>
      <c r="K24" s="4">
        <f>E32</f>
        <v>600</v>
      </c>
    </row>
    <row r="25" spans="1:11" ht="18" x14ac:dyDescent="0.35">
      <c r="A25" s="90"/>
      <c r="B25" s="109">
        <f t="shared" ref="B25:B26" si="10">I25</f>
        <v>1</v>
      </c>
      <c r="C25" s="109"/>
      <c r="D25" s="109">
        <f t="shared" ref="D25:D26" si="11">J25+D$23</f>
        <v>2370</v>
      </c>
      <c r="E25" s="109">
        <f t="shared" ref="E25:E26" si="12">K25+E$23</f>
        <v>750</v>
      </c>
      <c r="F25" s="109" t="str">
        <f t="shared" ref="F25:F26" si="13">C33</f>
        <v>CUB C/R FRENTE ESPAÑOL 180°</v>
      </c>
      <c r="G25" s="1"/>
      <c r="I25" s="3">
        <f t="shared" ref="I25:I26" si="14">B33</f>
        <v>1</v>
      </c>
      <c r="J25" s="4">
        <f t="shared" ref="J25:K25" si="15">D33</f>
        <v>2330</v>
      </c>
      <c r="K25" s="4">
        <f t="shared" si="15"/>
        <v>600</v>
      </c>
    </row>
    <row r="26" spans="1:11" ht="18" x14ac:dyDescent="0.35">
      <c r="A26" s="90"/>
      <c r="B26" s="109">
        <f t="shared" si="10"/>
        <v>1</v>
      </c>
      <c r="C26" s="109"/>
      <c r="D26" s="109">
        <f t="shared" si="11"/>
        <v>1970</v>
      </c>
      <c r="E26" s="109">
        <v>680</v>
      </c>
      <c r="F26" s="109" t="str">
        <f t="shared" si="13"/>
        <v>CUB S/R FRENTE ESPAÑOL 180°</v>
      </c>
      <c r="G26" s="1"/>
      <c r="I26" s="3">
        <f t="shared" si="14"/>
        <v>1</v>
      </c>
      <c r="J26" s="4">
        <f t="shared" ref="J26:K26" si="16">D34</f>
        <v>1930</v>
      </c>
      <c r="K26" s="4">
        <f t="shared" si="16"/>
        <v>600</v>
      </c>
    </row>
    <row r="27" spans="1:11" ht="18" x14ac:dyDescent="0.35">
      <c r="A27" s="90"/>
      <c r="B27" s="125"/>
      <c r="C27" s="125"/>
      <c r="D27" s="125"/>
      <c r="E27" s="125"/>
      <c r="F27" s="125"/>
      <c r="G27" s="1"/>
      <c r="I27" s="126"/>
      <c r="J27" s="127"/>
      <c r="K27" s="127"/>
    </row>
    <row r="28" spans="1:11" ht="16.2" thickBot="1" x14ac:dyDescent="0.35">
      <c r="A28" s="47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47"/>
      <c r="B29" s="21" t="s">
        <v>107</v>
      </c>
      <c r="C29" s="22"/>
      <c r="D29" s="22"/>
      <c r="E29" s="22"/>
      <c r="F29" s="23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47" t="s">
        <v>9</v>
      </c>
      <c r="B31" s="82" t="s">
        <v>10</v>
      </c>
      <c r="C31" s="82" t="s">
        <v>110</v>
      </c>
      <c r="D31" s="82" t="s">
        <v>7</v>
      </c>
      <c r="E31" s="82" t="s">
        <v>8</v>
      </c>
      <c r="F31" s="82" t="s">
        <v>23</v>
      </c>
      <c r="G31" s="1"/>
    </row>
    <row r="32" spans="1:11" ht="18" x14ac:dyDescent="0.35">
      <c r="A32" s="90" t="s">
        <v>134</v>
      </c>
      <c r="B32" s="108">
        <f>'4637'!B21</f>
        <v>1</v>
      </c>
      <c r="C32" s="108" t="str">
        <f>'4637'!C21</f>
        <v>CUB C/R FRENTE ESPAÑOL 180°</v>
      </c>
      <c r="D32" s="108">
        <f>'4637'!D21</f>
        <v>2640</v>
      </c>
      <c r="E32" s="108">
        <f>'4637'!E21</f>
        <v>600</v>
      </c>
      <c r="F32" s="108" t="str">
        <f>'4637'!F21</f>
        <v>VAINILLA 2109 MT</v>
      </c>
      <c r="G32" s="1"/>
    </row>
    <row r="33" spans="1:7" ht="18" x14ac:dyDescent="0.35">
      <c r="A33" s="90"/>
      <c r="B33" s="108">
        <f>'4637'!B22</f>
        <v>1</v>
      </c>
      <c r="C33" s="108" t="str">
        <f>'4637'!C22</f>
        <v>CUB C/R FRENTE ESPAÑOL 180°</v>
      </c>
      <c r="D33" s="108">
        <f>'4637'!D22</f>
        <v>2330</v>
      </c>
      <c r="E33" s="108">
        <f>'4637'!E22</f>
        <v>600</v>
      </c>
      <c r="F33" s="108" t="str">
        <f>'4637'!F22</f>
        <v>VAINILLA 2109 MT</v>
      </c>
      <c r="G33" s="1"/>
    </row>
    <row r="34" spans="1:7" ht="18" x14ac:dyDescent="0.35">
      <c r="A34" s="90"/>
      <c r="B34" s="108">
        <f>'4637'!B23</f>
        <v>1</v>
      </c>
      <c r="C34" s="108" t="str">
        <f>'4637'!C23</f>
        <v>CUB S/R FRENTE ESPAÑOL 180°</v>
      </c>
      <c r="D34" s="108">
        <f>'4637'!D23</f>
        <v>1930</v>
      </c>
      <c r="E34" s="108">
        <f>'4637'!E23</f>
        <v>600</v>
      </c>
      <c r="F34" s="108" t="str">
        <f>'4637'!F23</f>
        <v>VAINILLA 2109 MT</v>
      </c>
      <c r="G34" s="1"/>
    </row>
    <row r="35" spans="1:7" ht="15.6" x14ac:dyDescent="0.3">
      <c r="A35" s="47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35" t="s">
        <v>27</v>
      </c>
      <c r="D45" s="14">
        <f>'4637'!G8</f>
        <v>7043</v>
      </c>
      <c r="E45" s="1"/>
      <c r="F45" s="1"/>
      <c r="G45" s="1"/>
    </row>
    <row r="46" spans="1:7" ht="17.25" customHeight="1" x14ac:dyDescent="0.3">
      <c r="A46" s="1"/>
      <c r="B46" s="1"/>
      <c r="C46" s="36" t="s">
        <v>67</v>
      </c>
      <c r="D46" s="37" t="str">
        <f>'4637'!C10</f>
        <v>FACTOR DISEÑO</v>
      </c>
      <c r="E46" s="38"/>
      <c r="F46" s="38"/>
      <c r="G46" s="1"/>
    </row>
    <row r="47" spans="1:7" ht="4.5" customHeight="1" x14ac:dyDescent="0.3">
      <c r="A47" s="1"/>
      <c r="B47" s="1"/>
      <c r="C47" s="39"/>
      <c r="D47" s="40"/>
      <c r="E47" s="1"/>
      <c r="F47" s="1"/>
      <c r="G47" s="1"/>
    </row>
    <row r="48" spans="1:7" ht="15.6" x14ac:dyDescent="0.3">
      <c r="A48" s="1"/>
      <c r="B48" s="1"/>
      <c r="C48" s="41" t="str">
        <f>'4637'!F11</f>
        <v>FECHA LIMITE :</v>
      </c>
      <c r="D48" s="13">
        <f>'4637'!G11</f>
        <v>45348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9" t="s">
        <v>68</v>
      </c>
      <c r="B51" s="119"/>
      <c r="C51" s="119"/>
      <c r="D51" s="119"/>
      <c r="E51" s="119"/>
      <c r="F51" s="119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0" t="s">
        <v>69</v>
      </c>
      <c r="C53" s="121"/>
      <c r="D53" s="122"/>
      <c r="E53" s="122"/>
      <c r="F53" s="123"/>
      <c r="G53" s="1"/>
    </row>
    <row r="54" spans="1:7" s="15" customFormat="1" ht="12.75" customHeight="1" x14ac:dyDescent="0.3">
      <c r="A54" s="1"/>
      <c r="B54" s="33" t="s">
        <v>10</v>
      </c>
      <c r="C54" s="42" t="s">
        <v>11</v>
      </c>
      <c r="D54" s="43" t="s">
        <v>7</v>
      </c>
      <c r="E54" s="43" t="s">
        <v>8</v>
      </c>
      <c r="F54" s="44" t="s">
        <v>12</v>
      </c>
      <c r="G54" s="1"/>
    </row>
    <row r="55" spans="1:7" s="15" customFormat="1" ht="15" customHeight="1" x14ac:dyDescent="0.35">
      <c r="A55" s="90" t="s">
        <v>134</v>
      </c>
      <c r="B55" s="106">
        <f>'4637'!B21</f>
        <v>1</v>
      </c>
      <c r="C55" s="106" t="str">
        <f>'4637'!C21</f>
        <v>CUB C/R FRENTE ESPAÑOL 180°</v>
      </c>
      <c r="D55" s="107">
        <f>'4637'!D21</f>
        <v>2640</v>
      </c>
      <c r="E55" s="107">
        <f>'4637'!E21</f>
        <v>600</v>
      </c>
      <c r="F55" s="106" t="str">
        <f>'4637'!F21</f>
        <v>VAINILLA 2109 MT</v>
      </c>
      <c r="G55" s="1"/>
    </row>
    <row r="56" spans="1:7" s="15" customFormat="1" ht="15" customHeight="1" x14ac:dyDescent="0.35">
      <c r="A56" s="90"/>
      <c r="B56" s="106">
        <f>'4637'!B22</f>
        <v>1</v>
      </c>
      <c r="C56" s="106" t="str">
        <f>'4637'!C22</f>
        <v>CUB C/R FRENTE ESPAÑOL 180°</v>
      </c>
      <c r="D56" s="107">
        <f>'4637'!D22</f>
        <v>2330</v>
      </c>
      <c r="E56" s="107">
        <f>'4637'!E22</f>
        <v>600</v>
      </c>
      <c r="F56" s="106" t="str">
        <f>'4637'!F22</f>
        <v>VAINILLA 2109 MT</v>
      </c>
      <c r="G56" s="1"/>
    </row>
    <row r="57" spans="1:7" s="15" customFormat="1" ht="15" customHeight="1" x14ac:dyDescent="0.35">
      <c r="A57" s="90"/>
      <c r="B57" s="106">
        <f>'4637'!B23</f>
        <v>1</v>
      </c>
      <c r="C57" s="106" t="str">
        <f>'4637'!C23</f>
        <v>CUB S/R FRENTE ESPAÑOL 180°</v>
      </c>
      <c r="D57" s="107">
        <f>'4637'!D23</f>
        <v>1930</v>
      </c>
      <c r="E57" s="107">
        <f>'4637'!E23</f>
        <v>600</v>
      </c>
      <c r="F57" s="106" t="str">
        <f>'4637'!F23</f>
        <v>VAINILLA 2109 MT</v>
      </c>
      <c r="G57" s="1"/>
    </row>
    <row r="58" spans="1:7" s="15" customFormat="1" ht="15" customHeight="1" x14ac:dyDescent="0.35">
      <c r="A58" s="90"/>
      <c r="B58" s="124"/>
      <c r="C58" s="124"/>
      <c r="D58" s="124"/>
      <c r="E58" s="124"/>
      <c r="F58" s="124"/>
      <c r="G58" s="1"/>
    </row>
    <row r="59" spans="1:7" s="15" customFormat="1" ht="15" customHeight="1" x14ac:dyDescent="0.3">
      <c r="A59" s="90"/>
      <c r="B59" s="47"/>
      <c r="C59" s="105"/>
      <c r="D59" s="47"/>
      <c r="E59" s="47"/>
      <c r="F59" s="47"/>
      <c r="G59" s="1"/>
    </row>
    <row r="60" spans="1:7" s="15" customFormat="1" ht="15" customHeight="1" x14ac:dyDescent="0.3">
      <c r="A60" s="45"/>
      <c r="B60" s="47"/>
      <c r="C60" s="47"/>
      <c r="D60" s="47"/>
      <c r="E60" s="47"/>
      <c r="F60" s="47"/>
      <c r="G60" s="1"/>
    </row>
    <row r="61" spans="1:7" ht="15.6" x14ac:dyDescent="0.3">
      <c r="A61" s="6"/>
      <c r="B61" s="6"/>
      <c r="C61" s="1"/>
      <c r="D61" s="6"/>
      <c r="E61" s="6"/>
      <c r="F61" s="39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46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19"/>
      <c r="C70" s="19"/>
      <c r="D70" s="19"/>
      <c r="E70" s="19"/>
      <c r="F70" s="19"/>
    </row>
    <row r="71" spans="1:7" x14ac:dyDescent="0.3">
      <c r="B71" s="19"/>
      <c r="C71" s="19"/>
      <c r="E71" s="19"/>
      <c r="F71" s="19"/>
    </row>
  </sheetData>
  <mergeCells count="6">
    <mergeCell ref="M3:N3"/>
    <mergeCell ref="A20:F20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2024-02-21T13:01:17Z</cp:lastPrinted>
  <dcterms:created xsi:type="dcterms:W3CDTF">2013-03-19T12:54:14Z</dcterms:created>
  <dcterms:modified xsi:type="dcterms:W3CDTF">2024-02-21T14:27:24Z</dcterms:modified>
</cp:coreProperties>
</file>