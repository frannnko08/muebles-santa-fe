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35EE0D59-F155-4986-9E46-957E0C65B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3" l="1"/>
  <c r="C49" i="3"/>
  <c r="D49" i="3"/>
  <c r="E49" i="3"/>
  <c r="F49" i="3"/>
  <c r="B50" i="3"/>
  <c r="C50" i="3"/>
  <c r="D50" i="3"/>
  <c r="E50" i="3"/>
  <c r="F50" i="3"/>
  <c r="C48" i="3"/>
  <c r="H21" i="4"/>
  <c r="H24" i="4" l="1"/>
  <c r="B26" i="3"/>
  <c r="I21" i="3" s="1"/>
  <c r="B21" i="3" s="1"/>
  <c r="C26" i="3"/>
  <c r="F14" i="3" s="1"/>
  <c r="D26" i="3"/>
  <c r="J14" i="3" s="1"/>
  <c r="E26" i="3"/>
  <c r="K14" i="3" s="1"/>
  <c r="E14" i="3" s="1"/>
  <c r="F26" i="3"/>
  <c r="B48" i="3"/>
  <c r="D48" i="3"/>
  <c r="E48" i="3"/>
  <c r="F48" i="3"/>
  <c r="B47" i="3"/>
  <c r="C47" i="3"/>
  <c r="D47" i="3"/>
  <c r="E47" i="3"/>
  <c r="F47" i="3"/>
  <c r="I14" i="3" l="1"/>
  <c r="B14" i="3" s="1"/>
  <c r="J21" i="3"/>
  <c r="K21" i="3"/>
  <c r="E21" i="3" s="1"/>
  <c r="F21" i="3"/>
  <c r="H25" i="4"/>
  <c r="H26" i="4" l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<sst xmlns="http://schemas.openxmlformats.org/spreadsheetml/2006/main" count="249" uniqueCount="146">
  <si>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</si>
  <si>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</si>
  <si>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</si>
  <si>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</si>
  <si>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</si>
  <si>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</si>
  <si>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</si>
  <si>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</si>
  <si>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</si>
  <si>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</si>
  <si>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</si>
  <si>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</si>
  <si>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</si>
  <si>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</si>
  <si>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</si>
  <si>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</si>
  <si>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</si>
  <si>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</si>
  <si>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</si>
  <si>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</si>
  <si>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</si>
  <si>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</si>
  <si>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</si>
  <si>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</si>
  <si>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</si>
  <si>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</si>
  <si>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</si>
  <si>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</si>
  <si>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</si>
  <si>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</si>
  <si>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</si>
  <si>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</si>
  <si>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</si>
  <si>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</si>
  <si>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</si>
  <si>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</si>
  <si>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</si>
  <si>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</si>
  <si>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</si>
  <si>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</si>
  <si>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</si>
  <si>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</si>
  <si>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</si>
  <si>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</si>
  <si>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</si>
  <si>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</si>
  <si>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</si>
  <si>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</si>
  <si>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</si>
  <si>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</si>
  <si>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</si>
  <si>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</si>
  <si>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</si>
  <si>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</si>
  <si>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</si>
  <si>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</si>
  <si>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</si>
  <si>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</si>
  <si>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</si>
  <si>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</si>
  <si>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</si>
  <si>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</si>
  <si>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</si>
  <si>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</si>
  <si>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</si>
  <si>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</si>
  <si>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</si>
  <si>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</si>
  <si>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</si>
  <si>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</si>
  <si>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</si>
  <si>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</si>
  <si>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</si>
  <si>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</si>
  <si>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</si>
  <si>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</si>
  <si>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</si>
  <si>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</si>
  <si>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</si>
  <si>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</si>
  <si>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</si>
  <si>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</si>
  <si>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</si>
  <si>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</si>
  <si>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</si>
  <si>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</si>
  <si>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</si>
  <si>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</si>
  <si>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</si>
  <si>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</si>
  <si>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</si>
  <si>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</si>
  <si>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</si>
  <si>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</si>
  <si>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</si>
  <si>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</si>
  <si>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</si>
  <si>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</si>
  <si>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</si>
  <si>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</si>
  <si>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</si>
  <si>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</si>
  <si>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</si>
  <si>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</si>
  <si>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</si>
  <si>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</si>
  <si>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</si>
  <si>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</si>
  <si>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</si>
  <si>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</si>
  <si>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</si>
  <si>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</si>
  <si>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</si>
  <si>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</si>
  <si>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</si>
  <si>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</si>
  <si>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</si>
  <si>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</si>
  <si>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</si>
  <si>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</si>
  <si>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</si>
  <si>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</si>
  <si>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</si>
  <si>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</si>
  <si>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</si>
  <si>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</si>
  <si>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</si>
  <si>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</si>
  <si>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</si>
  <si>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</si>
  <si>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</si>
  <si>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</si>
  <si>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</si>
  <si>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</si>
  <si>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</si>
  <si>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</si>
  <si>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</si>
  <si>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N°10603</t>
  </si>
  <si>
    <t>+56995819251</t>
  </si>
  <si>
    <t>15-02-024</t>
  </si>
  <si>
    <t>CONSTRUCTORA L Y D S.A.</t>
  </si>
  <si>
    <t>96.528.140-1</t>
  </si>
  <si>
    <t>CONSTRUCCION</t>
  </si>
  <si>
    <t>CORNISA 180° 1 LADO</t>
  </si>
  <si>
    <t>BLANCO 2114 MT</t>
  </si>
  <si>
    <t>289-3321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</si>
</sst>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9" borderId="4" xfId="0" applyFont="1" applyFill="1" applyBorder="1"/>
    <xf numFmtId="0" fontId="1" fillId="8" borderId="0" xfId="0" applyFont="1" applyFill="1"/>
    <xf numFmtId="0" fontId="5" fillId="9" borderId="0" xfId="0" applyFont="1" applyFill="1"/>
    <xf numFmtId="0" fontId="17" fillId="8" borderId="0" xfId="2" quotePrefix="1" applyFont="1" applyFill="1" applyBorder="1"/>
    <xf numFmtId="0" fontId="18" fillId="9" borderId="0" xfId="0" applyFont="1" applyFill="1"/>
    <xf numFmtId="0" fontId="1" fillId="8" borderId="9" xfId="2" applyFont="1" applyFill="1" applyBorder="1" applyAlignment="1">
      <alignment horizontal="left"/>
    </xf>
    <xf numFmtId="1" fontId="19" fillId="0" borderId="11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42" fontId="21" fillId="0" borderId="32" xfId="3" applyFont="1" applyFill="1" applyBorder="1" applyAlignment="1">
      <alignment horizontal="center" vertical="center"/>
    </xf>
    <xf numFmtId="1" fontId="19" fillId="0" borderId="3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REBAJAR EL REGRUESO A 2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55</xdr:row>
      <xdr:rowOff>24765</xdr:rowOff>
    </xdr:from>
    <xdr:to>
      <xdr:col>5</xdr:col>
      <xdr:colOff>2396490</xdr:colOff>
      <xdr:row>59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REBAJAR EL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A 2 CMS</a:t>
          </a:r>
        </a:p>
      </xdr:txBody>
    </xdr:sp>
    <xdr:clientData/>
  </xdr:twoCellAnchor>
  <xdr:twoCellAnchor editAs="oneCell">
    <xdr:from>
      <xdr:col>0</xdr:col>
      <xdr:colOff>160020</xdr:colOff>
      <xdr:row>33</xdr:row>
      <xdr:rowOff>194310</xdr:rowOff>
    </xdr:from>
    <xdr:to>
      <xdr:col>1</xdr:col>
      <xdr:colOff>809383</xdr:colOff>
      <xdr:row>40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788428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L21" sqref="L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7040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103" t="s">
        <v>140</v>
      </c>
      <c r="D10" s="55"/>
      <c r="E10" s="55"/>
      <c r="F10" s="56" t="s">
        <v>28</v>
      </c>
      <c r="G10" s="57">
        <v>45334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4" t="s">
        <v>141</v>
      </c>
      <c r="D11" s="60"/>
      <c r="E11" s="60"/>
      <c r="F11" s="60" t="s">
        <v>124</v>
      </c>
      <c r="G11" s="61" t="s">
        <v>139</v>
      </c>
      <c r="H11" s="62"/>
      <c r="I11" s="1"/>
    </row>
    <row r="12" spans="1:17" ht="16.2" thickBot="1" x14ac:dyDescent="0.35">
      <c r="A12" s="1"/>
      <c r="B12" s="63" t="s">
        <v>132</v>
      </c>
      <c r="C12" s="105" t="s">
        <v>142</v>
      </c>
      <c r="D12" s="43"/>
      <c r="E12" s="43"/>
      <c r="F12" s="43" t="s">
        <v>30</v>
      </c>
      <c r="G12" s="64" t="s">
        <v>145</v>
      </c>
      <c r="H12" s="65"/>
      <c r="I12" s="1"/>
    </row>
    <row r="13" spans="1:17" ht="15.6" x14ac:dyDescent="0.3">
      <c r="A13" s="1"/>
      <c r="B13" s="63" t="s">
        <v>134</v>
      </c>
      <c r="C13" s="103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6" t="s">
        <v>138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7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9">
        <v>14</v>
      </c>
      <c r="C21" s="110" t="s">
        <v>143</v>
      </c>
      <c r="D21" s="113">
        <v>1600</v>
      </c>
      <c r="E21" s="113">
        <v>200</v>
      </c>
      <c r="F21" s="111" t="s">
        <v>144</v>
      </c>
      <c r="G21" s="112">
        <v>30507</v>
      </c>
      <c r="H21" s="99">
        <f>G21*B21</f>
        <v>427098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8"/>
      <c r="C22" s="98"/>
      <c r="D22" s="98"/>
      <c r="E22" s="98"/>
      <c r="F22" s="98"/>
      <c r="G22" s="96"/>
      <c r="H22" s="96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427098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81148.62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508246.62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2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9" zoomScaleNormal="100" workbookViewId="0">
      <selection activeCell="J26" sqref="J26"/>
    </sheetView>
  </sheetViews>
  <sheetFormatPr baseColWidth="10" defaultRowHeight="14.4" x14ac:dyDescent="0.3"/>
  <cols>
    <col min="1" max="1" width="13.777343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7040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L Y D S.A.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 t="str">
        <f>'4637'!G11</f>
        <v>15-02-024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136</v>
      </c>
      <c r="B14" s="25">
        <f t="shared" ref="B14" si="0">I14</f>
        <v>14</v>
      </c>
      <c r="C14" s="25"/>
      <c r="D14" s="25">
        <v>1660</v>
      </c>
      <c r="E14" s="35">
        <f t="shared" ref="E14" si="1">K14+E$13</f>
        <v>200</v>
      </c>
      <c r="F14" s="101" t="str">
        <f t="shared" ref="F14" si="2">C26</f>
        <v>CORNISA 180° 1 LADO</v>
      </c>
      <c r="G14" s="1"/>
      <c r="I14" s="3">
        <f t="shared" ref="I14" si="3">B26</f>
        <v>14</v>
      </c>
      <c r="J14" s="4">
        <f t="shared" ref="J14" si="4">D26</f>
        <v>1600</v>
      </c>
      <c r="K14" s="4">
        <f t="shared" ref="K14" si="5">E26</f>
        <v>200</v>
      </c>
    </row>
    <row r="15" spans="1:14" ht="15.6" x14ac:dyDescent="0.3">
      <c r="A15" s="52"/>
      <c r="B15" s="6"/>
      <c r="C15" s="6"/>
      <c r="D15" s="6"/>
      <c r="E15" s="8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3" t="s">
        <v>14</v>
      </c>
      <c r="B17" s="123"/>
      <c r="C17" s="123"/>
      <c r="D17" s="123"/>
      <c r="E17" s="123"/>
      <c r="F17" s="123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70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 t="s">
        <v>135</v>
      </c>
      <c r="B21" s="16">
        <f t="shared" ref="B21" si="6">I21</f>
        <v>14</v>
      </c>
      <c r="C21" s="16"/>
      <c r="D21" s="16">
        <v>1670</v>
      </c>
      <c r="E21" s="16">
        <f t="shared" ref="E21" si="7">K21+E$20</f>
        <v>270</v>
      </c>
      <c r="F21" s="102" t="str">
        <f t="shared" ref="F21" si="8">C26</f>
        <v>CORNISA 180° 1 LADO</v>
      </c>
      <c r="G21" s="1"/>
      <c r="I21" s="3">
        <f t="shared" ref="I21" si="9">B26</f>
        <v>14</v>
      </c>
      <c r="J21" s="4">
        <f t="shared" ref="J21:K21" si="10">D26</f>
        <v>1600</v>
      </c>
      <c r="K21" s="4">
        <f t="shared" si="10"/>
        <v>200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7" t="s">
        <v>10</v>
      </c>
      <c r="C25" s="87" t="s">
        <v>110</v>
      </c>
      <c r="D25" s="87" t="s">
        <v>7</v>
      </c>
      <c r="E25" s="87" t="s">
        <v>8</v>
      </c>
      <c r="F25" s="87" t="s">
        <v>23</v>
      </c>
      <c r="G25" s="1"/>
    </row>
    <row r="26" spans="1:11" ht="15.6" x14ac:dyDescent="0.3">
      <c r="A26" s="95" t="s">
        <v>135</v>
      </c>
      <c r="B26" s="25">
        <f>'4637'!B21</f>
        <v>14</v>
      </c>
      <c r="C26" s="101" t="str">
        <f>'4637'!C21</f>
        <v>CORNISA 180° 1 LADO</v>
      </c>
      <c r="D26" s="25">
        <f>'4637'!D21</f>
        <v>1600</v>
      </c>
      <c r="E26" s="25">
        <f>'4637'!E21</f>
        <v>200</v>
      </c>
      <c r="F26" s="25" t="str">
        <f>'4637'!F21</f>
        <v>BLANCO 2114 MT</v>
      </c>
      <c r="G26" s="1"/>
    </row>
    <row r="27" spans="1:11" ht="15.6" x14ac:dyDescent="0.3">
      <c r="A27" s="52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7040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CONSTRUCTORA L Y D S.A.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 t="str">
        <f>'4637'!G11</f>
        <v>15-02-024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23" t="s">
        <v>68</v>
      </c>
      <c r="B43" s="123"/>
      <c r="C43" s="123"/>
      <c r="D43" s="123"/>
      <c r="E43" s="123"/>
      <c r="F43" s="123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24" t="s">
        <v>69</v>
      </c>
      <c r="C45" s="125"/>
      <c r="D45" s="126"/>
      <c r="E45" s="126"/>
      <c r="F45" s="127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135</v>
      </c>
      <c r="B47" s="38" t="e">
        <f>'4637'!#REF!</f>
        <v>#REF!</v>
      </c>
      <c r="C47" s="100" t="e">
        <f>'4637'!#REF!</f>
        <v>#REF!</v>
      </c>
      <c r="D47" s="39" t="e">
        <f>'4637'!#REF!</f>
        <v>#REF!</v>
      </c>
      <c r="E47" s="39" t="e">
        <f>'4637'!#REF!</f>
        <v>#REF!</v>
      </c>
      <c r="F47" s="38" t="e">
        <f>'4637'!#REF!</f>
        <v>#REF!</v>
      </c>
      <c r="G47" s="1"/>
    </row>
    <row r="48" spans="1:7" s="15" customFormat="1" ht="15" customHeight="1" x14ac:dyDescent="0.3">
      <c r="A48" s="95"/>
      <c r="B48" s="38">
        <f>'4637'!B21</f>
        <v>14</v>
      </c>
      <c r="C48" s="100" t="str">
        <f>'4637'!C21</f>
        <v>CORNISA 180° 1 LADO</v>
      </c>
      <c r="D48" s="39">
        <f>'4637'!D21</f>
        <v>1600</v>
      </c>
      <c r="E48" s="39">
        <f>'4637'!E21</f>
        <v>200</v>
      </c>
      <c r="F48" s="38" t="str">
        <f>'4637'!F21</f>
        <v>BLANCO 2114 MT</v>
      </c>
      <c r="G48" s="1"/>
    </row>
    <row r="49" spans="1:7" s="15" customFormat="1" ht="15" customHeight="1" x14ac:dyDescent="0.3">
      <c r="A49" s="95"/>
      <c r="B49" s="38" t="e">
        <f>'4637'!#REF!</f>
        <v>#REF!</v>
      </c>
      <c r="C49" s="100" t="e">
        <f>'4637'!#REF!</f>
        <v>#REF!</v>
      </c>
      <c r="D49" s="39" t="e">
        <f>'4637'!#REF!</f>
        <v>#REF!</v>
      </c>
      <c r="E49" s="39" t="e">
        <f>'4637'!#REF!</f>
        <v>#REF!</v>
      </c>
      <c r="F49" s="38" t="e">
        <f>'4637'!#REF!</f>
        <v>#REF!</v>
      </c>
      <c r="G49" s="1"/>
    </row>
    <row r="50" spans="1:7" s="15" customFormat="1" ht="15" customHeight="1" x14ac:dyDescent="0.3">
      <c r="A50" s="95"/>
      <c r="B50" s="38" t="e">
        <f>'4637'!#REF!</f>
        <v>#REF!</v>
      </c>
      <c r="C50" s="100" t="e">
        <f>'4637'!#REF!</f>
        <v>#REF!</v>
      </c>
      <c r="D50" s="39" t="e">
        <f>'4637'!#REF!</f>
        <v>#REF!</v>
      </c>
      <c r="E50" s="39" t="e">
        <f>'4637'!#REF!</f>
        <v>#REF!</v>
      </c>
      <c r="F50" s="38" t="e">
        <f>'4637'!#REF!</f>
        <v>#REF!</v>
      </c>
      <c r="G50" s="1"/>
    </row>
    <row r="51" spans="1:7" s="15" customFormat="1" ht="15" customHeight="1" x14ac:dyDescent="0.3">
      <c r="A51" s="95"/>
      <c r="B51" s="52"/>
      <c r="C51" s="114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2024-02-15T16:34:20Z</cp:lastPrinted>
  <dcterms:created xsi:type="dcterms:W3CDTF">2013-03-19T12:54:14Z</dcterms:created>
  <dcterms:modified xsi:type="dcterms:W3CDTF">2024-02-15T16:35:04Z</dcterms:modified>
</cp:coreProperties>
</file>