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2024 FEBRERO\"/>
    </mc:Choice>
  </mc:AlternateContent>
  <xr:revisionPtr revIDLastSave="0" documentId="13_ncr:1_{30567DEF-6444-4BCB-B604-ABA5C7197C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'4637'!$A$1:$H$34</definedName>
    <definedName name="_xlnm.Print_Area" localSheetId="2">CUBIERTA!$A$1:$G$46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3" l="1"/>
  <c r="E28" i="3"/>
  <c r="D29" i="3"/>
  <c r="D28" i="3"/>
  <c r="E19" i="3"/>
  <c r="E18" i="3"/>
  <c r="D19" i="3"/>
  <c r="D18" i="3"/>
  <c r="D17" i="3"/>
  <c r="D15" i="3"/>
  <c r="J18" i="3"/>
  <c r="B37" i="3"/>
  <c r="I28" i="3" s="1"/>
  <c r="B28" i="3" s="1"/>
  <c r="C37" i="3"/>
  <c r="F28" i="3" s="1"/>
  <c r="D37" i="3"/>
  <c r="J28" i="3" s="1"/>
  <c r="E37" i="3"/>
  <c r="K28" i="3" s="1"/>
  <c r="F37" i="3"/>
  <c r="B38" i="3"/>
  <c r="I29" i="3" s="1"/>
  <c r="B29" i="3" s="1"/>
  <c r="C38" i="3"/>
  <c r="F19" i="3" s="1"/>
  <c r="D38" i="3"/>
  <c r="J29" i="3" s="1"/>
  <c r="E38" i="3"/>
  <c r="K29" i="3" s="1"/>
  <c r="F38" i="3"/>
  <c r="B62" i="3"/>
  <c r="C62" i="3"/>
  <c r="D62" i="3"/>
  <c r="E62" i="3"/>
  <c r="F62" i="3"/>
  <c r="B63" i="3"/>
  <c r="C63" i="3"/>
  <c r="D63" i="3"/>
  <c r="E63" i="3"/>
  <c r="F63" i="3"/>
  <c r="F29" i="3" l="1"/>
  <c r="K18" i="3"/>
  <c r="I19" i="3"/>
  <c r="B19" i="3" s="1"/>
  <c r="I18" i="3"/>
  <c r="B18" i="3" s="1"/>
  <c r="K19" i="3"/>
  <c r="J19" i="3"/>
  <c r="F18" i="3"/>
  <c r="H23" i="4"/>
  <c r="H24" i="4"/>
  <c r="H22" i="4"/>
  <c r="H21" i="4"/>
  <c r="H28" i="4" l="1"/>
  <c r="B36" i="3"/>
  <c r="I27" i="3" s="1"/>
  <c r="C36" i="3"/>
  <c r="F16" i="3" s="1"/>
  <c r="D36" i="3"/>
  <c r="J16" i="3" s="1"/>
  <c r="D16" i="3" s="1"/>
  <c r="E36" i="3"/>
  <c r="F36" i="3"/>
  <c r="B61" i="3"/>
  <c r="C61" i="3"/>
  <c r="D61" i="3"/>
  <c r="E61" i="3"/>
  <c r="F61" i="3"/>
  <c r="B60" i="3"/>
  <c r="C60" i="3"/>
  <c r="D60" i="3"/>
  <c r="E60" i="3"/>
  <c r="F60" i="3"/>
  <c r="B35" i="3"/>
  <c r="C35" i="3"/>
  <c r="F26" i="3" s="1"/>
  <c r="D35" i="3"/>
  <c r="J14" i="3" s="1"/>
  <c r="D14" i="3" s="1"/>
  <c r="E35" i="3"/>
  <c r="K14" i="3" s="1"/>
  <c r="E14" i="3" s="1"/>
  <c r="F35" i="3"/>
  <c r="B27" i="3" l="1"/>
  <c r="I15" i="3"/>
  <c r="K16" i="3"/>
  <c r="E16" i="3" s="1"/>
  <c r="I16" i="3"/>
  <c r="B16" i="3" s="1"/>
  <c r="J27" i="3"/>
  <c r="D27" i="3" s="1"/>
  <c r="K27" i="3"/>
  <c r="E27" i="3" s="1"/>
  <c r="F27" i="3"/>
  <c r="H29" i="4"/>
  <c r="I26" i="3"/>
  <c r="F14" i="3"/>
  <c r="K26" i="3"/>
  <c r="E26" i="3" s="1"/>
  <c r="J26" i="3"/>
  <c r="D26" i="3" s="1"/>
  <c r="B26" i="3" l="1"/>
  <c r="I14" i="3"/>
  <c r="B14" i="3" s="1"/>
  <c r="H30" i="4"/>
  <c r="N5" i="3" l="1"/>
  <c r="M5" i="3" l="1"/>
  <c r="L5" i="3"/>
  <c r="K5" i="3"/>
  <c r="C53" i="3" l="1"/>
  <c r="C7" i="3"/>
  <c r="D51" i="3"/>
  <c r="D5" i="3"/>
  <c r="D53" i="3"/>
  <c r="D7" i="3"/>
  <c r="D50" i="3"/>
  <c r="D4" i="3"/>
</calcChain>
</file>

<file path=xl/sharedStrings.xml><?xml version="1.0" encoding="utf-8"?>
<sst xmlns="http://schemas.openxmlformats.org/spreadsheetml/2006/main" count="260" uniqueCount="152">
  <si>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</si>
  <si>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</si>
  <si>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</si>
  <si>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</si>
  <si>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</si>
  <si>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</si>
  <si>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</si>
  <si>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</si>
  <si>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</si>
  <si>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</si>
  <si>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</si>
  <si>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</si>
  <si>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</si>
  <si>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</si>
  <si>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</si>
  <si>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</si>
  <si>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</si>
  <si>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</si>
  <si>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</si>
  <si>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</si>
  <si>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</si>
  <si>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</si>
  <si>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</si>
  <si>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</si>
  <si>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</si>
  <si>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</si>
  <si>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</si>
  <si>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</si>
  <si>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</si>
  <si>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</si>
  <si>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</si>
  <si>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</si>
  <si>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</si>
  <si>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</si>
  <si>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</si>
  <si>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</si>
  <si>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</si>
  <si>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</si>
  <si>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</si>
  <si>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</si>
  <si>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</si>
  <si>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</si>
  <si>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</si>
  <si>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</si>
  <si>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</si>
  <si>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</si>
  <si>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</si>
  <si>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</si>
  <si>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</si>
  <si>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</si>
  <si>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</si>
  <si>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</si>
  <si>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</si>
  <si>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</si>
  <si>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</si>
  <si>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</si>
  <si>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</si>
  <si>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</si>
  <si>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</si>
  <si>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</si>
  <si>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</si>
  <si>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</si>
  <si>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</si>
  <si>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</si>
  <si>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</si>
  <si>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</si>
  <si>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</si>
  <si>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</si>
  <si>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</si>
  <si>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</si>
  <si>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</si>
  <si>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</si>
  <si>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</si>
  <si>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</si>
  <si>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</si>
  <si>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</si>
  <si>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</si>
  <si>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</si>
  <si>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</si>
  <si>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</si>
  <si>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</si>
  <si>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</si>
  <si>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</si>
  <si>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</si>
  <si>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</si>
  <si>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</si>
  <si>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</si>
  <si>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</si>
  <si>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</si>
  <si>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</si>
  <si>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</si>
  <si>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</si>
  <si>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</si>
  <si>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</si>
  <si>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</si>
  <si>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</si>
  <si>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</si>
  <si>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</si>
  <si>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</si>
  <si>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</si>
  <si>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</si>
  <si>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</si>
  <si>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</si>
  <si>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</si>
  <si>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</si>
  <si>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</si>
  <si>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</si>
  <si>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</si>
  <si>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</si>
  <si>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</si>
  <si>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</si>
  <si>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</si>
  <si>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</si>
  <si>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</si>
  <si>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</si>
  <si>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</si>
  <si>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</si>
  <si>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</si>
  <si>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</si>
  <si>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</si>
  <si>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</si>
  <si>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</si>
  <si>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</si>
  <si>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</si>
  <si>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</si>
  <si>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</si>
  <si>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</si>
  <si>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</si>
  <si>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CUB C/R R6</t>
  </si>
  <si>
    <t>HECHO POR:</t>
  </si>
  <si>
    <t xml:space="preserve">CLIENTE: </t>
  </si>
  <si>
    <t>MDF 18MM</t>
  </si>
  <si>
    <t>FERNANDO DONOSO</t>
  </si>
  <si>
    <t xml:space="preserve">GIRO: </t>
  </si>
  <si>
    <t>SANTIAGO</t>
  </si>
  <si>
    <t>CONTACTO:</t>
  </si>
  <si>
    <t>CONSTRUCCION</t>
  </si>
  <si>
    <t>MDF18MM</t>
  </si>
  <si>
    <t>SOC. CONST. E INMOB. CCM SPA</t>
  </si>
  <si>
    <t>76.972.989-5</t>
  </si>
  <si>
    <t>MARIA LUISA REYES</t>
  </si>
  <si>
    <t>PJE. OSSANDON S/NA SITIO 9 PIRQUE</t>
  </si>
  <si>
    <t>+569 9679 9204</t>
  </si>
  <si>
    <t>GRIS NUBE 2189 MT</t>
  </si>
  <si>
    <t>ENCHAPE RECTO 2 CARAS MDF 30MM</t>
  </si>
  <si>
    <t>ENCHAPE RECTO 2 CARAS MDF 25MM</t>
  </si>
  <si>
    <t>N°10638</t>
  </si>
  <si>
    <t>CUBIERTA SIN RESPALDO R8 FALDON 5 CMS</t>
  </si>
  <si>
    <t>FALDON</t>
  </si>
  <si>
    <t>MDF 30MM</t>
  </si>
  <si>
    <t>MDF 25MM</t>
  </si>
  <si>
    <t>OJO CON EL SUSTRATO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</si>
</sst>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33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17" fillId="0" borderId="0" xfId="2" quotePrefix="1" applyFont="1" applyFill="1" applyBorder="1"/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42" fontId="15" fillId="0" borderId="12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166" fontId="3" fillId="0" borderId="32" xfId="1" applyNumberFormat="1" applyFont="1" applyFill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1" fontId="15" fillId="0" borderId="32" xfId="0" applyNumberFormat="1" applyFont="1" applyBorder="1" applyAlignment="1">
      <alignment horizontal="center" vertical="center"/>
    </xf>
    <xf numFmtId="0" fontId="18" fillId="0" borderId="18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8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9" borderId="0" xfId="0" applyFont="1" applyFill="1" applyAlignment="1">
      <alignment horizontal="right"/>
    </xf>
    <xf numFmtId="0" fontId="3" fillId="9" borderId="2" xfId="0" applyFont="1" applyFill="1" applyBorder="1" applyAlignment="1">
      <alignment horizontal="center"/>
    </xf>
    <xf numFmtId="0" fontId="7" fillId="9" borderId="2" xfId="0" applyFont="1" applyFill="1" applyBorder="1" applyAlignment="1">
      <alignment horizontal="center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27</xdr:row>
      <xdr:rowOff>9525</xdr:rowOff>
    </xdr:from>
    <xdr:to>
      <xdr:col>5</xdr:col>
      <xdr:colOff>1390650</xdr:colOff>
      <xdr:row>31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 $ 400.000.-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20</xdr:row>
      <xdr:rowOff>76200</xdr:rowOff>
    </xdr:from>
    <xdr:to>
      <xdr:col>5</xdr:col>
      <xdr:colOff>1676399</xdr:colOff>
      <xdr:row>22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54</xdr:row>
      <xdr:rowOff>171450</xdr:rowOff>
    </xdr:from>
    <xdr:to>
      <xdr:col>5</xdr:col>
      <xdr:colOff>1685924</xdr:colOff>
      <xdr:row>56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52</xdr:row>
      <xdr:rowOff>0</xdr:rowOff>
    </xdr:from>
    <xdr:to>
      <xdr:col>6</xdr:col>
      <xdr:colOff>0</xdr:colOff>
      <xdr:row>53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50</xdr:row>
      <xdr:rowOff>38100</xdr:rowOff>
    </xdr:from>
    <xdr:to>
      <xdr:col>6</xdr:col>
      <xdr:colOff>0</xdr:colOff>
      <xdr:row>51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49</xdr:row>
      <xdr:rowOff>0</xdr:rowOff>
    </xdr:from>
    <xdr:to>
      <xdr:col>6</xdr:col>
      <xdr:colOff>0</xdr:colOff>
      <xdr:row>50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65</xdr:row>
      <xdr:rowOff>0</xdr:rowOff>
    </xdr:from>
    <xdr:to>
      <xdr:col>2</xdr:col>
      <xdr:colOff>38100</xdr:colOff>
      <xdr:row>66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65</xdr:row>
      <xdr:rowOff>0</xdr:rowOff>
    </xdr:from>
    <xdr:to>
      <xdr:col>2</xdr:col>
      <xdr:colOff>1019175</xdr:colOff>
      <xdr:row>65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65</xdr:row>
      <xdr:rowOff>0</xdr:rowOff>
    </xdr:from>
    <xdr:to>
      <xdr:col>3</xdr:col>
      <xdr:colOff>352425</xdr:colOff>
      <xdr:row>66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65</xdr:row>
      <xdr:rowOff>0</xdr:rowOff>
    </xdr:from>
    <xdr:to>
      <xdr:col>4</xdr:col>
      <xdr:colOff>257175</xdr:colOff>
      <xdr:row>66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65</xdr:row>
      <xdr:rowOff>0</xdr:rowOff>
    </xdr:from>
    <xdr:to>
      <xdr:col>5</xdr:col>
      <xdr:colOff>447675</xdr:colOff>
      <xdr:row>65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65</xdr:row>
      <xdr:rowOff>0</xdr:rowOff>
    </xdr:from>
    <xdr:to>
      <xdr:col>6</xdr:col>
      <xdr:colOff>0</xdr:colOff>
      <xdr:row>65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65</xdr:row>
      <xdr:rowOff>190500</xdr:rowOff>
    </xdr:from>
    <xdr:to>
      <xdr:col>2</xdr:col>
      <xdr:colOff>304800</xdr:colOff>
      <xdr:row>67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65</xdr:row>
      <xdr:rowOff>190500</xdr:rowOff>
    </xdr:from>
    <xdr:to>
      <xdr:col>2</xdr:col>
      <xdr:colOff>1276350</xdr:colOff>
      <xdr:row>67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65</xdr:row>
      <xdr:rowOff>190500</xdr:rowOff>
    </xdr:from>
    <xdr:to>
      <xdr:col>3</xdr:col>
      <xdr:colOff>619125</xdr:colOff>
      <xdr:row>67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65</xdr:row>
      <xdr:rowOff>190500</xdr:rowOff>
    </xdr:from>
    <xdr:to>
      <xdr:col>4</xdr:col>
      <xdr:colOff>523875</xdr:colOff>
      <xdr:row>67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65</xdr:row>
      <xdr:rowOff>190500</xdr:rowOff>
    </xdr:from>
    <xdr:to>
      <xdr:col>5</xdr:col>
      <xdr:colOff>723900</xdr:colOff>
      <xdr:row>67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65</xdr:row>
      <xdr:rowOff>190500</xdr:rowOff>
    </xdr:from>
    <xdr:to>
      <xdr:col>6</xdr:col>
      <xdr:colOff>0</xdr:colOff>
      <xdr:row>67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41</xdr:row>
      <xdr:rowOff>15239</xdr:rowOff>
    </xdr:from>
    <xdr:to>
      <xdr:col>6</xdr:col>
      <xdr:colOff>68580</xdr:colOff>
      <xdr:row>45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OBSERVACIONES:LAS PIEZAS RECTAS EL CANTO ENCHAPAR CON TAPACANTO PVC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0,4 X 5CMS, SI NO HAY, ENTONCES CON LA MISMA LAMINA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30</xdr:row>
      <xdr:rowOff>200025</xdr:rowOff>
    </xdr:from>
    <xdr:to>
      <xdr:col>6</xdr:col>
      <xdr:colOff>19049</xdr:colOff>
      <xdr:row>32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68</xdr:row>
      <xdr:rowOff>32385</xdr:rowOff>
    </xdr:from>
    <xdr:to>
      <xdr:col>6</xdr:col>
      <xdr:colOff>19050</xdr:colOff>
      <xdr:row>72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 LAS PIEZAS RECTAS ENCAHAPAR EN CANTO  CON TAPACANTO PVC 0,4, SI NO HAY, ENTONCES CON LA MISMA LAMINA </a:t>
          </a:r>
        </a:p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VAN UNIDAS LAS PIEZAS DE 2500,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SON 5 MTS Y LAS DE 230O SON 4,6 MTS</a:t>
          </a:r>
        </a:p>
        <a:p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MANDO FOTO DEL PROYECTO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46</xdr:row>
      <xdr:rowOff>194310</xdr:rowOff>
    </xdr:from>
    <xdr:to>
      <xdr:col>2</xdr:col>
      <xdr:colOff>100723</xdr:colOff>
      <xdr:row>53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10405110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2</xdr:col>
      <xdr:colOff>79768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7"/>
  <sheetViews>
    <sheetView tabSelected="1" topLeftCell="A6" workbookViewId="0">
      <selection activeCell="I21" sqref="I21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146</v>
      </c>
      <c r="E8" s="1"/>
      <c r="F8" s="94" t="s">
        <v>27</v>
      </c>
      <c r="G8" s="95">
        <v>7046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130</v>
      </c>
      <c r="C10" s="86" t="s">
        <v>138</v>
      </c>
      <c r="D10" s="55"/>
      <c r="E10" s="55"/>
      <c r="F10" s="56" t="s">
        <v>28</v>
      </c>
      <c r="G10" s="57">
        <v>45349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139</v>
      </c>
      <c r="D11" s="60"/>
      <c r="E11" s="60"/>
      <c r="F11" s="60" t="s">
        <v>124</v>
      </c>
      <c r="G11" s="61">
        <v>45351</v>
      </c>
      <c r="H11" s="62"/>
      <c r="I11" s="1"/>
    </row>
    <row r="12" spans="1:17" ht="16.2" thickBot="1" x14ac:dyDescent="0.35">
      <c r="A12" s="1"/>
      <c r="B12" s="63" t="s">
        <v>133</v>
      </c>
      <c r="C12" t="s">
        <v>136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135</v>
      </c>
      <c r="C13" s="86" t="s">
        <v>140</v>
      </c>
      <c r="D13" s="43"/>
      <c r="E13" s="43"/>
      <c r="F13" s="43" t="s">
        <v>129</v>
      </c>
      <c r="G13" s="64" t="s">
        <v>132</v>
      </c>
      <c r="H13" s="65"/>
      <c r="I13" s="1"/>
    </row>
    <row r="14" spans="1:17" ht="15.6" x14ac:dyDescent="0.3">
      <c r="A14" s="1"/>
      <c r="B14" s="59" t="s">
        <v>17</v>
      </c>
      <c r="C14" s="96" t="s">
        <v>142</v>
      </c>
      <c r="D14" s="66"/>
      <c r="E14" s="60"/>
      <c r="F14" s="60" t="s">
        <v>29</v>
      </c>
      <c r="G14" s="60"/>
      <c r="H14" s="62"/>
      <c r="I14" s="1"/>
    </row>
    <row r="15" spans="1:17" ht="15.6" x14ac:dyDescent="0.3">
      <c r="A15" s="1"/>
      <c r="B15" s="63" t="s">
        <v>1</v>
      </c>
      <c r="C15" s="105" t="s">
        <v>141</v>
      </c>
      <c r="D15" s="43"/>
      <c r="E15" s="43"/>
      <c r="F15" s="67" t="s">
        <v>75</v>
      </c>
      <c r="G15" s="67" t="s">
        <v>127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134</v>
      </c>
      <c r="D16" s="69"/>
      <c r="E16" s="70"/>
      <c r="F16" s="106" t="s">
        <v>18</v>
      </c>
      <c r="G16" s="106"/>
      <c r="H16" s="107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08" t="s">
        <v>19</v>
      </c>
      <c r="C19" s="109"/>
      <c r="D19" s="109"/>
      <c r="E19" s="109"/>
      <c r="F19" s="109"/>
      <c r="G19" s="109"/>
      <c r="H19" s="110"/>
      <c r="I19" s="1"/>
    </row>
    <row r="20" spans="1:16" ht="16.2" thickBot="1" x14ac:dyDescent="0.35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thickBot="1" x14ac:dyDescent="0.35">
      <c r="A21" s="1"/>
      <c r="B21" s="101">
        <v>2</v>
      </c>
      <c r="C21" s="120" t="s">
        <v>147</v>
      </c>
      <c r="D21" s="121">
        <v>2500</v>
      </c>
      <c r="E21" s="121">
        <v>600</v>
      </c>
      <c r="F21" s="102" t="s">
        <v>143</v>
      </c>
      <c r="G21" s="119">
        <v>119441</v>
      </c>
      <c r="H21" s="103">
        <f>G21*B21</f>
        <v>238882</v>
      </c>
      <c r="I21" s="1"/>
      <c r="K21" s="17"/>
      <c r="L21" s="26"/>
      <c r="M21" s="17"/>
      <c r="N21" s="17"/>
      <c r="O21" s="26"/>
      <c r="P21" s="33"/>
    </row>
    <row r="22" spans="1:16" ht="18" customHeight="1" thickBot="1" x14ac:dyDescent="0.35">
      <c r="A22" s="1"/>
      <c r="B22" s="101">
        <v>2</v>
      </c>
      <c r="C22" s="120" t="s">
        <v>147</v>
      </c>
      <c r="D22" s="121">
        <v>2300</v>
      </c>
      <c r="E22" s="121">
        <v>600</v>
      </c>
      <c r="F22" s="102" t="s">
        <v>143</v>
      </c>
      <c r="G22" s="119">
        <v>107308</v>
      </c>
      <c r="H22" s="103">
        <f>G22*B22</f>
        <v>214616</v>
      </c>
      <c r="I22" s="1"/>
      <c r="K22" s="17"/>
      <c r="L22" s="26"/>
      <c r="M22" s="17"/>
      <c r="N22" s="17"/>
      <c r="O22" s="26"/>
      <c r="P22" s="33"/>
    </row>
    <row r="23" spans="1:16" ht="18" customHeight="1" thickBot="1" x14ac:dyDescent="0.35">
      <c r="A23" s="1"/>
      <c r="B23" s="101">
        <v>2</v>
      </c>
      <c r="C23" s="120" t="s">
        <v>144</v>
      </c>
      <c r="D23" s="121">
        <v>750</v>
      </c>
      <c r="E23" s="121">
        <v>550</v>
      </c>
      <c r="F23" s="102" t="s">
        <v>143</v>
      </c>
      <c r="G23" s="119">
        <v>40250</v>
      </c>
      <c r="H23" s="103">
        <f t="shared" ref="H23:H24" si="0">G23*B23</f>
        <v>80500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01">
        <v>3</v>
      </c>
      <c r="C24" s="120" t="s">
        <v>145</v>
      </c>
      <c r="D24" s="121">
        <v>750</v>
      </c>
      <c r="E24" s="121">
        <v>550</v>
      </c>
      <c r="F24" s="102" t="s">
        <v>143</v>
      </c>
      <c r="G24" s="119">
        <v>33720</v>
      </c>
      <c r="H24" s="103">
        <f t="shared" si="0"/>
        <v>101160</v>
      </c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98"/>
      <c r="C25" s="98"/>
      <c r="D25" s="98"/>
      <c r="E25" s="98"/>
      <c r="F25" s="98"/>
      <c r="G25" s="100"/>
      <c r="H25" s="100"/>
      <c r="I25" s="1"/>
      <c r="K25" s="17"/>
      <c r="L25" s="26"/>
      <c r="M25" s="17"/>
      <c r="N25" s="17"/>
      <c r="O25" s="26"/>
      <c r="P25" s="33"/>
    </row>
    <row r="26" spans="1:16" ht="18" customHeight="1" x14ac:dyDescent="0.3">
      <c r="A26" s="1"/>
      <c r="B26" s="98"/>
      <c r="C26" s="98"/>
      <c r="D26" s="98"/>
      <c r="E26" s="98"/>
      <c r="F26" s="99"/>
      <c r="G26" s="100"/>
      <c r="H26" s="100"/>
      <c r="I26" s="1"/>
      <c r="K26" s="17"/>
      <c r="L26" s="26"/>
      <c r="M26" s="17"/>
      <c r="N26" s="17"/>
      <c r="O26" s="26"/>
      <c r="P26" s="33"/>
    </row>
    <row r="27" spans="1:16" ht="8.25" customHeight="1" thickBot="1" x14ac:dyDescent="0.35">
      <c r="A27" s="1"/>
      <c r="B27" s="74"/>
      <c r="C27" s="74"/>
      <c r="D27" s="74"/>
      <c r="E27" s="74"/>
      <c r="F27" s="74"/>
      <c r="G27" s="75"/>
      <c r="H27" s="75"/>
      <c r="I27" s="1"/>
    </row>
    <row r="28" spans="1:16" ht="15.6" x14ac:dyDescent="0.3">
      <c r="A28" s="1"/>
      <c r="B28" s="1"/>
      <c r="C28" s="1"/>
      <c r="D28" s="1"/>
      <c r="E28" s="1"/>
      <c r="F28" s="1"/>
      <c r="G28" s="76" t="s">
        <v>5</v>
      </c>
      <c r="H28" s="77">
        <f>SUM(H21:H27)</f>
        <v>635158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78" t="s">
        <v>6</v>
      </c>
      <c r="H29" s="79">
        <f>H28*19%</f>
        <v>120680.02</v>
      </c>
      <c r="I29" s="1"/>
    </row>
    <row r="30" spans="1:16" ht="16.2" thickBot="1" x14ac:dyDescent="0.35">
      <c r="A30" s="1"/>
      <c r="B30" s="1"/>
      <c r="C30" s="1"/>
      <c r="D30" s="1"/>
      <c r="E30" s="1"/>
      <c r="F30" s="1"/>
      <c r="G30" s="80" t="s">
        <v>4</v>
      </c>
      <c r="H30" s="81">
        <f>H28+H29</f>
        <v>755838.02</v>
      </c>
      <c r="I30" s="1"/>
    </row>
    <row r="31" spans="1:16" ht="15.6" x14ac:dyDescent="0.3">
      <c r="A31" s="1"/>
      <c r="B31" s="1"/>
      <c r="C31" s="1"/>
      <c r="D31" s="1"/>
      <c r="E31" s="1"/>
      <c r="F31" s="1"/>
      <c r="G31" s="52"/>
      <c r="H31" s="104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82" t="s">
        <v>123</v>
      </c>
      <c r="C33" s="83"/>
      <c r="D33" s="84"/>
      <c r="E33" s="84"/>
      <c r="F33" s="74"/>
      <c r="G33" s="1"/>
      <c r="H33" s="1"/>
      <c r="I33" s="1"/>
    </row>
    <row r="34" spans="1:9" ht="15.6" x14ac:dyDescent="0.3">
      <c r="A34" s="1"/>
      <c r="B34" s="82" t="s">
        <v>122</v>
      </c>
      <c r="C34" s="83"/>
      <c r="D34" s="84"/>
      <c r="E34" s="84"/>
      <c r="F34" s="74"/>
      <c r="G34" s="1"/>
      <c r="H34" s="1"/>
      <c r="I34" s="1"/>
    </row>
    <row r="35" spans="1:9" ht="15.6" x14ac:dyDescent="0.3">
      <c r="A35" s="1"/>
      <c r="B35" s="1" t="s">
        <v>25</v>
      </c>
      <c r="C35" s="1"/>
      <c r="D35" s="1"/>
      <c r="E35" s="85" t="s">
        <v>26</v>
      </c>
      <c r="F35" s="1"/>
      <c r="G35" s="1"/>
      <c r="H35" s="1"/>
      <c r="I35" s="1"/>
    </row>
    <row r="36" spans="1:9" ht="15.6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ht="15.6" x14ac:dyDescent="0.3">
      <c r="A37" s="1"/>
      <c r="B37" s="1"/>
      <c r="C37" s="1"/>
      <c r="D37" s="1"/>
      <c r="E37" s="1"/>
      <c r="F37" s="1"/>
      <c r="G37" s="1"/>
      <c r="H37" s="1"/>
      <c r="I37" s="1"/>
    </row>
  </sheetData>
  <sortState xmlns:xlrd2="http://schemas.microsoft.com/office/spreadsheetml/2017/richdata2" ref="B39">
    <sortCondition sortBy="fontColor" ref="B39" dxfId="0"/>
  </sortState>
  <mergeCells count="2">
    <mergeCell ref="F16:H16"/>
    <mergeCell ref="B19:H19"/>
  </mergeCells>
  <phoneticPr fontId="10" type="noConversion"/>
  <hyperlinks>
    <hyperlink ref="E35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1" t="s">
        <v>31</v>
      </c>
      <c r="C2" s="111"/>
      <c r="D2" s="111"/>
      <c r="E2" s="18"/>
      <c r="G2" s="111" t="s">
        <v>70</v>
      </c>
      <c r="H2" s="111"/>
      <c r="I2" s="111"/>
      <c r="P2" s="112" t="s">
        <v>58</v>
      </c>
      <c r="Q2" s="112"/>
      <c r="R2" s="112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2" t="s">
        <v>58</v>
      </c>
      <c r="M8" s="112"/>
      <c r="N8" s="112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128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6"/>
  <sheetViews>
    <sheetView topLeftCell="A3" zoomScaleNormal="100" workbookViewId="0">
      <selection activeCell="E13" sqref="E13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3" t="s">
        <v>61</v>
      </c>
      <c r="L3" s="113"/>
      <c r="M3" s="113" t="s">
        <v>14</v>
      </c>
      <c r="N3" s="113"/>
    </row>
    <row r="4" spans="1:14" ht="15.75" customHeight="1" x14ac:dyDescent="0.3">
      <c r="A4" s="1"/>
      <c r="B4" s="1"/>
      <c r="C4" s="40" t="s">
        <v>27</v>
      </c>
      <c r="D4" s="14">
        <f>'4637'!G8</f>
        <v>7046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SOC. CONST. E INMOB. CCM SPA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45351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4" t="s">
        <v>61</v>
      </c>
      <c r="B10" s="114"/>
      <c r="C10" s="114"/>
      <c r="D10" s="114"/>
      <c r="E10" s="114"/>
      <c r="F10" s="114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7" t="s">
        <v>131</v>
      </c>
      <c r="B14" s="25">
        <f t="shared" ref="B14" si="0">I14</f>
        <v>2</v>
      </c>
      <c r="C14" s="25"/>
      <c r="D14" s="25">
        <f>J14+D$13</f>
        <v>2550</v>
      </c>
      <c r="E14" s="35">
        <f>K14+E$13</f>
        <v>600</v>
      </c>
      <c r="F14" s="126" t="str">
        <f>C35</f>
        <v>CUBIERTA SIN RESPALDO R8 FALDON 5 CMS</v>
      </c>
      <c r="G14" s="1"/>
      <c r="I14" s="3">
        <f>I26</f>
        <v>2</v>
      </c>
      <c r="J14" s="4">
        <f t="shared" ref="J14:K14" si="1">D35</f>
        <v>2500</v>
      </c>
      <c r="K14" s="4">
        <f t="shared" si="1"/>
        <v>600</v>
      </c>
    </row>
    <row r="15" spans="1:14" ht="15.6" x14ac:dyDescent="0.3">
      <c r="A15" s="97"/>
      <c r="B15" s="25"/>
      <c r="C15" s="25"/>
      <c r="D15" s="25">
        <f>J15+D$13</f>
        <v>2550</v>
      </c>
      <c r="E15" s="35">
        <v>32</v>
      </c>
      <c r="F15" s="126" t="s">
        <v>148</v>
      </c>
      <c r="G15" s="1"/>
      <c r="I15" s="3">
        <f>I27</f>
        <v>2</v>
      </c>
      <c r="J15" s="4">
        <v>2500</v>
      </c>
      <c r="K15" s="4">
        <v>32</v>
      </c>
    </row>
    <row r="16" spans="1:14" ht="15.6" x14ac:dyDescent="0.3">
      <c r="A16" s="97"/>
      <c r="B16" s="25">
        <f t="shared" ref="B16" si="2">I16</f>
        <v>2</v>
      </c>
      <c r="C16" s="25"/>
      <c r="D16" s="25">
        <f t="shared" ref="D16:D17" si="3">J16+D$13</f>
        <v>2350</v>
      </c>
      <c r="E16" s="35">
        <f t="shared" ref="E16" si="4">K16+E$13</f>
        <v>600</v>
      </c>
      <c r="F16" s="126" t="str">
        <f t="shared" ref="F16" si="5">C36</f>
        <v>CUBIERTA SIN RESPALDO R8 FALDON 5 CMS</v>
      </c>
      <c r="G16" s="1"/>
      <c r="I16" s="3">
        <f t="shared" ref="I16" si="6">B36</f>
        <v>2</v>
      </c>
      <c r="J16" s="4">
        <f t="shared" ref="J16" si="7">D36</f>
        <v>2300</v>
      </c>
      <c r="K16" s="4">
        <f t="shared" ref="K16" si="8">E36</f>
        <v>600</v>
      </c>
    </row>
    <row r="17" spans="1:11" ht="15.6" x14ac:dyDescent="0.3">
      <c r="A17" s="97"/>
      <c r="B17" s="25"/>
      <c r="C17" s="25"/>
      <c r="D17" s="25">
        <f t="shared" si="3"/>
        <v>2350</v>
      </c>
      <c r="E17" s="35">
        <v>32</v>
      </c>
      <c r="F17" s="126" t="s">
        <v>148</v>
      </c>
      <c r="G17" s="1"/>
      <c r="I17" s="3"/>
      <c r="J17" s="4">
        <v>2300</v>
      </c>
      <c r="K17" s="4">
        <v>32</v>
      </c>
    </row>
    <row r="18" spans="1:11" ht="15.6" x14ac:dyDescent="0.3">
      <c r="A18" s="130" t="s">
        <v>149</v>
      </c>
      <c r="B18" s="131">
        <f t="shared" ref="B18:B19" si="9">I18</f>
        <v>2</v>
      </c>
      <c r="C18" s="131" t="s">
        <v>151</v>
      </c>
      <c r="D18" s="131">
        <f>J18+20</f>
        <v>770</v>
      </c>
      <c r="E18" s="131">
        <f>K$18+20</f>
        <v>570</v>
      </c>
      <c r="F18" s="132" t="str">
        <f t="shared" ref="F18:F19" si="10">C37</f>
        <v>ENCHAPE RECTO 2 CARAS MDF 30MM</v>
      </c>
      <c r="G18" s="1"/>
      <c r="I18" s="3">
        <f t="shared" ref="I18:I19" si="11">B37</f>
        <v>2</v>
      </c>
      <c r="J18" s="4">
        <f t="shared" ref="J18:J19" si="12">D37</f>
        <v>750</v>
      </c>
      <c r="K18" s="4">
        <f t="shared" ref="K18:K19" si="13">E37</f>
        <v>550</v>
      </c>
    </row>
    <row r="19" spans="1:11" ht="15.6" x14ac:dyDescent="0.3">
      <c r="A19" s="130" t="s">
        <v>150</v>
      </c>
      <c r="B19" s="131">
        <f t="shared" si="9"/>
        <v>3</v>
      </c>
      <c r="C19" s="131" t="s">
        <v>151</v>
      </c>
      <c r="D19" s="131">
        <f>J19+20</f>
        <v>770</v>
      </c>
      <c r="E19" s="131">
        <f>K$18+20</f>
        <v>570</v>
      </c>
      <c r="F19" s="132" t="str">
        <f t="shared" si="10"/>
        <v>ENCHAPE RECTO 2 CARAS MDF 25MM</v>
      </c>
      <c r="G19" s="1"/>
      <c r="I19" s="3">
        <f t="shared" si="11"/>
        <v>3</v>
      </c>
      <c r="J19" s="4">
        <f t="shared" si="12"/>
        <v>750</v>
      </c>
      <c r="K19" s="4">
        <f t="shared" si="13"/>
        <v>550</v>
      </c>
    </row>
    <row r="20" spans="1:11" ht="15.6" x14ac:dyDescent="0.3">
      <c r="A20" s="52"/>
      <c r="B20" s="6"/>
      <c r="C20" s="6"/>
      <c r="D20" s="6"/>
      <c r="E20" s="89"/>
      <c r="F20" s="6"/>
      <c r="G20" s="1"/>
      <c r="I20" s="90"/>
      <c r="J20" s="2"/>
      <c r="K20" s="2"/>
    </row>
    <row r="21" spans="1:11" ht="6.75" customHeight="1" x14ac:dyDescent="0.3">
      <c r="A21" s="1"/>
      <c r="B21" s="1"/>
      <c r="C21" s="1"/>
      <c r="D21" s="1"/>
      <c r="E21" s="1"/>
      <c r="F21" s="1"/>
      <c r="G21" s="1"/>
    </row>
    <row r="22" spans="1:11" ht="15.6" x14ac:dyDescent="0.3">
      <c r="A22" s="114" t="s">
        <v>14</v>
      </c>
      <c r="B22" s="114"/>
      <c r="C22" s="114"/>
      <c r="D22" s="114"/>
      <c r="E22" s="114"/>
      <c r="F22" s="114"/>
      <c r="G22" s="1"/>
    </row>
    <row r="23" spans="1:11" ht="10.5" customHeight="1" x14ac:dyDescent="0.3">
      <c r="A23" s="1"/>
      <c r="B23" s="1"/>
      <c r="C23" s="12"/>
      <c r="D23" s="1"/>
      <c r="E23" s="1"/>
      <c r="F23" s="1"/>
      <c r="G23" s="1"/>
    </row>
    <row r="24" spans="1:11" ht="15.6" x14ac:dyDescent="0.3">
      <c r="A24" s="1"/>
      <c r="B24" s="1"/>
      <c r="C24" s="1"/>
      <c r="D24" s="52" t="s">
        <v>7</v>
      </c>
      <c r="E24" s="52" t="s">
        <v>8</v>
      </c>
      <c r="F24" s="1"/>
      <c r="G24" s="1"/>
    </row>
    <row r="25" spans="1:11" ht="15.6" x14ac:dyDescent="0.3">
      <c r="A25" s="52" t="s">
        <v>9</v>
      </c>
      <c r="B25" s="36" t="s">
        <v>10</v>
      </c>
      <c r="C25" s="36" t="s">
        <v>11</v>
      </c>
      <c r="D25" s="21">
        <v>40</v>
      </c>
      <c r="E25" s="21">
        <v>80</v>
      </c>
      <c r="F25" s="36" t="s">
        <v>110</v>
      </c>
      <c r="G25" s="1"/>
      <c r="J25" s="5" t="s">
        <v>7</v>
      </c>
      <c r="K25" s="5" t="s">
        <v>8</v>
      </c>
    </row>
    <row r="26" spans="1:11" ht="15.6" x14ac:dyDescent="0.3">
      <c r="A26" s="97" t="s">
        <v>131</v>
      </c>
      <c r="B26" s="16">
        <f t="shared" ref="B26" si="14">I26</f>
        <v>2</v>
      </c>
      <c r="C26" s="16"/>
      <c r="D26" s="16">
        <f>J26+D$25</f>
        <v>2540</v>
      </c>
      <c r="E26" s="16">
        <f>K26+E$25</f>
        <v>680</v>
      </c>
      <c r="F26" s="129" t="str">
        <f>C35</f>
        <v>CUBIERTA SIN RESPALDO R8 FALDON 5 CMS</v>
      </c>
      <c r="G26" s="1"/>
      <c r="I26" s="3">
        <f>B35</f>
        <v>2</v>
      </c>
      <c r="J26" s="4">
        <f>D35</f>
        <v>2500</v>
      </c>
      <c r="K26" s="4">
        <f>E35</f>
        <v>600</v>
      </c>
    </row>
    <row r="27" spans="1:11" ht="15.6" x14ac:dyDescent="0.3">
      <c r="A27" s="97"/>
      <c r="B27" s="16">
        <f t="shared" ref="B27" si="15">I27</f>
        <v>2</v>
      </c>
      <c r="C27" s="16"/>
      <c r="D27" s="16">
        <f>J27+D$25</f>
        <v>2340</v>
      </c>
      <c r="E27" s="16">
        <f>K27+E$25</f>
        <v>680</v>
      </c>
      <c r="F27" s="129" t="str">
        <f t="shared" ref="F27" si="16">C36</f>
        <v>CUBIERTA SIN RESPALDO R8 FALDON 5 CMS</v>
      </c>
      <c r="G27" s="1"/>
      <c r="I27" s="3">
        <f t="shared" ref="I27" si="17">B36</f>
        <v>2</v>
      </c>
      <c r="J27" s="4">
        <f t="shared" ref="J27:K27" si="18">D36</f>
        <v>2300</v>
      </c>
      <c r="K27" s="4">
        <f t="shared" si="18"/>
        <v>600</v>
      </c>
    </row>
    <row r="28" spans="1:11" ht="15.6" x14ac:dyDescent="0.3">
      <c r="A28" s="97"/>
      <c r="B28" s="16">
        <f t="shared" ref="B28:B29" si="19">I28</f>
        <v>2</v>
      </c>
      <c r="C28" s="16"/>
      <c r="D28" s="16">
        <f>J$28+20</f>
        <v>770</v>
      </c>
      <c r="E28" s="16">
        <f>K$28+20</f>
        <v>570</v>
      </c>
      <c r="F28" s="129" t="str">
        <f t="shared" ref="F28:F29" si="20">C37</f>
        <v>ENCHAPE RECTO 2 CARAS MDF 30MM</v>
      </c>
      <c r="G28" s="1"/>
      <c r="I28" s="3">
        <f t="shared" ref="I28:I29" si="21">B37</f>
        <v>2</v>
      </c>
      <c r="J28" s="4">
        <f t="shared" ref="J28:J29" si="22">D37</f>
        <v>750</v>
      </c>
      <c r="K28" s="4">
        <f t="shared" ref="K28:K29" si="23">E37</f>
        <v>550</v>
      </c>
    </row>
    <row r="29" spans="1:11" ht="15.6" x14ac:dyDescent="0.3">
      <c r="A29" s="97"/>
      <c r="B29" s="16">
        <f t="shared" si="19"/>
        <v>3</v>
      </c>
      <c r="C29" s="16"/>
      <c r="D29" s="16">
        <f>J$28+20</f>
        <v>770</v>
      </c>
      <c r="E29" s="16">
        <f>K$28+20</f>
        <v>570</v>
      </c>
      <c r="F29" s="129" t="str">
        <f t="shared" si="20"/>
        <v>ENCHAPE RECTO 2 CARAS MDF 25MM</v>
      </c>
      <c r="G29" s="1"/>
      <c r="I29" s="3">
        <f t="shared" si="21"/>
        <v>3</v>
      </c>
      <c r="J29" s="4">
        <f t="shared" si="22"/>
        <v>750</v>
      </c>
      <c r="K29" s="4">
        <f t="shared" si="23"/>
        <v>550</v>
      </c>
    </row>
    <row r="30" spans="1:11" ht="15.6" x14ac:dyDescent="0.3">
      <c r="A30" s="97"/>
      <c r="B30" s="125"/>
      <c r="C30" s="125"/>
      <c r="D30" s="125"/>
      <c r="E30" s="125"/>
      <c r="F30" s="125"/>
      <c r="G30" s="1"/>
      <c r="I30" s="127"/>
      <c r="J30" s="128"/>
      <c r="K30" s="128"/>
    </row>
    <row r="31" spans="1:11" ht="16.2" thickBot="1" x14ac:dyDescent="0.35">
      <c r="A31" s="52"/>
      <c r="B31" s="6"/>
      <c r="C31" s="6"/>
      <c r="D31" s="6"/>
      <c r="E31" s="6"/>
      <c r="F31" s="6"/>
      <c r="G31" s="1"/>
      <c r="I31" s="2"/>
      <c r="J31" s="2"/>
      <c r="K31" s="2"/>
    </row>
    <row r="32" spans="1:11" ht="16.2" thickBot="1" x14ac:dyDescent="0.35">
      <c r="A32" s="52"/>
      <c r="B32" s="22" t="s">
        <v>107</v>
      </c>
      <c r="C32" s="23"/>
      <c r="D32" s="23"/>
      <c r="E32" s="23"/>
      <c r="F32" s="24"/>
      <c r="G32" s="1"/>
      <c r="I32" s="2"/>
      <c r="J32" s="2"/>
      <c r="K32" s="2"/>
    </row>
    <row r="33" spans="1:7" ht="10.5" customHeight="1" x14ac:dyDescent="0.3">
      <c r="A33" s="1"/>
      <c r="B33" s="1"/>
      <c r="C33" s="1"/>
      <c r="D33" s="1"/>
      <c r="E33" s="1"/>
      <c r="F33" s="1"/>
      <c r="G33" s="1"/>
    </row>
    <row r="34" spans="1:7" ht="15.6" x14ac:dyDescent="0.3">
      <c r="A34" s="52" t="s">
        <v>9</v>
      </c>
      <c r="B34" s="88" t="s">
        <v>10</v>
      </c>
      <c r="C34" s="88" t="s">
        <v>110</v>
      </c>
      <c r="D34" s="88" t="s">
        <v>7</v>
      </c>
      <c r="E34" s="88" t="s">
        <v>8</v>
      </c>
      <c r="F34" s="88" t="s">
        <v>23</v>
      </c>
      <c r="G34" s="1"/>
    </row>
    <row r="35" spans="1:7" ht="15.6" x14ac:dyDescent="0.3">
      <c r="A35" s="97" t="s">
        <v>137</v>
      </c>
      <c r="B35" s="25">
        <f>'4637'!B21</f>
        <v>2</v>
      </c>
      <c r="C35" s="126" t="str">
        <f>'4637'!C21</f>
        <v>CUBIERTA SIN RESPALDO R8 FALDON 5 CMS</v>
      </c>
      <c r="D35" s="25">
        <f>'4637'!D21</f>
        <v>2500</v>
      </c>
      <c r="E35" s="25">
        <f>'4637'!E21</f>
        <v>600</v>
      </c>
      <c r="F35" s="25" t="str">
        <f>'4637'!F21</f>
        <v>GRIS NUBE 2189 MT</v>
      </c>
      <c r="G35" s="1"/>
    </row>
    <row r="36" spans="1:7" ht="15.6" x14ac:dyDescent="0.3">
      <c r="A36" s="97"/>
      <c r="B36" s="25">
        <f>'4637'!B22</f>
        <v>2</v>
      </c>
      <c r="C36" s="126" t="str">
        <f>'4637'!C22</f>
        <v>CUBIERTA SIN RESPALDO R8 FALDON 5 CMS</v>
      </c>
      <c r="D36" s="25">
        <f>'4637'!D22</f>
        <v>2300</v>
      </c>
      <c r="E36" s="25">
        <f>'4637'!E22</f>
        <v>600</v>
      </c>
      <c r="F36" s="25" t="str">
        <f>'4637'!F22</f>
        <v>GRIS NUBE 2189 MT</v>
      </c>
      <c r="G36" s="1"/>
    </row>
    <row r="37" spans="1:7" ht="15.6" x14ac:dyDescent="0.3">
      <c r="A37" s="97"/>
      <c r="B37" s="25">
        <f>'4637'!B23</f>
        <v>2</v>
      </c>
      <c r="C37" s="126" t="str">
        <f>'4637'!C23</f>
        <v>ENCHAPE RECTO 2 CARAS MDF 30MM</v>
      </c>
      <c r="D37" s="25">
        <f>'4637'!D23</f>
        <v>750</v>
      </c>
      <c r="E37" s="25">
        <f>'4637'!E23</f>
        <v>550</v>
      </c>
      <c r="F37" s="25" t="str">
        <f>'4637'!F23</f>
        <v>GRIS NUBE 2189 MT</v>
      </c>
      <c r="G37" s="1"/>
    </row>
    <row r="38" spans="1:7" ht="15.6" x14ac:dyDescent="0.3">
      <c r="A38" s="97"/>
      <c r="B38" s="25">
        <f>'4637'!B24</f>
        <v>3</v>
      </c>
      <c r="C38" s="126" t="str">
        <f>'4637'!C24</f>
        <v>ENCHAPE RECTO 2 CARAS MDF 25MM</v>
      </c>
      <c r="D38" s="25">
        <f>'4637'!D24</f>
        <v>750</v>
      </c>
      <c r="E38" s="25">
        <f>'4637'!E24</f>
        <v>550</v>
      </c>
      <c r="F38" s="25" t="str">
        <f>'4637'!F24</f>
        <v>GRIS NUBE 2189 MT</v>
      </c>
      <c r="G38" s="1"/>
    </row>
    <row r="39" spans="1:7" ht="15.6" x14ac:dyDescent="0.3">
      <c r="A39" s="97"/>
      <c r="B39" s="6"/>
      <c r="C39" s="6"/>
      <c r="D39" s="6"/>
      <c r="E39" s="6"/>
      <c r="F39" s="6"/>
      <c r="G39" s="1"/>
    </row>
    <row r="40" spans="1:7" ht="15.6" x14ac:dyDescent="0.3">
      <c r="A40" s="52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6"/>
      <c r="C43" s="6"/>
      <c r="D43" s="6"/>
      <c r="E43" s="6"/>
      <c r="F43" s="6"/>
      <c r="G43" s="1"/>
    </row>
    <row r="44" spans="1:7" ht="15.6" x14ac:dyDescent="0.3">
      <c r="A44" s="1"/>
      <c r="B44" s="6"/>
      <c r="C44" s="6"/>
      <c r="D44" s="6"/>
      <c r="E44" s="6"/>
      <c r="F44" s="6"/>
      <c r="G44" s="1"/>
    </row>
    <row r="45" spans="1:7" ht="15.6" x14ac:dyDescent="0.3">
      <c r="A45" s="1"/>
      <c r="B45" s="6"/>
      <c r="C45" s="6"/>
      <c r="D45" s="6"/>
      <c r="E45" s="6"/>
      <c r="F45" s="6"/>
      <c r="G45" s="1"/>
    </row>
    <row r="46" spans="1:7" ht="15.6" x14ac:dyDescent="0.3">
      <c r="A46" s="1"/>
      <c r="B46" s="6"/>
      <c r="C46" s="6"/>
      <c r="D46" s="6"/>
      <c r="E46" s="6"/>
      <c r="F46" s="6"/>
      <c r="G46" s="1"/>
    </row>
    <row r="47" spans="1:7" ht="15.6" x14ac:dyDescent="0.3">
      <c r="A47" s="1"/>
      <c r="B47" s="6"/>
      <c r="C47" s="6"/>
      <c r="D47" s="6"/>
      <c r="E47" s="6"/>
      <c r="F47" s="6"/>
      <c r="G47" s="1"/>
    </row>
    <row r="48" spans="1:7" ht="15.6" x14ac:dyDescent="0.3">
      <c r="A48" s="1"/>
      <c r="B48" s="6"/>
      <c r="C48" s="6"/>
      <c r="D48" s="6"/>
      <c r="E48" s="6"/>
      <c r="F48" s="6"/>
      <c r="G48" s="1"/>
    </row>
    <row r="49" spans="1:7" ht="15.6" x14ac:dyDescent="0.3">
      <c r="A49" s="1"/>
      <c r="B49" s="1"/>
      <c r="C49" s="1"/>
      <c r="D49" s="1"/>
      <c r="E49" s="1"/>
      <c r="F49" s="1"/>
      <c r="G49" s="1"/>
    </row>
    <row r="50" spans="1:7" ht="15.6" x14ac:dyDescent="0.3">
      <c r="A50" s="1"/>
      <c r="B50" s="1"/>
      <c r="C50" s="40" t="s">
        <v>27</v>
      </c>
      <c r="D50" s="14">
        <f>'4637'!G8</f>
        <v>7046</v>
      </c>
      <c r="E50" s="1"/>
      <c r="F50" s="1"/>
      <c r="G50" s="1"/>
    </row>
    <row r="51" spans="1:7" ht="17.25" customHeight="1" x14ac:dyDescent="0.3">
      <c r="A51" s="1"/>
      <c r="B51" s="1"/>
      <c r="C51" s="41" t="s">
        <v>67</v>
      </c>
      <c r="D51" s="42" t="str">
        <f>'4637'!C10</f>
        <v>SOC. CONST. E INMOB. CCM SPA</v>
      </c>
      <c r="E51" s="43"/>
      <c r="F51" s="43"/>
      <c r="G51" s="1"/>
    </row>
    <row r="52" spans="1:7" ht="4.5" customHeight="1" x14ac:dyDescent="0.3">
      <c r="A52" s="1"/>
      <c r="B52" s="1"/>
      <c r="C52" s="44"/>
      <c r="D52" s="45"/>
      <c r="E52" s="1"/>
      <c r="F52" s="1"/>
      <c r="G52" s="1"/>
    </row>
    <row r="53" spans="1:7" ht="15.6" x14ac:dyDescent="0.3">
      <c r="A53" s="1"/>
      <c r="B53" s="1"/>
      <c r="C53" s="46" t="str">
        <f>'4637'!F11</f>
        <v>FECHA LIMITE :</v>
      </c>
      <c r="D53" s="13">
        <f>'4637'!G11</f>
        <v>45351</v>
      </c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14" t="s">
        <v>68</v>
      </c>
      <c r="B56" s="114"/>
      <c r="C56" s="114"/>
      <c r="D56" s="114"/>
      <c r="E56" s="114"/>
      <c r="F56" s="114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75" customHeight="1" x14ac:dyDescent="0.3">
      <c r="A58" s="1"/>
      <c r="B58" s="115" t="s">
        <v>69</v>
      </c>
      <c r="C58" s="116"/>
      <c r="D58" s="117"/>
      <c r="E58" s="117"/>
      <c r="F58" s="118"/>
      <c r="G58" s="1"/>
    </row>
    <row r="59" spans="1:7" s="15" customFormat="1" ht="12.75" customHeight="1" x14ac:dyDescent="0.3">
      <c r="A59" s="1"/>
      <c r="B59" s="36" t="s">
        <v>10</v>
      </c>
      <c r="C59" s="47" t="s">
        <v>11</v>
      </c>
      <c r="D59" s="48" t="s">
        <v>7</v>
      </c>
      <c r="E59" s="48" t="s">
        <v>8</v>
      </c>
      <c r="F59" s="49" t="s">
        <v>12</v>
      </c>
      <c r="G59" s="1"/>
    </row>
    <row r="60" spans="1:7" s="15" customFormat="1" ht="15" customHeight="1" x14ac:dyDescent="0.3">
      <c r="A60" s="97"/>
      <c r="B60" s="38">
        <f>'4637'!B21</f>
        <v>2</v>
      </c>
      <c r="C60" s="122" t="str">
        <f>'4637'!C21</f>
        <v>CUBIERTA SIN RESPALDO R8 FALDON 5 CMS</v>
      </c>
      <c r="D60" s="39">
        <f>'4637'!D21</f>
        <v>2500</v>
      </c>
      <c r="E60" s="39">
        <f>'4637'!E21</f>
        <v>600</v>
      </c>
      <c r="F60" s="38" t="str">
        <f>'4637'!F21</f>
        <v>GRIS NUBE 2189 MT</v>
      </c>
      <c r="G60" s="1"/>
    </row>
    <row r="61" spans="1:7" s="15" customFormat="1" ht="15" customHeight="1" x14ac:dyDescent="0.3">
      <c r="A61" s="97"/>
      <c r="B61" s="38">
        <f>'4637'!B22</f>
        <v>2</v>
      </c>
      <c r="C61" s="122" t="str">
        <f>'4637'!C22</f>
        <v>CUBIERTA SIN RESPALDO R8 FALDON 5 CMS</v>
      </c>
      <c r="D61" s="39">
        <f>'4637'!D22</f>
        <v>2300</v>
      </c>
      <c r="E61" s="39">
        <f>'4637'!E22</f>
        <v>600</v>
      </c>
      <c r="F61" s="38" t="str">
        <f>'4637'!F22</f>
        <v>GRIS NUBE 2189 MT</v>
      </c>
      <c r="G61" s="1"/>
    </row>
    <row r="62" spans="1:7" s="15" customFormat="1" ht="15" customHeight="1" x14ac:dyDescent="0.3">
      <c r="A62" s="97"/>
      <c r="B62" s="38">
        <f>'4637'!B23</f>
        <v>2</v>
      </c>
      <c r="C62" s="122" t="str">
        <f>'4637'!C23</f>
        <v>ENCHAPE RECTO 2 CARAS MDF 30MM</v>
      </c>
      <c r="D62" s="39">
        <f>'4637'!D23</f>
        <v>750</v>
      </c>
      <c r="E62" s="39">
        <f>'4637'!E23</f>
        <v>550</v>
      </c>
      <c r="F62" s="38" t="str">
        <f>'4637'!F23</f>
        <v>GRIS NUBE 2189 MT</v>
      </c>
      <c r="G62" s="1"/>
    </row>
    <row r="63" spans="1:7" s="15" customFormat="1" ht="15" customHeight="1" x14ac:dyDescent="0.3">
      <c r="A63" s="97"/>
      <c r="B63" s="38">
        <f>'4637'!B24</f>
        <v>3</v>
      </c>
      <c r="C63" s="122" t="str">
        <f>'4637'!C24</f>
        <v>ENCHAPE RECTO 2 CARAS MDF 25MM</v>
      </c>
      <c r="D63" s="39">
        <f>'4637'!D24</f>
        <v>750</v>
      </c>
      <c r="E63" s="39">
        <f>'4637'!E24</f>
        <v>550</v>
      </c>
      <c r="F63" s="38" t="str">
        <f>'4637'!F24</f>
        <v>GRIS NUBE 2189 MT</v>
      </c>
      <c r="G63" s="1"/>
    </row>
    <row r="64" spans="1:7" s="15" customFormat="1" ht="15" customHeight="1" x14ac:dyDescent="0.3">
      <c r="A64" s="97"/>
      <c r="B64" s="123"/>
      <c r="C64" s="124"/>
      <c r="D64" s="123"/>
      <c r="E64" s="123"/>
      <c r="F64" s="123"/>
      <c r="G64" s="1"/>
    </row>
    <row r="65" spans="1:7" s="15" customFormat="1" ht="15" customHeight="1" x14ac:dyDescent="0.3">
      <c r="A65" s="50"/>
      <c r="B65" s="52"/>
      <c r="C65" s="52"/>
      <c r="D65" s="52"/>
      <c r="E65" s="52"/>
      <c r="F65" s="52"/>
      <c r="G65" s="1"/>
    </row>
    <row r="66" spans="1:7" ht="15.6" x14ac:dyDescent="0.3">
      <c r="A66" s="6"/>
      <c r="B66" s="6"/>
      <c r="C66" s="1"/>
      <c r="D66" s="6"/>
      <c r="E66" s="6"/>
      <c r="F66" s="44"/>
      <c r="G66" s="1"/>
    </row>
    <row r="67" spans="1:7" ht="15.6" x14ac:dyDescent="0.3">
      <c r="A67" s="6"/>
      <c r="B67" s="6"/>
      <c r="C67" s="1"/>
      <c r="D67" s="6"/>
      <c r="E67" s="6"/>
      <c r="F67" s="6"/>
      <c r="G67" s="1"/>
    </row>
    <row r="68" spans="1:7" ht="15.6" x14ac:dyDescent="0.3">
      <c r="A68" s="1"/>
      <c r="B68" s="1"/>
      <c r="C68" s="1"/>
      <c r="D68" s="1"/>
      <c r="E68" s="1"/>
      <c r="F68" s="1"/>
      <c r="G68" s="1"/>
    </row>
    <row r="69" spans="1:7" ht="15.6" x14ac:dyDescent="0.3">
      <c r="A69" s="1"/>
      <c r="B69" s="1"/>
      <c r="C69" s="1"/>
      <c r="D69" s="1"/>
      <c r="E69" s="1"/>
      <c r="F69" s="1"/>
      <c r="G69" s="1"/>
    </row>
    <row r="70" spans="1:7" ht="15.6" x14ac:dyDescent="0.3">
      <c r="A70" s="1"/>
      <c r="B70" s="1"/>
      <c r="C70" s="1"/>
      <c r="D70" s="1"/>
      <c r="E70" s="1"/>
      <c r="F70" s="1"/>
      <c r="G70" s="1"/>
    </row>
    <row r="71" spans="1:7" ht="15" customHeight="1" x14ac:dyDescent="0.3">
      <c r="A71" s="1"/>
      <c r="B71" s="1"/>
      <c r="C71" s="1"/>
      <c r="D71" s="1"/>
      <c r="E71" s="1"/>
      <c r="F71" s="1"/>
      <c r="G71" s="1"/>
    </row>
    <row r="72" spans="1:7" ht="15.6" x14ac:dyDescent="0.3">
      <c r="A72" s="1"/>
      <c r="B72" s="1"/>
      <c r="C72" s="1"/>
      <c r="D72" s="1"/>
      <c r="E72" s="1"/>
      <c r="F72" s="1"/>
      <c r="G72" s="1"/>
    </row>
    <row r="73" spans="1:7" ht="15.6" x14ac:dyDescent="0.3">
      <c r="A73" s="6"/>
      <c r="B73" s="51"/>
      <c r="C73" s="1"/>
      <c r="D73" s="1"/>
      <c r="E73" s="1"/>
      <c r="F73" s="1"/>
      <c r="G73" s="1"/>
    </row>
    <row r="74" spans="1:7" ht="15.6" x14ac:dyDescent="0.3">
      <c r="A74" s="1"/>
      <c r="B74" s="1"/>
      <c r="C74" s="1"/>
      <c r="D74" s="1"/>
      <c r="E74" s="1"/>
      <c r="F74" s="1"/>
      <c r="G74" s="1"/>
    </row>
    <row r="75" spans="1:7" x14ac:dyDescent="0.3">
      <c r="B75" s="20"/>
      <c r="C75" s="20"/>
      <c r="D75" s="20"/>
      <c r="E75" s="20"/>
      <c r="F75" s="20"/>
    </row>
    <row r="76" spans="1:7" x14ac:dyDescent="0.3">
      <c r="B76" s="20"/>
      <c r="C76" s="20"/>
      <c r="E76" s="20"/>
      <c r="F76" s="20"/>
    </row>
  </sheetData>
  <mergeCells count="6">
    <mergeCell ref="M3:N3"/>
    <mergeCell ref="A22:F22"/>
    <mergeCell ref="A10:F10"/>
    <mergeCell ref="A56:F56"/>
    <mergeCell ref="B58:F58"/>
    <mergeCell ref="K3:L3"/>
  </mergeCells>
  <pageMargins left="0.70866141732283472" right="0.70866141732283472" top="0.74803149606299213" bottom="0.74803149606299213" header="0.31496062992125984" footer="0.31496062992125984"/>
  <pageSetup scale="68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2024-02-27T11:55:14Z</cp:lastPrinted>
  <dcterms:created xsi:type="dcterms:W3CDTF">2013-03-19T12:54:14Z</dcterms:created>
  <dcterms:modified xsi:type="dcterms:W3CDTF">2024-02-27T12:32:25Z</dcterms:modified>
</cp:coreProperties>
</file>