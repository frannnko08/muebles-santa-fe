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FEBRERO\"/>
    </mc:Choice>
  </mc:AlternateContent>
  <xr:revisionPtr revIDLastSave="0" documentId="13_ncr:1_{4411778F-ADDF-4BFF-9C40-86FCBF243F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CUBIERTA!$A$39:$G$66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17" i="3"/>
  <c r="E17" i="3"/>
  <c r="E15" i="3"/>
  <c r="D15" i="3"/>
  <c r="C53" i="3" l="1"/>
  <c r="H22" i="4"/>
  <c r="H21" i="4"/>
  <c r="H25" i="4" l="1"/>
  <c r="B31" i="3"/>
  <c r="I25" i="3" s="1"/>
  <c r="C31" i="3"/>
  <c r="F16" i="3" s="1"/>
  <c r="D31" i="3"/>
  <c r="J16" i="3" s="1"/>
  <c r="D16" i="3" s="1"/>
  <c r="E31" i="3"/>
  <c r="K16" i="3" s="1"/>
  <c r="E16" i="3" s="1"/>
  <c r="F31" i="3"/>
  <c r="B53" i="3"/>
  <c r="D53" i="3"/>
  <c r="E53" i="3"/>
  <c r="F53" i="3"/>
  <c r="B52" i="3"/>
  <c r="C52" i="3"/>
  <c r="D52" i="3"/>
  <c r="E52" i="3"/>
  <c r="F52" i="3"/>
  <c r="B30" i="3"/>
  <c r="C30" i="3"/>
  <c r="F24" i="3" s="1"/>
  <c r="D30" i="3"/>
  <c r="J14" i="3" s="1"/>
  <c r="D14" i="3" s="1"/>
  <c r="E30" i="3"/>
  <c r="K14" i="3" s="1"/>
  <c r="E14" i="3" s="1"/>
  <c r="F30" i="3"/>
  <c r="B25" i="3" l="1"/>
  <c r="I15" i="3"/>
  <c r="B15" i="3" s="1"/>
  <c r="I16" i="3"/>
  <c r="B16" i="3" s="1"/>
  <c r="J25" i="3"/>
  <c r="D25" i="3" s="1"/>
  <c r="K25" i="3"/>
  <c r="F25" i="3"/>
  <c r="H26" i="4"/>
  <c r="I24" i="3"/>
  <c r="F14" i="3"/>
  <c r="K24" i="3"/>
  <c r="E24" i="3" s="1"/>
  <c r="J24" i="3"/>
  <c r="D24" i="3" s="1"/>
  <c r="B24" i="3" l="1"/>
  <c r="I14" i="3"/>
  <c r="B14" i="3" s="1"/>
  <c r="H27" i="4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<sst xmlns="http://schemas.openxmlformats.org/spreadsheetml/2006/main" count="249" uniqueCount="144">
  <si>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</si>
  <si>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</si>
  <si>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</si>
  <si>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</si>
  <si>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</si>
  <si>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</si>
  <si>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</si>
  <si>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</si>
  <si>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</si>
  <si>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</si>
  <si>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</si>
  <si>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</si>
  <si>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</si>
  <si>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</si>
  <si>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</si>
  <si>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</si>
  <si>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</si>
  <si>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</si>
  <si>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</si>
  <si>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</si>
  <si>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</si>
  <si>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</si>
  <si>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</si>
  <si>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</si>
  <si>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</si>
  <si>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</si>
  <si>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</si>
  <si>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</si>
  <si>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</si>
  <si>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</si>
  <si>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</si>
  <si>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</si>
  <si>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</si>
  <si>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</si>
  <si>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</si>
  <si>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</si>
  <si>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</si>
  <si>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</si>
  <si>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</si>
  <si>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</si>
  <si>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</si>
  <si>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</si>
  <si>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</si>
  <si>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</si>
  <si>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</si>
  <si>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</si>
  <si>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</si>
  <si>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</si>
  <si>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</si>
  <si>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</si>
  <si>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</si>
  <si>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</si>
  <si>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</si>
  <si>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</si>
  <si>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</si>
  <si>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</si>
  <si>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</si>
  <si>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</si>
  <si>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</si>
  <si>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</si>
  <si>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</si>
  <si>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</si>
  <si>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</si>
  <si>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</si>
  <si>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</si>
  <si>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</si>
  <si>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</si>
  <si>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</si>
  <si>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</si>
  <si>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</si>
  <si>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</si>
  <si>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</si>
  <si>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</si>
  <si>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</si>
  <si>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</si>
  <si>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</si>
  <si>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</si>
  <si>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</si>
  <si>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</si>
  <si>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</si>
  <si>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</si>
  <si>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</si>
  <si>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</si>
  <si>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</si>
  <si>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</si>
  <si>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</si>
  <si>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</si>
  <si>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</si>
  <si>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</si>
  <si>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</si>
  <si>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</si>
  <si>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</si>
  <si>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</si>
  <si>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</si>
  <si>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</si>
  <si>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</si>
  <si>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</si>
  <si>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</si>
  <si>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</si>
  <si>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</si>
  <si>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</si>
  <si>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</si>
  <si>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</si>
  <si>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</si>
  <si>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</si>
  <si>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</si>
  <si>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</si>
  <si>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</si>
  <si>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</si>
  <si>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</si>
  <si>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</si>
  <si>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</si>
  <si>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</si>
  <si>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</si>
  <si>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</si>
  <si>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</si>
  <si>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</si>
  <si>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</si>
  <si>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</si>
  <si>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</si>
  <si>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</si>
  <si>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</si>
  <si>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</si>
  <si>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</si>
  <si>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</si>
  <si>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</si>
  <si>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</si>
  <si>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</si>
  <si>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</si>
  <si>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</si>
  <si>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</si>
  <si>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</si>
  <si>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</si>
  <si>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</si>
  <si>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</si>
  <si>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N°10601</t>
  </si>
  <si>
    <t>MDF 18MM</t>
  </si>
  <si>
    <t>MDF18MM</t>
  </si>
  <si>
    <t>JONATHAN RIVAS</t>
  </si>
  <si>
    <t>569 7391 1293</t>
  </si>
  <si>
    <t>CUBIERTA CON RESPALDO R6 FALDON 8CMS</t>
  </si>
  <si>
    <t>GRANITINO NEGRO 3014 BR PF8</t>
  </si>
  <si>
    <t>CUBIERTA SIN RESPALDO R6 FALDON 8CMS</t>
  </si>
  <si>
    <t>FALDON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</si>
</sst>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9" borderId="4" xfId="0" applyFont="1" applyFill="1" applyBorder="1"/>
    <xf numFmtId="0" fontId="1" fillId="8" borderId="0" xfId="0" applyFont="1" applyFill="1"/>
    <xf numFmtId="0" fontId="5" fillId="9" borderId="0" xfId="0" applyFont="1" applyFill="1"/>
    <xf numFmtId="0" fontId="17" fillId="8" borderId="0" xfId="2" quotePrefix="1" applyFont="1" applyFill="1" applyBorder="1"/>
    <xf numFmtId="0" fontId="18" fillId="9" borderId="0" xfId="0" applyFont="1" applyFill="1"/>
    <xf numFmtId="0" fontId="1" fillId="8" borderId="9" xfId="2" applyFont="1" applyFill="1" applyBorder="1" applyAlignment="1">
      <alignment horizontal="left"/>
    </xf>
    <xf numFmtId="1" fontId="15" fillId="0" borderId="11" xfId="0" applyNumberFormat="1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42" fontId="3" fillId="0" borderId="2" xfId="3" applyFont="1" applyFill="1" applyBorder="1" applyAlignment="1">
      <alignment horizontal="center" vertical="center"/>
    </xf>
    <xf numFmtId="165" fontId="19" fillId="0" borderId="3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$ 91.130.-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 Y AMBAS ENCHAPADAS SOLO LADO IZQUIERDO MIRANDOLAS DE FRENTE, SIN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57</xdr:row>
      <xdr:rowOff>24765</xdr:rowOff>
    </xdr:from>
    <xdr:to>
      <xdr:col>5</xdr:col>
      <xdr:colOff>2396490</xdr:colOff>
      <xdr:row>61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CORTADAS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 ENCHAPAR SOLO LADO IZQUIERDO SIN REGRUESO AMBAS MIRANDOLAS DE FRENTE</a:t>
          </a:r>
        </a:p>
      </xdr:txBody>
    </xdr:sp>
    <xdr:clientData/>
  </xdr:twoCellAnchor>
  <xdr:twoCellAnchor editAs="oneCell">
    <xdr:from>
      <xdr:col>0</xdr:col>
      <xdr:colOff>38100</xdr:colOff>
      <xdr:row>38</xdr:row>
      <xdr:rowOff>163830</xdr:rowOff>
    </xdr:from>
    <xdr:to>
      <xdr:col>1</xdr:col>
      <xdr:colOff>908443</xdr:colOff>
      <xdr:row>45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I19" sqref="I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135</v>
      </c>
      <c r="E8" s="1"/>
      <c r="F8" s="93" t="s">
        <v>27</v>
      </c>
      <c r="G8" s="94">
        <v>7037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104" t="s">
        <v>138</v>
      </c>
      <c r="D10" s="55"/>
      <c r="E10" s="55"/>
      <c r="F10" s="56" t="s">
        <v>28</v>
      </c>
      <c r="G10" s="57">
        <v>45330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5"/>
      <c r="D11" s="60"/>
      <c r="E11" s="60"/>
      <c r="F11" s="60" t="s">
        <v>124</v>
      </c>
      <c r="G11" s="61">
        <v>45336</v>
      </c>
      <c r="H11" s="62"/>
      <c r="I11" s="1"/>
    </row>
    <row r="12" spans="1:17" ht="16.2" thickBot="1" x14ac:dyDescent="0.35">
      <c r="A12" s="1"/>
      <c r="B12" s="63" t="s">
        <v>132</v>
      </c>
      <c r="C12" s="106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104"/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7" t="s">
        <v>139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8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109" t="s">
        <v>133</v>
      </c>
      <c r="D16" s="69"/>
      <c r="E16" s="70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10">
        <v>1</v>
      </c>
      <c r="C21" s="111" t="s">
        <v>140</v>
      </c>
      <c r="D21" s="100">
        <v>2340</v>
      </c>
      <c r="E21" s="100">
        <v>570</v>
      </c>
      <c r="F21" s="115" t="s">
        <v>141</v>
      </c>
      <c r="G21" s="112">
        <v>100137</v>
      </c>
      <c r="H21" s="99">
        <f>G21*B21</f>
        <v>100137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3">
        <v>1</v>
      </c>
      <c r="C22" s="111" t="s">
        <v>142</v>
      </c>
      <c r="D22" s="116">
        <v>2300</v>
      </c>
      <c r="E22" s="116">
        <v>300</v>
      </c>
      <c r="F22" s="115" t="s">
        <v>141</v>
      </c>
      <c r="G22" s="114">
        <v>53028</v>
      </c>
      <c r="H22" s="99">
        <f>G22*B22</f>
        <v>53028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/>
      <c r="C23" s="98"/>
      <c r="D23" s="98"/>
      <c r="E23" s="98"/>
      <c r="F23" s="98"/>
      <c r="G23" s="96"/>
      <c r="H23" s="96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153165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29101.35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182266.35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7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opLeftCell="A27" zoomScaleNormal="100" workbookViewId="0">
      <selection activeCell="A39" sqref="A39:G6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4" t="s">
        <v>61</v>
      </c>
      <c r="L3" s="124"/>
      <c r="M3" s="124" t="s">
        <v>14</v>
      </c>
      <c r="N3" s="124"/>
    </row>
    <row r="4" spans="1:14" ht="15.75" customHeight="1" x14ac:dyDescent="0.3">
      <c r="A4" s="1"/>
      <c r="B4" s="1"/>
      <c r="C4" s="40" t="s">
        <v>27</v>
      </c>
      <c r="D4" s="14">
        <f>'4637'!G8</f>
        <v>7037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JONATHAN RIVAS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45336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5" t="s">
        <v>61</v>
      </c>
      <c r="B10" s="125"/>
      <c r="C10" s="125"/>
      <c r="D10" s="125"/>
      <c r="E10" s="125"/>
      <c r="F10" s="12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137</v>
      </c>
      <c r="B14" s="25">
        <f t="shared" ref="B14" si="0">I14</f>
        <v>1</v>
      </c>
      <c r="C14" s="25"/>
      <c r="D14" s="25">
        <f>J14+D$13</f>
        <v>2390</v>
      </c>
      <c r="E14" s="35">
        <f>K14+E$13</f>
        <v>540</v>
      </c>
      <c r="F14" s="102" t="str">
        <f>C30</f>
        <v>CUBIERTA CON RESPALDO R6 FALDON 8CMS</v>
      </c>
      <c r="G14" s="1"/>
      <c r="I14" s="3">
        <f>I24</f>
        <v>1</v>
      </c>
      <c r="J14" s="4">
        <f t="shared" ref="J14:K14" si="1">D30</f>
        <v>2340</v>
      </c>
      <c r="K14" s="4">
        <f t="shared" si="1"/>
        <v>570</v>
      </c>
    </row>
    <row r="15" spans="1:14" ht="15.6" x14ac:dyDescent="0.3">
      <c r="A15" s="95"/>
      <c r="B15" s="25">
        <f>I15</f>
        <v>1</v>
      </c>
      <c r="C15" s="25"/>
      <c r="D15" s="25">
        <f>J15+D$13</f>
        <v>2390</v>
      </c>
      <c r="E15" s="35">
        <f>K15</f>
        <v>62</v>
      </c>
      <c r="F15" s="102" t="s">
        <v>143</v>
      </c>
      <c r="G15" s="1"/>
      <c r="I15" s="3">
        <f>I25</f>
        <v>1</v>
      </c>
      <c r="J15" s="4">
        <v>2340</v>
      </c>
      <c r="K15" s="4">
        <v>62</v>
      </c>
    </row>
    <row r="16" spans="1:14" ht="15.6" x14ac:dyDescent="0.3">
      <c r="A16" s="95"/>
      <c r="B16" s="25">
        <f t="shared" ref="B16" si="2">I16</f>
        <v>1</v>
      </c>
      <c r="C16" s="25"/>
      <c r="D16" s="25">
        <f t="shared" ref="D16" si="3">J16+D$13</f>
        <v>2350</v>
      </c>
      <c r="E16" s="35">
        <f>K16</f>
        <v>300</v>
      </c>
      <c r="F16" s="102" t="str">
        <f t="shared" ref="F16" si="4">C31</f>
        <v>CUBIERTA SIN RESPALDO R6 FALDON 8CMS</v>
      </c>
      <c r="G16" s="1"/>
      <c r="I16" s="3">
        <f t="shared" ref="I16" si="5">B31</f>
        <v>1</v>
      </c>
      <c r="J16" s="4">
        <f t="shared" ref="J16" si="6">D31</f>
        <v>2300</v>
      </c>
      <c r="K16" s="4">
        <f t="shared" ref="K16" si="7">E31</f>
        <v>300</v>
      </c>
    </row>
    <row r="17" spans="1:11" ht="15.6" x14ac:dyDescent="0.3">
      <c r="A17" s="95"/>
      <c r="B17" s="25">
        <f t="shared" ref="B17" si="8">I17</f>
        <v>1</v>
      </c>
      <c r="C17" s="25"/>
      <c r="D17" s="25">
        <f t="shared" ref="D17" si="9">J17+D$13</f>
        <v>2350</v>
      </c>
      <c r="E17" s="35">
        <f>K17</f>
        <v>62</v>
      </c>
      <c r="F17" s="102" t="s">
        <v>143</v>
      </c>
      <c r="G17" s="1"/>
      <c r="I17" s="3">
        <v>1</v>
      </c>
      <c r="J17" s="4">
        <v>2300</v>
      </c>
      <c r="K17" s="4">
        <v>62</v>
      </c>
    </row>
    <row r="18" spans="1:11" ht="15.6" x14ac:dyDescent="0.3">
      <c r="A18" s="52"/>
      <c r="B18" s="6"/>
      <c r="C18" s="6"/>
      <c r="D18" s="6"/>
      <c r="E18" s="88"/>
      <c r="F18" s="6"/>
      <c r="G18" s="1"/>
      <c r="I18" s="89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5" t="s">
        <v>14</v>
      </c>
      <c r="B20" s="125"/>
      <c r="C20" s="125"/>
      <c r="D20" s="125"/>
      <c r="E20" s="125"/>
      <c r="F20" s="125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220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5" t="s">
        <v>136</v>
      </c>
      <c r="B24" s="16">
        <f t="shared" ref="B24" si="10">I24</f>
        <v>1</v>
      </c>
      <c r="C24" s="16"/>
      <c r="D24" s="16">
        <f>J24+D$23</f>
        <v>2380</v>
      </c>
      <c r="E24" s="16">
        <f>K24+E$23</f>
        <v>790</v>
      </c>
      <c r="F24" s="103" t="str">
        <f>C30</f>
        <v>CUBIERTA CON RESPALDO R6 FALDON 8CMS</v>
      </c>
      <c r="G24" s="1"/>
      <c r="I24" s="3">
        <f>B30</f>
        <v>1</v>
      </c>
      <c r="J24" s="4">
        <f>D30</f>
        <v>2340</v>
      </c>
      <c r="K24" s="4">
        <f>E30</f>
        <v>570</v>
      </c>
    </row>
    <row r="25" spans="1:11" ht="15.6" x14ac:dyDescent="0.3">
      <c r="A25" s="95"/>
      <c r="B25" s="16">
        <f t="shared" ref="B25" si="11">I25</f>
        <v>1</v>
      </c>
      <c r="C25" s="16"/>
      <c r="D25" s="16">
        <f>J25+D$23</f>
        <v>2340</v>
      </c>
      <c r="E25" s="16">
        <v>400</v>
      </c>
      <c r="F25" s="103" t="str">
        <f t="shared" ref="F25" si="12">C31</f>
        <v>CUBIERTA SIN RESPALDO R6 FALDON 8CMS</v>
      </c>
      <c r="G25" s="1"/>
      <c r="I25" s="3">
        <f t="shared" ref="I25" si="13">B31</f>
        <v>1</v>
      </c>
      <c r="J25" s="4">
        <f t="shared" ref="J25:K25" si="14">D31</f>
        <v>2300</v>
      </c>
      <c r="K25" s="4">
        <f t="shared" si="14"/>
        <v>300</v>
      </c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7" t="s">
        <v>10</v>
      </c>
      <c r="C29" s="87" t="s">
        <v>110</v>
      </c>
      <c r="D29" s="87" t="s">
        <v>7</v>
      </c>
      <c r="E29" s="87" t="s">
        <v>8</v>
      </c>
      <c r="F29" s="87" t="s">
        <v>23</v>
      </c>
      <c r="G29" s="1"/>
    </row>
    <row r="30" spans="1:11" ht="15.6" x14ac:dyDescent="0.3">
      <c r="A30" s="95" t="s">
        <v>136</v>
      </c>
      <c r="B30" s="25">
        <f>'4637'!B21</f>
        <v>1</v>
      </c>
      <c r="C30" s="102" t="str">
        <f>'4637'!C21</f>
        <v>CUBIERTA CON RESPALDO R6 FALDON 8CMS</v>
      </c>
      <c r="D30" s="25">
        <f>'4637'!D21</f>
        <v>2340</v>
      </c>
      <c r="E30" s="25">
        <f>'4637'!E21</f>
        <v>570</v>
      </c>
      <c r="F30" s="25" t="str">
        <f>'4637'!F21</f>
        <v>GRANITINO NEGRO 3014 BR PF8</v>
      </c>
      <c r="G30" s="1"/>
    </row>
    <row r="31" spans="1:11" ht="15.6" x14ac:dyDescent="0.3">
      <c r="A31" s="95"/>
      <c r="B31" s="25">
        <f>'4637'!B22</f>
        <v>1</v>
      </c>
      <c r="C31" s="102" t="str">
        <f>'4637'!C22</f>
        <v>CUBIERTA SIN RESPALDO R6 FALDON 8CMS</v>
      </c>
      <c r="D31" s="25">
        <f>'4637'!D22</f>
        <v>2300</v>
      </c>
      <c r="E31" s="25">
        <f>'4637'!E22</f>
        <v>300</v>
      </c>
      <c r="F31" s="25" t="str">
        <f>'4637'!F22</f>
        <v>GRANITINO NEGRO 3014 BR PF8</v>
      </c>
      <c r="G31" s="1"/>
    </row>
    <row r="32" spans="1:11" ht="15.6" x14ac:dyDescent="0.3">
      <c r="A32" s="52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7037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JONATHAN RIVAS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45336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5" t="s">
        <v>68</v>
      </c>
      <c r="B48" s="125"/>
      <c r="C48" s="125"/>
      <c r="D48" s="125"/>
      <c r="E48" s="125"/>
      <c r="F48" s="125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6" t="s">
        <v>69</v>
      </c>
      <c r="C50" s="127"/>
      <c r="D50" s="128"/>
      <c r="E50" s="128"/>
      <c r="F50" s="129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5" t="s">
        <v>136</v>
      </c>
      <c r="B52" s="38">
        <f>'4637'!B21</f>
        <v>1</v>
      </c>
      <c r="C52" s="101" t="str">
        <f>'4637'!C21</f>
        <v>CUBIERTA CON RESPALDO R6 FALDON 8CMS</v>
      </c>
      <c r="D52" s="39">
        <f>'4637'!D21</f>
        <v>2340</v>
      </c>
      <c r="E52" s="39">
        <f>'4637'!E21</f>
        <v>570</v>
      </c>
      <c r="F52" s="38" t="str">
        <f>'4637'!F21</f>
        <v>GRANITINO NEGRO 3014 BR PF8</v>
      </c>
      <c r="G52" s="1"/>
    </row>
    <row r="53" spans="1:7" s="15" customFormat="1" ht="15" customHeight="1" x14ac:dyDescent="0.3">
      <c r="A53" s="95"/>
      <c r="B53" s="38">
        <f>'4637'!B22</f>
        <v>1</v>
      </c>
      <c r="C53" s="101" t="str">
        <f>'4637'!C22</f>
        <v>CUBIERTA SIN RESPALDO R6 FALDON 8CMS</v>
      </c>
      <c r="D53" s="39">
        <f>'4637'!D22</f>
        <v>2300</v>
      </c>
      <c r="E53" s="39">
        <f>'4637'!E22</f>
        <v>300</v>
      </c>
      <c r="F53" s="38" t="str">
        <f>'4637'!F22</f>
        <v>GRANITINO NEGRO 3014 BR PF8</v>
      </c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20:F20"/>
    <mergeCell ref="A10:F10"/>
    <mergeCell ref="A48:F48"/>
    <mergeCell ref="B50:F50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2024-02-08T19:50:36Z</cp:lastPrinted>
  <dcterms:created xsi:type="dcterms:W3CDTF">2013-03-19T12:54:14Z</dcterms:created>
  <dcterms:modified xsi:type="dcterms:W3CDTF">2024-02-08T19:52:07Z</dcterms:modified>
</cp:coreProperties>
</file>