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5DFB4348-8E25-4417-B59B-F99B8DBFE9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CUBIERTA!$A$50:$G$80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I18" i="3"/>
  <c r="B18" i="3" s="1"/>
  <c r="J18" i="3"/>
  <c r="D18" i="3" s="1"/>
  <c r="K18" i="3"/>
  <c r="E18" i="3" s="1"/>
  <c r="F19" i="3"/>
  <c r="I19" i="3"/>
  <c r="B19" i="3" s="1"/>
  <c r="J19" i="3"/>
  <c r="D19" i="3" s="1"/>
  <c r="K19" i="3"/>
  <c r="E19" i="3" s="1"/>
  <c r="B41" i="3"/>
  <c r="I30" i="3" s="1"/>
  <c r="B30" i="3" s="1"/>
  <c r="C41" i="3"/>
  <c r="F30" i="3" s="1"/>
  <c r="D41" i="3"/>
  <c r="J30" i="3" s="1"/>
  <c r="D30" i="3" s="1"/>
  <c r="E41" i="3"/>
  <c r="K30" i="3" s="1"/>
  <c r="E30" i="3" s="1"/>
  <c r="F41" i="3"/>
  <c r="B42" i="3"/>
  <c r="I31" i="3" s="1"/>
  <c r="B31" i="3" s="1"/>
  <c r="C42" i="3"/>
  <c r="F31" i="3" s="1"/>
  <c r="D42" i="3"/>
  <c r="J31" i="3" s="1"/>
  <c r="D31" i="3" s="1"/>
  <c r="E42" i="3"/>
  <c r="K31" i="3" s="1"/>
  <c r="E31" i="3" s="1"/>
  <c r="F42" i="3"/>
  <c r="B68" i="3"/>
  <c r="C68" i="3"/>
  <c r="D68" i="3"/>
  <c r="E68" i="3"/>
  <c r="F68" i="3"/>
  <c r="B69" i="3"/>
  <c r="C69" i="3"/>
  <c r="D69" i="3"/>
  <c r="E69" i="3"/>
  <c r="F69" i="3"/>
  <c r="H25" i="4"/>
  <c r="H26" i="4"/>
  <c r="B39" i="3" l="1"/>
  <c r="I28" i="3" s="1"/>
  <c r="B28" i="3" s="1"/>
  <c r="C39" i="3"/>
  <c r="F28" i="3" s="1"/>
  <c r="D39" i="3"/>
  <c r="J28" i="3" s="1"/>
  <c r="D28" i="3" s="1"/>
  <c r="E39" i="3"/>
  <c r="K28" i="3" s="1"/>
  <c r="E28" i="3" s="1"/>
  <c r="F39" i="3"/>
  <c r="B40" i="3"/>
  <c r="I29" i="3" s="1"/>
  <c r="B29" i="3" s="1"/>
  <c r="C40" i="3"/>
  <c r="F17" i="3" s="1"/>
  <c r="D40" i="3"/>
  <c r="J29" i="3" s="1"/>
  <c r="D29" i="3" s="1"/>
  <c r="E40" i="3"/>
  <c r="K29" i="3" s="1"/>
  <c r="E29" i="3" s="1"/>
  <c r="F40" i="3"/>
  <c r="B66" i="3"/>
  <c r="C66" i="3"/>
  <c r="D66" i="3"/>
  <c r="E66" i="3"/>
  <c r="F66" i="3"/>
  <c r="B67" i="3"/>
  <c r="C67" i="3"/>
  <c r="D67" i="3"/>
  <c r="E67" i="3"/>
  <c r="F67" i="3"/>
  <c r="J16" i="3" l="1"/>
  <c r="D16" i="3" s="1"/>
  <c r="F29" i="3"/>
  <c r="K16" i="3"/>
  <c r="E16" i="3" s="1"/>
  <c r="I17" i="3"/>
  <c r="B17" i="3" s="1"/>
  <c r="I16" i="3"/>
  <c r="B16" i="3" s="1"/>
  <c r="K17" i="3"/>
  <c r="E17" i="3" s="1"/>
  <c r="J17" i="3"/>
  <c r="D17" i="3" s="1"/>
  <c r="F16" i="3"/>
  <c r="H23" i="4"/>
  <c r="H24" i="4"/>
  <c r="H22" i="4"/>
  <c r="H21" i="4"/>
  <c r="H30" i="4" l="1"/>
  <c r="B38" i="3"/>
  <c r="I27" i="3" s="1"/>
  <c r="C38" i="3"/>
  <c r="F15" i="3" s="1"/>
  <c r="D38" i="3"/>
  <c r="J15" i="3" s="1"/>
  <c r="D15" i="3" s="1"/>
  <c r="E38" i="3"/>
  <c r="F38" i="3"/>
  <c r="B65" i="3"/>
  <c r="C65" i="3"/>
  <c r="D65" i="3"/>
  <c r="E65" i="3"/>
  <c r="F65" i="3"/>
  <c r="B64" i="3"/>
  <c r="C64" i="3"/>
  <c r="D64" i="3"/>
  <c r="E64" i="3"/>
  <c r="F64" i="3"/>
  <c r="B37" i="3"/>
  <c r="C37" i="3"/>
  <c r="F26" i="3" s="1"/>
  <c r="D37" i="3"/>
  <c r="J14" i="3" s="1"/>
  <c r="D14" i="3" s="1"/>
  <c r="E37" i="3"/>
  <c r="K14" i="3" s="1"/>
  <c r="E14" i="3" s="1"/>
  <c r="F37" i="3"/>
  <c r="B27" i="3" l="1"/>
  <c r="K15" i="3"/>
  <c r="E15" i="3" s="1"/>
  <c r="I15" i="3"/>
  <c r="B15" i="3" s="1"/>
  <c r="J27" i="3"/>
  <c r="D27" i="3" s="1"/>
  <c r="K27" i="3"/>
  <c r="E27" i="3" s="1"/>
  <c r="F27" i="3"/>
  <c r="H31" i="4"/>
  <c r="I26" i="3"/>
  <c r="F14" i="3"/>
  <c r="K26" i="3"/>
  <c r="E26" i="3" s="1"/>
  <c r="J26" i="3"/>
  <c r="D26" i="3" s="1"/>
  <c r="B26" i="3" l="1"/>
  <c r="I14" i="3"/>
  <c r="B14" i="3" s="1"/>
  <c r="H32" i="4"/>
  <c r="N5" i="3" l="1"/>
  <c r="M5" i="3" l="1"/>
  <c r="L5" i="3"/>
  <c r="K5" i="3"/>
  <c r="C57" i="3" l="1"/>
  <c r="C7" i="3"/>
  <c r="D55" i="3"/>
  <c r="D5" i="3"/>
  <c r="D57" i="3"/>
  <c r="D7" i="3"/>
  <c r="D54" i="3"/>
  <c r="D4" i="3"/>
</calcChain>
</file>

<file path=xl/sharedStrings.xml><?xml version="1.0" encoding="utf-8"?>
<sst xmlns="http://schemas.openxmlformats.org/spreadsheetml/2006/main" count="257" uniqueCount="145">
  <si>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</si>
  <si>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</si>
  <si>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</si>
  <si>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</si>
  <si>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</si>
  <si>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</si>
  <si>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</si>
  <si>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</si>
  <si>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</si>
  <si>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</si>
  <si>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</si>
  <si>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</si>
  <si>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</si>
  <si>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</si>
  <si>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</si>
  <si>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</si>
  <si>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</si>
  <si>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</si>
  <si>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</si>
  <si>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</si>
  <si>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</si>
  <si>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</si>
  <si>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</si>
  <si>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</si>
  <si>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</si>
  <si>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</si>
  <si>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</si>
  <si>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</si>
  <si>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</si>
  <si>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</si>
  <si>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</si>
  <si>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</si>
  <si>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</si>
  <si>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</si>
  <si>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</si>
  <si>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</si>
  <si>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</si>
  <si>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</si>
  <si>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</si>
  <si>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</si>
  <si>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</si>
  <si>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</si>
  <si>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</si>
  <si>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</si>
  <si>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</si>
  <si>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</si>
  <si>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</si>
  <si>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</si>
  <si>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</si>
  <si>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</si>
  <si>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</si>
  <si>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</si>
  <si>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</si>
  <si>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</si>
  <si>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</si>
  <si>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</si>
  <si>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</si>
  <si>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</si>
  <si>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</si>
  <si>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</si>
  <si>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</si>
  <si>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</si>
  <si>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</si>
  <si>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</si>
  <si>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</si>
  <si>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</si>
  <si>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</si>
  <si>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</si>
  <si>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</si>
  <si>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</si>
  <si>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</si>
  <si>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</si>
  <si>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</si>
  <si>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</si>
  <si>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</si>
  <si>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</si>
  <si>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</si>
  <si>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</si>
  <si>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</si>
  <si>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</si>
  <si>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</si>
  <si>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</si>
  <si>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</si>
  <si>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</si>
  <si>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</si>
  <si>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</si>
  <si>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</si>
  <si>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</si>
  <si>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</si>
  <si>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</si>
  <si>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</si>
  <si>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</si>
  <si>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</si>
  <si>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</si>
  <si>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</si>
  <si>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</si>
  <si>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</si>
  <si>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</si>
  <si>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</si>
  <si>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</si>
  <si>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</si>
  <si>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</si>
  <si>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</si>
  <si>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</si>
  <si>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</si>
  <si>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</si>
  <si>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</si>
  <si>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</si>
  <si>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</si>
  <si>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</si>
  <si>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</si>
  <si>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</si>
  <si>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</si>
  <si>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</si>
  <si>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</si>
  <si>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</si>
  <si>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</si>
  <si>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</si>
  <si>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</si>
  <si>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</si>
  <si>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</si>
  <si>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</si>
  <si>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</si>
  <si>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</si>
  <si>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</si>
  <si>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</si>
  <si>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</si>
  <si>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</si>
  <si>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</si>
  <si>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</si>
  <si>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</si>
  <si>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</si>
  <si>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</si>
  <si>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</si>
  <si>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</si>
  <si>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</si>
  <si>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</si>
  <si>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</si>
  <si>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</si>
  <si>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</si>
  <si>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LORENA QUEZADA</t>
  </si>
  <si>
    <t>LOS PINOS 02622 SAN BERNARDO</t>
  </si>
  <si>
    <t>BLANCO MERINO 22191 MT</t>
  </si>
  <si>
    <t>N°10641</t>
  </si>
  <si>
    <t>CUBIERTA CON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</si>
</sst>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29</xdr:row>
      <xdr:rowOff>9525</xdr:rowOff>
    </xdr:from>
    <xdr:to>
      <xdr:col>5</xdr:col>
      <xdr:colOff>1390650</xdr:colOff>
      <xdr:row>33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58</xdr:row>
      <xdr:rowOff>171450</xdr:rowOff>
    </xdr:from>
    <xdr:to>
      <xdr:col>5</xdr:col>
      <xdr:colOff>1685924</xdr:colOff>
      <xdr:row>60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54</xdr:row>
      <xdr:rowOff>38100</xdr:rowOff>
    </xdr:from>
    <xdr:to>
      <xdr:col>6</xdr:col>
      <xdr:colOff>0</xdr:colOff>
      <xdr:row>55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38100</xdr:colOff>
      <xdr:row>72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71</xdr:row>
      <xdr:rowOff>0</xdr:rowOff>
    </xdr:from>
    <xdr:to>
      <xdr:col>2</xdr:col>
      <xdr:colOff>1019175</xdr:colOff>
      <xdr:row>71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71</xdr:row>
      <xdr:rowOff>0</xdr:rowOff>
    </xdr:from>
    <xdr:to>
      <xdr:col>3</xdr:col>
      <xdr:colOff>352425</xdr:colOff>
      <xdr:row>72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71</xdr:row>
      <xdr:rowOff>0</xdr:rowOff>
    </xdr:from>
    <xdr:to>
      <xdr:col>4</xdr:col>
      <xdr:colOff>257175</xdr:colOff>
      <xdr:row>72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71</xdr:row>
      <xdr:rowOff>0</xdr:rowOff>
    </xdr:from>
    <xdr:to>
      <xdr:col>5</xdr:col>
      <xdr:colOff>447675</xdr:colOff>
      <xdr:row>71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71</xdr:row>
      <xdr:rowOff>0</xdr:rowOff>
    </xdr:from>
    <xdr:to>
      <xdr:col>6</xdr:col>
      <xdr:colOff>0</xdr:colOff>
      <xdr:row>71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71</xdr:row>
      <xdr:rowOff>190500</xdr:rowOff>
    </xdr:from>
    <xdr:to>
      <xdr:col>2</xdr:col>
      <xdr:colOff>304800</xdr:colOff>
      <xdr:row>73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71</xdr:row>
      <xdr:rowOff>190500</xdr:rowOff>
    </xdr:from>
    <xdr:to>
      <xdr:col>2</xdr:col>
      <xdr:colOff>1276350</xdr:colOff>
      <xdr:row>73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71</xdr:row>
      <xdr:rowOff>190500</xdr:rowOff>
    </xdr:from>
    <xdr:to>
      <xdr:col>3</xdr:col>
      <xdr:colOff>619125</xdr:colOff>
      <xdr:row>73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71</xdr:row>
      <xdr:rowOff>190500</xdr:rowOff>
    </xdr:from>
    <xdr:to>
      <xdr:col>4</xdr:col>
      <xdr:colOff>523875</xdr:colOff>
      <xdr:row>73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71</xdr:row>
      <xdr:rowOff>190500</xdr:rowOff>
    </xdr:from>
    <xdr:to>
      <xdr:col>5</xdr:col>
      <xdr:colOff>723900</xdr:colOff>
      <xdr:row>73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71</xdr:row>
      <xdr:rowOff>190500</xdr:rowOff>
    </xdr:from>
    <xdr:to>
      <xdr:col>6</xdr:col>
      <xdr:colOff>0</xdr:colOff>
      <xdr:row>73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45</xdr:row>
      <xdr:rowOff>15239</xdr:rowOff>
    </xdr:from>
    <xdr:to>
      <xdr:col>6</xdr:col>
      <xdr:colOff>68580</xdr:colOff>
      <xdr:row>49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32</xdr:row>
      <xdr:rowOff>200025</xdr:rowOff>
    </xdr:from>
    <xdr:to>
      <xdr:col>6</xdr:col>
      <xdr:colOff>19049</xdr:colOff>
      <xdr:row>34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74</xdr:row>
      <xdr:rowOff>32385</xdr:rowOff>
    </xdr:from>
    <xdr:to>
      <xdr:col>6</xdr:col>
      <xdr:colOff>19050</xdr:colOff>
      <xdr:row>78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50</xdr:row>
      <xdr:rowOff>194310</xdr:rowOff>
    </xdr:from>
    <xdr:to>
      <xdr:col>2</xdr:col>
      <xdr:colOff>100723</xdr:colOff>
      <xdr:row>57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7047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45350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45356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>
        <v>21937</v>
      </c>
      <c r="H12" s="65"/>
      <c r="I12" s="1"/>
    </row>
    <row r="13" spans="1:17" ht="15.6" x14ac:dyDescent="0.3">
      <c r="A13" s="1"/>
      <c r="B13" s="63" t="s">
        <v>135</v>
      </c>
      <c r="C13" s="86" t="s">
        <v>140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6">
        <v>56997185991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 t="s">
        <v>141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7">
        <v>4</v>
      </c>
      <c r="C21" s="108" t="s">
        <v>144</v>
      </c>
      <c r="D21" s="110">
        <v>900</v>
      </c>
      <c r="E21" s="110">
        <v>540</v>
      </c>
      <c r="F21" s="107" t="s">
        <v>142</v>
      </c>
      <c r="G21" s="111">
        <v>27722</v>
      </c>
      <c r="H21" s="109">
        <f>G21*B21</f>
        <v>110888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>
        <v>1</v>
      </c>
      <c r="C22" s="108" t="s">
        <v>144</v>
      </c>
      <c r="D22" s="110">
        <v>2400</v>
      </c>
      <c r="E22" s="110">
        <v>570</v>
      </c>
      <c r="F22" s="107" t="s">
        <v>142</v>
      </c>
      <c r="G22" s="112">
        <v>75466</v>
      </c>
      <c r="H22" s="109">
        <f>G22*B22</f>
        <v>75466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>
        <v>1</v>
      </c>
      <c r="C23" s="108" t="s">
        <v>144</v>
      </c>
      <c r="D23" s="110">
        <v>800</v>
      </c>
      <c r="E23" s="110">
        <v>410</v>
      </c>
      <c r="F23" s="107" t="s">
        <v>142</v>
      </c>
      <c r="G23" s="113">
        <v>18833</v>
      </c>
      <c r="H23" s="109">
        <f t="shared" ref="H23:H26" si="0">G23*B23</f>
        <v>18833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7">
        <v>1</v>
      </c>
      <c r="C24" s="108" t="s">
        <v>144</v>
      </c>
      <c r="D24" s="110">
        <v>1000</v>
      </c>
      <c r="E24" s="110">
        <v>410</v>
      </c>
      <c r="F24" s="107" t="s">
        <v>142</v>
      </c>
      <c r="G24" s="113">
        <v>23264</v>
      </c>
      <c r="H24" s="109">
        <f t="shared" si="0"/>
        <v>23264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>
        <v>3</v>
      </c>
      <c r="C25" s="108" t="s">
        <v>144</v>
      </c>
      <c r="D25" s="110">
        <v>1150</v>
      </c>
      <c r="E25" s="110">
        <v>410</v>
      </c>
      <c r="F25" s="107" t="s">
        <v>142</v>
      </c>
      <c r="G25" s="113">
        <v>26588</v>
      </c>
      <c r="H25" s="109">
        <f t="shared" si="0"/>
        <v>79764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7">
        <v>1</v>
      </c>
      <c r="C26" s="108" t="s">
        <v>144</v>
      </c>
      <c r="D26" s="110">
        <v>900</v>
      </c>
      <c r="E26" s="110">
        <v>500</v>
      </c>
      <c r="F26" s="107" t="s">
        <v>142</v>
      </c>
      <c r="G26" s="112">
        <v>25669</v>
      </c>
      <c r="H26" s="109">
        <f t="shared" si="0"/>
        <v>25669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7"/>
      <c r="C27" s="97"/>
      <c r="D27" s="97"/>
      <c r="E27" s="97"/>
      <c r="F27" s="97"/>
      <c r="G27" s="99"/>
      <c r="H27" s="99"/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97"/>
      <c r="C28" s="97"/>
      <c r="D28" s="97"/>
      <c r="E28" s="97"/>
      <c r="F28" s="98"/>
      <c r="G28" s="99"/>
      <c r="H28" s="99"/>
      <c r="I28" s="1"/>
      <c r="K28" s="17"/>
      <c r="L28" s="26"/>
      <c r="M28" s="17"/>
      <c r="N28" s="17"/>
      <c r="O28" s="26"/>
      <c r="P28" s="33"/>
    </row>
    <row r="29" spans="1:16" ht="8.25" customHeight="1" thickBot="1" x14ac:dyDescent="0.35">
      <c r="A29" s="1"/>
      <c r="B29" s="74"/>
      <c r="C29" s="74"/>
      <c r="D29" s="74"/>
      <c r="E29" s="74"/>
      <c r="F29" s="74"/>
      <c r="G29" s="75"/>
      <c r="H29" s="75"/>
      <c r="I29" s="1"/>
    </row>
    <row r="30" spans="1:16" ht="15.6" x14ac:dyDescent="0.3">
      <c r="A30" s="1"/>
      <c r="B30" s="1"/>
      <c r="C30" s="1"/>
      <c r="D30" s="1"/>
      <c r="E30" s="1"/>
      <c r="F30" s="1"/>
      <c r="G30" s="76" t="s">
        <v>5</v>
      </c>
      <c r="H30" s="77">
        <f>SUM(H21:H29)</f>
        <v>333884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78" t="s">
        <v>6</v>
      </c>
      <c r="H31" s="79">
        <f>H30*19%</f>
        <v>63437.96</v>
      </c>
      <c r="I31" s="1"/>
    </row>
    <row r="32" spans="1:16" ht="16.2" thickBot="1" x14ac:dyDescent="0.35">
      <c r="A32" s="1"/>
      <c r="B32" s="1"/>
      <c r="C32" s="1"/>
      <c r="D32" s="1"/>
      <c r="E32" s="1"/>
      <c r="F32" s="1"/>
      <c r="G32" s="80" t="s">
        <v>4</v>
      </c>
      <c r="H32" s="81">
        <f>H30+H31</f>
        <v>397321.96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52"/>
      <c r="H33" s="100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82" t="s">
        <v>123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82" t="s">
        <v>122</v>
      </c>
      <c r="C36" s="83"/>
      <c r="D36" s="84"/>
      <c r="E36" s="84"/>
      <c r="F36" s="74"/>
      <c r="G36" s="1"/>
      <c r="H36" s="1"/>
      <c r="I36" s="1"/>
    </row>
    <row r="37" spans="1:9" ht="15.6" x14ac:dyDescent="0.3">
      <c r="A37" s="1"/>
      <c r="B37" s="1" t="s">
        <v>25</v>
      </c>
      <c r="C37" s="1"/>
      <c r="D37" s="1"/>
      <c r="E37" s="85" t="s">
        <v>26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6:H16"/>
    <mergeCell ref="B19:H19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2"/>
  <sheetViews>
    <sheetView tabSelected="1" topLeftCell="A38" zoomScaleNormal="100" workbookViewId="0">
      <selection activeCell="A50" sqref="A50:G8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7047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4</v>
      </c>
      <c r="C14" s="25"/>
      <c r="D14" s="25">
        <f>J14+D$13</f>
        <v>950</v>
      </c>
      <c r="E14" s="35">
        <f>K14+E$13</f>
        <v>510</v>
      </c>
      <c r="F14" s="104" t="str">
        <f>C37</f>
        <v>CUBIERTA CON RESPALDO FRENTE 90° R8</v>
      </c>
      <c r="G14" s="1"/>
      <c r="I14" s="3">
        <f>I26</f>
        <v>4</v>
      </c>
      <c r="J14" s="4">
        <f t="shared" ref="J14:K14" si="1">D37</f>
        <v>900</v>
      </c>
      <c r="K14" s="4">
        <f t="shared" si="1"/>
        <v>540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:D17" si="3">J15+D$13</f>
        <v>2450</v>
      </c>
      <c r="E15" s="35">
        <f t="shared" ref="E15:E17" si="4">K15+E$13</f>
        <v>540</v>
      </c>
      <c r="F15" s="104" t="str">
        <f t="shared" ref="F15" si="5">C38</f>
        <v>CUBIERTA CON RESPALDO FRENTE 90° R8</v>
      </c>
      <c r="G15" s="1"/>
      <c r="I15" s="3">
        <f t="shared" ref="I15" si="6">B38</f>
        <v>1</v>
      </c>
      <c r="J15" s="4">
        <f t="shared" ref="J15" si="7">D38</f>
        <v>2400</v>
      </c>
      <c r="K15" s="4">
        <f t="shared" ref="K15" si="8">E38</f>
        <v>570</v>
      </c>
    </row>
    <row r="16" spans="1:14" ht="15.6" x14ac:dyDescent="0.3">
      <c r="A16" s="96"/>
      <c r="B16" s="25">
        <f t="shared" ref="B16:B17" si="9">I16</f>
        <v>1</v>
      </c>
      <c r="C16" s="25"/>
      <c r="D16" s="25">
        <f t="shared" si="3"/>
        <v>850</v>
      </c>
      <c r="E16" s="35">
        <f t="shared" si="4"/>
        <v>380</v>
      </c>
      <c r="F16" s="104" t="str">
        <f t="shared" ref="F16:F17" si="10">C39</f>
        <v>CUBIERTA CON RESPALDO FRENTE 90° R8</v>
      </c>
      <c r="G16" s="1"/>
      <c r="I16" s="3">
        <f t="shared" ref="I16:I17" si="11">B39</f>
        <v>1</v>
      </c>
      <c r="J16" s="4">
        <f t="shared" ref="J16:J17" si="12">D39</f>
        <v>800</v>
      </c>
      <c r="K16" s="4">
        <f t="shared" ref="K16:K17" si="13">E39</f>
        <v>410</v>
      </c>
    </row>
    <row r="17" spans="1:11" ht="15.6" x14ac:dyDescent="0.3">
      <c r="A17" s="96"/>
      <c r="B17" s="25">
        <f t="shared" si="9"/>
        <v>1</v>
      </c>
      <c r="C17" s="25"/>
      <c r="D17" s="25">
        <f t="shared" si="3"/>
        <v>1050</v>
      </c>
      <c r="E17" s="35">
        <f t="shared" si="4"/>
        <v>380</v>
      </c>
      <c r="F17" s="104" t="str">
        <f t="shared" si="10"/>
        <v>CUBIERTA CON RESPALDO FRENTE 90° R8</v>
      </c>
      <c r="G17" s="1"/>
      <c r="I17" s="3">
        <f t="shared" si="11"/>
        <v>1</v>
      </c>
      <c r="J17" s="4">
        <f t="shared" si="12"/>
        <v>1000</v>
      </c>
      <c r="K17" s="4">
        <f t="shared" si="13"/>
        <v>410</v>
      </c>
    </row>
    <row r="18" spans="1:11" ht="15.6" x14ac:dyDescent="0.3">
      <c r="A18" s="96"/>
      <c r="B18" s="25">
        <f t="shared" ref="B18:B19" si="14">I18</f>
        <v>3</v>
      </c>
      <c r="C18" s="25"/>
      <c r="D18" s="25">
        <f t="shared" ref="D18:D19" si="15">J18+D$13</f>
        <v>1200</v>
      </c>
      <c r="E18" s="35">
        <f t="shared" ref="E18:E19" si="16">K18+E$13</f>
        <v>380</v>
      </c>
      <c r="F18" s="104" t="str">
        <f t="shared" ref="F18:F19" si="17">C41</f>
        <v>CUBIERTA CON RESPALDO FRENTE 90° R8</v>
      </c>
      <c r="G18" s="1"/>
      <c r="I18" s="3">
        <f t="shared" ref="I18:I19" si="18">B41</f>
        <v>3</v>
      </c>
      <c r="J18" s="4">
        <f t="shared" ref="J18:J19" si="19">D41</f>
        <v>1150</v>
      </c>
      <c r="K18" s="4">
        <f t="shared" ref="K18:K19" si="20">E41</f>
        <v>410</v>
      </c>
    </row>
    <row r="19" spans="1:11" ht="15.6" x14ac:dyDescent="0.3">
      <c r="A19" s="96"/>
      <c r="B19" s="25">
        <f t="shared" si="14"/>
        <v>1</v>
      </c>
      <c r="C19" s="25"/>
      <c r="D19" s="25">
        <f t="shared" si="15"/>
        <v>950</v>
      </c>
      <c r="E19" s="35">
        <f t="shared" si="16"/>
        <v>470</v>
      </c>
      <c r="F19" s="104" t="str">
        <f t="shared" si="17"/>
        <v>CUBIERTA CON RESPALDO FRENTE 90° R8</v>
      </c>
      <c r="G19" s="1"/>
      <c r="I19" s="3">
        <f t="shared" si="18"/>
        <v>1</v>
      </c>
      <c r="J19" s="4">
        <f t="shared" si="19"/>
        <v>900</v>
      </c>
      <c r="K19" s="4">
        <f t="shared" si="20"/>
        <v>500</v>
      </c>
    </row>
    <row r="20" spans="1:11" ht="15.6" x14ac:dyDescent="0.3">
      <c r="A20" s="52"/>
      <c r="B20" s="6"/>
      <c r="C20" s="6"/>
      <c r="D20" s="6"/>
      <c r="E20" s="89"/>
      <c r="F20" s="6"/>
      <c r="G20" s="1"/>
      <c r="I20" s="90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22" t="s">
        <v>14</v>
      </c>
      <c r="B22" s="122"/>
      <c r="C22" s="122"/>
      <c r="D22" s="122"/>
      <c r="E22" s="122"/>
      <c r="F22" s="122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1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130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6" t="s">
        <v>131</v>
      </c>
      <c r="B26" s="16">
        <f t="shared" ref="B26" si="21">I26</f>
        <v>4</v>
      </c>
      <c r="C26" s="16"/>
      <c r="D26" s="16">
        <f>J26+D$25</f>
        <v>940</v>
      </c>
      <c r="E26" s="16">
        <f>K26+E$25</f>
        <v>670</v>
      </c>
      <c r="F26" s="105" t="str">
        <f>C37</f>
        <v>CUBIERTA CON RESPALDO FRENTE 90° R8</v>
      </c>
      <c r="G26" s="1"/>
      <c r="I26" s="3">
        <f>B37</f>
        <v>4</v>
      </c>
      <c r="J26" s="4">
        <f>D37</f>
        <v>900</v>
      </c>
      <c r="K26" s="4">
        <f>E37</f>
        <v>540</v>
      </c>
    </row>
    <row r="27" spans="1:11" ht="15.6" x14ac:dyDescent="0.3">
      <c r="A27" s="96"/>
      <c r="B27" s="16">
        <f t="shared" ref="B27" si="22">I27</f>
        <v>1</v>
      </c>
      <c r="C27" s="16"/>
      <c r="D27" s="16">
        <f t="shared" ref="D27:D29" si="23">J27+D$25</f>
        <v>2440</v>
      </c>
      <c r="E27" s="16">
        <f t="shared" ref="E27:E29" si="24">K27+E$25</f>
        <v>700</v>
      </c>
      <c r="F27" s="105" t="str">
        <f t="shared" ref="F27" si="25">C38</f>
        <v>CUBIERTA CON RESPALDO FRENTE 90° R8</v>
      </c>
      <c r="G27" s="1"/>
      <c r="I27" s="3">
        <f t="shared" ref="I27" si="26">B38</f>
        <v>1</v>
      </c>
      <c r="J27" s="4">
        <f t="shared" ref="J27:K27" si="27">D38</f>
        <v>2400</v>
      </c>
      <c r="K27" s="4">
        <f t="shared" si="27"/>
        <v>570</v>
      </c>
    </row>
    <row r="28" spans="1:11" ht="15.6" x14ac:dyDescent="0.3">
      <c r="A28" s="96"/>
      <c r="B28" s="16">
        <f t="shared" ref="B28:B29" si="28">I28</f>
        <v>1</v>
      </c>
      <c r="C28" s="16"/>
      <c r="D28" s="16">
        <f t="shared" si="23"/>
        <v>840</v>
      </c>
      <c r="E28" s="16">
        <f t="shared" si="24"/>
        <v>540</v>
      </c>
      <c r="F28" s="105" t="str">
        <f t="shared" ref="F28:F29" si="29">C39</f>
        <v>CUBIERTA CON RESPALDO FRENTE 90° R8</v>
      </c>
      <c r="G28" s="1"/>
      <c r="I28" s="3">
        <f t="shared" ref="I28:I29" si="30">B39</f>
        <v>1</v>
      </c>
      <c r="J28" s="4">
        <f t="shared" ref="J28:J29" si="31">D39</f>
        <v>800</v>
      </c>
      <c r="K28" s="4">
        <f t="shared" ref="K28:K29" si="32">E39</f>
        <v>410</v>
      </c>
    </row>
    <row r="29" spans="1:11" ht="15.6" x14ac:dyDescent="0.3">
      <c r="A29" s="96"/>
      <c r="B29" s="16">
        <f t="shared" si="28"/>
        <v>1</v>
      </c>
      <c r="C29" s="16"/>
      <c r="D29" s="16">
        <f t="shared" si="23"/>
        <v>1040</v>
      </c>
      <c r="E29" s="16">
        <f t="shared" si="24"/>
        <v>540</v>
      </c>
      <c r="F29" s="105" t="str">
        <f t="shared" si="29"/>
        <v>CUBIERTA CON RESPALDO FRENTE 90° R8</v>
      </c>
      <c r="G29" s="1"/>
      <c r="I29" s="3">
        <f t="shared" si="30"/>
        <v>1</v>
      </c>
      <c r="J29" s="4">
        <f t="shared" si="31"/>
        <v>1000</v>
      </c>
      <c r="K29" s="4">
        <f t="shared" si="32"/>
        <v>410</v>
      </c>
    </row>
    <row r="30" spans="1:11" ht="15.6" x14ac:dyDescent="0.3">
      <c r="A30" s="96"/>
      <c r="B30" s="16">
        <f t="shared" ref="B30" si="33">I30</f>
        <v>3</v>
      </c>
      <c r="C30" s="16"/>
      <c r="D30" s="16">
        <f t="shared" ref="D30" si="34">J30+D$25</f>
        <v>1190</v>
      </c>
      <c r="E30" s="16">
        <f t="shared" ref="E30" si="35">K30+E$25</f>
        <v>540</v>
      </c>
      <c r="F30" s="105" t="str">
        <f t="shared" ref="F30" si="36">C41</f>
        <v>CUBIERTA CON RESPALDO FRENTE 90° R8</v>
      </c>
      <c r="G30" s="1"/>
      <c r="I30" s="3">
        <f t="shared" ref="I30" si="37">B41</f>
        <v>3</v>
      </c>
      <c r="J30" s="4">
        <f t="shared" ref="J30" si="38">D41</f>
        <v>1150</v>
      </c>
      <c r="K30" s="4">
        <f t="shared" ref="K30" si="39">E41</f>
        <v>410</v>
      </c>
    </row>
    <row r="31" spans="1:11" ht="15.6" x14ac:dyDescent="0.3">
      <c r="A31" s="96"/>
      <c r="B31" s="16">
        <f t="shared" ref="B31" si="40">I31</f>
        <v>1</v>
      </c>
      <c r="C31" s="16"/>
      <c r="D31" s="16">
        <f t="shared" ref="D31" si="41">J31+D$25</f>
        <v>940</v>
      </c>
      <c r="E31" s="16">
        <f t="shared" ref="E31" si="42">K31+E$25</f>
        <v>630</v>
      </c>
      <c r="F31" s="105" t="str">
        <f t="shared" ref="F31" si="43">C42</f>
        <v>CUBIERTA CON RESPALDO FRENTE 90° R8</v>
      </c>
      <c r="G31" s="1"/>
      <c r="I31" s="3">
        <f t="shared" ref="I31" si="44">B42</f>
        <v>1</v>
      </c>
      <c r="J31" s="4">
        <f t="shared" ref="J31" si="45">D42</f>
        <v>900</v>
      </c>
      <c r="K31" s="4">
        <f t="shared" ref="K31" si="46">E42</f>
        <v>500</v>
      </c>
    </row>
    <row r="32" spans="1:11" ht="15.6" x14ac:dyDescent="0.3">
      <c r="A32" s="96"/>
      <c r="B32" s="6"/>
      <c r="C32" s="6"/>
      <c r="D32" s="6"/>
      <c r="E32" s="6"/>
      <c r="F32" s="6"/>
      <c r="G32" s="1"/>
      <c r="I32" s="90"/>
      <c r="J32" s="2"/>
      <c r="K32" s="2"/>
    </row>
    <row r="33" spans="1:11" ht="16.2" thickBot="1" x14ac:dyDescent="0.35">
      <c r="A33" s="52"/>
      <c r="B33" s="6"/>
      <c r="C33" s="6"/>
      <c r="D33" s="6"/>
      <c r="E33" s="6"/>
      <c r="F33" s="6"/>
      <c r="G33" s="1"/>
      <c r="I33" s="2"/>
      <c r="J33" s="2"/>
      <c r="K33" s="2"/>
    </row>
    <row r="34" spans="1:11" ht="16.2" thickBot="1" x14ac:dyDescent="0.35">
      <c r="A34" s="52"/>
      <c r="B34" s="22" t="s">
        <v>107</v>
      </c>
      <c r="C34" s="23"/>
      <c r="D34" s="23"/>
      <c r="E34" s="23"/>
      <c r="F34" s="24"/>
      <c r="G34" s="1"/>
      <c r="I34" s="2"/>
      <c r="J34" s="2"/>
      <c r="K34" s="2"/>
    </row>
    <row r="35" spans="1:11" ht="10.5" customHeight="1" x14ac:dyDescent="0.3">
      <c r="A35" s="1"/>
      <c r="B35" s="1"/>
      <c r="C35" s="1"/>
      <c r="D35" s="1"/>
      <c r="E35" s="1"/>
      <c r="F35" s="1"/>
      <c r="G35" s="1"/>
    </row>
    <row r="36" spans="1:11" ht="15.6" x14ac:dyDescent="0.3">
      <c r="A36" s="52" t="s">
        <v>9</v>
      </c>
      <c r="B36" s="88" t="s">
        <v>10</v>
      </c>
      <c r="C36" s="88" t="s">
        <v>110</v>
      </c>
      <c r="D36" s="88" t="s">
        <v>7</v>
      </c>
      <c r="E36" s="88" t="s">
        <v>8</v>
      </c>
      <c r="F36" s="88" t="s">
        <v>23</v>
      </c>
      <c r="G36" s="1"/>
    </row>
    <row r="37" spans="1:11" ht="15.6" x14ac:dyDescent="0.3">
      <c r="A37" s="96" t="s">
        <v>136</v>
      </c>
      <c r="B37" s="25">
        <f>'4637'!B21</f>
        <v>4</v>
      </c>
      <c r="C37" s="104" t="str">
        <f>'4637'!C21</f>
        <v>CUBIERTA CON RESPALDO FRENTE 90° R8</v>
      </c>
      <c r="D37" s="25">
        <f>'4637'!D21</f>
        <v>900</v>
      </c>
      <c r="E37" s="25">
        <f>'4637'!E21</f>
        <v>540</v>
      </c>
      <c r="F37" s="25" t="str">
        <f>'4637'!F21</f>
        <v>BLANCO MERINO 22191 MT</v>
      </c>
      <c r="G37" s="1"/>
    </row>
    <row r="38" spans="1:11" ht="15.6" x14ac:dyDescent="0.3">
      <c r="A38" s="96"/>
      <c r="B38" s="25">
        <f>'4637'!B22</f>
        <v>1</v>
      </c>
      <c r="C38" s="104" t="str">
        <f>'4637'!C22</f>
        <v>CUBIERTA CON RESPALDO FRENTE 90° R8</v>
      </c>
      <c r="D38" s="25">
        <f>'4637'!D22</f>
        <v>2400</v>
      </c>
      <c r="E38" s="25">
        <f>'4637'!E22</f>
        <v>570</v>
      </c>
      <c r="F38" s="25" t="str">
        <f>'4637'!F22</f>
        <v>BLANCO MERINO 22191 MT</v>
      </c>
      <c r="G38" s="1"/>
    </row>
    <row r="39" spans="1:11" ht="15.6" x14ac:dyDescent="0.3">
      <c r="A39" s="96"/>
      <c r="B39" s="25">
        <f>'4637'!B23</f>
        <v>1</v>
      </c>
      <c r="C39" s="104" t="str">
        <f>'4637'!C23</f>
        <v>CUBIERTA CON RESPALDO FRENTE 90° R8</v>
      </c>
      <c r="D39" s="25">
        <f>'4637'!D23</f>
        <v>800</v>
      </c>
      <c r="E39" s="25">
        <f>'4637'!E23</f>
        <v>410</v>
      </c>
      <c r="F39" s="25" t="str">
        <f>'4637'!F23</f>
        <v>BLANCO MERINO 22191 MT</v>
      </c>
      <c r="G39" s="1"/>
    </row>
    <row r="40" spans="1:11" ht="15.6" x14ac:dyDescent="0.3">
      <c r="A40" s="96"/>
      <c r="B40" s="25">
        <f>'4637'!B24</f>
        <v>1</v>
      </c>
      <c r="C40" s="104" t="str">
        <f>'4637'!C24</f>
        <v>CUBIERTA CON RESPALDO FRENTE 90° R8</v>
      </c>
      <c r="D40" s="25">
        <f>'4637'!D24</f>
        <v>1000</v>
      </c>
      <c r="E40" s="25">
        <f>'4637'!E24</f>
        <v>410</v>
      </c>
      <c r="F40" s="25" t="str">
        <f>'4637'!F24</f>
        <v>BLANCO MERINO 22191 MT</v>
      </c>
      <c r="G40" s="1"/>
    </row>
    <row r="41" spans="1:11" ht="15.6" x14ac:dyDescent="0.3">
      <c r="A41" s="96"/>
      <c r="B41" s="25">
        <f>'4637'!B25</f>
        <v>3</v>
      </c>
      <c r="C41" s="104" t="str">
        <f>'4637'!C25</f>
        <v>CUBIERTA CON RESPALDO FRENTE 90° R8</v>
      </c>
      <c r="D41" s="25">
        <f>'4637'!D25</f>
        <v>1150</v>
      </c>
      <c r="E41" s="25">
        <f>'4637'!E25</f>
        <v>410</v>
      </c>
      <c r="F41" s="25" t="str">
        <f>'4637'!F25</f>
        <v>BLANCO MERINO 22191 MT</v>
      </c>
      <c r="G41" s="1"/>
    </row>
    <row r="42" spans="1:11" ht="15.6" x14ac:dyDescent="0.3">
      <c r="A42" s="96"/>
      <c r="B42" s="25">
        <f>'4637'!B26</f>
        <v>1</v>
      </c>
      <c r="C42" s="104" t="str">
        <f>'4637'!C26</f>
        <v>CUBIERTA CON RESPALDO FRENTE 90° R8</v>
      </c>
      <c r="D42" s="25">
        <f>'4637'!D26</f>
        <v>900</v>
      </c>
      <c r="E42" s="25">
        <f>'4637'!E26</f>
        <v>500</v>
      </c>
      <c r="F42" s="25" t="str">
        <f>'4637'!F26</f>
        <v>BLANCO MERINO 22191 MT</v>
      </c>
      <c r="G42" s="1"/>
    </row>
    <row r="43" spans="1:11" ht="15.6" x14ac:dyDescent="0.3">
      <c r="A43" s="96"/>
      <c r="B43" s="6"/>
      <c r="C43" s="6"/>
      <c r="D43" s="6"/>
      <c r="E43" s="6"/>
      <c r="F43" s="6"/>
      <c r="G43" s="1"/>
    </row>
    <row r="44" spans="1:11" ht="15.6" x14ac:dyDescent="0.3">
      <c r="A44" s="52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40" t="s">
        <v>27</v>
      </c>
      <c r="D54" s="14">
        <f>'4637'!G8</f>
        <v>7047</v>
      </c>
      <c r="E54" s="1"/>
      <c r="F54" s="1"/>
      <c r="G54" s="1"/>
    </row>
    <row r="55" spans="1:7" ht="17.25" customHeight="1" x14ac:dyDescent="0.3">
      <c r="A55" s="1"/>
      <c r="B55" s="1"/>
      <c r="C55" s="41" t="s">
        <v>67</v>
      </c>
      <c r="D55" s="42" t="str">
        <f>'4637'!C10</f>
        <v>MUEBLES ASENJO LTDA.</v>
      </c>
      <c r="E55" s="43"/>
      <c r="F55" s="43"/>
      <c r="G55" s="1"/>
    </row>
    <row r="56" spans="1:7" ht="4.5" customHeight="1" x14ac:dyDescent="0.3">
      <c r="A56" s="1"/>
      <c r="B56" s="1"/>
      <c r="C56" s="44"/>
      <c r="D56" s="45"/>
      <c r="E56" s="1"/>
      <c r="F56" s="1"/>
      <c r="G56" s="1"/>
    </row>
    <row r="57" spans="1:7" ht="15.6" x14ac:dyDescent="0.3">
      <c r="A57" s="1"/>
      <c r="B57" s="1"/>
      <c r="C57" s="46" t="str">
        <f>'4637'!F11</f>
        <v>FECHA LIMITE :</v>
      </c>
      <c r="D57" s="13">
        <f>'4637'!G11</f>
        <v>45356</v>
      </c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22" t="s">
        <v>68</v>
      </c>
      <c r="B60" s="122"/>
      <c r="C60" s="122"/>
      <c r="D60" s="122"/>
      <c r="E60" s="122"/>
      <c r="F60" s="122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75" customHeight="1" x14ac:dyDescent="0.3">
      <c r="A62" s="1"/>
      <c r="B62" s="123" t="s">
        <v>69</v>
      </c>
      <c r="C62" s="124"/>
      <c r="D62" s="125"/>
      <c r="E62" s="125"/>
      <c r="F62" s="126"/>
      <c r="G62" s="1"/>
    </row>
    <row r="63" spans="1:7" s="15" customFormat="1" ht="12.75" customHeight="1" x14ac:dyDescent="0.3">
      <c r="A63" s="1"/>
      <c r="B63" s="36" t="s">
        <v>10</v>
      </c>
      <c r="C63" s="47" t="s">
        <v>11</v>
      </c>
      <c r="D63" s="48" t="s">
        <v>7</v>
      </c>
      <c r="E63" s="48" t="s">
        <v>8</v>
      </c>
      <c r="F63" s="49" t="s">
        <v>12</v>
      </c>
      <c r="G63" s="1"/>
    </row>
    <row r="64" spans="1:7" s="15" customFormat="1" ht="15" customHeight="1" x14ac:dyDescent="0.3">
      <c r="A64" s="96"/>
      <c r="B64" s="38">
        <f>'4637'!B21</f>
        <v>4</v>
      </c>
      <c r="C64" s="102" t="str">
        <f>'4637'!C21</f>
        <v>CUBIERTA CON RESPALDO FRENTE 90° R8</v>
      </c>
      <c r="D64" s="39">
        <f>'4637'!D21</f>
        <v>900</v>
      </c>
      <c r="E64" s="39">
        <f>'4637'!E21</f>
        <v>540</v>
      </c>
      <c r="F64" s="38" t="str">
        <f>'4637'!F21</f>
        <v>BLANCO MERINO 22191 MT</v>
      </c>
      <c r="G64" s="1"/>
    </row>
    <row r="65" spans="1:7" s="15" customFormat="1" ht="15" customHeight="1" x14ac:dyDescent="0.3">
      <c r="A65" s="96"/>
      <c r="B65" s="38">
        <f>'4637'!B22</f>
        <v>1</v>
      </c>
      <c r="C65" s="102" t="str">
        <f>'4637'!C22</f>
        <v>CUBIERTA CON RESPALDO FRENTE 90° R8</v>
      </c>
      <c r="D65" s="39">
        <f>'4637'!D22</f>
        <v>2400</v>
      </c>
      <c r="E65" s="39">
        <f>'4637'!E22</f>
        <v>570</v>
      </c>
      <c r="F65" s="38" t="str">
        <f>'4637'!F22</f>
        <v>BLANCO MERINO 22191 MT</v>
      </c>
      <c r="G65" s="1"/>
    </row>
    <row r="66" spans="1:7" s="15" customFormat="1" ht="15" customHeight="1" x14ac:dyDescent="0.3">
      <c r="A66" s="96"/>
      <c r="B66" s="38">
        <f>'4637'!B23</f>
        <v>1</v>
      </c>
      <c r="C66" s="102" t="str">
        <f>'4637'!C23</f>
        <v>CUBIERTA CON RESPALDO FRENTE 90° R8</v>
      </c>
      <c r="D66" s="39">
        <f>'4637'!D23</f>
        <v>800</v>
      </c>
      <c r="E66" s="39">
        <f>'4637'!E23</f>
        <v>410</v>
      </c>
      <c r="F66" s="38" t="str">
        <f>'4637'!F23</f>
        <v>BLANCO MERINO 22191 MT</v>
      </c>
      <c r="G66" s="1"/>
    </row>
    <row r="67" spans="1:7" s="15" customFormat="1" ht="15" customHeight="1" x14ac:dyDescent="0.3">
      <c r="A67" s="96"/>
      <c r="B67" s="38">
        <f>'4637'!B24</f>
        <v>1</v>
      </c>
      <c r="C67" s="102" t="str">
        <f>'4637'!C24</f>
        <v>CUBIERTA CON RESPALDO FRENTE 90° R8</v>
      </c>
      <c r="D67" s="39">
        <f>'4637'!D24</f>
        <v>1000</v>
      </c>
      <c r="E67" s="39">
        <f>'4637'!E24</f>
        <v>410</v>
      </c>
      <c r="F67" s="38" t="str">
        <f>'4637'!F24</f>
        <v>BLANCO MERINO 22191 MT</v>
      </c>
      <c r="G67" s="1"/>
    </row>
    <row r="68" spans="1:7" s="15" customFormat="1" ht="15" customHeight="1" x14ac:dyDescent="0.3">
      <c r="A68" s="96"/>
      <c r="B68" s="38">
        <f>'4637'!B25</f>
        <v>3</v>
      </c>
      <c r="C68" s="102" t="str">
        <f>'4637'!C25</f>
        <v>CUBIERTA CON RESPALDO FRENTE 90° R8</v>
      </c>
      <c r="D68" s="39">
        <f>'4637'!D25</f>
        <v>1150</v>
      </c>
      <c r="E68" s="39">
        <f>'4637'!E25</f>
        <v>410</v>
      </c>
      <c r="F68" s="38" t="str">
        <f>'4637'!F25</f>
        <v>BLANCO MERINO 22191 MT</v>
      </c>
      <c r="G68" s="1"/>
    </row>
    <row r="69" spans="1:7" s="15" customFormat="1" ht="15" customHeight="1" x14ac:dyDescent="0.3">
      <c r="A69" s="96"/>
      <c r="B69" s="38">
        <f>'4637'!B26</f>
        <v>1</v>
      </c>
      <c r="C69" s="102" t="str">
        <f>'4637'!C26</f>
        <v>CUBIERTA CON RESPALDO FRENTE 90° R8</v>
      </c>
      <c r="D69" s="39">
        <f>'4637'!D26</f>
        <v>900</v>
      </c>
      <c r="E69" s="39">
        <f>'4637'!E26</f>
        <v>500</v>
      </c>
      <c r="F69" s="38" t="str">
        <f>'4637'!F26</f>
        <v>BLANCO MERINO 22191 MT</v>
      </c>
      <c r="G69" s="1"/>
    </row>
    <row r="70" spans="1:7" s="15" customFormat="1" ht="15" customHeight="1" x14ac:dyDescent="0.3">
      <c r="A70" s="96"/>
      <c r="B70" s="52"/>
      <c r="C70" s="103"/>
      <c r="D70" s="52"/>
      <c r="E70" s="52"/>
      <c r="F70" s="52"/>
      <c r="G70" s="1"/>
    </row>
    <row r="71" spans="1:7" s="15" customFormat="1" ht="15" customHeight="1" x14ac:dyDescent="0.3">
      <c r="A71" s="50"/>
      <c r="B71" s="52"/>
      <c r="C71" s="52"/>
      <c r="D71" s="52"/>
      <c r="E71" s="52"/>
      <c r="F71" s="52"/>
      <c r="G71" s="1"/>
    </row>
    <row r="72" spans="1:7" ht="15.6" x14ac:dyDescent="0.3">
      <c r="A72" s="6"/>
      <c r="B72" s="6"/>
      <c r="C72" s="1"/>
      <c r="D72" s="6"/>
      <c r="E72" s="6"/>
      <c r="F72" s="44"/>
      <c r="G72" s="1"/>
    </row>
    <row r="73" spans="1:7" ht="15.6" x14ac:dyDescent="0.3">
      <c r="A73" s="6"/>
      <c r="B73" s="6"/>
      <c r="C73" s="1"/>
      <c r="D73" s="6"/>
      <c r="E73" s="6"/>
      <c r="F73" s="6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" customHeight="1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6"/>
      <c r="B79" s="5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2:6" x14ac:dyDescent="0.3">
      <c r="B81" s="20"/>
      <c r="C81" s="20"/>
      <c r="D81" s="20"/>
      <c r="E81" s="20"/>
      <c r="F81" s="20"/>
    </row>
    <row r="82" spans="2:6" x14ac:dyDescent="0.3">
      <c r="B82" s="20"/>
      <c r="C82" s="20"/>
      <c r="E82" s="20"/>
      <c r="F82" s="20"/>
    </row>
  </sheetData>
  <mergeCells count="6">
    <mergeCell ref="M3:N3"/>
    <mergeCell ref="A22:F22"/>
    <mergeCell ref="A10:F10"/>
    <mergeCell ref="A60:F60"/>
    <mergeCell ref="B62:F62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2024-02-29T15:10:45Z</cp:lastPrinted>
  <dcterms:created xsi:type="dcterms:W3CDTF">2013-03-19T12:54:14Z</dcterms:created>
  <dcterms:modified xsi:type="dcterms:W3CDTF">2024-02-29T15:10:59Z</dcterms:modified>
</cp:coreProperties>
</file>