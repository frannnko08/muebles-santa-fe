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FEBRERO\"/>
    </mc:Choice>
  </mc:AlternateContent>
  <xr:revisionPtr revIDLastSave="0" documentId="13_ncr:1_{DF8DC961-8CBE-433D-A907-76E6486E2DB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3" l="1"/>
  <c r="H22" i="4"/>
  <c r="H21" i="4"/>
  <c r="H26" i="4" l="1"/>
  <c r="B29" i="3"/>
  <c r="I23" i="3" s="1"/>
  <c r="B23" i="3" s="1"/>
  <c r="C29" i="3"/>
  <c r="F15" i="3" s="1"/>
  <c r="D29" i="3"/>
  <c r="J15" i="3" s="1"/>
  <c r="D15" i="3" s="1"/>
  <c r="E29" i="3"/>
  <c r="K15" i="3" s="1"/>
  <c r="E15" i="3" s="1"/>
  <c r="F29" i="3"/>
  <c r="B52" i="3"/>
  <c r="C52" i="3"/>
  <c r="D52" i="3"/>
  <c r="E52" i="3"/>
  <c r="F52" i="3"/>
  <c r="B51" i="3"/>
  <c r="C51" i="3"/>
  <c r="D51" i="3"/>
  <c r="E51" i="3"/>
  <c r="F51" i="3"/>
  <c r="B28" i="3"/>
  <c r="B14" i="3" s="1"/>
  <c r="C28" i="3"/>
  <c r="F22" i="3" s="1"/>
  <c r="D28" i="3"/>
  <c r="J14" i="3" s="1"/>
  <c r="D14" i="3" s="1"/>
  <c r="E28" i="3"/>
  <c r="K14" i="3" s="1"/>
  <c r="E14" i="3" s="1"/>
  <c r="F28" i="3"/>
  <c r="I15" i="3" l="1"/>
  <c r="B15" i="3" s="1"/>
  <c r="J23" i="3"/>
  <c r="D23" i="3" s="1"/>
  <c r="K23" i="3"/>
  <c r="E23" i="3" s="1"/>
  <c r="F23" i="3"/>
  <c r="H27" i="4"/>
  <c r="I22" i="3"/>
  <c r="B22" i="3" s="1"/>
  <c r="F14" i="3"/>
  <c r="K22" i="3"/>
  <c r="E22" i="3" s="1"/>
  <c r="J22" i="3"/>
  <c r="D22" i="3" s="1"/>
  <c r="H28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<sst xmlns="http://schemas.openxmlformats.org/spreadsheetml/2006/main" count="250" uniqueCount="145">
  <si>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</si>
  <si>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</si>
  <si>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</si>
  <si>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</si>
  <si>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</si>
  <si>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</si>
  <si>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</si>
  <si>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</si>
  <si>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</si>
  <si>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</si>
  <si>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</si>
  <si>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</si>
  <si>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</si>
  <si>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</si>
  <si>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</si>
  <si>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</si>
  <si>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</si>
  <si>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</si>
  <si>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</si>
  <si>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</si>
  <si>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</si>
  <si>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</si>
  <si>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</si>
  <si>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</si>
  <si>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</si>
  <si>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</si>
  <si>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</si>
  <si>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</si>
  <si>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</si>
  <si>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</si>
  <si>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</si>
  <si>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</si>
  <si>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</si>
  <si>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</si>
  <si>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</si>
  <si>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</si>
  <si>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</si>
  <si>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</si>
  <si>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</si>
  <si>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</si>
  <si>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</si>
  <si>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</si>
  <si>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</si>
  <si>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</si>
  <si>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</si>
  <si>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</si>
  <si>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</si>
  <si>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</si>
  <si>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</si>
  <si>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</si>
  <si>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</si>
  <si>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</si>
  <si>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</si>
  <si>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</si>
  <si>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</si>
  <si>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</si>
  <si>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</si>
  <si>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</si>
  <si>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</si>
  <si>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</si>
  <si>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</si>
  <si>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</si>
  <si>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</si>
  <si>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</si>
  <si>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</si>
  <si>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</si>
  <si>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</si>
  <si>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</si>
  <si>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</si>
  <si>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</si>
  <si>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</si>
  <si>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</si>
  <si>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</si>
  <si>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</si>
  <si>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</si>
  <si>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</si>
  <si>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</si>
  <si>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</si>
  <si>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</si>
  <si>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</si>
  <si>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</si>
  <si>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</si>
  <si>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</si>
  <si>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</si>
  <si>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</si>
  <si>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</si>
  <si>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</si>
  <si>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</si>
  <si>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</si>
  <si>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</si>
  <si>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</si>
  <si>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</si>
  <si>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</si>
  <si>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</si>
  <si>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</si>
  <si>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</si>
  <si>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</si>
  <si>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</si>
  <si>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</si>
  <si>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</si>
  <si>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</si>
  <si>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</si>
  <si>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</si>
  <si>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</si>
  <si>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</si>
  <si>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</si>
  <si>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</si>
  <si>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</si>
  <si>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</si>
  <si>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</si>
  <si>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</si>
  <si>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</si>
  <si>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</si>
  <si>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</si>
  <si>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</si>
  <si>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</si>
  <si>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</si>
  <si>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</si>
  <si>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</si>
  <si>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</si>
  <si>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</si>
  <si>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</si>
  <si>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</si>
  <si>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</si>
  <si>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</si>
  <si>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</si>
  <si>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</si>
  <si>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</si>
  <si>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</si>
  <si>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</si>
  <si>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</si>
  <si>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</si>
  <si>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</si>
  <si>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</si>
  <si>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</si>
  <si>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</si>
  <si>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76.112.083-2</t>
  </si>
  <si>
    <t>CONSTRUCCION</t>
  </si>
  <si>
    <t xml:space="preserve">JOSE BORQUEZ </t>
  </si>
  <si>
    <t>CONSTRUCTORA BORQUEZ Y BORQUEZ LTDA</t>
  </si>
  <si>
    <t>+569 5789 0647</t>
  </si>
  <si>
    <t>AV.DEL VALLE 945 OF 4607 PATIO MAYOR 945 HUECHURABA</t>
  </si>
  <si>
    <t>HUMO 2108 MT</t>
  </si>
  <si>
    <t>N°10599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</si>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</sst>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17" fillId="0" borderId="0" xfId="2" quotePrefix="1" applyFont="1" applyFill="1" applyBorder="1"/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2" fontId="15" fillId="0" borderId="32" xfId="3" applyFont="1" applyBorder="1" applyAlignment="1">
      <alignment horizontal="center" vertical="center"/>
    </xf>
    <xf numFmtId="42" fontId="15" fillId="0" borderId="12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 $ 656.805.-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194310</xdr:rowOff>
    </xdr:from>
    <xdr:to>
      <xdr:col>2</xdr:col>
      <xdr:colOff>100723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7" workbookViewId="0">
      <selection activeCell="G23" sqref="G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7045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139</v>
      </c>
      <c r="D10" s="55"/>
      <c r="E10" s="55"/>
      <c r="F10" s="56" t="s">
        <v>28</v>
      </c>
      <c r="G10" s="57">
        <v>45349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45356</v>
      </c>
      <c r="H11" s="62"/>
      <c r="I11" s="1"/>
    </row>
    <row r="12" spans="1:17" ht="16.2" thickBot="1" x14ac:dyDescent="0.35">
      <c r="A12" s="1"/>
      <c r="B12" s="63" t="s">
        <v>133</v>
      </c>
      <c r="C12" t="s">
        <v>137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135</v>
      </c>
      <c r="C13" s="86" t="s">
        <v>138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96" t="s">
        <v>140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6" t="s">
        <v>141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07" t="s">
        <v>18</v>
      </c>
      <c r="G16" s="107"/>
      <c r="H16" s="108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09" t="s">
        <v>19</v>
      </c>
      <c r="C19" s="110"/>
      <c r="D19" s="110"/>
      <c r="E19" s="110"/>
      <c r="F19" s="110"/>
      <c r="G19" s="110"/>
      <c r="H19" s="111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1">
        <v>5</v>
      </c>
      <c r="C21" s="102" t="s">
        <v>128</v>
      </c>
      <c r="D21" s="102">
        <v>2400</v>
      </c>
      <c r="E21" s="102">
        <v>600</v>
      </c>
      <c r="F21" s="102" t="s">
        <v>142</v>
      </c>
      <c r="G21" s="103">
        <v>106168</v>
      </c>
      <c r="H21" s="104">
        <f>G21*B21</f>
        <v>530840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1">
        <v>7</v>
      </c>
      <c r="C22" s="102" t="s">
        <v>128</v>
      </c>
      <c r="D22" s="102">
        <v>1800</v>
      </c>
      <c r="E22" s="102">
        <v>600</v>
      </c>
      <c r="F22" s="102" t="s">
        <v>142</v>
      </c>
      <c r="G22" s="103">
        <v>81862</v>
      </c>
      <c r="H22" s="104">
        <f>G22*B22</f>
        <v>573034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8"/>
      <c r="C23" s="98"/>
      <c r="D23" s="98"/>
      <c r="E23" s="98"/>
      <c r="F23" s="98"/>
      <c r="G23" s="100"/>
      <c r="H23" s="100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8"/>
      <c r="C24" s="98"/>
      <c r="D24" s="98"/>
      <c r="E24" s="98"/>
      <c r="F24" s="99"/>
      <c r="G24" s="100"/>
      <c r="H24" s="100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1103874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209736.06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1313610.06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105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2" t="s">
        <v>31</v>
      </c>
      <c r="C2" s="112"/>
      <c r="D2" s="112"/>
      <c r="E2" s="18"/>
      <c r="G2" s="112" t="s">
        <v>70</v>
      </c>
      <c r="H2" s="112"/>
      <c r="I2" s="112"/>
      <c r="P2" s="113" t="s">
        <v>58</v>
      </c>
      <c r="Q2" s="113"/>
      <c r="R2" s="11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3" t="s">
        <v>58</v>
      </c>
      <c r="M8" s="113"/>
      <c r="N8" s="11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zoomScaleNormal="100" workbookViewId="0">
      <selection activeCell="I15" sqref="I15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4" t="s">
        <v>61</v>
      </c>
      <c r="L3" s="114"/>
      <c r="M3" s="114" t="s">
        <v>14</v>
      </c>
      <c r="N3" s="114"/>
    </row>
    <row r="4" spans="1:14" ht="15.75" customHeight="1" x14ac:dyDescent="0.3">
      <c r="A4" s="1"/>
      <c r="B4" s="1"/>
      <c r="C4" s="40" t="s">
        <v>27</v>
      </c>
      <c r="D4" s="14">
        <f>'4637'!G8</f>
        <v>7045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CONSTRUCTORA BORQUEZ Y BORQUEZ LTDA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45356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5" t="s">
        <v>61</v>
      </c>
      <c r="B10" s="115"/>
      <c r="C10" s="115"/>
      <c r="D10" s="115"/>
      <c r="E10" s="115"/>
      <c r="F10" s="115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7" t="s">
        <v>131</v>
      </c>
      <c r="B14" s="25">
        <f t="shared" ref="B14" si="0">I14</f>
        <v>5</v>
      </c>
      <c r="C14" s="25"/>
      <c r="D14" s="25">
        <f>J14+D$13</f>
        <v>2450</v>
      </c>
      <c r="E14" s="35">
        <f>K14+E$13</f>
        <v>570</v>
      </c>
      <c r="F14" s="25" t="str">
        <f>C28</f>
        <v>CUB C/R R6</v>
      </c>
      <c r="G14" s="1"/>
      <c r="I14" s="3">
        <f>I22</f>
        <v>5</v>
      </c>
      <c r="J14" s="4">
        <f t="shared" ref="J14:K14" si="1">D28</f>
        <v>2400</v>
      </c>
      <c r="K14" s="4">
        <f t="shared" si="1"/>
        <v>600</v>
      </c>
    </row>
    <row r="15" spans="1:14" ht="15.6" x14ac:dyDescent="0.3">
      <c r="A15" s="97"/>
      <c r="B15" s="25">
        <f t="shared" ref="B15" si="2">I15</f>
        <v>7</v>
      </c>
      <c r="C15" s="25"/>
      <c r="D15" s="25">
        <f t="shared" ref="D15" si="3">J15+D$13</f>
        <v>1850</v>
      </c>
      <c r="E15" s="35">
        <f t="shared" ref="E15" si="4">K15+E$13</f>
        <v>570</v>
      </c>
      <c r="F15" s="25" t="str">
        <f t="shared" ref="F15" si="5">C29</f>
        <v>CUB C/R R6</v>
      </c>
      <c r="G15" s="1"/>
      <c r="I15" s="3">
        <f t="shared" ref="I15" si="6">B29</f>
        <v>7</v>
      </c>
      <c r="J15" s="4">
        <f t="shared" ref="J15" si="7">D29</f>
        <v>1800</v>
      </c>
      <c r="K15" s="4">
        <f t="shared" ref="K15" si="8">E29</f>
        <v>600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5" t="s">
        <v>14</v>
      </c>
      <c r="B18" s="115"/>
      <c r="C18" s="115"/>
      <c r="D18" s="115"/>
      <c r="E18" s="115"/>
      <c r="F18" s="115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7" t="s">
        <v>131</v>
      </c>
      <c r="B22" s="16">
        <f t="shared" ref="B22" si="9">I22</f>
        <v>5</v>
      </c>
      <c r="C22" s="16"/>
      <c r="D22" s="16">
        <f>J22+D$21</f>
        <v>2440</v>
      </c>
      <c r="E22" s="16">
        <f>K22+E$21</f>
        <v>730</v>
      </c>
      <c r="F22" s="16" t="str">
        <f>C28</f>
        <v>CUB C/R R6</v>
      </c>
      <c r="G22" s="1"/>
      <c r="I22" s="3">
        <f>B28</f>
        <v>5</v>
      </c>
      <c r="J22" s="4">
        <f>D28</f>
        <v>2400</v>
      </c>
      <c r="K22" s="4">
        <f>E28</f>
        <v>600</v>
      </c>
    </row>
    <row r="23" spans="1:11" ht="15.6" x14ac:dyDescent="0.3">
      <c r="A23" s="97"/>
      <c r="B23" s="16">
        <f t="shared" ref="B23" si="10">I23</f>
        <v>7</v>
      </c>
      <c r="C23" s="16"/>
      <c r="D23" s="16">
        <f>J23+D$21</f>
        <v>1840</v>
      </c>
      <c r="E23" s="16">
        <f>K23+E$21</f>
        <v>730</v>
      </c>
      <c r="F23" s="16" t="str">
        <f t="shared" ref="F23" si="11">C29</f>
        <v>CUB C/R R6</v>
      </c>
      <c r="G23" s="1"/>
      <c r="I23" s="3">
        <f t="shared" ref="I23" si="12">B29</f>
        <v>7</v>
      </c>
      <c r="J23" s="4">
        <f t="shared" ref="J23:K23" si="13">D29</f>
        <v>1800</v>
      </c>
      <c r="K23" s="4">
        <f t="shared" si="13"/>
        <v>600</v>
      </c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7" t="s">
        <v>144</v>
      </c>
      <c r="B28" s="25">
        <f>'4637'!B21</f>
        <v>5</v>
      </c>
      <c r="C28" s="25" t="str">
        <f>'4637'!C21</f>
        <v>CUB C/R R6</v>
      </c>
      <c r="D28" s="25">
        <f>'4637'!D21</f>
        <v>2400</v>
      </c>
      <c r="E28" s="25">
        <f>'4637'!E21</f>
        <v>600</v>
      </c>
      <c r="F28" s="25" t="str">
        <f>'4637'!F21</f>
        <v>HUMO 2108 MT</v>
      </c>
      <c r="G28" s="1"/>
    </row>
    <row r="29" spans="1:11" ht="15.6" x14ac:dyDescent="0.3">
      <c r="A29" s="97"/>
      <c r="B29" s="25">
        <f>'4637'!B22</f>
        <v>7</v>
      </c>
      <c r="C29" s="25" t="str">
        <f>'4637'!C22</f>
        <v>CUB C/R R6</v>
      </c>
      <c r="D29" s="25">
        <f>'4637'!D22</f>
        <v>1800</v>
      </c>
      <c r="E29" s="25">
        <f>'4637'!E22</f>
        <v>600</v>
      </c>
      <c r="F29" s="25" t="str">
        <f>'4637'!F22</f>
        <v>HUMO 2108 MT</v>
      </c>
      <c r="G29" s="1"/>
    </row>
    <row r="30" spans="1:11" ht="15.6" x14ac:dyDescent="0.3">
      <c r="A30" s="97"/>
      <c r="B30" s="6"/>
      <c r="C30" s="6"/>
      <c r="D30" s="6"/>
      <c r="E30" s="6"/>
      <c r="F30" s="6"/>
      <c r="G30" s="1"/>
    </row>
    <row r="31" spans="1:11" ht="15.6" x14ac:dyDescent="0.3">
      <c r="A31" s="52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7045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CONSTRUCTORA BORQUEZ Y BORQUEZ LTDA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45356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5" t="s">
        <v>68</v>
      </c>
      <c r="B47" s="115"/>
      <c r="C47" s="115"/>
      <c r="D47" s="115"/>
      <c r="E47" s="115"/>
      <c r="F47" s="115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16" t="s">
        <v>69</v>
      </c>
      <c r="C49" s="117"/>
      <c r="D49" s="118"/>
      <c r="E49" s="118"/>
      <c r="F49" s="119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7"/>
      <c r="B51" s="38">
        <f>'4637'!B21</f>
        <v>5</v>
      </c>
      <c r="C51" s="38" t="str">
        <f>'4637'!C21</f>
        <v>CUB C/R R6</v>
      </c>
      <c r="D51" s="39">
        <f>'4637'!D21</f>
        <v>2400</v>
      </c>
      <c r="E51" s="39">
        <f>'4637'!E21</f>
        <v>600</v>
      </c>
      <c r="F51" s="38" t="str">
        <f>'4637'!F21</f>
        <v>HUMO 2108 MT</v>
      </c>
      <c r="G51" s="1"/>
    </row>
    <row r="52" spans="1:7" s="15" customFormat="1" ht="15" customHeight="1" x14ac:dyDescent="0.3">
      <c r="A52" s="97"/>
      <c r="B52" s="38">
        <f>'4637'!B22</f>
        <v>7</v>
      </c>
      <c r="C52" s="38" t="str">
        <f>'4637'!C22</f>
        <v>CUB C/R R6</v>
      </c>
      <c r="D52" s="39">
        <f>'4637'!D22</f>
        <v>1800</v>
      </c>
      <c r="E52" s="39">
        <f>'4637'!E22</f>
        <v>600</v>
      </c>
      <c r="F52" s="38" t="str">
        <f>'4637'!F22</f>
        <v>HUMO 2108 MT</v>
      </c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2024-02-27T11:55:14Z</cp:lastPrinted>
  <dcterms:created xsi:type="dcterms:W3CDTF">2013-03-19T12:54:14Z</dcterms:created>
  <dcterms:modified xsi:type="dcterms:W3CDTF">2024-02-27T11:55:21Z</dcterms:modified>
</cp:coreProperties>
</file>