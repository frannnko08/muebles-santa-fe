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0903C36E-C2FD-4597-A0B5-4289C631F05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F15" i="3"/>
  <c r="J15" i="3"/>
  <c r="D15" i="3" s="1"/>
  <c r="K15" i="3"/>
  <c r="B16" i="3"/>
  <c r="D16" i="3"/>
  <c r="F16" i="3"/>
  <c r="J16" i="3"/>
  <c r="K16" i="3"/>
  <c r="B17" i="3"/>
  <c r="D17" i="3"/>
  <c r="F17" i="3"/>
  <c r="J17" i="3"/>
  <c r="K17" i="3"/>
  <c r="B26" i="3"/>
  <c r="B27" i="3"/>
  <c r="B28" i="3"/>
  <c r="B35" i="3"/>
  <c r="C35" i="3"/>
  <c r="F26" i="3" s="1"/>
  <c r="D35" i="3"/>
  <c r="J26" i="3" s="1"/>
  <c r="D26" i="3" s="1"/>
  <c r="E35" i="3"/>
  <c r="K26" i="3" s="1"/>
  <c r="E26" i="3" s="1"/>
  <c r="F35" i="3"/>
  <c r="B36" i="3"/>
  <c r="C36" i="3"/>
  <c r="F27" i="3" s="1"/>
  <c r="D36" i="3"/>
  <c r="J27" i="3" s="1"/>
  <c r="D27" i="3" s="1"/>
  <c r="E36" i="3"/>
  <c r="K27" i="3" s="1"/>
  <c r="E27" i="3" s="1"/>
  <c r="F36" i="3"/>
  <c r="B37" i="3"/>
  <c r="C37" i="3"/>
  <c r="F28" i="3" s="1"/>
  <c r="D37" i="3"/>
  <c r="J28" i="3" s="1"/>
  <c r="D28" i="3" s="1"/>
  <c r="E37" i="3"/>
  <c r="K28" i="3" s="1"/>
  <c r="E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3" i="4"/>
  <c r="H24" i="4"/>
  <c r="H25" i="4"/>
  <c r="L22" i="4" l="1"/>
  <c r="H22" i="4"/>
  <c r="H28" i="4" l="1"/>
  <c r="H29" i="4" s="1"/>
  <c r="H30" i="4" l="1"/>
  <c r="F34" i="3"/>
  <c r="E34" i="3"/>
  <c r="K25" i="3" s="1"/>
  <c r="E25" i="3" s="1"/>
  <c r="D34" i="3"/>
  <c r="C34" i="3"/>
  <c r="F25" i="3" s="1"/>
  <c r="B34" i="3"/>
  <c r="F58" i="3"/>
  <c r="E58" i="3"/>
  <c r="D58" i="3"/>
  <c r="C58" i="3"/>
  <c r="B58" i="3"/>
  <c r="J25" i="3" l="1"/>
  <c r="J14" i="3" s="1"/>
  <c r="D14" i="3" s="1"/>
  <c r="K14" i="3"/>
  <c r="E14" i="3" s="1"/>
  <c r="N5" i="3"/>
  <c r="B25" i="3"/>
  <c r="B14" i="3"/>
  <c r="F14" i="3"/>
  <c r="D25" i="3" l="1"/>
  <c r="M5" i="3"/>
  <c r="L5" i="3"/>
  <c r="K5" i="3"/>
  <c r="C51" i="3" l="1"/>
  <c r="C7" i="3"/>
  <c r="D49" i="3"/>
  <c r="D5" i="3"/>
  <c r="D51" i="3"/>
  <c r="D7" i="3"/>
  <c r="D48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<sst xmlns="http://schemas.openxmlformats.org/spreadsheetml/2006/main" count="261" uniqueCount="152">
  <si>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</si>
  <si>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</si>
  <si>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</si>
  <si>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</si>
  <si>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</si>
  <si>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</si>
  <si>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</si>
  <si>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</si>
  <si>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</si>
  <si>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</si>
  <si>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</si>
  <si>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</si>
  <si>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</si>
  <si>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</si>
  <si>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</si>
  <si>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</si>
  <si>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</si>
  <si>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</si>
  <si>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</si>
  <si>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</si>
  <si>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</si>
  <si>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</si>
  <si>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</si>
  <si>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</si>
  <si>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</si>
  <si>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</si>
  <si>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</si>
  <si>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</si>
  <si>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</si>
  <si>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</si>
  <si>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</si>
  <si>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</si>
  <si>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</si>
  <si>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</si>
  <si>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</si>
  <si>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</si>
  <si>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</si>
  <si>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</si>
  <si>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</si>
  <si>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</si>
  <si>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</si>
  <si>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</si>
  <si>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</si>
  <si>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</si>
  <si>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</si>
  <si>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</si>
  <si>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</si>
  <si>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</si>
  <si>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</si>
  <si>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</si>
  <si>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</si>
  <si>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</si>
  <si>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</si>
  <si>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</si>
  <si>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</si>
  <si>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</si>
  <si>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</si>
  <si>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</si>
  <si>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</si>
  <si>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</si>
  <si>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</si>
  <si>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</si>
  <si>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</si>
  <si>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</si>
  <si>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</si>
  <si>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</si>
  <si>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</si>
  <si>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</si>
  <si>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</si>
  <si>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</si>
  <si>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</si>
  <si>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</si>
  <si>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</si>
  <si>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</si>
  <si>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</si>
  <si>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</si>
  <si>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</si>
  <si>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</si>
  <si>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</si>
  <si>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</si>
  <si>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</si>
  <si>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</si>
  <si>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</si>
  <si>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</si>
  <si>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</si>
  <si>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</si>
  <si>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</si>
  <si>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</si>
  <si>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</si>
  <si>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</si>
  <si>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</si>
  <si>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</si>
  <si>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</si>
  <si>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</si>
  <si>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</si>
  <si>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</si>
  <si>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</si>
  <si>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</si>
  <si>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</si>
  <si>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</si>
  <si>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</si>
  <si>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</si>
  <si>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</si>
  <si>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</si>
  <si>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</si>
  <si>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</si>
  <si>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</si>
  <si>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</si>
  <si>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</si>
  <si>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</si>
  <si>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</si>
  <si>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</si>
  <si>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</si>
  <si>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</si>
  <si>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</si>
  <si>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</si>
  <si>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</si>
  <si>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</si>
  <si>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</si>
  <si>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</si>
  <si>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</si>
  <si>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</si>
  <si>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</si>
  <si>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</si>
  <si>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</si>
  <si>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</si>
  <si>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</si>
  <si>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</si>
  <si>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</si>
  <si>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</si>
  <si>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</si>
  <si>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</si>
  <si>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</si>
  <si>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</si>
  <si>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</si>
  <si>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</si>
  <si>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MDF18MM</t>
  </si>
  <si>
    <t>NO</t>
  </si>
  <si>
    <t>FEMENIAS E HIJOS</t>
  </si>
  <si>
    <t>76.648.940-0</t>
  </si>
  <si>
    <t>FABRICA DE MUEBLES</t>
  </si>
  <si>
    <t>CHRISTIAN FEMENIAS</t>
  </si>
  <si>
    <t>mueb.femenias@gmail.com</t>
  </si>
  <si>
    <t>+56997278419</t>
  </si>
  <si>
    <t>VIÑA DEL MAR</t>
  </si>
  <si>
    <t>ABONO 50% SALDO C/ENTREGA</t>
  </si>
  <si>
    <t>4 de 135</t>
  </si>
  <si>
    <t>162x132</t>
  </si>
  <si>
    <t>GREY NEBULA 4622-60</t>
  </si>
  <si>
    <t>N° 10982</t>
  </si>
  <si>
    <t>CUB S/R R6</t>
  </si>
  <si>
    <t>CENEFA 1V 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</si>
</sst>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6" fillId="0" borderId="0" xfId="2"/>
    <xf numFmtId="0" fontId="17" fillId="0" borderId="0" xfId="2" quotePrefix="1" applyFont="1" applyFill="1" applyBorder="1"/>
    <xf numFmtId="166" fontId="3" fillId="0" borderId="1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2" xfId="1" applyNumberFormat="1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18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19051</xdr:colOff>
      <xdr:row>26</xdr:row>
      <xdr:rowOff>205740</xdr:rowOff>
    </xdr:from>
    <xdr:to>
      <xdr:col>5</xdr:col>
      <xdr:colOff>1506856</xdr:colOff>
      <xdr:row>30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9076" y="7235190"/>
          <a:ext cx="5993130" cy="71818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LAS CUBIERTAS SE ENTREGAN SOBREMEDIDAS EN EL LARGO.,  ABONO $30.000.-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1279918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716280</xdr:colOff>
      <xdr:row>19</xdr:row>
      <xdr:rowOff>60960</xdr:rowOff>
    </xdr:from>
    <xdr:to>
      <xdr:col>5</xdr:col>
      <xdr:colOff>2240279</xdr:colOff>
      <xdr:row>21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64</xdr:row>
      <xdr:rowOff>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64</xdr:row>
      <xdr:rowOff>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64</xdr:row>
      <xdr:rowOff>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64</xdr:row>
      <xdr:rowOff>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64</xdr:row>
      <xdr:rowOff>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15238</xdr:rowOff>
    </xdr:from>
    <xdr:to>
      <xdr:col>6</xdr:col>
      <xdr:colOff>68580</xdr:colOff>
      <xdr:row>43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1905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71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0</xdr:col>
      <xdr:colOff>55245</xdr:colOff>
      <xdr:row>46</xdr:row>
      <xdr:rowOff>175260</xdr:rowOff>
    </xdr:from>
    <xdr:to>
      <xdr:col>1</xdr:col>
      <xdr:colOff>654164</xdr:colOff>
      <xdr:row>52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0</xdr:col>
      <xdr:colOff>177166</xdr:colOff>
      <xdr:row>2</xdr:row>
      <xdr:rowOff>152400</xdr:rowOff>
    </xdr:from>
    <xdr:to>
      <xdr:col>1</xdr:col>
      <xdr:colOff>703592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ueb.femenia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6"/>
  <sheetViews>
    <sheetView topLeftCell="A9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8.5546875" customWidth="1"/>
    <col min="3" max="3" width="38.5546875" customWidth="1"/>
    <col min="4" max="4" width="9.5546875" customWidth="1"/>
    <col min="5" max="5" width="8.88671875" customWidth="1"/>
    <col min="6" max="6" width="26.4414062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149</v>
      </c>
      <c r="E8" s="1"/>
      <c r="F8" s="88" t="s">
        <v>27</v>
      </c>
      <c r="G8" s="89">
        <v>7084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131</v>
      </c>
      <c r="C10" s="80" t="s">
        <v>138</v>
      </c>
      <c r="D10" s="50"/>
      <c r="E10" s="50"/>
      <c r="F10" s="51" t="s">
        <v>28</v>
      </c>
      <c r="G10" s="52">
        <v>45448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1" t="s">
        <v>139</v>
      </c>
      <c r="D11" s="55"/>
      <c r="E11" s="55"/>
      <c r="F11" s="55" t="s">
        <v>125</v>
      </c>
      <c r="G11" s="56">
        <v>45453</v>
      </c>
      <c r="H11" s="57"/>
      <c r="I11" s="1"/>
    </row>
    <row r="12" spans="1:17" ht="16.2" thickBot="1" x14ac:dyDescent="0.35">
      <c r="A12" s="1"/>
      <c r="B12" s="54" t="s">
        <v>132</v>
      </c>
      <c r="C12" t="s">
        <v>140</v>
      </c>
      <c r="D12" s="55"/>
      <c r="E12" s="55"/>
      <c r="F12" s="55"/>
      <c r="G12" s="92"/>
      <c r="H12" s="57"/>
      <c r="I12" s="1"/>
    </row>
    <row r="13" spans="1:17" ht="15.6" x14ac:dyDescent="0.3">
      <c r="A13" s="1"/>
      <c r="B13" s="58" t="s">
        <v>112</v>
      </c>
      <c r="C13" s="80" t="s">
        <v>141</v>
      </c>
      <c r="D13" s="38"/>
      <c r="E13" s="38"/>
      <c r="F13" s="38" t="s">
        <v>30</v>
      </c>
      <c r="G13" s="59"/>
      <c r="H13" s="60"/>
      <c r="I13" s="1"/>
    </row>
    <row r="14" spans="1:17" ht="15.6" x14ac:dyDescent="0.3">
      <c r="A14" s="1"/>
      <c r="B14" s="58" t="s">
        <v>128</v>
      </c>
      <c r="C14" s="93" t="s">
        <v>142</v>
      </c>
      <c r="D14" s="38"/>
      <c r="E14" s="38"/>
      <c r="F14" s="38" t="s">
        <v>130</v>
      </c>
      <c r="G14" s="59" t="s">
        <v>133</v>
      </c>
      <c r="H14" s="60"/>
      <c r="I14" s="1"/>
    </row>
    <row r="15" spans="1:17" ht="15.6" x14ac:dyDescent="0.3">
      <c r="A15" s="1"/>
      <c r="B15" s="54" t="s">
        <v>17</v>
      </c>
      <c r="C15" s="94" t="s">
        <v>143</v>
      </c>
      <c r="D15" s="61"/>
      <c r="E15" s="55"/>
      <c r="F15" s="55" t="s">
        <v>29</v>
      </c>
      <c r="G15" s="55" t="s">
        <v>137</v>
      </c>
      <c r="H15" s="57"/>
      <c r="I15" s="1"/>
    </row>
    <row r="16" spans="1:17" ht="15.6" x14ac:dyDescent="0.3">
      <c r="A16" s="1"/>
      <c r="B16" s="58" t="s">
        <v>1</v>
      </c>
      <c r="C16" s="38"/>
      <c r="D16" s="38"/>
      <c r="E16" s="38"/>
      <c r="F16" s="62" t="s">
        <v>75</v>
      </c>
      <c r="G16" s="101" t="s">
        <v>145</v>
      </c>
      <c r="H16" s="60"/>
      <c r="I16" s="1"/>
    </row>
    <row r="17" spans="1:19" ht="16.2" thickBot="1" x14ac:dyDescent="0.35">
      <c r="A17" s="1"/>
      <c r="B17" s="63" t="s">
        <v>3</v>
      </c>
      <c r="C17" s="64" t="s">
        <v>144</v>
      </c>
      <c r="D17" s="64"/>
      <c r="E17" s="65"/>
      <c r="F17" s="107" t="s">
        <v>18</v>
      </c>
      <c r="G17" s="107"/>
      <c r="H17" s="108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09" t="s">
        <v>19</v>
      </c>
      <c r="C20" s="110"/>
      <c r="D20" s="110"/>
      <c r="E20" s="110"/>
      <c r="F20" s="110"/>
      <c r="G20" s="110"/>
      <c r="H20" s="111"/>
      <c r="I20" s="1"/>
    </row>
    <row r="21" spans="1:19" ht="16.2" thickBot="1" x14ac:dyDescent="0.35">
      <c r="A21" s="1"/>
      <c r="B21" s="66" t="s">
        <v>20</v>
      </c>
      <c r="C21" s="67" t="s">
        <v>21</v>
      </c>
      <c r="D21" s="67" t="s">
        <v>22</v>
      </c>
      <c r="E21" s="67" t="s">
        <v>8</v>
      </c>
      <c r="F21" s="68" t="s">
        <v>23</v>
      </c>
      <c r="G21" s="66" t="s">
        <v>24</v>
      </c>
      <c r="H21" s="68" t="s">
        <v>4</v>
      </c>
      <c r="I21" s="1"/>
      <c r="L21">
        <v>45000</v>
      </c>
    </row>
    <row r="22" spans="1:19" ht="18" customHeight="1" thickBot="1" x14ac:dyDescent="0.35">
      <c r="A22" s="1"/>
      <c r="B22" s="105">
        <v>1</v>
      </c>
      <c r="C22" s="106" t="s">
        <v>150</v>
      </c>
      <c r="D22" s="103">
        <v>1300</v>
      </c>
      <c r="E22" s="104">
        <v>400</v>
      </c>
      <c r="F22" s="100" t="s">
        <v>148</v>
      </c>
      <c r="G22" s="102">
        <v>37125</v>
      </c>
      <c r="H22" s="95">
        <f>G22*B22</f>
        <v>37125</v>
      </c>
      <c r="I22" s="1"/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thickBot="1" x14ac:dyDescent="0.35">
      <c r="A23" s="1"/>
      <c r="B23" s="106">
        <v>1</v>
      </c>
      <c r="C23" s="106" t="s">
        <v>151</v>
      </c>
      <c r="D23" s="103">
        <v>1700</v>
      </c>
      <c r="E23" s="103">
        <v>60</v>
      </c>
      <c r="F23" s="100" t="s">
        <v>148</v>
      </c>
      <c r="G23" s="120">
        <v>7219</v>
      </c>
      <c r="H23" s="95">
        <f t="shared" ref="H23:H25" si="0">G23*B23</f>
        <v>7219</v>
      </c>
      <c r="I23" s="1"/>
      <c r="K23" s="16"/>
      <c r="L23" s="24"/>
      <c r="M23" s="16"/>
      <c r="N23" s="16"/>
      <c r="O23" s="24"/>
      <c r="P23" s="31"/>
    </row>
    <row r="24" spans="1:19" ht="18" customHeight="1" thickBot="1" x14ac:dyDescent="0.35">
      <c r="A24" s="1"/>
      <c r="B24" s="106">
        <v>1</v>
      </c>
      <c r="C24" s="106" t="s">
        <v>151</v>
      </c>
      <c r="D24" s="103">
        <v>1200</v>
      </c>
      <c r="E24" s="103">
        <v>60</v>
      </c>
      <c r="F24" s="100" t="s">
        <v>148</v>
      </c>
      <c r="G24" s="120">
        <v>5156</v>
      </c>
      <c r="H24" s="95">
        <f t="shared" si="0"/>
        <v>5156</v>
      </c>
      <c r="I24" s="1"/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06">
        <v>1</v>
      </c>
      <c r="C25" s="106" t="s">
        <v>151</v>
      </c>
      <c r="D25" s="103">
        <v>600</v>
      </c>
      <c r="E25" s="103">
        <v>60</v>
      </c>
      <c r="F25" s="100" t="s">
        <v>148</v>
      </c>
      <c r="G25" s="120">
        <v>2681</v>
      </c>
      <c r="H25" s="95">
        <f t="shared" si="0"/>
        <v>2681</v>
      </c>
      <c r="I25" s="1"/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96"/>
      <c r="C26" s="96"/>
      <c r="D26" s="97"/>
      <c r="E26" s="97"/>
      <c r="F26" s="98"/>
      <c r="G26" s="91"/>
      <c r="H26" s="99"/>
      <c r="I26" s="1"/>
      <c r="K26" s="16"/>
      <c r="L26" s="24"/>
      <c r="M26" s="16"/>
      <c r="N26" s="16"/>
      <c r="O26" s="24"/>
      <c r="P26" s="31">
        <v>2700</v>
      </c>
      <c r="Q26">
        <v>600</v>
      </c>
      <c r="S26" t="s">
        <v>146</v>
      </c>
    </row>
    <row r="27" spans="1:19" ht="16.2" thickBot="1" x14ac:dyDescent="0.35">
      <c r="A27" s="1"/>
      <c r="B27" s="69"/>
      <c r="C27" s="69"/>
      <c r="D27" s="69"/>
      <c r="E27" s="69"/>
      <c r="F27" s="69"/>
      <c r="G27" s="91"/>
      <c r="H27" s="91"/>
      <c r="I27" s="1"/>
      <c r="L27" s="2"/>
      <c r="O27" s="2"/>
      <c r="P27">
        <v>2940</v>
      </c>
      <c r="Q27">
        <v>600</v>
      </c>
      <c r="S27" t="s">
        <v>147</v>
      </c>
    </row>
    <row r="28" spans="1:19" ht="15.6" x14ac:dyDescent="0.3">
      <c r="A28" s="1"/>
      <c r="B28" s="1"/>
      <c r="C28" s="1"/>
      <c r="D28" s="1"/>
      <c r="E28" s="1"/>
      <c r="F28" s="1"/>
      <c r="G28" s="70" t="s">
        <v>5</v>
      </c>
      <c r="H28" s="71">
        <f>SUM(H22:H27)</f>
        <v>52181</v>
      </c>
      <c r="I28" s="1"/>
      <c r="L28" s="2"/>
      <c r="O28" s="24"/>
      <c r="P28" s="31">
        <v>1890</v>
      </c>
      <c r="Q28">
        <v>600</v>
      </c>
    </row>
    <row r="29" spans="1:19" ht="15.6" x14ac:dyDescent="0.3">
      <c r="A29" s="1"/>
      <c r="B29" s="1"/>
      <c r="C29" s="1"/>
      <c r="D29" s="1"/>
      <c r="E29" s="1"/>
      <c r="F29" s="1"/>
      <c r="G29" s="72" t="s">
        <v>6</v>
      </c>
      <c r="H29" s="73">
        <f>H28*19%</f>
        <v>9914.39</v>
      </c>
      <c r="I29" s="1"/>
      <c r="L29" s="2"/>
    </row>
    <row r="30" spans="1:19" ht="16.2" thickBot="1" x14ac:dyDescent="0.35">
      <c r="A30" s="1"/>
      <c r="B30" s="1"/>
      <c r="C30" s="1"/>
      <c r="D30" s="1"/>
      <c r="E30" s="1"/>
      <c r="F30" s="1"/>
      <c r="G30" s="74" t="s">
        <v>4</v>
      </c>
      <c r="H30" s="75">
        <f>H28+H29</f>
        <v>62095.39</v>
      </c>
      <c r="I30" s="1"/>
      <c r="L30" s="2"/>
    </row>
    <row r="31" spans="1:19" ht="15.6" x14ac:dyDescent="0.3">
      <c r="A31" s="1"/>
      <c r="B31" s="1"/>
      <c r="C31" s="1"/>
      <c r="D31" s="1"/>
      <c r="E31" s="1"/>
      <c r="F31" s="1"/>
      <c r="H31" s="31"/>
      <c r="I31" s="1"/>
    </row>
    <row r="32" spans="1:19" ht="15.6" x14ac:dyDescent="0.3">
      <c r="A32" s="1"/>
      <c r="B32" s="76" t="s">
        <v>124</v>
      </c>
      <c r="C32" s="77"/>
      <c r="D32" s="78"/>
      <c r="E32" s="78"/>
      <c r="F32" s="69"/>
      <c r="I32" s="1"/>
    </row>
    <row r="33" spans="1:9" ht="15.6" x14ac:dyDescent="0.3">
      <c r="A33" s="1"/>
      <c r="B33" s="76" t="s">
        <v>123</v>
      </c>
      <c r="C33" s="77"/>
      <c r="D33" s="78"/>
      <c r="E33" s="78"/>
      <c r="F33" s="69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79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3"/>
  </sortState>
  <mergeCells count="2">
    <mergeCell ref="F17:H17"/>
    <mergeCell ref="B20:H20"/>
  </mergeCells>
  <phoneticPr fontId="10" type="noConversion"/>
  <hyperlinks>
    <hyperlink ref="E34" r:id="rId1" xr:uid="{00000000-0004-0000-0000-000000000000}"/>
    <hyperlink ref="C14" r:id="rId2" xr:uid="{D44AB4F1-FA93-4DF9-8792-842B804C154C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7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zoomScaleNormal="100" workbookViewId="0">
      <selection sqref="A1:F45"/>
    </sheetView>
  </sheetViews>
  <sheetFormatPr baseColWidth="10" defaultRowHeight="14.4" x14ac:dyDescent="0.3"/>
  <cols>
    <col min="1" max="2" width="10.5546875" customWidth="1"/>
    <col min="3" max="3" width="41.6640625" customWidth="1"/>
    <col min="4" max="5" width="9.6640625" customWidth="1"/>
    <col min="6" max="6" width="40.5546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127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35" t="s">
        <v>27</v>
      </c>
      <c r="D4" s="14">
        <f>'4637'!G8</f>
        <v>7084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FEMENIAS E HIJOS</v>
      </c>
      <c r="E5" s="38"/>
      <c r="F5" s="38"/>
      <c r="G5" s="1"/>
      <c r="K5">
        <f>LOOKUP(F14,REGLAS!$I$4:$I$37,REGLAS!$G$4:$G$37)+J14</f>
        <v>1350</v>
      </c>
      <c r="L5">
        <f>LOOKUP(F14,REGLAS!$I$4:$I$37,REGLAS!$H$4:$H$37)+K14</f>
        <v>400</v>
      </c>
      <c r="M5">
        <f>LOOKUP(F25,REGLAS!$D$4:$D$37,REGLAS!$B$4:$B$37)+J25</f>
        <v>1340</v>
      </c>
      <c r="N5">
        <f>LOOKUP(F25,REGLAS!$D$4:$D$37,REGLAS!$C$4:$C$37)+K25</f>
        <v>460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45453</v>
      </c>
      <c r="E7" s="1"/>
      <c r="F7" s="1"/>
      <c r="G7" s="1"/>
    </row>
    <row r="8" spans="1:14" ht="15.6" x14ac:dyDescent="0.3">
      <c r="A8" s="1"/>
      <c r="B8" s="1"/>
      <c r="C8" s="48" t="s">
        <v>126</v>
      </c>
      <c r="D8" s="1"/>
      <c r="E8" s="1"/>
      <c r="F8" s="1" t="s">
        <v>135</v>
      </c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>
        <v>20</v>
      </c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/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136</v>
      </c>
      <c r="B14" s="126">
        <f t="shared" ref="B14" si="0">I14</f>
        <v>1</v>
      </c>
      <c r="C14" s="127"/>
      <c r="D14" s="126">
        <f>J14+D$13</f>
        <v>1350</v>
      </c>
      <c r="E14" s="126">
        <f>K14+E$13</f>
        <v>400</v>
      </c>
      <c r="F14" s="126" t="str">
        <f t="shared" ref="F14" si="1">C34</f>
        <v>CUB S/R R6</v>
      </c>
      <c r="G14" s="1"/>
      <c r="I14" s="3">
        <v>1</v>
      </c>
      <c r="J14" s="4">
        <f>J25</f>
        <v>1300</v>
      </c>
      <c r="K14" s="4">
        <f>K25</f>
        <v>400</v>
      </c>
    </row>
    <row r="15" spans="1:14" ht="18" x14ac:dyDescent="0.35">
      <c r="A15" s="90"/>
      <c r="B15" s="126">
        <f t="shared" ref="B15:B17" si="2">I15</f>
        <v>1</v>
      </c>
      <c r="C15" s="127"/>
      <c r="D15" s="126">
        <f t="shared" ref="D15:D17" si="3">J15+D$13</f>
        <v>1750</v>
      </c>
      <c r="E15" s="126">
        <v>100</v>
      </c>
      <c r="F15" s="126" t="str">
        <f t="shared" ref="F15:F17" si="4">C35</f>
        <v>CENEFA 1V R6</v>
      </c>
      <c r="G15" s="1"/>
      <c r="I15" s="3">
        <v>1</v>
      </c>
      <c r="J15" s="4">
        <f t="shared" ref="J15:K15" si="5">J26</f>
        <v>1700</v>
      </c>
      <c r="K15" s="4">
        <f t="shared" si="5"/>
        <v>60</v>
      </c>
    </row>
    <row r="16" spans="1:14" ht="18" x14ac:dyDescent="0.35">
      <c r="A16" s="90"/>
      <c r="B16" s="126">
        <f t="shared" si="2"/>
        <v>1</v>
      </c>
      <c r="C16" s="127"/>
      <c r="D16" s="126">
        <f t="shared" si="3"/>
        <v>1250</v>
      </c>
      <c r="E16" s="126">
        <v>100</v>
      </c>
      <c r="F16" s="126" t="str">
        <f t="shared" si="4"/>
        <v>CENEFA 1V R6</v>
      </c>
      <c r="G16" s="1"/>
      <c r="I16" s="3">
        <v>1</v>
      </c>
      <c r="J16" s="4">
        <f t="shared" ref="J16:K16" si="6">J27</f>
        <v>1200</v>
      </c>
      <c r="K16" s="4">
        <f t="shared" si="6"/>
        <v>60</v>
      </c>
    </row>
    <row r="17" spans="1:11" ht="18" x14ac:dyDescent="0.35">
      <c r="A17" s="90"/>
      <c r="B17" s="126">
        <f t="shared" si="2"/>
        <v>1</v>
      </c>
      <c r="C17" s="127"/>
      <c r="D17" s="126">
        <f t="shared" si="3"/>
        <v>650</v>
      </c>
      <c r="E17" s="126">
        <v>100</v>
      </c>
      <c r="F17" s="126" t="str">
        <f t="shared" si="4"/>
        <v>CENEFA 1V R6</v>
      </c>
      <c r="G17" s="1"/>
      <c r="I17" s="3">
        <v>1</v>
      </c>
      <c r="J17" s="4">
        <f t="shared" ref="J17:K17" si="7">J28</f>
        <v>600</v>
      </c>
      <c r="K17" s="4">
        <f t="shared" si="7"/>
        <v>60</v>
      </c>
    </row>
    <row r="18" spans="1:11" ht="15.6" x14ac:dyDescent="0.3">
      <c r="A18" s="90"/>
      <c r="B18" s="123"/>
      <c r="C18" s="123"/>
      <c r="D18" s="123"/>
      <c r="E18" s="123"/>
      <c r="F18" s="123"/>
      <c r="G18" s="1"/>
      <c r="I18" s="124"/>
      <c r="J18" s="125"/>
      <c r="K18" s="125"/>
    </row>
    <row r="19" spans="1:11" ht="15.6" x14ac:dyDescent="0.3">
      <c r="A19" s="47"/>
      <c r="B19" s="6"/>
      <c r="C19" s="6"/>
      <c r="D19" s="6"/>
      <c r="E19" s="83"/>
      <c r="F19" s="6"/>
      <c r="G19" s="1"/>
      <c r="I19" s="2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15" t="s">
        <v>14</v>
      </c>
      <c r="B21" s="115"/>
      <c r="C21" s="115"/>
      <c r="D21" s="115"/>
      <c r="E21" s="115"/>
      <c r="F21" s="115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47" t="s">
        <v>7</v>
      </c>
      <c r="E23" s="47" t="s">
        <v>8</v>
      </c>
      <c r="F23" s="1"/>
      <c r="G23" s="1"/>
    </row>
    <row r="24" spans="1:11" ht="15.6" x14ac:dyDescent="0.3">
      <c r="A24" s="47" t="s">
        <v>9</v>
      </c>
      <c r="B24" s="33" t="s">
        <v>10</v>
      </c>
      <c r="C24" s="33" t="s">
        <v>11</v>
      </c>
      <c r="D24" s="20">
        <v>40</v>
      </c>
      <c r="E24" s="20">
        <v>60</v>
      </c>
      <c r="F24" s="33" t="s">
        <v>110</v>
      </c>
      <c r="G24" s="1"/>
      <c r="J24" s="5" t="s">
        <v>7</v>
      </c>
      <c r="K24" s="5" t="s">
        <v>8</v>
      </c>
    </row>
    <row r="25" spans="1:11" ht="18" x14ac:dyDescent="0.35">
      <c r="A25" s="90" t="s">
        <v>136</v>
      </c>
      <c r="B25" s="127">
        <f>I25</f>
        <v>1</v>
      </c>
      <c r="C25" s="127"/>
      <c r="D25" s="127">
        <f>J25+D$24</f>
        <v>1340</v>
      </c>
      <c r="E25" s="127">
        <f>K25+E$24</f>
        <v>460</v>
      </c>
      <c r="F25" s="127" t="str">
        <f>C34</f>
        <v>CUB S/R R6</v>
      </c>
      <c r="G25" s="1"/>
      <c r="I25" s="3">
        <v>1</v>
      </c>
      <c r="J25" s="4">
        <f>D34</f>
        <v>1300</v>
      </c>
      <c r="K25" s="4">
        <f>E34</f>
        <v>400</v>
      </c>
    </row>
    <row r="26" spans="1:11" ht="18" x14ac:dyDescent="0.35">
      <c r="A26" s="90"/>
      <c r="B26" s="127">
        <f t="shared" ref="B26:B28" si="8">I26</f>
        <v>1</v>
      </c>
      <c r="C26" s="127"/>
      <c r="D26" s="127">
        <f t="shared" ref="D26:D28" si="9">J26+D$24</f>
        <v>1740</v>
      </c>
      <c r="E26" s="127">
        <f t="shared" ref="E26:E28" si="10">K26+E$24</f>
        <v>120</v>
      </c>
      <c r="F26" s="127" t="str">
        <f t="shared" ref="F26:F28" si="11">C35</f>
        <v>CENEFA 1V R6</v>
      </c>
      <c r="G26" s="1"/>
      <c r="I26" s="3">
        <v>1</v>
      </c>
      <c r="J26" s="4">
        <f t="shared" ref="J26:J28" si="12">D35</f>
        <v>1700</v>
      </c>
      <c r="K26" s="4">
        <f t="shared" ref="K26:K28" si="13">E35</f>
        <v>60</v>
      </c>
    </row>
    <row r="27" spans="1:11" ht="18" x14ac:dyDescent="0.35">
      <c r="A27" s="90"/>
      <c r="B27" s="127">
        <f t="shared" si="8"/>
        <v>1</v>
      </c>
      <c r="C27" s="127"/>
      <c r="D27" s="127">
        <f t="shared" si="9"/>
        <v>1240</v>
      </c>
      <c r="E27" s="127">
        <f t="shared" si="10"/>
        <v>120</v>
      </c>
      <c r="F27" s="127" t="str">
        <f t="shared" si="11"/>
        <v>CENEFA 1V R6</v>
      </c>
      <c r="G27" s="1"/>
      <c r="I27" s="3">
        <v>1</v>
      </c>
      <c r="J27" s="4">
        <f t="shared" si="12"/>
        <v>1200</v>
      </c>
      <c r="K27" s="4">
        <f t="shared" si="13"/>
        <v>60</v>
      </c>
    </row>
    <row r="28" spans="1:11" ht="18" x14ac:dyDescent="0.35">
      <c r="A28" s="90"/>
      <c r="B28" s="127">
        <f t="shared" si="8"/>
        <v>1</v>
      </c>
      <c r="C28" s="127"/>
      <c r="D28" s="127">
        <f t="shared" si="9"/>
        <v>640</v>
      </c>
      <c r="E28" s="127">
        <f t="shared" si="10"/>
        <v>120</v>
      </c>
      <c r="F28" s="127" t="str">
        <f t="shared" si="11"/>
        <v>CENEFA 1V R6</v>
      </c>
      <c r="G28" s="1"/>
      <c r="I28" s="3">
        <v>1</v>
      </c>
      <c r="J28" s="4">
        <f t="shared" si="12"/>
        <v>600</v>
      </c>
      <c r="K28" s="4">
        <f t="shared" si="13"/>
        <v>60</v>
      </c>
    </row>
    <row r="29" spans="1:11" ht="15.6" x14ac:dyDescent="0.3">
      <c r="A29" s="90"/>
      <c r="B29" s="6"/>
      <c r="C29" s="6"/>
      <c r="D29" s="6"/>
      <c r="E29" s="6"/>
      <c r="F29" s="6"/>
      <c r="G29" s="1"/>
      <c r="I29" s="84"/>
      <c r="J29" s="2"/>
      <c r="K29" s="2"/>
    </row>
    <row r="30" spans="1:11" ht="16.2" thickBot="1" x14ac:dyDescent="0.35">
      <c r="A30" s="47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47"/>
      <c r="B31" s="21" t="s">
        <v>107</v>
      </c>
      <c r="C31" s="22"/>
      <c r="D31" s="22"/>
      <c r="E31" s="22"/>
      <c r="F31" s="23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47" t="s">
        <v>9</v>
      </c>
      <c r="B33" s="82" t="s">
        <v>10</v>
      </c>
      <c r="C33" s="82" t="s">
        <v>110</v>
      </c>
      <c r="D33" s="82" t="s">
        <v>7</v>
      </c>
      <c r="E33" s="82" t="s">
        <v>8</v>
      </c>
      <c r="F33" s="82" t="s">
        <v>23</v>
      </c>
      <c r="G33" s="1"/>
    </row>
    <row r="34" spans="1:7" ht="18" x14ac:dyDescent="0.35">
      <c r="A34" s="90" t="s">
        <v>136</v>
      </c>
      <c r="B34" s="126">
        <f>'4637'!B22</f>
        <v>1</v>
      </c>
      <c r="C34" s="126" t="str">
        <f>'4637'!C22</f>
        <v>CUB S/R R6</v>
      </c>
      <c r="D34" s="126">
        <f>'4637'!D22</f>
        <v>1300</v>
      </c>
      <c r="E34" s="126">
        <f>'4637'!E22</f>
        <v>400</v>
      </c>
      <c r="F34" s="126" t="str">
        <f>'4637'!F22</f>
        <v>GREY NEBULA 4622-60</v>
      </c>
      <c r="G34" s="1"/>
    </row>
    <row r="35" spans="1:7" ht="18" x14ac:dyDescent="0.35">
      <c r="A35" s="90"/>
      <c r="B35" s="126">
        <f>'4637'!B23</f>
        <v>1</v>
      </c>
      <c r="C35" s="126" t="str">
        <f>'4637'!C23</f>
        <v>CENEFA 1V R6</v>
      </c>
      <c r="D35" s="126">
        <f>'4637'!D23</f>
        <v>1700</v>
      </c>
      <c r="E35" s="126">
        <f>'4637'!E23</f>
        <v>60</v>
      </c>
      <c r="F35" s="126" t="str">
        <f>'4637'!F23</f>
        <v>GREY NEBULA 4622-60</v>
      </c>
      <c r="G35" s="1"/>
    </row>
    <row r="36" spans="1:7" ht="18" x14ac:dyDescent="0.35">
      <c r="A36" s="90"/>
      <c r="B36" s="126">
        <f>'4637'!B24</f>
        <v>1</v>
      </c>
      <c r="C36" s="126" t="str">
        <f>'4637'!C24</f>
        <v>CENEFA 1V R6</v>
      </c>
      <c r="D36" s="126">
        <f>'4637'!D24</f>
        <v>1200</v>
      </c>
      <c r="E36" s="126">
        <f>'4637'!E24</f>
        <v>60</v>
      </c>
      <c r="F36" s="126" t="str">
        <f>'4637'!F24</f>
        <v>GREY NEBULA 4622-60</v>
      </c>
      <c r="G36" s="1"/>
    </row>
    <row r="37" spans="1:7" ht="18" x14ac:dyDescent="0.35">
      <c r="A37" s="90"/>
      <c r="B37" s="126">
        <f>'4637'!B25</f>
        <v>1</v>
      </c>
      <c r="C37" s="126" t="str">
        <f>'4637'!C25</f>
        <v>CENEFA 1V R6</v>
      </c>
      <c r="D37" s="126">
        <f>'4637'!D25</f>
        <v>600</v>
      </c>
      <c r="E37" s="126">
        <f>'4637'!E25</f>
        <v>60</v>
      </c>
      <c r="F37" s="126" t="str">
        <f>'4637'!F25</f>
        <v>GREY NEBULA 4622-60</v>
      </c>
      <c r="G37" s="1"/>
    </row>
    <row r="38" spans="1:7" ht="15.6" x14ac:dyDescent="0.3">
      <c r="A38" s="90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35" t="s">
        <v>27</v>
      </c>
      <c r="D48" s="14">
        <f>'4637'!G8</f>
        <v>7084</v>
      </c>
      <c r="E48" s="1"/>
      <c r="F48" s="1"/>
      <c r="G48" s="1"/>
    </row>
    <row r="49" spans="1:7" ht="17.25" customHeight="1" x14ac:dyDescent="0.3">
      <c r="A49" s="1"/>
      <c r="B49" s="1"/>
      <c r="C49" s="36" t="s">
        <v>67</v>
      </c>
      <c r="D49" s="37" t="str">
        <f>'4637'!C10</f>
        <v>FEMENIAS E HIJOS</v>
      </c>
      <c r="E49" s="38"/>
      <c r="F49" s="38"/>
      <c r="G49" s="1"/>
    </row>
    <row r="50" spans="1:7" ht="4.5" customHeight="1" x14ac:dyDescent="0.3">
      <c r="A50" s="1"/>
      <c r="B50" s="1"/>
      <c r="C50" s="39"/>
      <c r="D50" s="40"/>
      <c r="E50" s="1"/>
      <c r="F50" s="1"/>
      <c r="G50" s="1"/>
    </row>
    <row r="51" spans="1:7" ht="15.6" x14ac:dyDescent="0.3">
      <c r="A51" s="1"/>
      <c r="B51" s="1"/>
      <c r="C51" s="41" t="str">
        <f>'4637'!F11</f>
        <v>FECHA LIMITE :</v>
      </c>
      <c r="D51" s="13">
        <f>'4637'!G11</f>
        <v>45453</v>
      </c>
      <c r="E51" s="1"/>
      <c r="F51" s="1" t="s">
        <v>134</v>
      </c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15" t="s">
        <v>68</v>
      </c>
      <c r="B54" s="115"/>
      <c r="C54" s="115"/>
      <c r="D54" s="115"/>
      <c r="E54" s="115"/>
      <c r="F54" s="115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16" t="s">
        <v>69</v>
      </c>
      <c r="C56" s="117"/>
      <c r="D56" s="118"/>
      <c r="E56" s="118"/>
      <c r="F56" s="119"/>
      <c r="G56" s="1"/>
    </row>
    <row r="57" spans="1:7" s="15" customFormat="1" ht="12.75" customHeight="1" x14ac:dyDescent="0.3">
      <c r="A57" s="1"/>
      <c r="B57" s="33" t="s">
        <v>10</v>
      </c>
      <c r="C57" s="42" t="s">
        <v>11</v>
      </c>
      <c r="D57" s="43" t="s">
        <v>7</v>
      </c>
      <c r="E57" s="43" t="s">
        <v>8</v>
      </c>
      <c r="F57" s="44" t="s">
        <v>12</v>
      </c>
      <c r="G57" s="1"/>
    </row>
    <row r="58" spans="1:7" s="15" customFormat="1" ht="15" customHeight="1" x14ac:dyDescent="0.35">
      <c r="A58" s="90" t="s">
        <v>136</v>
      </c>
      <c r="B58" s="121">
        <f>'4637'!B22</f>
        <v>1</v>
      </c>
      <c r="C58" s="121" t="str">
        <f>'4637'!C22</f>
        <v>CUB S/R R6</v>
      </c>
      <c r="D58" s="122">
        <f>'4637'!D22</f>
        <v>1300</v>
      </c>
      <c r="E58" s="122">
        <f>'4637'!E22</f>
        <v>400</v>
      </c>
      <c r="F58" s="121" t="str">
        <f>'4637'!F22</f>
        <v>GREY NEBULA 4622-60</v>
      </c>
      <c r="G58" s="1"/>
    </row>
    <row r="59" spans="1:7" s="15" customFormat="1" ht="15" customHeight="1" x14ac:dyDescent="0.35">
      <c r="A59" s="90"/>
      <c r="B59" s="121">
        <f>'4637'!B23</f>
        <v>1</v>
      </c>
      <c r="C59" s="121" t="str">
        <f>'4637'!C23</f>
        <v>CENEFA 1V R6</v>
      </c>
      <c r="D59" s="122">
        <f>'4637'!D23</f>
        <v>1700</v>
      </c>
      <c r="E59" s="122">
        <f>'4637'!E23</f>
        <v>60</v>
      </c>
      <c r="F59" s="121" t="str">
        <f>'4637'!F23</f>
        <v>GREY NEBULA 4622-60</v>
      </c>
      <c r="G59" s="1"/>
    </row>
    <row r="60" spans="1:7" s="15" customFormat="1" ht="15" customHeight="1" x14ac:dyDescent="0.35">
      <c r="A60" s="90"/>
      <c r="B60" s="121">
        <f>'4637'!B24</f>
        <v>1</v>
      </c>
      <c r="C60" s="121" t="str">
        <f>'4637'!C24</f>
        <v>CENEFA 1V R6</v>
      </c>
      <c r="D60" s="122">
        <f>'4637'!D24</f>
        <v>1200</v>
      </c>
      <c r="E60" s="122">
        <f>'4637'!E24</f>
        <v>60</v>
      </c>
      <c r="F60" s="121" t="str">
        <f>'4637'!F24</f>
        <v>GREY NEBULA 4622-60</v>
      </c>
      <c r="G60" s="1"/>
    </row>
    <row r="61" spans="1:7" s="15" customFormat="1" ht="15" customHeight="1" x14ac:dyDescent="0.35">
      <c r="A61" s="90"/>
      <c r="B61" s="121">
        <f>'4637'!B25</f>
        <v>1</v>
      </c>
      <c r="C61" s="121" t="str">
        <f>'4637'!C25</f>
        <v>CENEFA 1V R6</v>
      </c>
      <c r="D61" s="122">
        <f>'4637'!D25</f>
        <v>600</v>
      </c>
      <c r="E61" s="122">
        <f>'4637'!E25</f>
        <v>60</v>
      </c>
      <c r="F61" s="121" t="str">
        <f>'4637'!F25</f>
        <v>GREY NEBULA 4622-60</v>
      </c>
      <c r="G61" s="1"/>
    </row>
    <row r="62" spans="1:7" s="15" customFormat="1" ht="15" customHeight="1" x14ac:dyDescent="0.3">
      <c r="A62" s="90"/>
      <c r="B62" s="47"/>
      <c r="C62" s="47"/>
      <c r="D62" s="47"/>
      <c r="E62" s="47"/>
      <c r="F62" s="47"/>
      <c r="G62" s="1"/>
    </row>
    <row r="63" spans="1:7" s="15" customFormat="1" ht="15" customHeight="1" x14ac:dyDescent="0.3">
      <c r="A63" s="45"/>
      <c r="B63" s="47"/>
      <c r="C63" s="47"/>
      <c r="D63" s="47"/>
      <c r="E63" s="47"/>
      <c r="F63" s="47"/>
      <c r="G63" s="1"/>
    </row>
    <row r="64" spans="1:7" ht="15.6" x14ac:dyDescent="0.3">
      <c r="A64" s="6"/>
      <c r="B64" s="6"/>
      <c r="C64" s="1"/>
      <c r="D64" s="6"/>
      <c r="E64" s="6"/>
      <c r="F64" s="39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46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19"/>
      <c r="C73" s="19"/>
      <c r="D73" s="19"/>
      <c r="E73" s="19"/>
      <c r="F73" s="19"/>
    </row>
    <row r="74" spans="1:7" x14ac:dyDescent="0.3">
      <c r="B74" s="19"/>
      <c r="C74" s="19"/>
      <c r="E74" s="19"/>
      <c r="F74" s="19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5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2024-06-05T16:24:20Z</cp:lastPrinted>
  <dcterms:created xsi:type="dcterms:W3CDTF">2013-03-19T12:54:14Z</dcterms:created>
  <dcterms:modified xsi:type="dcterms:W3CDTF">2024-06-05T16:27:44Z</dcterms:modified>
</cp:coreProperties>
</file>