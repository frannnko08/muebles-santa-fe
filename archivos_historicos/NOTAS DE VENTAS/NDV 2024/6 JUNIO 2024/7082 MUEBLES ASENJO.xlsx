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3AFE636F-E754-44F7-8AA7-D17616E25B4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CUBIERTA!$A$36:$G$61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<sst xmlns="http://schemas.openxmlformats.org/spreadsheetml/2006/main" count="250" uniqueCount="147">
  <si>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</si>
  <si>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</si>
  <si>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</si>
  <si>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</si>
  <si>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</si>
  <si>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</si>
  <si>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</si>
  <si>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</si>
  <si>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</si>
  <si>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</si>
  <si>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</si>
  <si>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</si>
  <si>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</si>
  <si>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</si>
  <si>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</si>
  <si>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</si>
  <si>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</si>
  <si>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</si>
  <si>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</si>
  <si>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</si>
  <si>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</si>
  <si>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</si>
  <si>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</si>
  <si>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</si>
  <si>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</si>
  <si>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</si>
  <si>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</si>
  <si>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</si>
  <si>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</si>
  <si>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</si>
  <si>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</si>
  <si>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</si>
  <si>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</si>
  <si>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</si>
  <si>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</si>
  <si>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</si>
  <si>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</si>
  <si>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</si>
  <si>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</si>
  <si>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</si>
  <si>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</si>
  <si>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</si>
  <si>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</si>
  <si>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</si>
  <si>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</si>
  <si>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</si>
  <si>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</si>
  <si>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</si>
  <si>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</si>
  <si>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</si>
  <si>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</si>
  <si>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</si>
  <si>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</si>
  <si>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</si>
  <si>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</si>
  <si>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</si>
  <si>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</si>
  <si>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</si>
  <si>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</si>
  <si>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</si>
  <si>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</si>
  <si>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</si>
  <si>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</si>
  <si>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</si>
  <si>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</si>
  <si>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</si>
  <si>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</si>
  <si>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</si>
  <si>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</si>
  <si>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</si>
  <si>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</si>
  <si>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</si>
  <si>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</si>
  <si>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</si>
  <si>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</si>
  <si>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</si>
  <si>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</si>
  <si>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</si>
  <si>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</si>
  <si>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</si>
  <si>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</si>
  <si>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</si>
  <si>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</si>
  <si>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</si>
  <si>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</si>
  <si>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</si>
  <si>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</si>
  <si>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</si>
  <si>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</si>
  <si>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</si>
  <si>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</si>
  <si>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</si>
  <si>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</si>
  <si>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</si>
  <si>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</si>
  <si>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</si>
  <si>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</si>
  <si>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</si>
  <si>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</si>
  <si>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</si>
  <si>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</si>
  <si>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</si>
  <si>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</si>
  <si>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</si>
  <si>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</si>
  <si>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</si>
  <si>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</si>
  <si>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</si>
  <si>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</si>
  <si>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</si>
  <si>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</si>
  <si>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</si>
  <si>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</si>
  <si>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</si>
  <si>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</si>
  <si>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</si>
  <si>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</si>
  <si>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</si>
  <si>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</si>
  <si>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</si>
  <si>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</si>
  <si>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</si>
  <si>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</si>
  <si>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</si>
  <si>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</si>
  <si>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</si>
  <si>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</si>
  <si>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</si>
  <si>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</si>
  <si>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</si>
  <si>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</si>
  <si>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</si>
  <si>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</si>
  <si>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</si>
  <si>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</si>
  <si>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</si>
  <si>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</si>
  <si>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</si>
  <si>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</si>
  <si>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</si>
  <si>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</si>
  <si>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</si>
  <si>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SI</t>
  </si>
  <si>
    <t>CORTAR RESPALDO A 58MM</t>
  </si>
  <si>
    <t>CORTAR RESPALDO A 58</t>
  </si>
  <si>
    <t>N° 10974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</si>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</sst>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2</xdr:col>
      <xdr:colOff>100723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145</v>
      </c>
      <c r="E8" s="1"/>
      <c r="F8" s="94" t="s">
        <v>27</v>
      </c>
      <c r="G8" s="95">
        <v>7082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137</v>
      </c>
      <c r="D10" s="55"/>
      <c r="E10" s="55"/>
      <c r="F10" s="56" t="s">
        <v>28</v>
      </c>
      <c r="G10" s="57">
        <v>45446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45448</v>
      </c>
      <c r="H11" s="62"/>
      <c r="I11" s="1"/>
    </row>
    <row r="12" spans="1:17" ht="16.2" thickBot="1" x14ac:dyDescent="0.35">
      <c r="A12" s="1"/>
      <c r="B12" s="63" t="s">
        <v>133</v>
      </c>
      <c r="C12" t="s">
        <v>139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141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142</v>
      </c>
      <c r="H14" s="62"/>
      <c r="I14" s="1"/>
    </row>
    <row r="15" spans="1:17" ht="15.6" x14ac:dyDescent="0.3">
      <c r="A15" s="1"/>
      <c r="B15" s="63" t="s">
        <v>1</v>
      </c>
      <c r="C15" s="101" t="s">
        <v>140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0">
        <v>2</v>
      </c>
      <c r="C21" s="111" t="s">
        <v>128</v>
      </c>
      <c r="D21" s="112">
        <v>2710</v>
      </c>
      <c r="E21" s="113">
        <v>600</v>
      </c>
      <c r="F21" s="106" t="s">
        <v>146</v>
      </c>
      <c r="G21" s="108">
        <v>85012</v>
      </c>
      <c r="H21" s="107">
        <f>G21*B21</f>
        <v>170024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170024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32304.560000000001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202328.56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activeCell="H31" sqref="H3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7082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45448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2</v>
      </c>
      <c r="C14" s="25" t="s">
        <v>143</v>
      </c>
      <c r="D14" s="25">
        <f>J14+D$13</f>
        <v>2760</v>
      </c>
      <c r="E14" s="35">
        <f>K14+E$13</f>
        <v>570</v>
      </c>
      <c r="F14" s="103" t="str">
        <f>C28</f>
        <v>CUB C/R R6</v>
      </c>
      <c r="G14" s="1"/>
      <c r="I14" s="3">
        <f>I22</f>
        <v>2</v>
      </c>
      <c r="J14" s="4">
        <f t="shared" ref="J14:K14" si="1">D28</f>
        <v>2710</v>
      </c>
      <c r="K14" s="4">
        <f t="shared" si="1"/>
        <v>600</v>
      </c>
    </row>
    <row r="15" spans="1:14" ht="15.6" x14ac:dyDescent="0.3">
      <c r="A15" s="96"/>
      <c r="B15" s="6"/>
      <c r="C15" s="6"/>
      <c r="D15" s="6"/>
      <c r="E15" s="89"/>
      <c r="F15" s="115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140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131</v>
      </c>
      <c r="B22" s="16">
        <f t="shared" ref="B22" si="2">I22</f>
        <v>2</v>
      </c>
      <c r="C22" s="16" t="s">
        <v>144</v>
      </c>
      <c r="D22" s="16">
        <f>J22+D$21</f>
        <v>2750</v>
      </c>
      <c r="E22" s="16">
        <f>K22+E$21</f>
        <v>740</v>
      </c>
      <c r="F22" s="104" t="str">
        <f>C28</f>
        <v>CUB C/R R6</v>
      </c>
      <c r="G22" s="1"/>
      <c r="I22" s="3">
        <f>B28</f>
        <v>2</v>
      </c>
      <c r="J22" s="4">
        <f>D28</f>
        <v>2710</v>
      </c>
      <c r="K22" s="4">
        <f>E28</f>
        <v>600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136</v>
      </c>
      <c r="B28" s="25">
        <f>'4637'!B21</f>
        <v>2</v>
      </c>
      <c r="C28" s="103" t="str">
        <f>'4637'!C21</f>
        <v>CUB C/R R6</v>
      </c>
      <c r="D28" s="25">
        <f>'4637'!D21</f>
        <v>2710</v>
      </c>
      <c r="E28" s="25">
        <f>'4637'!E21</f>
        <v>600</v>
      </c>
      <c r="F28" s="25" t="str">
        <f>'4637'!F21</f>
        <v>BLANCO 2114 MT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7082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45448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2</v>
      </c>
      <c r="C49" s="102" t="str">
        <f>'4637'!C21</f>
        <v>CUB C/R R6</v>
      </c>
      <c r="D49" s="39">
        <f>'4637'!D21</f>
        <v>2710</v>
      </c>
      <c r="E49" s="39">
        <f>'4637'!E21</f>
        <v>600</v>
      </c>
      <c r="F49" s="38" t="str">
        <f>'4637'!F21</f>
        <v>BLANCO 2114 MT</v>
      </c>
      <c r="G49" s="1"/>
    </row>
    <row r="50" spans="1:7" s="15" customFormat="1" ht="15" customHeight="1" x14ac:dyDescent="0.3">
      <c r="A50" s="96"/>
      <c r="B50" s="52"/>
      <c r="C50" s="114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2024-06-03T18:34:22Z</cp:lastPrinted>
  <dcterms:created xsi:type="dcterms:W3CDTF">2013-03-19T12:54:14Z</dcterms:created>
  <dcterms:modified xsi:type="dcterms:W3CDTF">2024-06-03T18:36:50Z</dcterms:modified>
</cp:coreProperties>
</file>