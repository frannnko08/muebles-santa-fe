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6 JUNIO 2024\"/>
    </mc:Choice>
  </mc:AlternateContent>
  <xr:revisionPtr revIDLastSave="0" documentId="13_ncr:1_{7A57AC9B-0F74-47EE-9C63-0C1CBD651C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CUBIERTA!$A$42:$F$69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B15" i="3" l="1"/>
  <c r="B16" i="3"/>
  <c r="B25" i="3"/>
  <c r="B26" i="3"/>
  <c r="B33" i="3"/>
  <c r="C33" i="3"/>
  <c r="F25" i="3" s="1"/>
  <c r="D33" i="3"/>
  <c r="J25" i="3" s="1"/>
  <c r="E33" i="3"/>
  <c r="K25" i="3" s="1"/>
  <c r="F33" i="3"/>
  <c r="B34" i="3"/>
  <c r="C34" i="3"/>
  <c r="F26" i="3" s="1"/>
  <c r="D34" i="3"/>
  <c r="J26" i="3" s="1"/>
  <c r="D26" i="3" s="1"/>
  <c r="E34" i="3"/>
  <c r="K26" i="3" s="1"/>
  <c r="E26" i="3" s="1"/>
  <c r="F34" i="3"/>
  <c r="B56" i="3"/>
  <c r="C56" i="3"/>
  <c r="D56" i="3"/>
  <c r="E56" i="3"/>
  <c r="F56" i="3"/>
  <c r="B57" i="3"/>
  <c r="C57" i="3"/>
  <c r="D57" i="3"/>
  <c r="E57" i="3"/>
  <c r="F57" i="3"/>
  <c r="H23" i="4"/>
  <c r="H24" i="4"/>
  <c r="F16" i="3" l="1"/>
  <c r="J15" i="3"/>
  <c r="D15" i="3" s="1"/>
  <c r="F15" i="3"/>
  <c r="K16" i="3"/>
  <c r="J16" i="3"/>
  <c r="D16" i="3" s="1"/>
  <c r="K15" i="3"/>
  <c r="L22" i="4"/>
  <c r="H22" i="4"/>
  <c r="H27" i="4" l="1"/>
  <c r="H28" i="4" s="1"/>
  <c r="H29" i="4" l="1"/>
  <c r="F32" i="3"/>
  <c r="E32" i="3"/>
  <c r="K24" i="3" s="1"/>
  <c r="E24" i="3" s="1"/>
  <c r="D32" i="3"/>
  <c r="C32" i="3"/>
  <c r="F24" i="3" s="1"/>
  <c r="B32" i="3"/>
  <c r="F55" i="3"/>
  <c r="E55" i="3"/>
  <c r="D55" i="3"/>
  <c r="C55" i="3"/>
  <c r="B55" i="3"/>
  <c r="J24" i="3" l="1"/>
  <c r="J14" i="3" s="1"/>
  <c r="D14" i="3" s="1"/>
  <c r="K14" i="3"/>
  <c r="E14" i="3" s="1"/>
  <c r="N5" i="3"/>
  <c r="B24" i="3"/>
  <c r="B14" i="3"/>
  <c r="F14" i="3"/>
  <c r="D24" i="3" l="1"/>
  <c r="M5" i="3"/>
  <c r="L5" i="3"/>
  <c r="K5" i="3"/>
  <c r="C48" i="3" l="1"/>
  <c r="C7" i="3"/>
  <c r="D46" i="3"/>
  <c r="D5" i="3"/>
  <c r="D48" i="3"/>
  <c r="D7" i="3"/>
  <c r="D45" i="3"/>
  <c r="D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D2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<sst xmlns="http://schemas.openxmlformats.org/spreadsheetml/2006/main" count="259" uniqueCount="153">
  <si>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</si>
  <si>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</si>
  <si>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</si>
  <si>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</si>
  <si>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</si>
  <si>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</si>
  <si>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</si>
  <si>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</si>
  <si>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</si>
  <si>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</si>
  <si>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</si>
  <si>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</si>
  <si>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</si>
  <si>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</si>
  <si>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</si>
  <si>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</si>
  <si>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</si>
  <si>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</si>
  <si>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</si>
  <si>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</si>
  <si>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</si>
  <si>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</si>
  <si>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</si>
  <si>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</si>
  <si>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</si>
  <si>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</si>
  <si>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</si>
  <si>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</si>
  <si>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</si>
  <si>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</si>
  <si>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</si>
  <si>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</si>
  <si>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</si>
  <si>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</si>
  <si>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</si>
  <si>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</si>
  <si>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</si>
  <si>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</si>
  <si>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</si>
  <si>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</si>
  <si>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</si>
  <si>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</si>
  <si>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</si>
  <si>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</si>
  <si>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</si>
  <si>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</si>
  <si>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</si>
  <si>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</si>
  <si>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</si>
  <si>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</si>
  <si>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</si>
  <si>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</si>
  <si>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</si>
  <si>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</si>
  <si>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</si>
  <si>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</si>
  <si>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</si>
  <si>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</si>
  <si>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</si>
  <si>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</si>
  <si>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</si>
  <si>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</si>
  <si>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</si>
  <si>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</si>
  <si>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</si>
  <si>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</si>
  <si>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</si>
  <si>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</si>
  <si>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</si>
  <si>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</si>
  <si>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</si>
  <si>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</si>
  <si>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</si>
  <si>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</si>
  <si>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</si>
  <si>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</si>
  <si>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</si>
  <si>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</si>
  <si>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</si>
  <si>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</si>
  <si>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</si>
  <si>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</si>
  <si>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</si>
  <si>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</si>
  <si>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</si>
  <si>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</si>
  <si>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</si>
  <si>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</si>
  <si>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</si>
  <si>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</si>
  <si>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</si>
  <si>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</si>
  <si>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</si>
  <si>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</si>
  <si>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</si>
  <si>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</si>
  <si>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</si>
  <si>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</si>
  <si>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</si>
  <si>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</si>
  <si>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</si>
  <si>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</si>
  <si>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</si>
  <si>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</si>
  <si>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</si>
  <si>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</si>
  <si>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</si>
  <si>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</si>
  <si>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</si>
  <si>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</si>
  <si>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</si>
  <si>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</si>
  <si>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</si>
  <si>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</si>
  <si>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</si>
  <si>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</si>
  <si>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</si>
  <si>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</si>
  <si>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</si>
  <si>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</si>
  <si>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</si>
  <si>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</si>
  <si>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</si>
  <si>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</si>
  <si>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</si>
  <si>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</si>
  <si>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</si>
  <si>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</si>
  <si>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</si>
  <si>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</si>
  <si>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</si>
  <si>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</si>
  <si>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</si>
  <si>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</si>
  <si>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</si>
  <si>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</si>
  <si>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MDF18MM</t>
  </si>
  <si>
    <t>NO</t>
  </si>
  <si>
    <t>FEMENIAS E HIJOS</t>
  </si>
  <si>
    <t>76.648.940-0</t>
  </si>
  <si>
    <t>FABRICA DE MUEBLES</t>
  </si>
  <si>
    <t>CHRISTIAN FEMENIAS</t>
  </si>
  <si>
    <t>mueb.femenias@gmail.com</t>
  </si>
  <si>
    <t>+56997278419</t>
  </si>
  <si>
    <t>VIÑA DEL MAR</t>
  </si>
  <si>
    <t>ABONO 50% SALDO C/ENTREGA</t>
  </si>
  <si>
    <t>4 de 135</t>
  </si>
  <si>
    <t>162x132</t>
  </si>
  <si>
    <t>GREY NEBULA 4622-60</t>
  </si>
  <si>
    <t>CUB S/R R6</t>
  </si>
  <si>
    <t>N° 11003</t>
  </si>
  <si>
    <t>CUB MESA R6 3L</t>
  </si>
  <si>
    <t>CENEFA R6 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</si>
</sst>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6" fillId="0" borderId="0" xfId="2"/>
    <xf numFmtId="0" fontId="17" fillId="0" borderId="0" xfId="2" quotePrefix="1" applyFont="1" applyFill="1" applyBorder="1"/>
    <xf numFmtId="166" fontId="3" fillId="0" borderId="1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20" fillId="3" borderId="0" xfId="0" applyFont="1" applyFill="1"/>
    <xf numFmtId="1" fontId="18" fillId="0" borderId="2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23" fillId="0" borderId="32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" fontId="18" fillId="0" borderId="32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25</xdr:row>
      <xdr:rowOff>205740</xdr:rowOff>
    </xdr:from>
    <xdr:to>
      <xdr:col>5</xdr:col>
      <xdr:colOff>1506856</xdr:colOff>
      <xdr:row>29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9076" y="7235190"/>
          <a:ext cx="5993130" cy="7181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LAS CUBIERTAS SE ENTREGAN SOBREMEDIDAS EN EL LARGO.,  ABONO $50.000.-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1279918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716280</xdr:colOff>
      <xdr:row>18</xdr:row>
      <xdr:rowOff>60960</xdr:rowOff>
    </xdr:from>
    <xdr:to>
      <xdr:col>5</xdr:col>
      <xdr:colOff>2240279</xdr:colOff>
      <xdr:row>20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49</xdr:row>
      <xdr:rowOff>171450</xdr:rowOff>
    </xdr:from>
    <xdr:to>
      <xdr:col>5</xdr:col>
      <xdr:colOff>1685924</xdr:colOff>
      <xdr:row>51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38100</xdr:rowOff>
    </xdr:from>
    <xdr:to>
      <xdr:col>6</xdr:col>
      <xdr:colOff>0</xdr:colOff>
      <xdr:row>46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1019175</xdr:colOff>
      <xdr:row>60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447675</xdr:colOff>
      <xdr:row>60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60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60</xdr:row>
      <xdr:rowOff>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60</xdr:row>
      <xdr:rowOff>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36</xdr:row>
      <xdr:rowOff>15238</xdr:rowOff>
    </xdr:from>
    <xdr:to>
      <xdr:col>6</xdr:col>
      <xdr:colOff>68580</xdr:colOff>
      <xdr:row>40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1905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62</xdr:row>
      <xdr:rowOff>32385</xdr:rowOff>
    </xdr:from>
    <xdr:to>
      <xdr:col>6</xdr:col>
      <xdr:colOff>19050</xdr:colOff>
      <xdr:row>67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0</xdr:col>
      <xdr:colOff>55245</xdr:colOff>
      <xdr:row>43</xdr:row>
      <xdr:rowOff>175260</xdr:rowOff>
    </xdr:from>
    <xdr:to>
      <xdr:col>1</xdr:col>
      <xdr:colOff>654164</xdr:colOff>
      <xdr:row>49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0</xdr:col>
      <xdr:colOff>177166</xdr:colOff>
      <xdr:row>2</xdr:row>
      <xdr:rowOff>152400</xdr:rowOff>
    </xdr:from>
    <xdr:to>
      <xdr:col>1</xdr:col>
      <xdr:colOff>703592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ueb.femenias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5"/>
  <sheetViews>
    <sheetView tabSelected="1" topLeftCell="A11" workbookViewId="0">
      <selection activeCell="L29" sqref="L29"/>
    </sheetView>
  </sheetViews>
  <sheetFormatPr baseColWidth="10" defaultRowHeight="14.4" x14ac:dyDescent="0.3"/>
  <cols>
    <col min="1" max="1" width="2.88671875" customWidth="1"/>
    <col min="2" max="2" width="8.5546875" customWidth="1"/>
    <col min="3" max="3" width="38.5546875" customWidth="1"/>
    <col min="4" max="4" width="9.5546875" customWidth="1"/>
    <col min="5" max="5" width="8.88671875" customWidth="1"/>
    <col min="6" max="6" width="26.4414062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5" t="s">
        <v>16</v>
      </c>
      <c r="C8" s="86"/>
      <c r="D8" s="87" t="s">
        <v>150</v>
      </c>
      <c r="E8" s="1"/>
      <c r="F8" s="88" t="s">
        <v>27</v>
      </c>
      <c r="G8" s="89">
        <v>7091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9" t="s">
        <v>131</v>
      </c>
      <c r="C10" s="80" t="s">
        <v>138</v>
      </c>
      <c r="D10" s="50"/>
      <c r="E10" s="50"/>
      <c r="F10" s="51" t="s">
        <v>28</v>
      </c>
      <c r="G10" s="52">
        <v>45468</v>
      </c>
      <c r="H10" s="53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4" t="s">
        <v>2</v>
      </c>
      <c r="C11" s="1" t="s">
        <v>139</v>
      </c>
      <c r="D11" s="55"/>
      <c r="E11" s="55"/>
      <c r="F11" s="55" t="s">
        <v>125</v>
      </c>
      <c r="G11" s="56">
        <v>45476</v>
      </c>
      <c r="H11" s="57"/>
      <c r="I11" s="1"/>
    </row>
    <row r="12" spans="1:17" ht="16.2" thickBot="1" x14ac:dyDescent="0.35">
      <c r="A12" s="1"/>
      <c r="B12" s="54" t="s">
        <v>132</v>
      </c>
      <c r="C12" t="s">
        <v>140</v>
      </c>
      <c r="D12" s="55"/>
      <c r="E12" s="55"/>
      <c r="F12" s="55"/>
      <c r="G12" s="92"/>
      <c r="H12" s="57"/>
      <c r="I12" s="1"/>
    </row>
    <row r="13" spans="1:17" ht="15.6" x14ac:dyDescent="0.3">
      <c r="A13" s="1"/>
      <c r="B13" s="58" t="s">
        <v>112</v>
      </c>
      <c r="C13" s="80" t="s">
        <v>141</v>
      </c>
      <c r="D13" s="38"/>
      <c r="E13" s="38"/>
      <c r="F13" s="38" t="s">
        <v>30</v>
      </c>
      <c r="G13" s="59"/>
      <c r="H13" s="60"/>
      <c r="I13" s="1"/>
    </row>
    <row r="14" spans="1:17" ht="15.6" x14ac:dyDescent="0.3">
      <c r="A14" s="1"/>
      <c r="B14" s="58" t="s">
        <v>128</v>
      </c>
      <c r="C14" s="93" t="s">
        <v>142</v>
      </c>
      <c r="D14" s="38"/>
      <c r="E14" s="38"/>
      <c r="F14" s="38" t="s">
        <v>130</v>
      </c>
      <c r="G14" s="59" t="s">
        <v>133</v>
      </c>
      <c r="H14" s="60"/>
      <c r="I14" s="1"/>
    </row>
    <row r="15" spans="1:17" ht="15.6" x14ac:dyDescent="0.3">
      <c r="A15" s="1"/>
      <c r="B15" s="54" t="s">
        <v>17</v>
      </c>
      <c r="C15" s="94" t="s">
        <v>143</v>
      </c>
      <c r="D15" s="61"/>
      <c r="E15" s="55"/>
      <c r="F15" s="55" t="s">
        <v>29</v>
      </c>
      <c r="G15" s="55" t="s">
        <v>137</v>
      </c>
      <c r="H15" s="57"/>
      <c r="I15" s="1"/>
    </row>
    <row r="16" spans="1:17" ht="15.6" x14ac:dyDescent="0.3">
      <c r="A16" s="1"/>
      <c r="B16" s="58" t="s">
        <v>1</v>
      </c>
      <c r="C16" s="38"/>
      <c r="D16" s="38"/>
      <c r="E16" s="38"/>
      <c r="F16" s="62" t="s">
        <v>75</v>
      </c>
      <c r="G16" s="100" t="s">
        <v>145</v>
      </c>
      <c r="H16" s="60"/>
      <c r="I16" s="1"/>
    </row>
    <row r="17" spans="1:19" ht="16.2" thickBot="1" x14ac:dyDescent="0.35">
      <c r="A17" s="1"/>
      <c r="B17" s="63" t="s">
        <v>3</v>
      </c>
      <c r="C17" s="64" t="s">
        <v>144</v>
      </c>
      <c r="D17" s="64"/>
      <c r="E17" s="65"/>
      <c r="F17" s="108" t="s">
        <v>18</v>
      </c>
      <c r="G17" s="108"/>
      <c r="H17" s="109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0" t="s">
        <v>19</v>
      </c>
      <c r="C20" s="111"/>
      <c r="D20" s="111"/>
      <c r="E20" s="111"/>
      <c r="F20" s="111"/>
      <c r="G20" s="111"/>
      <c r="H20" s="112"/>
      <c r="I20" s="1"/>
    </row>
    <row r="21" spans="1:19" ht="16.2" thickBot="1" x14ac:dyDescent="0.35">
      <c r="A21" s="1"/>
      <c r="B21" s="66" t="s">
        <v>20</v>
      </c>
      <c r="C21" s="67" t="s">
        <v>21</v>
      </c>
      <c r="D21" s="67" t="s">
        <v>22</v>
      </c>
      <c r="E21" s="67" t="s">
        <v>8</v>
      </c>
      <c r="F21" s="68" t="s">
        <v>23</v>
      </c>
      <c r="G21" s="66" t="s">
        <v>24</v>
      </c>
      <c r="H21" s="68" t="s">
        <v>4</v>
      </c>
      <c r="I21" s="1"/>
      <c r="L21">
        <v>45000</v>
      </c>
    </row>
    <row r="22" spans="1:19" ht="18" customHeight="1" thickBot="1" x14ac:dyDescent="0.35">
      <c r="A22" s="1"/>
      <c r="B22" s="102">
        <v>1</v>
      </c>
      <c r="C22" s="121" t="s">
        <v>149</v>
      </c>
      <c r="D22" s="125">
        <v>750</v>
      </c>
      <c r="E22" s="125">
        <v>500</v>
      </c>
      <c r="F22" s="122" t="s">
        <v>148</v>
      </c>
      <c r="G22" s="123">
        <v>29906</v>
      </c>
      <c r="H22" s="95">
        <f>G22*B22</f>
        <v>29906</v>
      </c>
      <c r="I22" s="1"/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thickBot="1" x14ac:dyDescent="0.35">
      <c r="A23" s="1"/>
      <c r="B23" s="103">
        <v>1</v>
      </c>
      <c r="C23" s="124" t="s">
        <v>151</v>
      </c>
      <c r="D23" s="101">
        <v>1150</v>
      </c>
      <c r="E23" s="101">
        <v>500</v>
      </c>
      <c r="F23" s="122" t="s">
        <v>148</v>
      </c>
      <c r="G23" s="123">
        <v>43359</v>
      </c>
      <c r="H23" s="95">
        <f t="shared" ref="H23:H24" si="0">G23*B23</f>
        <v>43359</v>
      </c>
      <c r="I23" s="1"/>
      <c r="K23" s="16"/>
      <c r="L23" s="24"/>
      <c r="M23" s="16"/>
      <c r="N23" s="16"/>
      <c r="O23" s="24"/>
      <c r="P23" s="31"/>
    </row>
    <row r="24" spans="1:19" ht="18" customHeight="1" x14ac:dyDescent="0.3">
      <c r="A24" s="1"/>
      <c r="B24" s="103">
        <v>1</v>
      </c>
      <c r="C24" s="124" t="s">
        <v>152</v>
      </c>
      <c r="D24" s="101">
        <v>1500</v>
      </c>
      <c r="E24" s="101">
        <v>60</v>
      </c>
      <c r="F24" s="122" t="s">
        <v>148</v>
      </c>
      <c r="G24" s="123">
        <v>9256</v>
      </c>
      <c r="H24" s="95">
        <f t="shared" si="0"/>
        <v>9256</v>
      </c>
      <c r="I24" s="1"/>
      <c r="K24" s="16"/>
      <c r="L24" s="24"/>
      <c r="M24" s="16"/>
      <c r="N24" s="16"/>
      <c r="O24" s="24"/>
      <c r="P24" s="31"/>
    </row>
    <row r="25" spans="1:19" ht="18" customHeight="1" x14ac:dyDescent="0.3">
      <c r="A25" s="1"/>
      <c r="B25" s="96"/>
      <c r="C25" s="96"/>
      <c r="D25" s="97"/>
      <c r="E25" s="97"/>
      <c r="F25" s="98"/>
      <c r="G25" s="91"/>
      <c r="H25" s="99"/>
      <c r="I25" s="1"/>
      <c r="K25" s="16"/>
      <c r="L25" s="24"/>
      <c r="M25" s="16"/>
      <c r="N25" s="16"/>
      <c r="O25" s="24"/>
      <c r="P25" s="31">
        <v>2700</v>
      </c>
      <c r="Q25">
        <v>600</v>
      </c>
      <c r="S25" t="s">
        <v>146</v>
      </c>
    </row>
    <row r="26" spans="1:19" ht="16.2" thickBot="1" x14ac:dyDescent="0.35">
      <c r="A26" s="1"/>
      <c r="B26" s="69"/>
      <c r="C26" s="69"/>
      <c r="D26" s="69"/>
      <c r="E26" s="69"/>
      <c r="F26" s="69"/>
      <c r="G26" s="91"/>
      <c r="H26" s="91"/>
      <c r="I26" s="1"/>
      <c r="L26" s="2"/>
      <c r="O26" s="2"/>
      <c r="P26">
        <v>2940</v>
      </c>
      <c r="Q26">
        <v>600</v>
      </c>
      <c r="S26" t="s">
        <v>147</v>
      </c>
    </row>
    <row r="27" spans="1:19" ht="15.6" x14ac:dyDescent="0.3">
      <c r="A27" s="1"/>
      <c r="B27" s="1"/>
      <c r="C27" s="1"/>
      <c r="D27" s="1"/>
      <c r="E27" s="1"/>
      <c r="F27" s="1"/>
      <c r="G27" s="70" t="s">
        <v>5</v>
      </c>
      <c r="H27" s="71">
        <f>SUM(H22:H26)</f>
        <v>82521</v>
      </c>
      <c r="I27" s="1"/>
      <c r="L27" s="2"/>
      <c r="O27" s="24"/>
      <c r="P27" s="31">
        <v>1890</v>
      </c>
      <c r="Q27">
        <v>600</v>
      </c>
    </row>
    <row r="28" spans="1:19" ht="15.6" x14ac:dyDescent="0.3">
      <c r="A28" s="1"/>
      <c r="B28" s="1"/>
      <c r="C28" s="1"/>
      <c r="D28" s="1"/>
      <c r="E28" s="1"/>
      <c r="F28" s="1"/>
      <c r="G28" s="72" t="s">
        <v>6</v>
      </c>
      <c r="H28" s="73">
        <f>H27*19%</f>
        <v>15678.99</v>
      </c>
      <c r="I28" s="1"/>
      <c r="L28" s="2"/>
    </row>
    <row r="29" spans="1:19" ht="16.2" thickBot="1" x14ac:dyDescent="0.35">
      <c r="A29" s="1"/>
      <c r="B29" s="1"/>
      <c r="C29" s="1"/>
      <c r="D29" s="1"/>
      <c r="E29" s="1"/>
      <c r="F29" s="1"/>
      <c r="G29" s="74" t="s">
        <v>4</v>
      </c>
      <c r="H29" s="75">
        <f>H27+H28</f>
        <v>98199.99</v>
      </c>
      <c r="I29" s="1"/>
      <c r="L29" s="2"/>
    </row>
    <row r="30" spans="1:19" ht="15.6" x14ac:dyDescent="0.3">
      <c r="A30" s="1"/>
      <c r="B30" s="1"/>
      <c r="C30" s="1"/>
      <c r="D30" s="1"/>
      <c r="E30" s="1"/>
      <c r="F30" s="1"/>
      <c r="H30" s="31"/>
      <c r="I30" s="1"/>
    </row>
    <row r="31" spans="1:19" ht="15.6" x14ac:dyDescent="0.3">
      <c r="A31" s="1"/>
      <c r="B31" s="76" t="s">
        <v>124</v>
      </c>
      <c r="C31" s="77"/>
      <c r="D31" s="78"/>
      <c r="E31" s="78"/>
      <c r="F31" s="69"/>
      <c r="I31" s="1"/>
    </row>
    <row r="32" spans="1:19" ht="15.6" x14ac:dyDescent="0.3">
      <c r="A32" s="1"/>
      <c r="B32" s="76" t="s">
        <v>123</v>
      </c>
      <c r="C32" s="77"/>
      <c r="D32" s="78"/>
      <c r="E32" s="78"/>
      <c r="F32" s="69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79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1"/>
  </sortState>
  <mergeCells count="2">
    <mergeCell ref="F17:H17"/>
    <mergeCell ref="B20:H20"/>
  </mergeCells>
  <phoneticPr fontId="10" type="noConversion"/>
  <hyperlinks>
    <hyperlink ref="E33" r:id="rId1" xr:uid="{00000000-0004-0000-0000-000000000000}"/>
    <hyperlink ref="C14" r:id="rId2" xr:uid="{D44AB4F1-FA93-4DF9-8792-842B804C154C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3" t="s">
        <v>31</v>
      </c>
      <c r="C2" s="113"/>
      <c r="D2" s="113"/>
      <c r="E2" s="17"/>
      <c r="G2" s="113" t="s">
        <v>70</v>
      </c>
      <c r="H2" s="113"/>
      <c r="I2" s="113"/>
      <c r="P2" s="114" t="s">
        <v>58</v>
      </c>
      <c r="Q2" s="114"/>
      <c r="R2" s="114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4" t="s">
        <v>58</v>
      </c>
      <c r="M8" s="114"/>
      <c r="N8" s="11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0"/>
  <sheetViews>
    <sheetView topLeftCell="A31" zoomScaleNormal="100" workbookViewId="0">
      <selection activeCell="A42" sqref="A42:F69"/>
    </sheetView>
  </sheetViews>
  <sheetFormatPr baseColWidth="10" defaultRowHeight="14.4" x14ac:dyDescent="0.3"/>
  <cols>
    <col min="1" max="2" width="10.5546875" customWidth="1"/>
    <col min="3" max="3" width="41.6640625" customWidth="1"/>
    <col min="4" max="5" width="9.6640625" customWidth="1"/>
    <col min="6" max="6" width="40.5546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127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15" t="s">
        <v>61</v>
      </c>
      <c r="L3" s="115"/>
      <c r="M3" s="115" t="s">
        <v>14</v>
      </c>
      <c r="N3" s="115"/>
    </row>
    <row r="4" spans="1:14" ht="15.75" customHeight="1" x14ac:dyDescent="0.3">
      <c r="A4" s="1"/>
      <c r="B4" s="1"/>
      <c r="C4" s="35" t="s">
        <v>27</v>
      </c>
      <c r="D4" s="14">
        <f>'4637'!G8</f>
        <v>7091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FEMENIAS E HIJOS</v>
      </c>
      <c r="E5" s="38"/>
      <c r="F5" s="38"/>
      <c r="G5" s="1"/>
      <c r="K5">
        <f>LOOKUP(F14,REGLAS!$I$4:$I$37,REGLAS!$G$4:$G$37)+J14</f>
        <v>800</v>
      </c>
      <c r="L5">
        <f>LOOKUP(F14,REGLAS!$I$4:$I$37,REGLAS!$H$4:$H$37)+K14</f>
        <v>500</v>
      </c>
      <c r="M5">
        <f>LOOKUP(F24,REGLAS!$D$4:$D$37,REGLAS!$B$4:$B$37)+J24</f>
        <v>790</v>
      </c>
      <c r="N5">
        <f>LOOKUP(F24,REGLAS!$D$4:$D$37,REGLAS!$C$4:$C$37)+K24</f>
        <v>560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1" t="str">
        <f>'4637'!F11</f>
        <v>FECHA LIMITE :</v>
      </c>
      <c r="D7" s="13">
        <f>'4637'!G11</f>
        <v>45476</v>
      </c>
      <c r="E7" s="1"/>
      <c r="F7" s="1"/>
      <c r="G7" s="1"/>
    </row>
    <row r="8" spans="1:14" ht="15.6" x14ac:dyDescent="0.3">
      <c r="A8" s="1"/>
      <c r="B8" s="1"/>
      <c r="C8" s="48" t="s">
        <v>126</v>
      </c>
      <c r="D8" s="1"/>
      <c r="E8" s="1"/>
      <c r="F8" s="1" t="s">
        <v>135</v>
      </c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6" t="s">
        <v>61</v>
      </c>
      <c r="B10" s="116"/>
      <c r="C10" s="116"/>
      <c r="D10" s="116"/>
      <c r="E10" s="116"/>
      <c r="F10" s="116"/>
      <c r="G10" s="1"/>
    </row>
    <row r="11" spans="1:14" ht="15.6" x14ac:dyDescent="0.3">
      <c r="A11" s="1"/>
      <c r="B11" s="1"/>
      <c r="C11" s="12"/>
      <c r="D11" s="1"/>
      <c r="E11" s="1"/>
      <c r="F11" s="1"/>
      <c r="G11" s="1">
        <v>20</v>
      </c>
    </row>
    <row r="12" spans="1:14" ht="15.6" x14ac:dyDescent="0.3">
      <c r="A12" s="1"/>
      <c r="B12" s="1"/>
      <c r="C12" s="1"/>
      <c r="D12" s="47" t="s">
        <v>7</v>
      </c>
      <c r="E12" s="47" t="s">
        <v>8</v>
      </c>
      <c r="F12" s="1"/>
      <c r="G12" s="1"/>
    </row>
    <row r="13" spans="1:14" ht="15.6" x14ac:dyDescent="0.3">
      <c r="A13" s="47" t="s">
        <v>9</v>
      </c>
      <c r="B13" s="34" t="s">
        <v>10</v>
      </c>
      <c r="C13" s="34" t="s">
        <v>11</v>
      </c>
      <c r="D13" s="30">
        <v>50</v>
      </c>
      <c r="E13" s="30"/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90" t="s">
        <v>136</v>
      </c>
      <c r="B14" s="106">
        <f t="shared" ref="B14" si="0">I14</f>
        <v>1</v>
      </c>
      <c r="C14" s="107"/>
      <c r="D14" s="106">
        <f>J14+D$13</f>
        <v>800</v>
      </c>
      <c r="E14" s="106">
        <f>K14+E$13</f>
        <v>500</v>
      </c>
      <c r="F14" s="106" t="str">
        <f t="shared" ref="F14" si="1">C32</f>
        <v>CUB S/R R6</v>
      </c>
      <c r="G14" s="1"/>
      <c r="I14" s="3">
        <v>1</v>
      </c>
      <c r="J14" s="4">
        <f>J24</f>
        <v>750</v>
      </c>
      <c r="K14" s="4">
        <f>K24</f>
        <v>500</v>
      </c>
    </row>
    <row r="15" spans="1:14" ht="18" x14ac:dyDescent="0.35">
      <c r="A15" s="90"/>
      <c r="B15" s="106">
        <f t="shared" ref="B15:B16" si="2">I15</f>
        <v>1</v>
      </c>
      <c r="C15" s="107"/>
      <c r="D15" s="106">
        <f t="shared" ref="D15:D16" si="3">J15+D$13</f>
        <v>1200</v>
      </c>
      <c r="E15" s="106">
        <f>K15+E$13</f>
        <v>500</v>
      </c>
      <c r="F15" s="106" t="str">
        <f t="shared" ref="F15:F16" si="4">C33</f>
        <v>CUB MESA R6 3L</v>
      </c>
      <c r="G15" s="1"/>
      <c r="I15" s="3">
        <v>1</v>
      </c>
      <c r="J15" s="4">
        <f t="shared" ref="J15:K15" si="5">J25</f>
        <v>1150</v>
      </c>
      <c r="K15" s="4">
        <f t="shared" si="5"/>
        <v>500</v>
      </c>
    </row>
    <row r="16" spans="1:14" ht="18" x14ac:dyDescent="0.35">
      <c r="A16" s="90"/>
      <c r="B16" s="106">
        <f t="shared" si="2"/>
        <v>1</v>
      </c>
      <c r="C16" s="107"/>
      <c r="D16" s="106">
        <f t="shared" si="3"/>
        <v>1550</v>
      </c>
      <c r="E16" s="106">
        <v>100</v>
      </c>
      <c r="F16" s="106" t="str">
        <f t="shared" si="4"/>
        <v>CENEFA R6 1V</v>
      </c>
      <c r="G16" s="1"/>
      <c r="I16" s="3">
        <v>1</v>
      </c>
      <c r="J16" s="4">
        <f t="shared" ref="J16:K16" si="6">J26</f>
        <v>1500</v>
      </c>
      <c r="K16" s="4">
        <f t="shared" si="6"/>
        <v>60</v>
      </c>
    </row>
    <row r="17" spans="1:11" ht="15.6" x14ac:dyDescent="0.3">
      <c r="A17" s="90"/>
      <c r="B17" s="6"/>
      <c r="C17" s="6"/>
      <c r="D17" s="6"/>
      <c r="E17" s="6"/>
      <c r="F17" s="6"/>
      <c r="G17" s="1"/>
      <c r="I17" s="84"/>
      <c r="J17" s="2"/>
      <c r="K17" s="2"/>
    </row>
    <row r="18" spans="1:11" ht="15.6" x14ac:dyDescent="0.3">
      <c r="A18" s="47"/>
      <c r="B18" s="6"/>
      <c r="C18" s="6"/>
      <c r="D18" s="6"/>
      <c r="E18" s="83"/>
      <c r="F18" s="6"/>
      <c r="G18" s="1"/>
      <c r="I18" s="2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16" t="s">
        <v>14</v>
      </c>
      <c r="B20" s="116"/>
      <c r="C20" s="116"/>
      <c r="D20" s="116"/>
      <c r="E20" s="116"/>
      <c r="F20" s="116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47" t="s">
        <v>7</v>
      </c>
      <c r="E22" s="47" t="s">
        <v>8</v>
      </c>
      <c r="F22" s="1"/>
      <c r="G22" s="1"/>
    </row>
    <row r="23" spans="1:11" ht="15.6" x14ac:dyDescent="0.3">
      <c r="A23" s="47" t="s">
        <v>9</v>
      </c>
      <c r="B23" s="33" t="s">
        <v>10</v>
      </c>
      <c r="C23" s="33" t="s">
        <v>11</v>
      </c>
      <c r="D23" s="20">
        <v>40</v>
      </c>
      <c r="E23" s="20">
        <v>60</v>
      </c>
      <c r="F23" s="33" t="s">
        <v>110</v>
      </c>
      <c r="G23" s="1"/>
      <c r="J23" s="5" t="s">
        <v>7</v>
      </c>
      <c r="K23" s="5" t="s">
        <v>8</v>
      </c>
    </row>
    <row r="24" spans="1:11" ht="18" x14ac:dyDescent="0.35">
      <c r="A24" s="90" t="s">
        <v>136</v>
      </c>
      <c r="B24" s="107">
        <f>I24</f>
        <v>1</v>
      </c>
      <c r="C24" s="107"/>
      <c r="D24" s="107">
        <f>J24+D$23</f>
        <v>790</v>
      </c>
      <c r="E24" s="107">
        <f>K24+E$23</f>
        <v>560</v>
      </c>
      <c r="F24" s="107" t="str">
        <f>C32</f>
        <v>CUB S/R R6</v>
      </c>
      <c r="G24" s="1"/>
      <c r="I24" s="3">
        <v>1</v>
      </c>
      <c r="J24" s="4">
        <f>D32</f>
        <v>750</v>
      </c>
      <c r="K24" s="4">
        <f>E32</f>
        <v>500</v>
      </c>
    </row>
    <row r="25" spans="1:11" ht="18" x14ac:dyDescent="0.35">
      <c r="A25" s="90"/>
      <c r="B25" s="107">
        <f t="shared" ref="B25:B26" si="7">I25</f>
        <v>1</v>
      </c>
      <c r="C25" s="107"/>
      <c r="D25" s="107">
        <v>1250</v>
      </c>
      <c r="E25" s="107">
        <v>600</v>
      </c>
      <c r="F25" s="107" t="str">
        <f t="shared" ref="F25:F26" si="8">C33</f>
        <v>CUB MESA R6 3L</v>
      </c>
      <c r="G25" s="1"/>
      <c r="I25" s="3">
        <v>1</v>
      </c>
      <c r="J25" s="4">
        <f t="shared" ref="J25:J26" si="9">D33</f>
        <v>1150</v>
      </c>
      <c r="K25" s="4">
        <f t="shared" ref="K25:K26" si="10">E33</f>
        <v>500</v>
      </c>
    </row>
    <row r="26" spans="1:11" ht="18" x14ac:dyDescent="0.35">
      <c r="A26" s="90"/>
      <c r="B26" s="107">
        <f t="shared" si="7"/>
        <v>1</v>
      </c>
      <c r="C26" s="107"/>
      <c r="D26" s="107">
        <f>J26+D$23</f>
        <v>1540</v>
      </c>
      <c r="E26" s="107">
        <f>K26+E$23</f>
        <v>120</v>
      </c>
      <c r="F26" s="107" t="str">
        <f t="shared" si="8"/>
        <v>CENEFA R6 1V</v>
      </c>
      <c r="G26" s="1"/>
      <c r="I26" s="3">
        <v>1</v>
      </c>
      <c r="J26" s="4">
        <f t="shared" si="9"/>
        <v>1500</v>
      </c>
      <c r="K26" s="4">
        <f t="shared" si="10"/>
        <v>60</v>
      </c>
    </row>
    <row r="27" spans="1:11" ht="15.6" x14ac:dyDescent="0.3">
      <c r="A27" s="90"/>
      <c r="B27" s="6"/>
      <c r="C27" s="6"/>
      <c r="D27" s="6"/>
      <c r="E27" s="6"/>
      <c r="F27" s="6"/>
      <c r="G27" s="1"/>
      <c r="I27" s="84"/>
      <c r="J27" s="2"/>
      <c r="K27" s="2"/>
    </row>
    <row r="28" spans="1:11" ht="16.2" thickBot="1" x14ac:dyDescent="0.35">
      <c r="A28" s="47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47"/>
      <c r="B29" s="21" t="s">
        <v>107</v>
      </c>
      <c r="C29" s="22"/>
      <c r="D29" s="22"/>
      <c r="E29" s="22"/>
      <c r="F29" s="23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47" t="s">
        <v>9</v>
      </c>
      <c r="B31" s="82" t="s">
        <v>10</v>
      </c>
      <c r="C31" s="82" t="s">
        <v>110</v>
      </c>
      <c r="D31" s="82" t="s">
        <v>7</v>
      </c>
      <c r="E31" s="82" t="s">
        <v>8</v>
      </c>
      <c r="F31" s="82" t="s">
        <v>23</v>
      </c>
      <c r="G31" s="1"/>
    </row>
    <row r="32" spans="1:11" ht="18" x14ac:dyDescent="0.35">
      <c r="A32" s="90" t="s">
        <v>136</v>
      </c>
      <c r="B32" s="106">
        <f>'4637'!B22</f>
        <v>1</v>
      </c>
      <c r="C32" s="106" t="str">
        <f>'4637'!C22</f>
        <v>CUB S/R R6</v>
      </c>
      <c r="D32" s="106">
        <f>'4637'!D22</f>
        <v>750</v>
      </c>
      <c r="E32" s="106">
        <f>'4637'!E22</f>
        <v>500</v>
      </c>
      <c r="F32" s="106" t="str">
        <f>'4637'!F22</f>
        <v>GREY NEBULA 4622-60</v>
      </c>
      <c r="G32" s="1"/>
    </row>
    <row r="33" spans="1:7" ht="18" x14ac:dyDescent="0.35">
      <c r="A33" s="90"/>
      <c r="B33" s="106">
        <f>'4637'!B23</f>
        <v>1</v>
      </c>
      <c r="C33" s="106" t="str">
        <f>'4637'!C23</f>
        <v>CUB MESA R6 3L</v>
      </c>
      <c r="D33" s="106">
        <f>'4637'!D23</f>
        <v>1150</v>
      </c>
      <c r="E33" s="106">
        <f>'4637'!E23</f>
        <v>500</v>
      </c>
      <c r="F33" s="106" t="str">
        <f>'4637'!F23</f>
        <v>GREY NEBULA 4622-60</v>
      </c>
      <c r="G33" s="1"/>
    </row>
    <row r="34" spans="1:7" ht="18" x14ac:dyDescent="0.35">
      <c r="A34" s="90"/>
      <c r="B34" s="106">
        <f>'4637'!B24</f>
        <v>1</v>
      </c>
      <c r="C34" s="106" t="str">
        <f>'4637'!C24</f>
        <v>CENEFA R6 1V</v>
      </c>
      <c r="D34" s="106">
        <f>'4637'!D24</f>
        <v>1500</v>
      </c>
      <c r="E34" s="106">
        <f>'4637'!E24</f>
        <v>60</v>
      </c>
      <c r="F34" s="106" t="str">
        <f>'4637'!F24</f>
        <v>GREY NEBULA 4622-60</v>
      </c>
      <c r="G34" s="1"/>
    </row>
    <row r="35" spans="1:7" ht="15.6" x14ac:dyDescent="0.3">
      <c r="A35" s="90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35" t="s">
        <v>27</v>
      </c>
      <c r="D45" s="14">
        <f>'4637'!G8</f>
        <v>7091</v>
      </c>
      <c r="E45" s="1"/>
      <c r="F45" s="1"/>
      <c r="G45" s="1"/>
    </row>
    <row r="46" spans="1:7" ht="17.25" customHeight="1" x14ac:dyDescent="0.3">
      <c r="A46" s="1"/>
      <c r="B46" s="1"/>
      <c r="C46" s="36" t="s">
        <v>67</v>
      </c>
      <c r="D46" s="37" t="str">
        <f>'4637'!C10</f>
        <v>FEMENIAS E HIJOS</v>
      </c>
      <c r="E46" s="38"/>
      <c r="F46" s="38"/>
      <c r="G46" s="1"/>
    </row>
    <row r="47" spans="1:7" ht="4.5" customHeight="1" x14ac:dyDescent="0.3">
      <c r="A47" s="1"/>
      <c r="B47" s="1"/>
      <c r="C47" s="39"/>
      <c r="D47" s="40"/>
      <c r="E47" s="1"/>
      <c r="F47" s="1"/>
      <c r="G47" s="1"/>
    </row>
    <row r="48" spans="1:7" ht="15.6" x14ac:dyDescent="0.3">
      <c r="A48" s="1"/>
      <c r="B48" s="1"/>
      <c r="C48" s="41" t="str">
        <f>'4637'!F11</f>
        <v>FECHA LIMITE :</v>
      </c>
      <c r="D48" s="13">
        <f>'4637'!G11</f>
        <v>45476</v>
      </c>
      <c r="E48" s="1"/>
      <c r="F48" s="1" t="s">
        <v>134</v>
      </c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16" t="s">
        <v>68</v>
      </c>
      <c r="B51" s="116"/>
      <c r="C51" s="116"/>
      <c r="D51" s="116"/>
      <c r="E51" s="116"/>
      <c r="F51" s="11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75" customHeight="1" x14ac:dyDescent="0.3">
      <c r="A53" s="1"/>
      <c r="B53" s="117" t="s">
        <v>69</v>
      </c>
      <c r="C53" s="118"/>
      <c r="D53" s="119"/>
      <c r="E53" s="119"/>
      <c r="F53" s="120"/>
      <c r="G53" s="1"/>
    </row>
    <row r="54" spans="1:7" s="15" customFormat="1" ht="12.75" customHeight="1" x14ac:dyDescent="0.3">
      <c r="A54" s="1"/>
      <c r="B54" s="33" t="s">
        <v>10</v>
      </c>
      <c r="C54" s="42" t="s">
        <v>11</v>
      </c>
      <c r="D54" s="43" t="s">
        <v>7</v>
      </c>
      <c r="E54" s="43" t="s">
        <v>8</v>
      </c>
      <c r="F54" s="44" t="s">
        <v>12</v>
      </c>
      <c r="G54" s="1"/>
    </row>
    <row r="55" spans="1:7" s="15" customFormat="1" ht="15" customHeight="1" x14ac:dyDescent="0.35">
      <c r="A55" s="90" t="s">
        <v>136</v>
      </c>
      <c r="B55" s="104">
        <f>'4637'!B22</f>
        <v>1</v>
      </c>
      <c r="C55" s="104" t="str">
        <f>'4637'!C22</f>
        <v>CUB S/R R6</v>
      </c>
      <c r="D55" s="105">
        <f>'4637'!D22</f>
        <v>750</v>
      </c>
      <c r="E55" s="105">
        <f>'4637'!E22</f>
        <v>500</v>
      </c>
      <c r="F55" s="104" t="str">
        <f>'4637'!F22</f>
        <v>GREY NEBULA 4622-60</v>
      </c>
      <c r="G55" s="1"/>
    </row>
    <row r="56" spans="1:7" s="15" customFormat="1" ht="15" customHeight="1" x14ac:dyDescent="0.35">
      <c r="A56" s="90"/>
      <c r="B56" s="104">
        <f>'4637'!B23</f>
        <v>1</v>
      </c>
      <c r="C56" s="104" t="str">
        <f>'4637'!C23</f>
        <v>CUB MESA R6 3L</v>
      </c>
      <c r="D56" s="105">
        <f>'4637'!D23</f>
        <v>1150</v>
      </c>
      <c r="E56" s="105">
        <f>'4637'!E23</f>
        <v>500</v>
      </c>
      <c r="F56" s="104" t="str">
        <f>'4637'!F23</f>
        <v>GREY NEBULA 4622-60</v>
      </c>
      <c r="G56" s="1"/>
    </row>
    <row r="57" spans="1:7" s="15" customFormat="1" ht="15" customHeight="1" x14ac:dyDescent="0.35">
      <c r="A57" s="90"/>
      <c r="B57" s="104">
        <f>'4637'!B24</f>
        <v>1</v>
      </c>
      <c r="C57" s="104" t="str">
        <f>'4637'!C24</f>
        <v>CENEFA R6 1V</v>
      </c>
      <c r="D57" s="105">
        <f>'4637'!D24</f>
        <v>1500</v>
      </c>
      <c r="E57" s="105">
        <f>'4637'!E24</f>
        <v>60</v>
      </c>
      <c r="F57" s="104" t="str">
        <f>'4637'!F24</f>
        <v>GREY NEBULA 4622-60</v>
      </c>
      <c r="G57" s="1"/>
    </row>
    <row r="58" spans="1:7" s="15" customFormat="1" ht="15" customHeight="1" x14ac:dyDescent="0.3">
      <c r="A58" s="90"/>
      <c r="B58" s="47"/>
      <c r="C58" s="47"/>
      <c r="D58" s="47"/>
      <c r="E58" s="47"/>
      <c r="F58" s="47"/>
      <c r="G58" s="1"/>
    </row>
    <row r="59" spans="1:7" s="15" customFormat="1" ht="15" customHeight="1" x14ac:dyDescent="0.3">
      <c r="A59" s="45"/>
      <c r="B59" s="47"/>
      <c r="C59" s="47"/>
      <c r="D59" s="47"/>
      <c r="E59" s="47"/>
      <c r="F59" s="47"/>
      <c r="G59" s="1"/>
    </row>
    <row r="60" spans="1:7" ht="15.6" x14ac:dyDescent="0.3">
      <c r="A60" s="6"/>
      <c r="B60" s="6"/>
      <c r="C60" s="1"/>
      <c r="D60" s="6"/>
      <c r="E60" s="6"/>
      <c r="F60" s="39"/>
      <c r="G60" s="1"/>
    </row>
    <row r="61" spans="1:7" ht="15.6" x14ac:dyDescent="0.3">
      <c r="A61" s="6"/>
      <c r="B61" s="6"/>
      <c r="C61" s="1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" customHeight="1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6"/>
      <c r="B67" s="46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x14ac:dyDescent="0.3">
      <c r="B69" s="19"/>
      <c r="C69" s="19"/>
      <c r="D69" s="19"/>
      <c r="E69" s="19"/>
      <c r="F69" s="19"/>
    </row>
    <row r="70" spans="1:7" x14ac:dyDescent="0.3">
      <c r="B70" s="19"/>
      <c r="C70" s="19"/>
      <c r="E70" s="19"/>
      <c r="F70" s="19"/>
    </row>
  </sheetData>
  <mergeCells count="6">
    <mergeCell ref="M3:N3"/>
    <mergeCell ref="A20:F20"/>
    <mergeCell ref="A10:F10"/>
    <mergeCell ref="A51:F51"/>
    <mergeCell ref="B53:F53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5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2024-06-25T16:00:05Z</cp:lastPrinted>
  <dcterms:created xsi:type="dcterms:W3CDTF">2013-03-19T12:54:14Z</dcterms:created>
  <dcterms:modified xsi:type="dcterms:W3CDTF">2024-06-25T16:00:12Z</dcterms:modified>
</cp:coreProperties>
</file>