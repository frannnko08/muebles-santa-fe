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6 JUNIO 2024\"/>
    </mc:Choice>
  </mc:AlternateContent>
  <xr:revisionPtr revIDLastSave="0" documentId="13_ncr:1_{86B59C2A-A6E7-43C6-8394-137186646D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I16" i="3"/>
  <c r="J16" i="3"/>
  <c r="K16" i="3"/>
  <c r="F17" i="3"/>
  <c r="I17" i="3"/>
  <c r="J17" i="3"/>
  <c r="K17" i="3"/>
  <c r="D26" i="3"/>
  <c r="F26" i="3"/>
  <c r="F27" i="3"/>
  <c r="I26" i="3"/>
  <c r="J26" i="3"/>
  <c r="K26" i="3"/>
  <c r="I27" i="3"/>
  <c r="J27" i="3"/>
  <c r="K27" i="3"/>
  <c r="I28" i="3"/>
  <c r="J28" i="3"/>
  <c r="K28" i="3"/>
  <c r="I15" i="3"/>
  <c r="B15" i="3" s="1"/>
  <c r="J15" i="3"/>
  <c r="D15" i="3" s="1"/>
  <c r="K15" i="3"/>
  <c r="E15" i="3" s="1"/>
  <c r="B35" i="3"/>
  <c r="I25" i="3" s="1"/>
  <c r="B25" i="3" s="1"/>
  <c r="C35" i="3"/>
  <c r="F25" i="3" s="1"/>
  <c r="D35" i="3"/>
  <c r="J25" i="3" s="1"/>
  <c r="D25" i="3" s="1"/>
  <c r="E35" i="3"/>
  <c r="K25" i="3" s="1"/>
  <c r="E25" i="3" s="1"/>
  <c r="B36" i="3"/>
  <c r="C36" i="3"/>
  <c r="D36" i="3"/>
  <c r="E36" i="3"/>
  <c r="B37" i="3"/>
  <c r="C37" i="3"/>
  <c r="D37" i="3"/>
  <c r="E37" i="3"/>
  <c r="B38" i="3"/>
  <c r="C38" i="3"/>
  <c r="D38" i="3"/>
  <c r="E38" i="3"/>
  <c r="F60" i="3"/>
  <c r="F35" i="3" s="1"/>
  <c r="F61" i="3"/>
  <c r="F36" i="3" s="1"/>
  <c r="F62" i="3"/>
  <c r="F37" i="3" s="1"/>
  <c r="F63" i="3"/>
  <c r="F38" i="3" s="1"/>
  <c r="F59" i="3"/>
  <c r="F34" i="3" s="1"/>
  <c r="B60" i="3"/>
  <c r="C60" i="3"/>
  <c r="D60" i="3"/>
  <c r="E60" i="3"/>
  <c r="B61" i="3"/>
  <c r="C61" i="3"/>
  <c r="D61" i="3"/>
  <c r="E61" i="3"/>
  <c r="B62" i="3"/>
  <c r="C62" i="3"/>
  <c r="D62" i="3"/>
  <c r="E62" i="3"/>
  <c r="B63" i="3"/>
  <c r="C63" i="3"/>
  <c r="D63" i="3"/>
  <c r="E63" i="3"/>
  <c r="H25" i="4"/>
  <c r="H24" i="4"/>
  <c r="H23" i="4"/>
  <c r="H22" i="4"/>
  <c r="H21" i="4"/>
  <c r="F15" i="3" l="1"/>
  <c r="H29" i="4"/>
  <c r="B59" i="3"/>
  <c r="C59" i="3"/>
  <c r="D59" i="3"/>
  <c r="E59" i="3"/>
  <c r="B34" i="3"/>
  <c r="C34" i="3"/>
  <c r="F24" i="3" s="1"/>
  <c r="D34" i="3"/>
  <c r="J14" i="3" s="1"/>
  <c r="D14" i="3" s="1"/>
  <c r="E34" i="3"/>
  <c r="K14" i="3" s="1"/>
  <c r="E14" i="3" s="1"/>
  <c r="H30" i="4" l="1"/>
  <c r="I24" i="3"/>
  <c r="F14" i="3"/>
  <c r="K24" i="3"/>
  <c r="E24" i="3" s="1"/>
  <c r="J24" i="3"/>
  <c r="D24" i="3" s="1"/>
  <c r="B24" i="3" l="1"/>
  <c r="I14" i="3"/>
  <c r="B14" i="3" s="1"/>
  <c r="H31" i="4"/>
  <c r="N5" i="3" l="1"/>
  <c r="M5" i="3" l="1"/>
  <c r="L5" i="3"/>
  <c r="K5" i="3"/>
  <c r="C52" i="3" l="1"/>
  <c r="C7" i="3"/>
  <c r="D50" i="3"/>
  <c r="D5" i="3"/>
  <c r="D52" i="3"/>
  <c r="D7" i="3"/>
  <c r="D49" i="3"/>
  <c r="D4" i="3"/>
</calcChain>
</file>

<file path=xl/sharedStrings.xml><?xml version="1.0" encoding="utf-8"?>
<sst xmlns="http://schemas.openxmlformats.org/spreadsheetml/2006/main" count="261" uniqueCount="150">
  <si>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</si>
  <si>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</si>
  <si>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</si>
  <si>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</si>
  <si>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</si>
  <si>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</si>
  <si>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</si>
  <si>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</si>
  <si>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</si>
  <si>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</si>
  <si>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</si>
  <si>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</si>
  <si>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</si>
  <si>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</si>
  <si>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</si>
  <si>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</si>
  <si>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</si>
  <si>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</si>
  <si>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</si>
  <si>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</si>
  <si>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</si>
  <si>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</si>
  <si>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</si>
  <si>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</si>
  <si>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</si>
  <si>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</si>
  <si>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</si>
  <si>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</si>
  <si>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</si>
  <si>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</si>
  <si>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</si>
  <si>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</si>
  <si>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</si>
  <si>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</si>
  <si>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</si>
  <si>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</si>
  <si>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</si>
  <si>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</si>
  <si>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</si>
  <si>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</si>
  <si>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</si>
  <si>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</si>
  <si>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</si>
  <si>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</si>
  <si>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</si>
  <si>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</si>
  <si>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</si>
  <si>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</si>
  <si>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</si>
  <si>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</si>
  <si>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</si>
  <si>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</si>
  <si>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</si>
  <si>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</si>
  <si>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</si>
  <si>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</si>
  <si>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</si>
  <si>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</si>
  <si>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</si>
  <si>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</si>
  <si>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</si>
  <si>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</si>
  <si>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</si>
  <si>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</si>
  <si>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</si>
  <si>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</si>
  <si>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</si>
  <si>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</si>
  <si>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</si>
  <si>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</si>
  <si>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</si>
  <si>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</si>
  <si>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</si>
  <si>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</si>
  <si>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</si>
  <si>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</si>
  <si>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</si>
  <si>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</si>
  <si>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</si>
  <si>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</si>
  <si>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</si>
  <si>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</si>
  <si>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</si>
  <si>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</si>
  <si>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</si>
  <si>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</si>
  <si>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</si>
  <si>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</si>
  <si>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</si>
  <si>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</si>
  <si>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</si>
  <si>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</si>
  <si>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</si>
  <si>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</si>
  <si>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</si>
  <si>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</si>
  <si>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</si>
  <si>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</si>
  <si>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</si>
  <si>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</si>
  <si>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</si>
  <si>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</si>
  <si>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</si>
  <si>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</si>
  <si>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</si>
  <si>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</si>
  <si>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</si>
  <si>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</si>
  <si>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</si>
  <si>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</si>
  <si>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</si>
  <si>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</si>
  <si>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</si>
  <si>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</si>
  <si>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</si>
  <si>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</si>
  <si>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</si>
  <si>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</si>
  <si>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</si>
  <si>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</si>
  <si>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</si>
  <si>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</si>
  <si>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</si>
  <si>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</si>
  <si>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</si>
  <si>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</si>
  <si>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</si>
  <si>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</si>
  <si>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</si>
  <si>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</si>
  <si>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</si>
  <si>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</si>
  <si>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</si>
  <si>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</si>
  <si>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</si>
  <si>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</si>
  <si>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</si>
  <si>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N° 10956</t>
  </si>
  <si>
    <t>ORBEC SPA</t>
  </si>
  <si>
    <t>77.340.004-0</t>
  </si>
  <si>
    <t>ANGELO SARTORI</t>
  </si>
  <si>
    <t>569 9783 3240</t>
  </si>
  <si>
    <t>NO</t>
  </si>
  <si>
    <t>BLANCO 2114 OPACO</t>
  </si>
  <si>
    <t>CENEFA 1V R6 (RESPALDO)</t>
  </si>
  <si>
    <t>CUB S/R R6</t>
  </si>
  <si>
    <t>SON 27 DE 2200X40</t>
  </si>
  <si>
    <t>SON 27 DE 1570X40 + 27 DE 500X40</t>
  </si>
  <si>
    <t>SERVICIOS DE INGENERIA</t>
  </si>
  <si>
    <t>BROWN NORTE 100, ÑUÑOA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</si>
</sst>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28</xdr:row>
      <xdr:rowOff>9525</xdr:rowOff>
    </xdr:from>
    <xdr:to>
      <xdr:col>5</xdr:col>
      <xdr:colOff>1390650</xdr:colOff>
      <xdr:row>32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ABOBO 35%, FA CTURA 1259 ANTICPO DE $ 4.239.553.- IVA INCLUIDO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53</xdr:row>
      <xdr:rowOff>171450</xdr:rowOff>
    </xdr:from>
    <xdr:to>
      <xdr:col>5</xdr:col>
      <xdr:colOff>1685924</xdr:colOff>
      <xdr:row>55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38100</xdr:rowOff>
    </xdr:from>
    <xdr:to>
      <xdr:col>6</xdr:col>
      <xdr:colOff>0</xdr:colOff>
      <xdr:row>50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64</xdr:row>
      <xdr:rowOff>0</xdr:rowOff>
    </xdr:from>
    <xdr:to>
      <xdr:col>2</xdr:col>
      <xdr:colOff>1019175</xdr:colOff>
      <xdr:row>64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0</xdr:rowOff>
    </xdr:from>
    <xdr:to>
      <xdr:col>3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0</xdr:rowOff>
    </xdr:from>
    <xdr:to>
      <xdr:col>4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0</xdr:rowOff>
    </xdr:from>
    <xdr:to>
      <xdr:col>5</xdr:col>
      <xdr:colOff>447675</xdr:colOff>
      <xdr:row>64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0</xdr:rowOff>
    </xdr:from>
    <xdr:to>
      <xdr:col>6</xdr:col>
      <xdr:colOff>0</xdr:colOff>
      <xdr:row>64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64</xdr:row>
      <xdr:rowOff>190500</xdr:rowOff>
    </xdr:from>
    <xdr:to>
      <xdr:col>2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64</xdr:row>
      <xdr:rowOff>190500</xdr:rowOff>
    </xdr:from>
    <xdr:to>
      <xdr:col>2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190500</xdr:rowOff>
    </xdr:from>
    <xdr:to>
      <xdr:col>3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190500</xdr:rowOff>
    </xdr:from>
    <xdr:to>
      <xdr:col>4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190500</xdr:rowOff>
    </xdr:from>
    <xdr:to>
      <xdr:col>5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190500</xdr:rowOff>
    </xdr:from>
    <xdr:to>
      <xdr:col>6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40</xdr:row>
      <xdr:rowOff>15239</xdr:rowOff>
    </xdr:from>
    <xdr:to>
      <xdr:col>6</xdr:col>
      <xdr:colOff>68580</xdr:colOff>
      <xdr:row>44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RESPALDO (CENEFAS) A 40MM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LARGO SEGUN DETALLE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67</xdr:row>
      <xdr:rowOff>32385</xdr:rowOff>
    </xdr:from>
    <xdr:to>
      <xdr:col>6</xdr:col>
      <xdr:colOff>19050</xdr:colOff>
      <xdr:row>71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RESPALDO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40MM SEGUN DETALLE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45</xdr:row>
      <xdr:rowOff>194310</xdr:rowOff>
    </xdr:from>
    <xdr:to>
      <xdr:col>2</xdr:col>
      <xdr:colOff>100723</xdr:colOff>
      <xdr:row>52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abSelected="1" topLeftCell="A12" workbookViewId="0">
      <selection activeCell="J27" sqref="J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8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7083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138</v>
      </c>
      <c r="D10" s="55"/>
      <c r="E10" s="55"/>
      <c r="F10" s="56" t="s">
        <v>28</v>
      </c>
      <c r="G10" s="57">
        <v>45448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139</v>
      </c>
      <c r="D11" s="60"/>
      <c r="E11" s="60"/>
      <c r="F11" s="60" t="s">
        <v>124</v>
      </c>
      <c r="G11" s="61">
        <v>45457</v>
      </c>
      <c r="H11" s="62"/>
      <c r="I11" s="1"/>
    </row>
    <row r="12" spans="1:17" ht="15.6" x14ac:dyDescent="0.3">
      <c r="A12" s="1"/>
      <c r="B12" s="63" t="s">
        <v>133</v>
      </c>
      <c r="C12" t="s">
        <v>148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105" t="s">
        <v>140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6" t="s">
        <v>141</v>
      </c>
      <c r="D14" s="66"/>
      <c r="E14" s="60"/>
      <c r="F14" s="60" t="s">
        <v>29</v>
      </c>
      <c r="G14" s="60" t="s">
        <v>142</v>
      </c>
      <c r="H14" s="62"/>
      <c r="I14" s="1"/>
    </row>
    <row r="15" spans="1:17" ht="15.6" x14ac:dyDescent="0.3">
      <c r="A15" s="1"/>
      <c r="B15" s="63" t="s">
        <v>1</v>
      </c>
      <c r="C15" t="s">
        <v>149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7">
        <v>27</v>
      </c>
      <c r="C21" s="108" t="s">
        <v>145</v>
      </c>
      <c r="D21" s="111">
        <v>2200</v>
      </c>
      <c r="E21" s="111">
        <v>600</v>
      </c>
      <c r="F21" s="108" t="s">
        <v>143</v>
      </c>
      <c r="G21" s="109">
        <v>65084</v>
      </c>
      <c r="H21" s="110">
        <f>G21*B21</f>
        <v>1757268</v>
      </c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7">
        <v>27</v>
      </c>
      <c r="C22" s="108" t="s">
        <v>145</v>
      </c>
      <c r="D22" s="111">
        <v>1570</v>
      </c>
      <c r="E22" s="111">
        <v>500</v>
      </c>
      <c r="F22" s="108" t="s">
        <v>143</v>
      </c>
      <c r="G22" s="109">
        <v>39850</v>
      </c>
      <c r="H22" s="110">
        <f>G22*B22</f>
        <v>1075950</v>
      </c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7">
        <v>27</v>
      </c>
      <c r="C23" s="108" t="s">
        <v>144</v>
      </c>
      <c r="D23" s="111">
        <v>2200</v>
      </c>
      <c r="E23" s="111">
        <v>40</v>
      </c>
      <c r="F23" s="108" t="s">
        <v>143</v>
      </c>
      <c r="G23" s="109">
        <v>6206</v>
      </c>
      <c r="H23" s="110">
        <f>G23*B23</f>
        <v>167562</v>
      </c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7">
        <v>27</v>
      </c>
      <c r="C24" s="108" t="s">
        <v>144</v>
      </c>
      <c r="D24" s="111">
        <v>1570</v>
      </c>
      <c r="E24" s="111">
        <v>40</v>
      </c>
      <c r="F24" s="108" t="s">
        <v>143</v>
      </c>
      <c r="G24" s="109">
        <v>5028</v>
      </c>
      <c r="H24" s="110">
        <f>G24*B24</f>
        <v>135756</v>
      </c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7">
        <v>27</v>
      </c>
      <c r="C25" s="108" t="s">
        <v>144</v>
      </c>
      <c r="D25" s="111">
        <v>500</v>
      </c>
      <c r="E25" s="111">
        <v>40</v>
      </c>
      <c r="F25" s="108" t="s">
        <v>143</v>
      </c>
      <c r="G25" s="109">
        <v>3028</v>
      </c>
      <c r="H25" s="110">
        <f>G25*B25</f>
        <v>81756</v>
      </c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8"/>
      <c r="D26" s="104"/>
      <c r="E26" s="104"/>
      <c r="F26" s="97"/>
      <c r="G26" s="75"/>
      <c r="H26" s="99"/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97"/>
      <c r="C27" s="97"/>
      <c r="D27" s="97"/>
      <c r="E27" s="97"/>
      <c r="F27" s="98"/>
      <c r="G27" s="99"/>
      <c r="H27" s="99"/>
      <c r="I27" s="1"/>
      <c r="K27" s="17"/>
      <c r="L27" s="26"/>
      <c r="M27" s="17"/>
      <c r="N27" s="17"/>
      <c r="O27" s="26"/>
      <c r="P27" s="33"/>
    </row>
    <row r="28" spans="1:16" ht="8.25" customHeight="1" thickBot="1" x14ac:dyDescent="0.35">
      <c r="A28" s="1"/>
      <c r="B28" s="74"/>
      <c r="C28" s="74"/>
      <c r="D28" s="74"/>
      <c r="E28" s="74"/>
      <c r="F28" s="74"/>
      <c r="G28" s="75"/>
      <c r="H28" s="75"/>
      <c r="I28" s="1"/>
    </row>
    <row r="29" spans="1:16" ht="15.6" x14ac:dyDescent="0.3">
      <c r="A29" s="1"/>
      <c r="B29" s="1"/>
      <c r="C29" s="1"/>
      <c r="D29" s="1"/>
      <c r="E29" s="1"/>
      <c r="F29" s="1"/>
      <c r="G29" s="76" t="s">
        <v>5</v>
      </c>
      <c r="H29" s="77">
        <f>SUM(H21:H28)</f>
        <v>3218292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78" t="s">
        <v>6</v>
      </c>
      <c r="H30" s="79">
        <f>H29*19%</f>
        <v>611475.48</v>
      </c>
      <c r="I30" s="1"/>
    </row>
    <row r="31" spans="1:16" ht="16.2" thickBot="1" x14ac:dyDescent="0.35">
      <c r="A31" s="1"/>
      <c r="B31" s="1"/>
      <c r="C31" s="1"/>
      <c r="D31" s="1"/>
      <c r="E31" s="1"/>
      <c r="F31" s="1"/>
      <c r="G31" s="80" t="s">
        <v>4</v>
      </c>
      <c r="H31" s="81">
        <f>H29+H30</f>
        <v>3829767.48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52"/>
      <c r="H32" s="100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82" t="s">
        <v>123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82" t="s">
        <v>122</v>
      </c>
      <c r="C35" s="83"/>
      <c r="D35" s="84"/>
      <c r="E35" s="84"/>
      <c r="F35" s="74"/>
      <c r="G35" s="1"/>
      <c r="H35" s="1"/>
      <c r="I35" s="1"/>
    </row>
    <row r="36" spans="1:9" ht="15.6" x14ac:dyDescent="0.3">
      <c r="A36" s="1"/>
      <c r="B36" s="1" t="s">
        <v>25</v>
      </c>
      <c r="C36" s="1"/>
      <c r="D36" s="1"/>
      <c r="E36" s="85" t="s">
        <v>26</v>
      </c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</sheetData>
  <sortState xmlns:xlrd2="http://schemas.microsoft.com/office/spreadsheetml/2017/richdata2" ref="B40">
    <sortCondition sortBy="fontColor" ref="B40" dxfId="0"/>
  </sortState>
  <mergeCells count="2">
    <mergeCell ref="F16:H16"/>
    <mergeCell ref="B19:H19"/>
  </mergeCells>
  <phoneticPr fontId="10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5"/>
  <sheetViews>
    <sheetView zoomScaleNormal="100" workbookViewId="0">
      <selection sqref="A1:F4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7083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ORBEC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45457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27</v>
      </c>
      <c r="C14" s="25"/>
      <c r="D14" s="25">
        <f>J14+D$13</f>
        <v>2250</v>
      </c>
      <c r="E14" s="35">
        <f>K14+E$13</f>
        <v>600</v>
      </c>
      <c r="F14" s="102" t="str">
        <f>C34</f>
        <v>CUB S/R R6</v>
      </c>
      <c r="G14" s="1"/>
      <c r="I14" s="3">
        <f>I24</f>
        <v>27</v>
      </c>
      <c r="J14" s="4">
        <f t="shared" ref="J14:K14" si="1">D34</f>
        <v>2200</v>
      </c>
      <c r="K14" s="4">
        <f t="shared" si="1"/>
        <v>600</v>
      </c>
    </row>
    <row r="15" spans="1:14" ht="15.6" x14ac:dyDescent="0.3">
      <c r="A15" s="96"/>
      <c r="B15" s="25">
        <f t="shared" ref="B15" si="2">I15</f>
        <v>27</v>
      </c>
      <c r="C15" s="25"/>
      <c r="D15" s="25">
        <f>J15+D$13</f>
        <v>1620</v>
      </c>
      <c r="E15" s="35">
        <f>K15+E$13</f>
        <v>500</v>
      </c>
      <c r="F15" s="102" t="str">
        <f>C35</f>
        <v>CUB S/R R6</v>
      </c>
      <c r="G15" s="1"/>
      <c r="I15" s="3">
        <f>I25</f>
        <v>27</v>
      </c>
      <c r="J15" s="4">
        <f t="shared" ref="J15" si="3">D35</f>
        <v>1570</v>
      </c>
      <c r="K15" s="4">
        <f t="shared" ref="K15" si="4">E35</f>
        <v>500</v>
      </c>
    </row>
    <row r="16" spans="1:14" ht="15.6" x14ac:dyDescent="0.3">
      <c r="A16" s="96"/>
      <c r="B16" s="25">
        <v>14</v>
      </c>
      <c r="C16" s="16" t="s">
        <v>146</v>
      </c>
      <c r="D16" s="25">
        <v>2250</v>
      </c>
      <c r="E16" s="35">
        <v>100</v>
      </c>
      <c r="F16" s="102" t="str">
        <f t="shared" ref="F16:F17" si="5">C36</f>
        <v>CENEFA 1V R6 (RESPALDO)</v>
      </c>
      <c r="G16" s="1"/>
      <c r="I16" s="3">
        <f t="shared" ref="I16:I17" si="6">I26</f>
        <v>27</v>
      </c>
      <c r="J16" s="4">
        <f t="shared" ref="J16:J17" si="7">D36</f>
        <v>2200</v>
      </c>
      <c r="K16" s="4">
        <f t="shared" ref="K16:K17" si="8">E36</f>
        <v>40</v>
      </c>
    </row>
    <row r="17" spans="1:11" ht="15.6" x14ac:dyDescent="0.3">
      <c r="A17" s="96"/>
      <c r="B17" s="25">
        <v>13</v>
      </c>
      <c r="C17" s="16" t="s">
        <v>147</v>
      </c>
      <c r="D17" s="25">
        <v>2120</v>
      </c>
      <c r="E17" s="35">
        <v>100</v>
      </c>
      <c r="F17" s="102" t="str">
        <f t="shared" si="5"/>
        <v>CENEFA 1V R6 (RESPALDO)</v>
      </c>
      <c r="G17" s="1"/>
      <c r="I17" s="3">
        <f t="shared" si="6"/>
        <v>27</v>
      </c>
      <c r="J17" s="4">
        <f t="shared" si="7"/>
        <v>1570</v>
      </c>
      <c r="K17" s="4">
        <f t="shared" si="8"/>
        <v>40</v>
      </c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1" t="s">
        <v>14</v>
      </c>
      <c r="B20" s="121"/>
      <c r="C20" s="121"/>
      <c r="D20" s="121"/>
      <c r="E20" s="121"/>
      <c r="F20" s="121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60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 t="s">
        <v>131</v>
      </c>
      <c r="B24" s="16">
        <f t="shared" ref="B24" si="9">I24</f>
        <v>27</v>
      </c>
      <c r="C24" s="16"/>
      <c r="D24" s="16">
        <f>J24+D$23</f>
        <v>2240</v>
      </c>
      <c r="E24" s="16">
        <f>K24+E$23</f>
        <v>660</v>
      </c>
      <c r="F24" s="103" t="str">
        <f>C34</f>
        <v>CUB S/R R6</v>
      </c>
      <c r="G24" s="1"/>
      <c r="I24" s="3">
        <f>B34</f>
        <v>27</v>
      </c>
      <c r="J24" s="4">
        <f>D34</f>
        <v>2200</v>
      </c>
      <c r="K24" s="4">
        <f>E34</f>
        <v>600</v>
      </c>
    </row>
    <row r="25" spans="1:11" ht="15.6" x14ac:dyDescent="0.3">
      <c r="A25" s="96"/>
      <c r="B25" s="16">
        <f t="shared" ref="B25" si="10">I25</f>
        <v>27</v>
      </c>
      <c r="C25" s="16"/>
      <c r="D25" s="16">
        <f>J25+D$23</f>
        <v>1610</v>
      </c>
      <c r="E25" s="16">
        <f>K25+E$23</f>
        <v>560</v>
      </c>
      <c r="F25" s="103" t="str">
        <f>C35</f>
        <v>CUB S/R R6</v>
      </c>
      <c r="G25" s="1"/>
      <c r="I25" s="3">
        <f>B35</f>
        <v>27</v>
      </c>
      <c r="J25" s="4">
        <f>D35</f>
        <v>1570</v>
      </c>
      <c r="K25" s="4">
        <f>E35</f>
        <v>500</v>
      </c>
    </row>
    <row r="26" spans="1:11" ht="15.6" x14ac:dyDescent="0.3">
      <c r="A26" s="96"/>
      <c r="B26" s="16">
        <v>14</v>
      </c>
      <c r="C26" s="16" t="s">
        <v>146</v>
      </c>
      <c r="D26" s="16">
        <f t="shared" ref="D26" si="11">J26+D$23</f>
        <v>2240</v>
      </c>
      <c r="E26" s="16">
        <v>180</v>
      </c>
      <c r="F26" s="103" t="str">
        <f t="shared" ref="F26:F27" si="12">C36</f>
        <v>CENEFA 1V R6 (RESPALDO)</v>
      </c>
      <c r="G26" s="1"/>
      <c r="I26" s="3">
        <f t="shared" ref="I26:I28" si="13">B36</f>
        <v>27</v>
      </c>
      <c r="J26" s="4">
        <f t="shared" ref="J26:K26" si="14">D36</f>
        <v>2200</v>
      </c>
      <c r="K26" s="4">
        <f t="shared" si="14"/>
        <v>40</v>
      </c>
    </row>
    <row r="27" spans="1:11" ht="15.6" x14ac:dyDescent="0.3">
      <c r="A27" s="96"/>
      <c r="B27" s="16">
        <v>13</v>
      </c>
      <c r="C27" s="16" t="s">
        <v>147</v>
      </c>
      <c r="D27" s="16">
        <v>2130</v>
      </c>
      <c r="E27" s="16">
        <v>180</v>
      </c>
      <c r="F27" s="103" t="str">
        <f t="shared" si="12"/>
        <v>CENEFA 1V R6 (RESPALDO)</v>
      </c>
      <c r="G27" s="1"/>
      <c r="I27" s="3">
        <f t="shared" si="13"/>
        <v>27</v>
      </c>
      <c r="J27" s="4">
        <f t="shared" ref="J27:K27" si="15">D37</f>
        <v>1570</v>
      </c>
      <c r="K27" s="4">
        <f t="shared" si="15"/>
        <v>40</v>
      </c>
    </row>
    <row r="28" spans="1:11" ht="15.6" x14ac:dyDescent="0.3">
      <c r="A28" s="96"/>
      <c r="B28" s="6"/>
      <c r="C28" s="6"/>
      <c r="D28" s="6"/>
      <c r="E28" s="6"/>
      <c r="F28" s="112"/>
      <c r="G28" s="1"/>
      <c r="I28" s="3">
        <f t="shared" si="13"/>
        <v>27</v>
      </c>
      <c r="J28" s="4">
        <f t="shared" ref="J28:K28" si="16">D38</f>
        <v>500</v>
      </c>
      <c r="K28" s="4">
        <f t="shared" si="16"/>
        <v>40</v>
      </c>
    </row>
    <row r="29" spans="1:11" ht="15.6" x14ac:dyDescent="0.3">
      <c r="A29" s="96"/>
      <c r="B29" s="6"/>
      <c r="C29" s="6"/>
      <c r="D29" s="6"/>
      <c r="E29" s="6"/>
      <c r="F29" s="6"/>
      <c r="G29" s="1"/>
      <c r="I29" s="90"/>
      <c r="J29" s="2"/>
      <c r="K29" s="2"/>
    </row>
    <row r="30" spans="1:11" ht="16.2" thickBot="1" x14ac:dyDescent="0.35">
      <c r="A30" s="52"/>
      <c r="B30" s="6"/>
      <c r="C30" s="6"/>
      <c r="D30" s="6"/>
      <c r="E30" s="6"/>
      <c r="F30" s="6"/>
      <c r="G30" s="1"/>
      <c r="I30" s="2"/>
      <c r="J30" s="2"/>
      <c r="K30" s="2"/>
    </row>
    <row r="31" spans="1:11" ht="16.2" thickBot="1" x14ac:dyDescent="0.35">
      <c r="A31" s="52"/>
      <c r="B31" s="22" t="s">
        <v>107</v>
      </c>
      <c r="C31" s="23"/>
      <c r="D31" s="23"/>
      <c r="E31" s="23"/>
      <c r="F31" s="24"/>
      <c r="G31" s="1"/>
      <c r="I31" s="2"/>
      <c r="J31" s="2"/>
      <c r="K31" s="2"/>
    </row>
    <row r="32" spans="1:11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52" t="s">
        <v>9</v>
      </c>
      <c r="B33" s="88" t="s">
        <v>10</v>
      </c>
      <c r="C33" s="88" t="s">
        <v>110</v>
      </c>
      <c r="D33" s="88" t="s">
        <v>7</v>
      </c>
      <c r="E33" s="88" t="s">
        <v>8</v>
      </c>
      <c r="F33" s="88" t="s">
        <v>23</v>
      </c>
      <c r="G33" s="1"/>
    </row>
    <row r="34" spans="1:7" ht="15.6" x14ac:dyDescent="0.3">
      <c r="A34" s="96" t="s">
        <v>136</v>
      </c>
      <c r="B34" s="25">
        <f>'4637'!B21</f>
        <v>27</v>
      </c>
      <c r="C34" s="102" t="str">
        <f>'4637'!C21</f>
        <v>CUB S/R R6</v>
      </c>
      <c r="D34" s="25">
        <f>'4637'!D21</f>
        <v>2200</v>
      </c>
      <c r="E34" s="25">
        <f>'4637'!E21</f>
        <v>600</v>
      </c>
      <c r="F34" s="25" t="str">
        <f>F59</f>
        <v>BLANCO 2114 OPACO</v>
      </c>
      <c r="G34" s="1"/>
    </row>
    <row r="35" spans="1:7" ht="15.6" x14ac:dyDescent="0.3">
      <c r="A35" s="96"/>
      <c r="B35" s="25">
        <f>'4637'!B22</f>
        <v>27</v>
      </c>
      <c r="C35" s="102" t="str">
        <f>'4637'!C22</f>
        <v>CUB S/R R6</v>
      </c>
      <c r="D35" s="25">
        <f>'4637'!D22</f>
        <v>1570</v>
      </c>
      <c r="E35" s="25">
        <f>'4637'!E22</f>
        <v>500</v>
      </c>
      <c r="F35" s="25" t="str">
        <f t="shared" ref="F35:F38" si="17">F60</f>
        <v>BLANCO 2114 OPACO</v>
      </c>
      <c r="G35" s="1"/>
    </row>
    <row r="36" spans="1:7" ht="15.6" x14ac:dyDescent="0.3">
      <c r="A36" s="96"/>
      <c r="B36" s="25">
        <f>'4637'!B23</f>
        <v>27</v>
      </c>
      <c r="C36" s="102" t="str">
        <f>'4637'!C23</f>
        <v>CENEFA 1V R6 (RESPALDO)</v>
      </c>
      <c r="D36" s="25">
        <f>'4637'!D23</f>
        <v>2200</v>
      </c>
      <c r="E36" s="25">
        <f>'4637'!E23</f>
        <v>40</v>
      </c>
      <c r="F36" s="25" t="str">
        <f t="shared" si="17"/>
        <v>BLANCO 2114 OPACO</v>
      </c>
      <c r="G36" s="1"/>
    </row>
    <row r="37" spans="1:7" ht="15.6" x14ac:dyDescent="0.3">
      <c r="A37" s="96"/>
      <c r="B37" s="25">
        <f>'4637'!B24</f>
        <v>27</v>
      </c>
      <c r="C37" s="102" t="str">
        <f>'4637'!C24</f>
        <v>CENEFA 1V R6 (RESPALDO)</v>
      </c>
      <c r="D37" s="25">
        <f>'4637'!D24</f>
        <v>1570</v>
      </c>
      <c r="E37" s="25">
        <f>'4637'!E24</f>
        <v>40</v>
      </c>
      <c r="F37" s="25" t="str">
        <f t="shared" si="17"/>
        <v>BLANCO 2114 OPACO</v>
      </c>
      <c r="G37" s="1"/>
    </row>
    <row r="38" spans="1:7" ht="15.6" x14ac:dyDescent="0.3">
      <c r="A38" s="96"/>
      <c r="B38" s="25">
        <f>'4637'!B25</f>
        <v>27</v>
      </c>
      <c r="C38" s="102" t="str">
        <f>'4637'!C25</f>
        <v>CENEFA 1V R6 (RESPALDO)</v>
      </c>
      <c r="D38" s="25">
        <f>'4637'!D25</f>
        <v>500</v>
      </c>
      <c r="E38" s="25">
        <f>'4637'!E25</f>
        <v>40</v>
      </c>
      <c r="F38" s="25" t="str">
        <f t="shared" si="17"/>
        <v>BLANCO 2114 OPACO</v>
      </c>
      <c r="G38" s="1"/>
    </row>
    <row r="39" spans="1:7" ht="15.6" x14ac:dyDescent="0.3">
      <c r="A39" s="52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40" t="s">
        <v>27</v>
      </c>
      <c r="D49" s="14">
        <f>'4637'!G8</f>
        <v>7083</v>
      </c>
      <c r="E49" s="1"/>
      <c r="F49" s="1"/>
      <c r="G49" s="1"/>
    </row>
    <row r="50" spans="1:7" ht="17.25" customHeight="1" x14ac:dyDescent="0.3">
      <c r="A50" s="1"/>
      <c r="B50" s="1"/>
      <c r="C50" s="41" t="s">
        <v>67</v>
      </c>
      <c r="D50" s="42" t="str">
        <f>'4637'!C10</f>
        <v>ORBEC SPA</v>
      </c>
      <c r="E50" s="43"/>
      <c r="F50" s="43"/>
      <c r="G50" s="1"/>
    </row>
    <row r="51" spans="1:7" ht="4.5" customHeight="1" x14ac:dyDescent="0.3">
      <c r="A51" s="1"/>
      <c r="B51" s="1"/>
      <c r="C51" s="44"/>
      <c r="D51" s="45"/>
      <c r="E51" s="1"/>
      <c r="F51" s="1"/>
      <c r="G51" s="1"/>
    </row>
    <row r="52" spans="1:7" ht="15.6" x14ac:dyDescent="0.3">
      <c r="A52" s="1"/>
      <c r="B52" s="1"/>
      <c r="C52" s="46" t="str">
        <f>'4637'!F11</f>
        <v>FECHA LIMITE :</v>
      </c>
      <c r="D52" s="13">
        <f>'4637'!G11</f>
        <v>45457</v>
      </c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21" t="s">
        <v>68</v>
      </c>
      <c r="B55" s="121"/>
      <c r="C55" s="121"/>
      <c r="D55" s="121"/>
      <c r="E55" s="121"/>
      <c r="F55" s="12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75" customHeight="1" x14ac:dyDescent="0.3">
      <c r="A57" s="1"/>
      <c r="B57" s="122" t="s">
        <v>69</v>
      </c>
      <c r="C57" s="123"/>
      <c r="D57" s="124"/>
      <c r="E57" s="124"/>
      <c r="F57" s="125"/>
      <c r="G57" s="1"/>
    </row>
    <row r="58" spans="1:7" s="15" customFormat="1" ht="12.75" customHeight="1" x14ac:dyDescent="0.3">
      <c r="A58" s="1"/>
      <c r="B58" s="36" t="s">
        <v>10</v>
      </c>
      <c r="C58" s="47" t="s">
        <v>11</v>
      </c>
      <c r="D58" s="48" t="s">
        <v>7</v>
      </c>
      <c r="E58" s="48" t="s">
        <v>8</v>
      </c>
      <c r="F58" s="49" t="s">
        <v>12</v>
      </c>
      <c r="G58" s="1"/>
    </row>
    <row r="59" spans="1:7" s="15" customFormat="1" ht="15" customHeight="1" x14ac:dyDescent="0.3">
      <c r="A59" s="96"/>
      <c r="B59" s="38">
        <f>'4637'!B21</f>
        <v>27</v>
      </c>
      <c r="C59" s="101" t="str">
        <f>'4637'!C21</f>
        <v>CUB S/R R6</v>
      </c>
      <c r="D59" s="39">
        <f>'4637'!D21</f>
        <v>2200</v>
      </c>
      <c r="E59" s="39">
        <f>'4637'!E21</f>
        <v>600</v>
      </c>
      <c r="F59" s="38" t="str">
        <f>'4637'!F21</f>
        <v>BLANCO 2114 OPACO</v>
      </c>
      <c r="G59" s="1"/>
    </row>
    <row r="60" spans="1:7" s="15" customFormat="1" ht="15" customHeight="1" x14ac:dyDescent="0.3">
      <c r="A60" s="96"/>
      <c r="B60" s="38">
        <f>'4637'!B22</f>
        <v>27</v>
      </c>
      <c r="C60" s="101" t="str">
        <f>'4637'!C22</f>
        <v>CUB S/R R6</v>
      </c>
      <c r="D60" s="39">
        <f>'4637'!D22</f>
        <v>1570</v>
      </c>
      <c r="E60" s="39">
        <f>'4637'!E22</f>
        <v>500</v>
      </c>
      <c r="F60" s="38" t="str">
        <f>'4637'!F22</f>
        <v>BLANCO 2114 OPACO</v>
      </c>
      <c r="G60" s="1"/>
    </row>
    <row r="61" spans="1:7" s="15" customFormat="1" ht="15" customHeight="1" x14ac:dyDescent="0.3">
      <c r="A61" s="96"/>
      <c r="B61" s="38">
        <f>'4637'!B23</f>
        <v>27</v>
      </c>
      <c r="C61" s="101" t="str">
        <f>'4637'!C23</f>
        <v>CENEFA 1V R6 (RESPALDO)</v>
      </c>
      <c r="D61" s="39">
        <f>'4637'!D23</f>
        <v>2200</v>
      </c>
      <c r="E61" s="39">
        <f>'4637'!E23</f>
        <v>40</v>
      </c>
      <c r="F61" s="38" t="str">
        <f>'4637'!F23</f>
        <v>BLANCO 2114 OPACO</v>
      </c>
      <c r="G61" s="1"/>
    </row>
    <row r="62" spans="1:7" s="15" customFormat="1" ht="15" customHeight="1" x14ac:dyDescent="0.3">
      <c r="A62" s="96"/>
      <c r="B62" s="38">
        <f>'4637'!B24</f>
        <v>27</v>
      </c>
      <c r="C62" s="101" t="str">
        <f>'4637'!C24</f>
        <v>CENEFA 1V R6 (RESPALDO)</v>
      </c>
      <c r="D62" s="39">
        <f>'4637'!D24</f>
        <v>1570</v>
      </c>
      <c r="E62" s="39">
        <f>'4637'!E24</f>
        <v>40</v>
      </c>
      <c r="F62" s="38" t="str">
        <f>'4637'!F24</f>
        <v>BLANCO 2114 OPACO</v>
      </c>
      <c r="G62" s="1"/>
    </row>
    <row r="63" spans="1:7" s="15" customFormat="1" ht="15" customHeight="1" x14ac:dyDescent="0.3">
      <c r="A63" s="96"/>
      <c r="B63" s="38">
        <f>'4637'!B25</f>
        <v>27</v>
      </c>
      <c r="C63" s="101" t="str">
        <f>'4637'!C25</f>
        <v>CENEFA 1V R6 (RESPALDO)</v>
      </c>
      <c r="D63" s="39">
        <f>'4637'!D25</f>
        <v>500</v>
      </c>
      <c r="E63" s="39">
        <f>'4637'!E25</f>
        <v>40</v>
      </c>
      <c r="F63" s="38" t="str">
        <f>'4637'!F25</f>
        <v>BLANCO 2114 OPACO</v>
      </c>
      <c r="G63" s="1"/>
    </row>
    <row r="64" spans="1:7" s="15" customFormat="1" ht="15" customHeight="1" x14ac:dyDescent="0.3">
      <c r="A64" s="50"/>
      <c r="B64" s="52"/>
      <c r="C64" s="52"/>
      <c r="D64" s="52"/>
      <c r="E64" s="52"/>
      <c r="F64" s="52"/>
      <c r="G64" s="1"/>
    </row>
    <row r="65" spans="1:7" ht="15.6" x14ac:dyDescent="0.3">
      <c r="A65" s="6"/>
      <c r="B65" s="6"/>
      <c r="C65" s="1"/>
      <c r="D65" s="6"/>
      <c r="E65" s="6"/>
      <c r="F65" s="44"/>
      <c r="G65" s="1"/>
    </row>
    <row r="66" spans="1:7" ht="15.6" x14ac:dyDescent="0.3">
      <c r="A66" s="6"/>
      <c r="B66" s="6"/>
      <c r="C66" s="1"/>
      <c r="D66" s="6"/>
      <c r="E66" s="6"/>
      <c r="F66" s="6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" customHeight="1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6"/>
      <c r="B72" s="5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x14ac:dyDescent="0.3">
      <c r="B74" s="20"/>
      <c r="C74" s="20"/>
      <c r="D74" s="20"/>
      <c r="E74" s="20"/>
      <c r="F74" s="20"/>
    </row>
    <row r="75" spans="1:7" x14ac:dyDescent="0.3">
      <c r="B75" s="20"/>
      <c r="C75" s="20"/>
      <c r="E75" s="20"/>
      <c r="F75" s="20"/>
    </row>
  </sheetData>
  <mergeCells count="6">
    <mergeCell ref="M3:N3"/>
    <mergeCell ref="A20:F20"/>
    <mergeCell ref="A10:F10"/>
    <mergeCell ref="A55:F55"/>
    <mergeCell ref="B57:F5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2024-06-05T15:43:39Z</cp:lastPrinted>
  <dcterms:created xsi:type="dcterms:W3CDTF">2013-03-19T12:54:14Z</dcterms:created>
  <dcterms:modified xsi:type="dcterms:W3CDTF">2024-06-10T20:58:34Z</dcterms:modified>
</cp:coreProperties>
</file>