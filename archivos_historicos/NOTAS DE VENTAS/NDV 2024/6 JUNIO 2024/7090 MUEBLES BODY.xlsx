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6 JUNIO 2024\"/>
    </mc:Choice>
  </mc:AlternateContent>
  <xr:revisionPtr revIDLastSave="0" documentId="13_ncr:1_{BE8F18E7-A8FB-4663-BD8F-18B5557BD7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5770" sheetId="4" r:id="rId1"/>
    <sheet name="CUBIERTA" sheetId="3" r:id="rId2"/>
  </sheets>
  <externalReferences>
    <externalReference r:id="rId3"/>
  </externalReferences>
  <definedNames>
    <definedName name="_xlnm.Print_Area" localSheetId="0">'5770'!$B$1:$H$30</definedName>
    <definedName name="_xlnm.Print_Area" localSheetId="1">CUBIERTA!$A$33:$F$54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4" l="1"/>
  <c r="H22" i="4" s="1"/>
  <c r="G15" i="3" l="1"/>
  <c r="B26" i="3"/>
  <c r="B21" i="3" s="1"/>
  <c r="C26" i="3"/>
  <c r="F21" i="3" s="1"/>
  <c r="D26" i="3"/>
  <c r="J21" i="3" s="1"/>
  <c r="D21" i="3" s="1"/>
  <c r="E26" i="3"/>
  <c r="K21" i="3" s="1"/>
  <c r="F26" i="3"/>
  <c r="B45" i="3"/>
  <c r="C45" i="3"/>
  <c r="D45" i="3"/>
  <c r="E45" i="3"/>
  <c r="F45" i="3"/>
  <c r="K14" i="3" l="1"/>
  <c r="E14" i="3" s="1"/>
  <c r="E21" i="3"/>
  <c r="J14" i="3"/>
  <c r="D14" i="3" s="1"/>
  <c r="I21" i="3"/>
  <c r="I14" i="3" s="1"/>
  <c r="B14" i="3" s="1"/>
  <c r="F14" i="3"/>
  <c r="F39" i="3" l="1"/>
  <c r="E39" i="3"/>
  <c r="D36" i="3" l="1"/>
  <c r="E38" i="3"/>
  <c r="E35" i="3"/>
  <c r="E7" i="3"/>
  <c r="E4" i="3"/>
  <c r="D5" i="3"/>
  <c r="C38" i="3"/>
  <c r="C7" i="3"/>
  <c r="H23" i="4" l="1"/>
  <c r="H24" i="4" l="1"/>
</calcChain>
</file>

<file path=xl/sharedStrings.xml><?xml version="1.0" encoding="utf-8"?>
<sst xmlns="http://schemas.openxmlformats.org/spreadsheetml/2006/main" count="88" uniqueCount="61">
  <si>
    <t>SEPTIMA AVENIDA 1631, SAN MIGUEL</t>
  </si>
  <si>
    <t>DIRECCION:</t>
  </si>
  <si>
    <t>RUT:</t>
  </si>
  <si>
    <t>CIUDAD:</t>
  </si>
  <si>
    <t>DETALLE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</si>
  <si>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</si>
  <si>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</si>
  <si>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</si>
  <si>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</si>
  <si>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</si>
  <si>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</si>
  <si>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</si>
  <si>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</si>
  <si>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</si>
  <si>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</si>
  <si>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</si>
  <si>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</si>
  <si>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</si>
  <si>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</si>
  <si>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</si>
  <si>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</si>
  <si>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</si>
  <si>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</si>
  <si>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</si>
  <si>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</si>
  <si>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</si>
  <si>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</si>
  <si>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</si>
  <si>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</si>
  <si>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</si>
  <si>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</si>
  <si>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 xml:space="preserve">CUENTA VISTA DEL BANCO ESTADO N° 35571043040 A NOMBRE DE </t>
  </si>
  <si>
    <t>"TOPMOBILI LTDA." - RUT : 76.685.535-0, VENTAS@TOPMOBILI.CL</t>
  </si>
  <si>
    <t>FECHA ENTREGA :</t>
  </si>
  <si>
    <t>FECHA :</t>
  </si>
  <si>
    <t>CLIENTE :</t>
  </si>
  <si>
    <t>SUSTRATO</t>
  </si>
  <si>
    <t>DESCRIPCIÓN</t>
  </si>
  <si>
    <t>MDF 18mm</t>
  </si>
  <si>
    <t>MEDIDAS ORIGINALES</t>
  </si>
  <si>
    <t>PRODUCCIÓN</t>
  </si>
  <si>
    <t xml:space="preserve"> </t>
  </si>
  <si>
    <t xml:space="preserve">OBSERVACIONES: </t>
  </si>
  <si>
    <t xml:space="preserve">  </t>
  </si>
  <si>
    <t>MUEBLES SANTA FE SPA</t>
  </si>
  <si>
    <t>VENTAS POR MENOR DE MUEBLES</t>
  </si>
  <si>
    <t>RUT: 77.054.606-0</t>
  </si>
  <si>
    <t>E-MAIL: ventas@mueblesantafe.cl</t>
  </si>
  <si>
    <t>MDF18MM</t>
  </si>
  <si>
    <t xml:space="preserve">CONTACTO: </t>
  </si>
  <si>
    <t xml:space="preserve">SANTIAGO </t>
  </si>
  <si>
    <t xml:space="preserve">DESPACHO: </t>
  </si>
  <si>
    <t>SOC.COM. MUEBLES BODY E HIJOS</t>
  </si>
  <si>
    <t>77.447.130-8</t>
  </si>
  <si>
    <t>VERONICA SEPULVEDA</t>
  </si>
  <si>
    <t>56 9 9349 7491</t>
  </si>
  <si>
    <t>CUB S/R F/E</t>
  </si>
  <si>
    <t>FORMA DE PAGO : O/C 30 DIAS</t>
  </si>
  <si>
    <t>SI</t>
  </si>
  <si>
    <t>SEGATO MIELE 1468 MT</t>
  </si>
  <si>
    <t>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</si>
</sst>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4"/>
      <color rgb="FF008000"/>
      <name val="Times New Roman"/>
      <family val="1"/>
    </font>
    <font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2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4" fillId="0" borderId="0" xfId="0" applyFont="1"/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8" fillId="0" borderId="0" xfId="0" applyFont="1" applyAlignment="1">
      <alignment horizontal="center"/>
    </xf>
    <xf numFmtId="0" fontId="1" fillId="0" borderId="0" xfId="0" applyFont="1"/>
    <xf numFmtId="0" fontId="6" fillId="3" borderId="3" xfId="0" applyFont="1" applyFill="1" applyBorder="1"/>
    <xf numFmtId="0" fontId="6" fillId="3" borderId="4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14" fontId="0" fillId="4" borderId="0" xfId="0" applyNumberFormat="1" applyFill="1" applyAlignment="1">
      <alignment horizontal="left"/>
    </xf>
    <xf numFmtId="0" fontId="0" fillId="4" borderId="7" xfId="0" applyFill="1" applyBorder="1"/>
    <xf numFmtId="0" fontId="0" fillId="3" borderId="6" xfId="0" applyFill="1" applyBorder="1"/>
    <xf numFmtId="0" fontId="7" fillId="3" borderId="0" xfId="2" applyFill="1" applyBorder="1"/>
    <xf numFmtId="0" fontId="0" fillId="3" borderId="0" xfId="0" applyFill="1"/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8" fillId="0" borderId="0" xfId="0" applyFont="1"/>
    <xf numFmtId="0" fontId="13" fillId="0" borderId="0" xfId="2" applyFont="1" applyFill="1" applyBorder="1" applyAlignment="1">
      <alignment horizontal="left" vertical="center" indent="1"/>
    </xf>
    <xf numFmtId="0" fontId="1" fillId="0" borderId="2" xfId="0" applyFont="1" applyBorder="1"/>
    <xf numFmtId="0" fontId="3" fillId="3" borderId="0" xfId="0" applyFont="1" applyFill="1"/>
    <xf numFmtId="0" fontId="0" fillId="0" borderId="0" xfId="0" applyAlignment="1">
      <alignment horizontal="center" vertical="center"/>
    </xf>
    <xf numFmtId="0" fontId="3" fillId="0" borderId="0" xfId="0" applyFont="1" applyAlignment="1">
      <alignment shrinkToFit="1"/>
    </xf>
    <xf numFmtId="0" fontId="15" fillId="0" borderId="0" xfId="0" applyFont="1" applyAlignment="1">
      <alignment horizontal="left" indent="1"/>
    </xf>
    <xf numFmtId="0" fontId="1" fillId="0" borderId="0" xfId="0" applyFont="1" applyAlignment="1">
      <alignment horizontal="left"/>
    </xf>
    <xf numFmtId="0" fontId="15" fillId="3" borderId="0" xfId="0" applyFont="1" applyFill="1" applyAlignment="1">
      <alignment horizontal="left" indent="1"/>
    </xf>
    <xf numFmtId="0" fontId="16" fillId="3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0" fillId="0" borderId="0" xfId="0" applyNumberFormat="1" applyAlignment="1">
      <alignment horizontal="right" vertical="top"/>
    </xf>
    <xf numFmtId="14" fontId="15" fillId="0" borderId="0" xfId="0" applyNumberFormat="1" applyFont="1" applyAlignment="1">
      <alignment horizontal="left" indent="1"/>
    </xf>
    <xf numFmtId="14" fontId="1" fillId="0" borderId="0" xfId="0" applyNumberFormat="1" applyFont="1" applyAlignment="1">
      <alignment horizontal="left" wrapText="1" shrinkToFit="1"/>
    </xf>
    <xf numFmtId="0" fontId="17" fillId="0" borderId="0" xfId="0" applyFont="1"/>
    <xf numFmtId="0" fontId="18" fillId="0" borderId="0" xfId="0" applyFont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7" fillId="0" borderId="20" xfId="0" applyFont="1" applyBorder="1"/>
    <xf numFmtId="0" fontId="17" fillId="0" borderId="21" xfId="0" applyFont="1" applyBorder="1"/>
    <xf numFmtId="0" fontId="16" fillId="0" borderId="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6" xfId="0" applyBorder="1" applyAlignment="1">
      <alignment horizontal="center"/>
    </xf>
    <xf numFmtId="0" fontId="2" fillId="0" borderId="0" xfId="0" applyFont="1" applyAlignment="1">
      <alignment horizontal="center"/>
    </xf>
    <xf numFmtId="0" fontId="18" fillId="0" borderId="3" xfId="0" applyFont="1" applyBorder="1" applyAlignment="1">
      <alignment wrapText="1"/>
    </xf>
    <xf numFmtId="0" fontId="20" fillId="0" borderId="4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6" fillId="0" borderId="0" xfId="0" applyFont="1"/>
    <xf numFmtId="0" fontId="21" fillId="0" borderId="0" xfId="0" applyFont="1" applyAlignment="1">
      <alignment horizontal="left" vertic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6" borderId="0" xfId="0" applyFill="1" applyAlignment="1">
      <alignment horizontal="left"/>
    </xf>
    <xf numFmtId="0" fontId="0" fillId="6" borderId="7" xfId="0" applyFill="1" applyBorder="1"/>
    <xf numFmtId="0" fontId="0" fillId="0" borderId="0" xfId="0" applyAlignment="1">
      <alignment horizontal="right" vertic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left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166" fontId="3" fillId="0" borderId="12" xfId="1" applyNumberFormat="1" applyFont="1" applyFill="1" applyBorder="1"/>
    <xf numFmtId="3" fontId="3" fillId="3" borderId="13" xfId="0" applyNumberFormat="1" applyFont="1" applyFill="1" applyBorder="1" applyAlignment="1">
      <alignment horizontal="center"/>
    </xf>
    <xf numFmtId="166" fontId="3" fillId="3" borderId="14" xfId="1" applyNumberFormat="1" applyFont="1" applyFill="1" applyBorder="1"/>
    <xf numFmtId="0" fontId="3" fillId="0" borderId="15" xfId="0" applyFont="1" applyBorder="1" applyAlignment="1">
      <alignment horizontal="center"/>
    </xf>
    <xf numFmtId="166" fontId="3" fillId="0" borderId="16" xfId="1" applyNumberFormat="1" applyFont="1" applyFill="1" applyBorder="1"/>
    <xf numFmtId="0" fontId="16" fillId="0" borderId="19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22" fillId="0" borderId="0" xfId="0" applyFont="1" applyAlignment="1">
      <alignment horizontal="center" vertical="center"/>
    </xf>
    <xf numFmtId="166" fontId="0" fillId="0" borderId="0" xfId="0" applyNumberFormat="1"/>
    <xf numFmtId="0" fontId="3" fillId="0" borderId="28" xfId="0" applyFont="1" applyBorder="1" applyAlignment="1">
      <alignment horizontal="center" vertical="center"/>
    </xf>
    <xf numFmtId="166" fontId="3" fillId="0" borderId="28" xfId="1" applyNumberFormat="1" applyFont="1" applyFill="1" applyBorder="1" applyAlignment="1">
      <alignment horizontal="center" vertical="center"/>
    </xf>
    <xf numFmtId="166" fontId="3" fillId="0" borderId="28" xfId="0" applyNumberFormat="1" applyFont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0" fontId="3" fillId="0" borderId="28" xfId="0" applyFont="1" applyBorder="1" applyAlignment="1">
      <alignment horizontal="center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1" fillId="3" borderId="11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9" fillId="3" borderId="22" xfId="0" applyFont="1" applyFill="1" applyBorder="1" applyAlignment="1">
      <alignment horizontal="left" vertical="top" indent="28"/>
    </xf>
    <xf numFmtId="0" fontId="19" fillId="3" borderId="23" xfId="0" applyFont="1" applyFill="1" applyBorder="1" applyAlignment="1">
      <alignment horizontal="left" vertical="top" indent="28"/>
    </xf>
    <xf numFmtId="0" fontId="19" fillId="3" borderId="24" xfId="0" applyFont="1" applyFill="1" applyBorder="1" applyAlignment="1">
      <alignment horizontal="left" vertical="top" indent="28"/>
    </xf>
    <xf numFmtId="0" fontId="19" fillId="3" borderId="25" xfId="0" applyFont="1" applyFill="1" applyBorder="1" applyAlignment="1">
      <alignment horizontal="left" vertical="top" indent="28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B868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</xdr:colOff>
      <xdr:row>7</xdr:row>
      <xdr:rowOff>59055</xdr:rowOff>
    </xdr:from>
    <xdr:to>
      <xdr:col>4</xdr:col>
      <xdr:colOff>51435</xdr:colOff>
      <xdr:row>8</xdr:row>
      <xdr:rowOff>13335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49555" y="1402080"/>
          <a:ext cx="2449830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200" b="1"/>
            <a:t>P</a:t>
          </a:r>
          <a:r>
            <a:rPr lang="es-ES" sz="1200" b="1" baseline="0"/>
            <a:t>RESUPUESTO        N° 9727</a:t>
          </a:r>
          <a:endParaRPr lang="es-ES" sz="1200" b="1"/>
        </a:p>
      </xdr:txBody>
    </xdr:sp>
    <xdr:clientData/>
  </xdr:twoCellAnchor>
  <xdr:twoCellAnchor editAs="oneCell">
    <xdr:from>
      <xdr:col>1</xdr:col>
      <xdr:colOff>342900</xdr:colOff>
      <xdr:row>0</xdr:row>
      <xdr:rowOff>160020</xdr:rowOff>
    </xdr:from>
    <xdr:to>
      <xdr:col>2</xdr:col>
      <xdr:colOff>1365643</xdr:colOff>
      <xdr:row>7</xdr:row>
      <xdr:rowOff>13335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" y="16002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76200</xdr:colOff>
      <xdr:row>21</xdr:row>
      <xdr:rowOff>53340</xdr:rowOff>
    </xdr:from>
    <xdr:to>
      <xdr:col>5</xdr:col>
      <xdr:colOff>1070610</xdr:colOff>
      <xdr:row>23</xdr:row>
      <xdr:rowOff>160020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74320" y="4579620"/>
          <a:ext cx="4110990" cy="5486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0"/>
            <a:t>OBSERVACIONES:  CLIENTE APORTA EL</a:t>
          </a:r>
          <a:r>
            <a:rPr lang="es-CL" sz="900" b="1" i="0" baseline="0"/>
            <a:t> SUSTRATO Y EL MDF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6</xdr:row>
      <xdr:rowOff>0</xdr:rowOff>
    </xdr:from>
    <xdr:to>
      <xdr:col>6</xdr:col>
      <xdr:colOff>0</xdr:colOff>
      <xdr:row>7</xdr:row>
      <xdr:rowOff>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1845945" y="105156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38100</xdr:rowOff>
    </xdr:from>
    <xdr:to>
      <xdr:col>6</xdr:col>
      <xdr:colOff>0</xdr:colOff>
      <xdr:row>5</xdr:row>
      <xdr:rowOff>19050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1845945" y="807720"/>
          <a:ext cx="542353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</xdr:row>
      <xdr:rowOff>0</xdr:rowOff>
    </xdr:from>
    <xdr:to>
      <xdr:col>6</xdr:col>
      <xdr:colOff>0</xdr:colOff>
      <xdr:row>4</xdr:row>
      <xdr:rowOff>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1845945" y="57150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152400" y="2872740"/>
          <a:ext cx="704849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171450" y="1604010"/>
          <a:ext cx="7048499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39</xdr:row>
      <xdr:rowOff>171450</xdr:rowOff>
    </xdr:from>
    <xdr:to>
      <xdr:col>5</xdr:col>
      <xdr:colOff>1685924</xdr:colOff>
      <xdr:row>41</xdr:row>
      <xdr:rowOff>19050</xdr:rowOff>
    </xdr:to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161925" y="7608570"/>
          <a:ext cx="7048499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1845945" y="705612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34</xdr:row>
      <xdr:rowOff>0</xdr:rowOff>
    </xdr:from>
    <xdr:to>
      <xdr:col>6</xdr:col>
      <xdr:colOff>0</xdr:colOff>
      <xdr:row>35</xdr:row>
      <xdr:rowOff>0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1845945" y="659130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45</xdr:row>
      <xdr:rowOff>180975</xdr:rowOff>
    </xdr:from>
    <xdr:to>
      <xdr:col>2</xdr:col>
      <xdr:colOff>38100</xdr:colOff>
      <xdr:row>47</xdr:row>
      <xdr:rowOff>9525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922020" y="8616315"/>
          <a:ext cx="998220" cy="2247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45</xdr:row>
      <xdr:rowOff>180975</xdr:rowOff>
    </xdr:from>
    <xdr:to>
      <xdr:col>2</xdr:col>
      <xdr:colOff>1019175</xdr:colOff>
      <xdr:row>46</xdr:row>
      <xdr:rowOff>190500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1920240" y="8616315"/>
          <a:ext cx="981075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45</xdr:row>
      <xdr:rowOff>180975</xdr:rowOff>
    </xdr:from>
    <xdr:to>
      <xdr:col>3</xdr:col>
      <xdr:colOff>352425</xdr:colOff>
      <xdr:row>47</xdr:row>
      <xdr:rowOff>0</xdr:rowOff>
    </xdr:to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2891790" y="8616315"/>
          <a:ext cx="1019175" cy="2152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45</xdr:row>
      <xdr:rowOff>180975</xdr:rowOff>
    </xdr:from>
    <xdr:to>
      <xdr:col>4</xdr:col>
      <xdr:colOff>257175</xdr:colOff>
      <xdr:row>47</xdr:row>
      <xdr:rowOff>0</xdr:rowOff>
    </xdr:to>
    <xdr:sp macro="" textlink="">
      <xdr:nvSpPr>
        <xdr:cNvPr id="42" name="Rectángulo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3910965" y="8616315"/>
          <a:ext cx="1002030" cy="2152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45</xdr:row>
      <xdr:rowOff>180975</xdr:rowOff>
    </xdr:from>
    <xdr:to>
      <xdr:col>5</xdr:col>
      <xdr:colOff>447675</xdr:colOff>
      <xdr:row>46</xdr:row>
      <xdr:rowOff>190500</xdr:rowOff>
    </xdr:to>
    <xdr:sp macro="" textlink="">
      <xdr:nvSpPr>
        <xdr:cNvPr id="43" name="Rectángulo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4903470" y="8616315"/>
          <a:ext cx="1068705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45</xdr:row>
      <xdr:rowOff>180975</xdr:rowOff>
    </xdr:from>
    <xdr:to>
      <xdr:col>6</xdr:col>
      <xdr:colOff>0</xdr:colOff>
      <xdr:row>46</xdr:row>
      <xdr:rowOff>190500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5981700" y="8616315"/>
          <a:ext cx="128778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46</xdr:row>
      <xdr:rowOff>190500</xdr:rowOff>
    </xdr:from>
    <xdr:to>
      <xdr:col>2</xdr:col>
      <xdr:colOff>304800</xdr:colOff>
      <xdr:row>48</xdr:row>
      <xdr:rowOff>95250</xdr:rowOff>
    </xdr:to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922020" y="8823960"/>
          <a:ext cx="126492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46</xdr:row>
      <xdr:rowOff>190500</xdr:rowOff>
    </xdr:from>
    <xdr:to>
      <xdr:col>2</xdr:col>
      <xdr:colOff>1276350</xdr:colOff>
      <xdr:row>48</xdr:row>
      <xdr:rowOff>95250</xdr:rowOff>
    </xdr:to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1920240" y="882396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46</xdr:row>
      <xdr:rowOff>190500</xdr:rowOff>
    </xdr:from>
    <xdr:to>
      <xdr:col>3</xdr:col>
      <xdr:colOff>619125</xdr:colOff>
      <xdr:row>48</xdr:row>
      <xdr:rowOff>95250</xdr:rowOff>
    </xdr:to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2891790" y="8823960"/>
          <a:ext cx="128587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46</xdr:row>
      <xdr:rowOff>190500</xdr:rowOff>
    </xdr:from>
    <xdr:to>
      <xdr:col>4</xdr:col>
      <xdr:colOff>523875</xdr:colOff>
      <xdr:row>48</xdr:row>
      <xdr:rowOff>95250</xdr:rowOff>
    </xdr:to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3910965" y="8823960"/>
          <a:ext cx="12687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46</xdr:row>
      <xdr:rowOff>190500</xdr:rowOff>
    </xdr:from>
    <xdr:to>
      <xdr:col>5</xdr:col>
      <xdr:colOff>723900</xdr:colOff>
      <xdr:row>48</xdr:row>
      <xdr:rowOff>95250</xdr:rowOff>
    </xdr:to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4903470" y="8823960"/>
          <a:ext cx="13449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46</xdr:row>
      <xdr:rowOff>190500</xdr:rowOff>
    </xdr:from>
    <xdr:to>
      <xdr:col>6</xdr:col>
      <xdr:colOff>0</xdr:colOff>
      <xdr:row>48</xdr:row>
      <xdr:rowOff>95250</xdr:rowOff>
    </xdr:to>
    <xdr:sp macro="" textlink="">
      <xdr:nvSpPr>
        <xdr:cNvPr id="50" name="Rectángulo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5981700" y="8823960"/>
          <a:ext cx="128778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177163</xdr:colOff>
      <xdr:row>26</xdr:row>
      <xdr:rowOff>192404</xdr:rowOff>
    </xdr:from>
    <xdr:to>
      <xdr:col>5</xdr:col>
      <xdr:colOff>1771649</xdr:colOff>
      <xdr:row>30</xdr:row>
      <xdr:rowOff>182880</xdr:rowOff>
    </xdr:to>
    <xdr:sp macro="" textlink="">
      <xdr:nvSpPr>
        <xdr:cNvPr id="51" name="Rectángulo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177163" y="6059804"/>
          <a:ext cx="6557011" cy="7905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OBSERVACIONES:   CLIENTE</a:t>
          </a:r>
          <a:r>
            <a:rPr lang="es-CL" sz="1050" b="1" i="1" baseline="0"/>
            <a:t> APORTA LAMINAS Y SUSTRATO</a:t>
          </a:r>
        </a:p>
      </xdr:txBody>
    </xdr:sp>
    <xdr:clientData/>
  </xdr:twoCellAnchor>
  <xdr:twoCellAnchor>
    <xdr:from>
      <xdr:col>0</xdr:col>
      <xdr:colOff>190500</xdr:colOff>
      <xdr:row>21</xdr:row>
      <xdr:rowOff>200025</xdr:rowOff>
    </xdr:from>
    <xdr:to>
      <xdr:col>6</xdr:col>
      <xdr:colOff>19049</xdr:colOff>
      <xdr:row>23</xdr:row>
      <xdr:rowOff>9525</xdr:rowOff>
    </xdr:to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190500" y="4086225"/>
          <a:ext cx="7098029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914400</xdr:colOff>
      <xdr:row>49</xdr:row>
      <xdr:rowOff>7620</xdr:rowOff>
    </xdr:from>
    <xdr:to>
      <xdr:col>6</xdr:col>
      <xdr:colOff>0</xdr:colOff>
      <xdr:row>52</xdr:row>
      <xdr:rowOff>234316</xdr:rowOff>
    </xdr:to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914400" y="922782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OBSERVACIONES:CLIENTE APORTA EL</a:t>
          </a:r>
          <a:r>
            <a:rPr lang="es-CL" sz="1050" b="1" i="1" baseline="0"/>
            <a:t> SUSTRATO Y MDF</a:t>
          </a:r>
        </a:p>
        <a:p>
          <a:pPr algn="l"/>
          <a:r>
            <a:rPr lang="es-CL" sz="1050" b="1" i="1" baseline="0"/>
            <a:t>USAR RADIO 8MM</a:t>
          </a:r>
        </a:p>
      </xdr:txBody>
    </xdr:sp>
    <xdr:clientData/>
  </xdr:twoCellAnchor>
  <xdr:twoCellAnchor>
    <xdr:from>
      <xdr:col>1</xdr:col>
      <xdr:colOff>923925</xdr:colOff>
      <xdr:row>35</xdr:row>
      <xdr:rowOff>38100</xdr:rowOff>
    </xdr:from>
    <xdr:to>
      <xdr:col>6</xdr:col>
      <xdr:colOff>0</xdr:colOff>
      <xdr:row>36</xdr:row>
      <xdr:rowOff>19050</xdr:rowOff>
    </xdr:to>
    <xdr:sp macro="" textlink="">
      <xdr:nvSpPr>
        <xdr:cNvPr id="54" name="Rectángulo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1998345" y="9585960"/>
          <a:ext cx="3808095" cy="1638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266700</xdr:colOff>
      <xdr:row>33</xdr:row>
      <xdr:rowOff>62865</xdr:rowOff>
    </xdr:from>
    <xdr:to>
      <xdr:col>1</xdr:col>
      <xdr:colOff>778903</xdr:colOff>
      <xdr:row>39</xdr:row>
      <xdr:rowOff>7620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9330690"/>
          <a:ext cx="1559953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236220</xdr:colOff>
      <xdr:row>2</xdr:row>
      <xdr:rowOff>114300</xdr:rowOff>
    </xdr:from>
    <xdr:to>
      <xdr:col>1</xdr:col>
      <xdr:colOff>748423</xdr:colOff>
      <xdr:row>8</xdr:row>
      <xdr:rowOff>74295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220" y="495300"/>
          <a:ext cx="1586623" cy="11487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is/Desktop/POSTFORMADO%202020/NOTAS%20DE%20VENTAS/50%20FEBRERO%202020/5729%20MUEBLES%20LA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637"/>
      <sheetName val="REGLAS"/>
      <sheetName val="CUBIERTA"/>
    </sheetNames>
    <sheetDataSet>
      <sheetData sheetId="0">
        <row r="11">
          <cell r="F11" t="str">
            <v>FECHA ENTREGA :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28"/>
  <sheetViews>
    <sheetView tabSelected="1" topLeftCell="A6" workbookViewId="0">
      <selection activeCell="G9" sqref="G9"/>
    </sheetView>
  </sheetViews>
  <sheetFormatPr baseColWidth="10" defaultRowHeight="14.4" x14ac:dyDescent="0.3"/>
  <cols>
    <col min="1" max="1" width="2.88671875" customWidth="1"/>
    <col min="2" max="2" width="8.33203125" customWidth="1"/>
    <col min="3" max="3" width="32.5546875" customWidth="1"/>
    <col min="4" max="4" width="11.109375" customWidth="1"/>
    <col min="5" max="5" width="10" customWidth="1"/>
    <col min="6" max="6" width="32.88671875" customWidth="1"/>
    <col min="7" max="7" width="14.5546875" customWidth="1"/>
    <col min="8" max="8" width="15.5546875" customWidth="1"/>
  </cols>
  <sheetData>
    <row r="2" spans="2:8" ht="15.6" x14ac:dyDescent="0.3">
      <c r="F2" s="21" t="s">
        <v>44</v>
      </c>
    </row>
    <row r="3" spans="2:8" x14ac:dyDescent="0.3">
      <c r="F3" s="1" t="s">
        <v>45</v>
      </c>
    </row>
    <row r="4" spans="2:8" x14ac:dyDescent="0.3">
      <c r="F4" s="1" t="s">
        <v>46</v>
      </c>
    </row>
    <row r="5" spans="2:8" x14ac:dyDescent="0.3">
      <c r="F5" s="1" t="s">
        <v>0</v>
      </c>
    </row>
    <row r="6" spans="2:8" x14ac:dyDescent="0.3">
      <c r="F6" s="1" t="s">
        <v>17</v>
      </c>
    </row>
    <row r="7" spans="2:8" x14ac:dyDescent="0.3">
      <c r="F7" s="1" t="s">
        <v>47</v>
      </c>
    </row>
    <row r="8" spans="2:8" ht="21" x14ac:dyDescent="0.4">
      <c r="B8" s="44" t="s">
        <v>18</v>
      </c>
      <c r="C8" s="43"/>
      <c r="D8" s="45" t="s">
        <v>19</v>
      </c>
      <c r="F8" s="49" t="s">
        <v>30</v>
      </c>
      <c r="G8" s="86">
        <v>7090</v>
      </c>
    </row>
    <row r="9" spans="2:8" ht="15" thickBot="1" x14ac:dyDescent="0.35">
      <c r="G9" s="4"/>
    </row>
    <row r="10" spans="2:8" x14ac:dyDescent="0.3">
      <c r="B10" s="22" t="s">
        <v>8</v>
      </c>
      <c r="C10" s="23" t="s">
        <v>52</v>
      </c>
      <c r="D10" s="24"/>
      <c r="E10" s="24"/>
      <c r="F10" s="25" t="s">
        <v>34</v>
      </c>
      <c r="G10" s="26">
        <v>45468</v>
      </c>
      <c r="H10" s="27"/>
    </row>
    <row r="11" spans="2:8" ht="15.6" x14ac:dyDescent="0.3">
      <c r="B11" s="28" t="s">
        <v>2</v>
      </c>
      <c r="C11" s="2" t="s">
        <v>53</v>
      </c>
      <c r="D11" s="29"/>
      <c r="E11" s="29"/>
      <c r="F11" s="29" t="s">
        <v>33</v>
      </c>
      <c r="G11" s="30">
        <v>45469</v>
      </c>
      <c r="H11" s="31"/>
    </row>
    <row r="12" spans="2:8" x14ac:dyDescent="0.3">
      <c r="B12" s="32" t="s">
        <v>49</v>
      </c>
      <c r="C12" s="33" t="s">
        <v>54</v>
      </c>
      <c r="D12" s="34"/>
      <c r="E12" s="34"/>
      <c r="F12" s="34" t="s">
        <v>60</v>
      </c>
      <c r="G12" s="83"/>
      <c r="H12" s="84"/>
    </row>
    <row r="13" spans="2:8" ht="18" x14ac:dyDescent="0.3">
      <c r="B13" s="28" t="s">
        <v>20</v>
      </c>
      <c r="C13" s="99" t="s">
        <v>55</v>
      </c>
      <c r="D13" s="36"/>
      <c r="E13" s="29"/>
      <c r="F13" s="29" t="s">
        <v>51</v>
      </c>
      <c r="G13" s="29" t="s">
        <v>58</v>
      </c>
      <c r="H13" s="31"/>
    </row>
    <row r="14" spans="2:8" x14ac:dyDescent="0.3">
      <c r="B14" s="32" t="s">
        <v>1</v>
      </c>
      <c r="C14" s="34"/>
      <c r="D14" s="34"/>
      <c r="E14" s="34"/>
      <c r="F14" s="37" t="s">
        <v>57</v>
      </c>
      <c r="G14" s="34"/>
      <c r="H14" s="35"/>
    </row>
    <row r="15" spans="2:8" ht="15" thickBot="1" x14ac:dyDescent="0.35">
      <c r="B15" s="38" t="s">
        <v>3</v>
      </c>
      <c r="C15" s="39" t="s">
        <v>50</v>
      </c>
      <c r="D15" s="39"/>
      <c r="E15" s="40"/>
      <c r="F15" s="110" t="s">
        <v>21</v>
      </c>
      <c r="G15" s="110"/>
      <c r="H15" s="111"/>
    </row>
    <row r="17" spans="2:13" ht="15" thickBot="1" x14ac:dyDescent="0.35"/>
    <row r="18" spans="2:13" x14ac:dyDescent="0.3">
      <c r="B18" s="112" t="s">
        <v>22</v>
      </c>
      <c r="C18" s="113"/>
      <c r="D18" s="113"/>
      <c r="E18" s="113"/>
      <c r="F18" s="113"/>
      <c r="G18" s="113"/>
      <c r="H18" s="114"/>
      <c r="I18" s="5"/>
      <c r="J18" s="5"/>
      <c r="K18" s="5"/>
    </row>
    <row r="19" spans="2:13" ht="15" thickBot="1" x14ac:dyDescent="0.35">
      <c r="B19" s="104" t="s">
        <v>23</v>
      </c>
      <c r="C19" s="105" t="s">
        <v>24</v>
      </c>
      <c r="D19" s="105" t="s">
        <v>25</v>
      </c>
      <c r="E19" s="105" t="s">
        <v>10</v>
      </c>
      <c r="F19" s="105" t="s">
        <v>26</v>
      </c>
      <c r="G19" s="105" t="s">
        <v>27</v>
      </c>
      <c r="H19" s="106" t="s">
        <v>5</v>
      </c>
      <c r="I19" s="4"/>
      <c r="J19" s="4"/>
    </row>
    <row r="20" spans="2:13" ht="15.6" x14ac:dyDescent="0.3">
      <c r="B20" s="101">
        <v>10</v>
      </c>
      <c r="C20" s="107" t="s">
        <v>56</v>
      </c>
      <c r="D20" s="108">
        <v>3600</v>
      </c>
      <c r="E20" s="108">
        <v>600</v>
      </c>
      <c r="F20" s="109" t="s">
        <v>59</v>
      </c>
      <c r="G20" s="102">
        <v>58000</v>
      </c>
      <c r="H20" s="103">
        <f t="shared" ref="H20" si="0">G20*B20</f>
        <v>580000</v>
      </c>
      <c r="I20" s="51"/>
      <c r="K20" s="51"/>
    </row>
    <row r="21" spans="2:13" ht="15" thickBot="1" x14ac:dyDescent="0.35">
      <c r="B21" s="85"/>
      <c r="C21" s="87"/>
      <c r="D21" s="51"/>
      <c r="E21" s="51"/>
      <c r="F21" s="51"/>
      <c r="G21" s="88"/>
      <c r="H21" s="89"/>
      <c r="K21" s="100"/>
      <c r="L21" s="100"/>
    </row>
    <row r="22" spans="2:13" ht="16.95" customHeight="1" x14ac:dyDescent="0.3">
      <c r="B22" s="9"/>
      <c r="C22" s="51"/>
      <c r="D22" s="2"/>
      <c r="E22" s="2"/>
      <c r="F22" s="9"/>
      <c r="G22" s="91" t="s">
        <v>6</v>
      </c>
      <c r="H22" s="92">
        <f>SUM(H20:H21)</f>
        <v>580000</v>
      </c>
      <c r="L22" s="100"/>
      <c r="M22" s="100"/>
    </row>
    <row r="23" spans="2:13" ht="18" customHeight="1" x14ac:dyDescent="0.3">
      <c r="G23" s="93" t="s">
        <v>7</v>
      </c>
      <c r="H23" s="94">
        <f>H22*19%</f>
        <v>110200</v>
      </c>
    </row>
    <row r="24" spans="2:13" ht="16.2" thickBot="1" x14ac:dyDescent="0.35">
      <c r="G24" s="95" t="s">
        <v>5</v>
      </c>
      <c r="H24" s="96">
        <f>H22+H23</f>
        <v>690200</v>
      </c>
    </row>
    <row r="25" spans="2:13" x14ac:dyDescent="0.3">
      <c r="C25" s="51"/>
    </row>
    <row r="26" spans="2:13" x14ac:dyDescent="0.3">
      <c r="B26" s="46" t="s">
        <v>31</v>
      </c>
      <c r="C26" s="51"/>
      <c r="D26" s="41"/>
      <c r="E26" s="41"/>
      <c r="F26" s="42"/>
    </row>
    <row r="27" spans="2:13" x14ac:dyDescent="0.3">
      <c r="B27" s="46" t="s">
        <v>32</v>
      </c>
      <c r="C27" s="51"/>
      <c r="D27" s="41"/>
      <c r="E27" s="41"/>
      <c r="F27" s="42"/>
    </row>
    <row r="28" spans="2:13" x14ac:dyDescent="0.3">
      <c r="B28" s="47" t="s">
        <v>28</v>
      </c>
      <c r="C28" s="51"/>
      <c r="E28" s="48" t="s">
        <v>29</v>
      </c>
    </row>
  </sheetData>
  <sortState xmlns:xlrd2="http://schemas.microsoft.com/office/spreadsheetml/2017/richdata2" ref="B42">
    <sortCondition sortBy="fontColor" ref="B42" dxfId="0"/>
  </sortState>
  <mergeCells count="2">
    <mergeCell ref="F15:H15"/>
    <mergeCell ref="B18:H18"/>
  </mergeCells>
  <hyperlinks>
    <hyperlink ref="E28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K54"/>
  <sheetViews>
    <sheetView workbookViewId="0">
      <selection activeCell="G7" sqref="G7"/>
    </sheetView>
  </sheetViews>
  <sheetFormatPr baseColWidth="10" defaultRowHeight="14.4" x14ac:dyDescent="0.3"/>
  <cols>
    <col min="1" max="1" width="15.6640625" customWidth="1"/>
    <col min="2" max="2" width="14.33203125" customWidth="1"/>
    <col min="3" max="3" width="21.5546875" customWidth="1"/>
    <col min="6" max="6" width="27.33203125" customWidth="1"/>
    <col min="9" max="9" width="5.44140625" customWidth="1"/>
    <col min="10" max="10" width="9.33203125" customWidth="1"/>
    <col min="11" max="11" width="8.6640625" customWidth="1"/>
  </cols>
  <sheetData>
    <row r="2" spans="1:11" ht="15.6" x14ac:dyDescent="0.3">
      <c r="G2" s="2"/>
    </row>
    <row r="3" spans="1:11" ht="15.6" x14ac:dyDescent="0.3">
      <c r="G3" s="2"/>
    </row>
    <row r="4" spans="1:11" ht="15.6" x14ac:dyDescent="0.3">
      <c r="C4" s="53" t="s">
        <v>30</v>
      </c>
      <c r="E4" s="54">
        <f>'5770'!G8</f>
        <v>7090</v>
      </c>
      <c r="G4" s="2"/>
    </row>
    <row r="5" spans="1:11" ht="15.6" x14ac:dyDescent="0.3">
      <c r="C5" s="55" t="s">
        <v>35</v>
      </c>
      <c r="D5" s="56" t="str">
        <f>'5770'!C10</f>
        <v>SOC.COM. MUEBLES BODY E HIJOS</v>
      </c>
      <c r="E5" s="34"/>
      <c r="F5" s="34"/>
      <c r="G5" s="2"/>
      <c r="J5" s="5"/>
      <c r="K5" s="5"/>
    </row>
    <row r="6" spans="1:11" ht="15.6" x14ac:dyDescent="0.3">
      <c r="C6" s="57"/>
      <c r="D6" s="58"/>
      <c r="G6" s="2"/>
      <c r="I6" s="5"/>
      <c r="J6" s="5"/>
      <c r="K6" s="5"/>
    </row>
    <row r="7" spans="1:11" ht="15.6" x14ac:dyDescent="0.3">
      <c r="C7" s="59" t="str">
        <f>'[1]4637'!F11</f>
        <v>FECHA ENTREGA :</v>
      </c>
      <c r="E7" s="60">
        <f>'5770'!G11</f>
        <v>45469</v>
      </c>
      <c r="F7" s="2"/>
      <c r="G7" s="2"/>
      <c r="I7" s="5"/>
      <c r="J7" s="5"/>
      <c r="K7" s="5"/>
    </row>
    <row r="8" spans="1:11" ht="15.6" x14ac:dyDescent="0.3">
      <c r="G8" s="2"/>
      <c r="I8" s="5"/>
      <c r="J8" s="5"/>
      <c r="K8" s="5"/>
    </row>
    <row r="9" spans="1:11" ht="15.6" x14ac:dyDescent="0.3">
      <c r="G9" s="2"/>
      <c r="I9" s="5"/>
      <c r="J9" s="5"/>
      <c r="K9" s="5"/>
    </row>
    <row r="10" spans="1:11" ht="15.6" x14ac:dyDescent="0.3">
      <c r="A10" s="115" t="s">
        <v>36</v>
      </c>
      <c r="B10" s="115"/>
      <c r="C10" s="115"/>
      <c r="D10" s="115"/>
      <c r="E10" s="115"/>
      <c r="F10" s="115"/>
      <c r="G10" s="2"/>
      <c r="I10" s="5"/>
      <c r="J10" s="5"/>
      <c r="K10" s="5"/>
    </row>
    <row r="11" spans="1:11" ht="15.6" x14ac:dyDescent="0.3">
      <c r="C11" s="61"/>
      <c r="G11" s="2"/>
      <c r="I11" s="5"/>
      <c r="J11" s="5"/>
      <c r="K11" s="5"/>
    </row>
    <row r="12" spans="1:11" ht="15.6" x14ac:dyDescent="0.3">
      <c r="A12" s="2"/>
      <c r="B12" s="2"/>
      <c r="C12" s="2"/>
      <c r="D12" s="62" t="s">
        <v>9</v>
      </c>
      <c r="E12" s="62" t="s">
        <v>10</v>
      </c>
      <c r="F12" s="2"/>
      <c r="G12" s="2"/>
    </row>
    <row r="13" spans="1:11" ht="15.6" x14ac:dyDescent="0.3">
      <c r="A13" s="62" t="s">
        <v>11</v>
      </c>
      <c r="B13" s="97" t="s">
        <v>12</v>
      </c>
      <c r="C13" s="97" t="s">
        <v>13</v>
      </c>
      <c r="D13" s="63">
        <v>50</v>
      </c>
      <c r="E13" s="63"/>
      <c r="F13" s="98" t="s">
        <v>37</v>
      </c>
      <c r="G13" s="2"/>
      <c r="J13" s="8" t="s">
        <v>9</v>
      </c>
      <c r="K13" s="8" t="s">
        <v>10</v>
      </c>
    </row>
    <row r="14" spans="1:11" ht="15.6" x14ac:dyDescent="0.3">
      <c r="A14" s="62" t="s">
        <v>48</v>
      </c>
      <c r="B14" s="69">
        <f t="shared" ref="B14" si="0">I14</f>
        <v>10</v>
      </c>
      <c r="C14" s="69"/>
      <c r="D14" s="69">
        <f t="shared" ref="D14" si="1">J14+D$13</f>
        <v>3650</v>
      </c>
      <c r="E14" s="90">
        <f>K14+E$13</f>
        <v>600</v>
      </c>
      <c r="F14" s="69" t="str">
        <f>C26</f>
        <v>CUB S/R F/E</v>
      </c>
      <c r="G14" s="2"/>
      <c r="I14" s="6">
        <f t="shared" ref="I14:K14" si="2">I21</f>
        <v>10</v>
      </c>
      <c r="J14" s="7">
        <f t="shared" si="2"/>
        <v>3600</v>
      </c>
      <c r="K14" s="7">
        <f t="shared" si="2"/>
        <v>600</v>
      </c>
    </row>
    <row r="15" spans="1:11" ht="15.6" x14ac:dyDescent="0.3">
      <c r="A15" s="62"/>
      <c r="B15" s="9"/>
      <c r="C15" s="9"/>
      <c r="D15" s="9"/>
      <c r="E15" s="81"/>
      <c r="F15" s="64"/>
      <c r="G15" s="2" t="e">
        <f>#REF!-#REF!</f>
        <v>#REF!</v>
      </c>
      <c r="I15" s="82"/>
      <c r="J15" s="5"/>
      <c r="K15" s="5"/>
    </row>
    <row r="16" spans="1:11" ht="15.6" x14ac:dyDescent="0.3">
      <c r="G16" s="52"/>
    </row>
    <row r="17" spans="1:11" ht="15.6" x14ac:dyDescent="0.3">
      <c r="A17" s="115" t="s">
        <v>16</v>
      </c>
      <c r="B17" s="115"/>
      <c r="C17" s="115"/>
      <c r="D17" s="115"/>
      <c r="E17" s="115"/>
      <c r="F17" s="115"/>
      <c r="G17" s="52"/>
      <c r="I17" s="5"/>
      <c r="J17" s="5"/>
      <c r="K17" s="5"/>
    </row>
    <row r="18" spans="1:11" ht="15.6" x14ac:dyDescent="0.3">
      <c r="A18" s="2"/>
      <c r="B18" s="2"/>
      <c r="C18" s="61"/>
      <c r="D18" s="2"/>
      <c r="E18" s="2"/>
      <c r="F18" s="2"/>
      <c r="G18" s="52"/>
      <c r="I18" s="5"/>
      <c r="J18" s="5"/>
      <c r="K18" s="5"/>
    </row>
    <row r="19" spans="1:11" ht="15.6" x14ac:dyDescent="0.3">
      <c r="A19" s="2"/>
      <c r="B19" s="2"/>
      <c r="C19" s="2"/>
      <c r="D19" s="62" t="s">
        <v>9</v>
      </c>
      <c r="E19" s="62" t="s">
        <v>10</v>
      </c>
      <c r="F19" s="2"/>
      <c r="G19" s="52"/>
    </row>
    <row r="20" spans="1:11" ht="15.6" x14ac:dyDescent="0.3">
      <c r="A20" s="62" t="s">
        <v>11</v>
      </c>
      <c r="B20" s="97" t="s">
        <v>12</v>
      </c>
      <c r="C20" s="97" t="s">
        <v>13</v>
      </c>
      <c r="D20" s="63">
        <v>40</v>
      </c>
      <c r="E20" s="63">
        <v>90</v>
      </c>
      <c r="F20" s="98" t="s">
        <v>37</v>
      </c>
      <c r="G20" s="52"/>
      <c r="J20" s="8" t="s">
        <v>9</v>
      </c>
      <c r="K20" s="8" t="s">
        <v>10</v>
      </c>
    </row>
    <row r="21" spans="1:11" ht="15.6" x14ac:dyDescent="0.3">
      <c r="A21" s="62" t="s">
        <v>38</v>
      </c>
      <c r="B21" s="69">
        <f>B26</f>
        <v>10</v>
      </c>
      <c r="C21" s="69"/>
      <c r="D21" s="69">
        <f t="shared" ref="D21" si="3">J21+D$20</f>
        <v>3640</v>
      </c>
      <c r="E21" s="69">
        <f>K21+E$20</f>
        <v>690</v>
      </c>
      <c r="F21" s="69" t="str">
        <f>C26</f>
        <v>CUB S/R F/E</v>
      </c>
      <c r="G21" s="52"/>
      <c r="I21" s="6">
        <f>B26</f>
        <v>10</v>
      </c>
      <c r="J21" s="7">
        <f t="shared" ref="J21" si="4">D26</f>
        <v>3600</v>
      </c>
      <c r="K21" s="7">
        <f t="shared" ref="K21" si="5">E26</f>
        <v>600</v>
      </c>
    </row>
    <row r="22" spans="1:11" ht="16.2" thickBot="1" x14ac:dyDescent="0.35">
      <c r="A22" s="62"/>
      <c r="B22" s="9"/>
      <c r="C22" s="9"/>
      <c r="D22" s="9"/>
      <c r="E22" s="9"/>
      <c r="F22" s="64"/>
      <c r="G22" s="50"/>
      <c r="I22" s="5"/>
      <c r="J22" s="5"/>
      <c r="K22" s="5"/>
    </row>
    <row r="23" spans="1:11" ht="16.2" thickBot="1" x14ac:dyDescent="0.35">
      <c r="A23" s="62"/>
      <c r="B23" s="65" t="s">
        <v>39</v>
      </c>
      <c r="C23" s="66"/>
      <c r="D23" s="66"/>
      <c r="E23" s="66"/>
      <c r="F23" s="66"/>
      <c r="G23" s="2"/>
    </row>
    <row r="24" spans="1:11" ht="20.25" customHeight="1" x14ac:dyDescent="0.3">
      <c r="G24" s="2"/>
    </row>
    <row r="25" spans="1:11" ht="15.6" x14ac:dyDescent="0.3">
      <c r="A25" s="62" t="s">
        <v>11</v>
      </c>
      <c r="B25" s="67" t="s">
        <v>12</v>
      </c>
      <c r="C25" s="67" t="s">
        <v>37</v>
      </c>
      <c r="D25" s="67" t="s">
        <v>9</v>
      </c>
      <c r="E25" s="67" t="s">
        <v>10</v>
      </c>
      <c r="F25" s="67" t="s">
        <v>26</v>
      </c>
      <c r="G25" s="2"/>
    </row>
    <row r="26" spans="1:11" ht="15.6" x14ac:dyDescent="0.3">
      <c r="A26" s="68" t="s">
        <v>38</v>
      </c>
      <c r="B26" s="69">
        <f>'5770'!B20</f>
        <v>10</v>
      </c>
      <c r="C26" s="69" t="str">
        <f>'5770'!C20</f>
        <v>CUB S/R F/E</v>
      </c>
      <c r="D26" s="69">
        <f>'5770'!D20</f>
        <v>3600</v>
      </c>
      <c r="E26" s="69">
        <f>'5770'!E20</f>
        <v>600</v>
      </c>
      <c r="F26" s="69" t="str">
        <f>'5770'!F20</f>
        <v>SEGATO MIELE 1468 MT</v>
      </c>
      <c r="G26" s="2"/>
    </row>
    <row r="27" spans="1:11" ht="15.6" x14ac:dyDescent="0.3">
      <c r="B27" s="9"/>
      <c r="C27" s="20"/>
      <c r="D27" s="9"/>
      <c r="E27" s="9"/>
      <c r="F27" s="64"/>
      <c r="G27" s="2"/>
    </row>
    <row r="28" spans="1:11" ht="15.6" x14ac:dyDescent="0.3">
      <c r="B28" s="9"/>
      <c r="C28" s="20"/>
      <c r="D28" s="9"/>
      <c r="E28" s="9"/>
      <c r="F28" s="64"/>
    </row>
    <row r="29" spans="1:11" ht="15.6" x14ac:dyDescent="0.3">
      <c r="B29" s="9"/>
      <c r="C29" s="20"/>
      <c r="D29" s="9"/>
      <c r="E29" s="9"/>
      <c r="F29" s="64"/>
    </row>
    <row r="30" spans="1:11" ht="15.6" x14ac:dyDescent="0.3">
      <c r="B30" s="9"/>
      <c r="C30" s="20"/>
      <c r="D30" s="9"/>
      <c r="E30" s="9"/>
      <c r="F30" s="64"/>
    </row>
    <row r="31" spans="1:11" ht="15.6" x14ac:dyDescent="0.3">
      <c r="B31" s="9"/>
      <c r="C31" s="20"/>
      <c r="D31" s="9"/>
      <c r="E31" s="9"/>
      <c r="F31" s="64"/>
    </row>
    <row r="32" spans="1:11" ht="15.6" x14ac:dyDescent="0.3">
      <c r="B32" s="9"/>
      <c r="C32" s="20"/>
      <c r="D32" s="9"/>
      <c r="E32" s="9"/>
      <c r="F32" s="64"/>
    </row>
    <row r="33" spans="1:6" ht="15.6" x14ac:dyDescent="0.3">
      <c r="B33" s="9"/>
      <c r="C33" s="20"/>
      <c r="D33" s="9"/>
      <c r="E33" s="9"/>
      <c r="F33" s="64"/>
    </row>
    <row r="35" spans="1:6" ht="15.6" x14ac:dyDescent="0.3">
      <c r="C35" s="53" t="s">
        <v>30</v>
      </c>
      <c r="E35" s="54">
        <f>'5770'!G8</f>
        <v>7090</v>
      </c>
    </row>
    <row r="36" spans="1:6" ht="20.399999999999999" customHeight="1" x14ac:dyDescent="0.3">
      <c r="C36" s="55" t="s">
        <v>35</v>
      </c>
      <c r="D36" s="56" t="str">
        <f>'5770'!C10</f>
        <v>SOC.COM. MUEBLES BODY E HIJOS</v>
      </c>
      <c r="E36" s="34"/>
      <c r="F36" s="34"/>
    </row>
    <row r="37" spans="1:6" x14ac:dyDescent="0.3">
      <c r="C37" s="57"/>
      <c r="D37" s="58"/>
    </row>
    <row r="38" spans="1:6" ht="15.6" x14ac:dyDescent="0.3">
      <c r="C38" s="59" t="str">
        <f>'[1]4637'!F11</f>
        <v>FECHA ENTREGA :</v>
      </c>
      <c r="E38" s="60">
        <f>'5770'!G11</f>
        <v>45469</v>
      </c>
      <c r="F38" s="2"/>
    </row>
    <row r="39" spans="1:6" x14ac:dyDescent="0.3">
      <c r="E39" t="str">
        <f>'5770'!B15</f>
        <v>CIUDAD:</v>
      </c>
      <c r="F39" t="str">
        <f>'5770'!C15</f>
        <v xml:space="preserve">SANTIAGO </v>
      </c>
    </row>
    <row r="41" spans="1:6" x14ac:dyDescent="0.3">
      <c r="A41" s="116" t="s">
        <v>40</v>
      </c>
      <c r="B41" s="116"/>
      <c r="C41" s="116"/>
      <c r="D41" s="116"/>
      <c r="E41" s="116"/>
      <c r="F41" s="116"/>
    </row>
    <row r="43" spans="1:6" x14ac:dyDescent="0.3">
      <c r="B43" s="117" t="s">
        <v>4</v>
      </c>
      <c r="C43" s="118"/>
      <c r="D43" s="119"/>
      <c r="E43" s="119"/>
      <c r="F43" s="120"/>
    </row>
    <row r="44" spans="1:6" x14ac:dyDescent="0.3">
      <c r="A44" s="1"/>
      <c r="B44" s="70" t="s">
        <v>12</v>
      </c>
      <c r="C44" s="71" t="s">
        <v>14</v>
      </c>
      <c r="D44" s="72" t="s">
        <v>9</v>
      </c>
      <c r="E44" s="72" t="s">
        <v>10</v>
      </c>
      <c r="F44" s="71" t="s">
        <v>26</v>
      </c>
    </row>
    <row r="45" spans="1:6" x14ac:dyDescent="0.3">
      <c r="A45" s="62" t="s">
        <v>48</v>
      </c>
      <c r="B45" s="73">
        <f>'5770'!B20</f>
        <v>10</v>
      </c>
      <c r="C45" s="73" t="str">
        <f>'5770'!C20</f>
        <v>CUB S/R F/E</v>
      </c>
      <c r="D45" s="74">
        <f>'5770'!D20</f>
        <v>3600</v>
      </c>
      <c r="E45" s="74">
        <f>'5770'!E20</f>
        <v>600</v>
      </c>
      <c r="F45" s="73" t="str">
        <f>'5770'!F20</f>
        <v>SEGATO MIELE 1468 MT</v>
      </c>
    </row>
    <row r="46" spans="1:6" ht="15.6" x14ac:dyDescent="0.3">
      <c r="A46" s="75"/>
      <c r="B46" s="5"/>
      <c r="C46" s="47"/>
      <c r="D46" s="9"/>
      <c r="E46" s="9"/>
      <c r="F46" s="64"/>
    </row>
    <row r="47" spans="1:6" ht="15.6" x14ac:dyDescent="0.3">
      <c r="A47" s="75"/>
      <c r="B47" s="5"/>
      <c r="C47" s="47"/>
      <c r="D47" s="9"/>
      <c r="E47" s="9"/>
      <c r="F47" s="57"/>
    </row>
    <row r="48" spans="1:6" ht="15.6" x14ac:dyDescent="0.3">
      <c r="A48" s="75"/>
      <c r="B48" s="5"/>
      <c r="C48" s="47"/>
      <c r="D48" s="9"/>
      <c r="E48" s="9"/>
      <c r="F48" s="64"/>
    </row>
    <row r="49" spans="1:6" ht="15" thickBot="1" x14ac:dyDescent="0.35"/>
    <row r="50" spans="1:6" x14ac:dyDescent="0.3">
      <c r="B50" s="76" t="s">
        <v>15</v>
      </c>
      <c r="C50" s="77"/>
      <c r="D50" s="11"/>
      <c r="E50" s="11"/>
      <c r="F50" s="12"/>
    </row>
    <row r="51" spans="1:6" x14ac:dyDescent="0.3">
      <c r="B51" s="13"/>
      <c r="C51" s="78" t="s">
        <v>41</v>
      </c>
      <c r="D51" s="14"/>
      <c r="E51" s="14"/>
      <c r="F51" s="15"/>
    </row>
    <row r="52" spans="1:6" ht="18" x14ac:dyDescent="0.35">
      <c r="B52" s="78" t="s">
        <v>42</v>
      </c>
      <c r="C52" s="79"/>
      <c r="D52" s="16"/>
      <c r="E52" s="16"/>
      <c r="F52" s="17"/>
    </row>
    <row r="53" spans="1:6" ht="18.600000000000001" thickBot="1" x14ac:dyDescent="0.4">
      <c r="B53" s="80" t="s">
        <v>43</v>
      </c>
      <c r="C53" s="18"/>
      <c r="D53" s="18"/>
      <c r="E53" s="18"/>
      <c r="F53" s="19"/>
    </row>
    <row r="54" spans="1:6" ht="18" x14ac:dyDescent="0.35">
      <c r="A54" s="3"/>
      <c r="B54" s="10"/>
    </row>
  </sheetData>
  <mergeCells count="4">
    <mergeCell ref="A10:F10"/>
    <mergeCell ref="A17:F17"/>
    <mergeCell ref="A41:F41"/>
    <mergeCell ref="B43:F43"/>
  </mergeCells>
  <pageMargins left="0.70866141732283472" right="0.70866141732283472" top="0.74803149606299213" bottom="0.74803149606299213" header="0.31496062992125984" footer="0.31496062992125984"/>
  <pageSetup scale="9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5770</vt:lpstr>
      <vt:lpstr>CUBIERTA</vt:lpstr>
      <vt:lpstr>'5770'!Área_de_impresión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2024-06-25T15:43:41Z</cp:lastPrinted>
  <dcterms:created xsi:type="dcterms:W3CDTF">2013-03-19T12:54:14Z</dcterms:created>
  <dcterms:modified xsi:type="dcterms:W3CDTF">2024-06-25T15:47:39Z</dcterms:modified>
</cp:coreProperties>
</file>