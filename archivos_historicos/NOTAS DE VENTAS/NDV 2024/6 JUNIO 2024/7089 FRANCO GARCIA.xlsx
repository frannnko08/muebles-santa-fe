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0F17AE74-C4BD-4A55-B613-AD4AA31A57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5" i="4"/>
  <c r="H24" i="4"/>
  <c r="H23" i="4"/>
  <c r="H22" i="4"/>
  <c r="H21" i="4"/>
  <c r="B38" i="3"/>
  <c r="I27" i="3" s="1"/>
  <c r="B27" i="3" s="1"/>
  <c r="C38" i="3"/>
  <c r="F15" i="3" s="1"/>
  <c r="D38" i="3"/>
  <c r="J15" i="3" s="1"/>
  <c r="D15" i="3" s="1"/>
  <c r="E38" i="3"/>
  <c r="K27" i="3" s="1"/>
  <c r="E27" i="3" s="1"/>
  <c r="F38" i="3"/>
  <c r="B39" i="3"/>
  <c r="I28" i="3" s="1"/>
  <c r="C39" i="3"/>
  <c r="F16" i="3" s="1"/>
  <c r="D39" i="3"/>
  <c r="J16" i="3" s="1"/>
  <c r="D16" i="3" s="1"/>
  <c r="E39" i="3"/>
  <c r="K28" i="3" s="1"/>
  <c r="E28" i="3" s="1"/>
  <c r="F39" i="3"/>
  <c r="B40" i="3"/>
  <c r="I29" i="3" s="1"/>
  <c r="C40" i="3"/>
  <c r="F17" i="3" s="1"/>
  <c r="D40" i="3"/>
  <c r="J17" i="3" s="1"/>
  <c r="D17" i="3" s="1"/>
  <c r="E40" i="3"/>
  <c r="K29" i="3" s="1"/>
  <c r="E29" i="3" s="1"/>
  <c r="F40" i="3"/>
  <c r="B41" i="3"/>
  <c r="I30" i="3" s="1"/>
  <c r="B30" i="3" s="1"/>
  <c r="C41" i="3"/>
  <c r="F18" i="3" s="1"/>
  <c r="D41" i="3"/>
  <c r="J18" i="3" s="1"/>
  <c r="D18" i="3" s="1"/>
  <c r="E41" i="3"/>
  <c r="K30" i="3" s="1"/>
  <c r="E30" i="3" s="1"/>
  <c r="F41" i="3"/>
  <c r="B42" i="3"/>
  <c r="C42" i="3"/>
  <c r="D42" i="3"/>
  <c r="E42" i="3"/>
  <c r="F42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B67" i="3"/>
  <c r="C67" i="3"/>
  <c r="D67" i="3"/>
  <c r="E67" i="3"/>
  <c r="F67" i="3"/>
  <c r="B68" i="3"/>
  <c r="C68" i="3"/>
  <c r="D68" i="3"/>
  <c r="E68" i="3"/>
  <c r="F68" i="3"/>
  <c r="J29" i="3" l="1"/>
  <c r="D29" i="3" s="1"/>
  <c r="J28" i="3"/>
  <c r="D28" i="3" s="1"/>
  <c r="K16" i="3"/>
  <c r="E16" i="3" s="1"/>
  <c r="J30" i="3"/>
  <c r="D30" i="3" s="1"/>
  <c r="K17" i="3"/>
  <c r="E17" i="3" s="1"/>
  <c r="K15" i="3"/>
  <c r="E15" i="3" s="1"/>
  <c r="B28" i="3"/>
  <c r="I16" i="3"/>
  <c r="B16" i="3" s="1"/>
  <c r="B29" i="3"/>
  <c r="I17" i="3"/>
  <c r="B17" i="3" s="1"/>
  <c r="J27" i="3"/>
  <c r="D27" i="3" s="1"/>
  <c r="F30" i="3"/>
  <c r="F29" i="3"/>
  <c r="F28" i="3"/>
  <c r="F27" i="3"/>
  <c r="I18" i="3"/>
  <c r="B18" i="3" s="1"/>
  <c r="I15" i="3"/>
  <c r="B15" i="3" s="1"/>
  <c r="K18" i="3"/>
  <c r="E18" i="3" s="1"/>
  <c r="H29" i="4"/>
  <c r="B63" i="3"/>
  <c r="C63" i="3"/>
  <c r="D63" i="3"/>
  <c r="E63" i="3"/>
  <c r="F63" i="3"/>
  <c r="B37" i="3"/>
  <c r="C37" i="3"/>
  <c r="F26" i="3" s="1"/>
  <c r="D37" i="3"/>
  <c r="J14" i="3" s="1"/>
  <c r="D14" i="3" s="1"/>
  <c r="E37" i="3"/>
  <c r="K14" i="3" s="1"/>
  <c r="E14" i="3" s="1"/>
  <c r="F37" i="3"/>
  <c r="H30" i="4" l="1"/>
  <c r="I26" i="3"/>
  <c r="F14" i="3"/>
  <c r="K26" i="3"/>
  <c r="E26" i="3" s="1"/>
  <c r="J26" i="3"/>
  <c r="D26" i="3" s="1"/>
  <c r="B26" i="3" l="1"/>
  <c r="I14" i="3"/>
  <c r="B14" i="3" s="1"/>
  <c r="H31" i="4"/>
  <c r="N5" i="3" l="1"/>
  <c r="M5" i="3" l="1"/>
  <c r="L5" i="3"/>
  <c r="K5" i="3"/>
  <c r="C56" i="3" l="1"/>
  <c r="C7" i="3"/>
  <c r="D54" i="3"/>
  <c r="D5" i="3"/>
  <c r="D56" i="3"/>
  <c r="D7" i="3"/>
  <c r="D53" i="3"/>
  <c r="D4" i="3"/>
</calcChain>
</file>

<file path=xl/sharedStrings.xml><?xml version="1.0" encoding="utf-8"?>
<sst xmlns="http://schemas.openxmlformats.org/spreadsheetml/2006/main" count="268" uniqueCount="150">
  <si>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</si>
  <si>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</si>
  <si>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</si>
  <si>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</si>
  <si>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</si>
  <si>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</si>
  <si>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</si>
  <si>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</si>
  <si>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</si>
  <si>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</si>
  <si>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</si>
  <si>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</si>
  <si>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</si>
  <si>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</si>
  <si>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</si>
  <si>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</si>
  <si>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</si>
  <si>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</si>
  <si>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</si>
  <si>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</si>
  <si>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</si>
  <si>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</si>
  <si>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</si>
  <si>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</si>
  <si>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</si>
  <si>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</si>
  <si>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</si>
  <si>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</si>
  <si>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</si>
  <si>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</si>
  <si>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</si>
  <si>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</si>
  <si>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</si>
  <si>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</si>
  <si>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</si>
  <si>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</si>
  <si>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</si>
  <si>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</si>
  <si>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</si>
  <si>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</si>
  <si>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</si>
  <si>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</si>
  <si>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</si>
  <si>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</si>
  <si>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</si>
  <si>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</si>
  <si>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</si>
  <si>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</si>
  <si>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</si>
  <si>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</si>
  <si>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</si>
  <si>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</si>
  <si>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</si>
  <si>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</si>
  <si>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</si>
  <si>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</si>
  <si>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</si>
  <si>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</si>
  <si>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</si>
  <si>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</si>
  <si>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</si>
  <si>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</si>
  <si>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</si>
  <si>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</si>
  <si>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</si>
  <si>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</si>
  <si>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</si>
  <si>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</si>
  <si>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</si>
  <si>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</si>
  <si>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</si>
  <si>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</si>
  <si>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</si>
  <si>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</si>
  <si>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</si>
  <si>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</si>
  <si>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</si>
  <si>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</si>
  <si>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</si>
  <si>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</si>
  <si>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</si>
  <si>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</si>
  <si>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</si>
  <si>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</si>
  <si>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</si>
  <si>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</si>
  <si>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</si>
  <si>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</si>
  <si>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</si>
  <si>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</si>
  <si>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</si>
  <si>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</si>
  <si>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</si>
  <si>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</si>
  <si>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</si>
  <si>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</si>
  <si>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</si>
  <si>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</si>
  <si>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</si>
  <si>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</si>
  <si>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</si>
  <si>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</si>
  <si>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</si>
  <si>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</si>
  <si>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</si>
  <si>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</si>
  <si>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</si>
  <si>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</si>
  <si>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</si>
  <si>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</si>
  <si>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</si>
  <si>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</si>
  <si>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</si>
  <si>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</si>
  <si>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</si>
  <si>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</si>
  <si>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</si>
  <si>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</si>
  <si>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</si>
  <si>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</si>
  <si>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</si>
  <si>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</si>
  <si>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</si>
  <si>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</si>
  <si>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</si>
  <si>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</si>
  <si>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</si>
  <si>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</si>
  <si>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</si>
  <si>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</si>
  <si>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</si>
  <si>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</si>
  <si>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</si>
  <si>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</si>
  <si>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</si>
  <si>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</si>
  <si>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</t>
  </si>
  <si>
    <t>DESCTO.</t>
  </si>
  <si>
    <t>O/C 30 DIAS</t>
  </si>
  <si>
    <t>NO</t>
  </si>
  <si>
    <t>MUEBLES ME SPA</t>
  </si>
  <si>
    <t xml:space="preserve">FRANCO GARCIA </t>
  </si>
  <si>
    <t>CUB C/R 10 CMS FRENTE 90° R8</t>
  </si>
  <si>
    <t>BLANCO BRILLO</t>
  </si>
  <si>
    <t>SERVICIO CORTE A LA MEDIDA</t>
  </si>
  <si>
    <t>N° 10920</t>
  </si>
  <si>
    <t>77.145.047-4</t>
  </si>
  <si>
    <t>SAN GUMERCINDO 323, ESTACION CENTRAL</t>
  </si>
  <si>
    <t>CORTAR RESPALDO A 88</t>
  </si>
  <si>
    <t>CORTAR RESPALDO A 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</si>
</sst>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5</xdr:col>
      <xdr:colOff>1390650</xdr:colOff>
      <xdr:row>32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2 $ 80.144.-</a:t>
          </a:r>
          <a:r>
            <a:rPr lang="es-CL" sz="900" b="1" i="1" baseline="0"/>
            <a:t> Y  $ 250.000.- 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57</xdr:row>
      <xdr:rowOff>171450</xdr:rowOff>
    </xdr:from>
    <xdr:to>
      <xdr:col>5</xdr:col>
      <xdr:colOff>1685924</xdr:colOff>
      <xdr:row>59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38100</xdr:rowOff>
    </xdr:from>
    <xdr:to>
      <xdr:col>6</xdr:col>
      <xdr:colOff>0</xdr:colOff>
      <xdr:row>54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70</xdr:row>
      <xdr:rowOff>0</xdr:rowOff>
    </xdr:from>
    <xdr:to>
      <xdr:col>2</xdr:col>
      <xdr:colOff>38100</xdr:colOff>
      <xdr:row>71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70</xdr:row>
      <xdr:rowOff>0</xdr:rowOff>
    </xdr:from>
    <xdr:to>
      <xdr:col>2</xdr:col>
      <xdr:colOff>1019175</xdr:colOff>
      <xdr:row>70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0</xdr:rowOff>
    </xdr:from>
    <xdr:to>
      <xdr:col>3</xdr:col>
      <xdr:colOff>352425</xdr:colOff>
      <xdr:row>71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0</xdr:rowOff>
    </xdr:from>
    <xdr:to>
      <xdr:col>4</xdr:col>
      <xdr:colOff>257175</xdr:colOff>
      <xdr:row>71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0</xdr:rowOff>
    </xdr:from>
    <xdr:to>
      <xdr:col>5</xdr:col>
      <xdr:colOff>447675</xdr:colOff>
      <xdr:row>70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0</xdr:rowOff>
    </xdr:from>
    <xdr:to>
      <xdr:col>6</xdr:col>
      <xdr:colOff>0</xdr:colOff>
      <xdr:row>70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70</xdr:row>
      <xdr:rowOff>190500</xdr:rowOff>
    </xdr:from>
    <xdr:to>
      <xdr:col>2</xdr:col>
      <xdr:colOff>304800</xdr:colOff>
      <xdr:row>72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70</xdr:row>
      <xdr:rowOff>190500</xdr:rowOff>
    </xdr:from>
    <xdr:to>
      <xdr:col>2</xdr:col>
      <xdr:colOff>1276350</xdr:colOff>
      <xdr:row>72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70</xdr:row>
      <xdr:rowOff>190500</xdr:rowOff>
    </xdr:from>
    <xdr:to>
      <xdr:col>3</xdr:col>
      <xdr:colOff>619125</xdr:colOff>
      <xdr:row>72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70</xdr:row>
      <xdr:rowOff>190500</xdr:rowOff>
    </xdr:from>
    <xdr:to>
      <xdr:col>4</xdr:col>
      <xdr:colOff>523875</xdr:colOff>
      <xdr:row>72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70</xdr:row>
      <xdr:rowOff>190500</xdr:rowOff>
    </xdr:from>
    <xdr:to>
      <xdr:col>5</xdr:col>
      <xdr:colOff>723900</xdr:colOff>
      <xdr:row>72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70</xdr:row>
      <xdr:rowOff>190500</xdr:rowOff>
    </xdr:from>
    <xdr:to>
      <xdr:col>6</xdr:col>
      <xdr:colOff>0</xdr:colOff>
      <xdr:row>72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44</xdr:row>
      <xdr:rowOff>15239</xdr:rowOff>
    </xdr:from>
    <xdr:to>
      <xdr:col>6</xdr:col>
      <xdr:colOff>68580</xdr:colOff>
      <xdr:row>48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RESPALDO A 88MM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32</xdr:row>
      <xdr:rowOff>200025</xdr:rowOff>
    </xdr:from>
    <xdr:to>
      <xdr:col>6</xdr:col>
      <xdr:colOff>19049</xdr:colOff>
      <xdr:row>34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73</xdr:row>
      <xdr:rowOff>32385</xdr:rowOff>
    </xdr:from>
    <xdr:to>
      <xdr:col>6</xdr:col>
      <xdr:colOff>19050</xdr:colOff>
      <xdr:row>77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49</xdr:row>
      <xdr:rowOff>194310</xdr:rowOff>
    </xdr:from>
    <xdr:to>
      <xdr:col>1</xdr:col>
      <xdr:colOff>801763</xdr:colOff>
      <xdr:row>56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opLeftCell="A6" workbookViewId="0">
      <selection activeCell="C16" sqref="C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145</v>
      </c>
      <c r="E8" s="1"/>
      <c r="F8" s="94" t="s">
        <v>27</v>
      </c>
      <c r="G8" s="95">
        <v>7089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45457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146</v>
      </c>
      <c r="D11" s="60"/>
      <c r="E11" s="60"/>
      <c r="F11" s="60" t="s">
        <v>124</v>
      </c>
      <c r="G11" s="61">
        <v>45469</v>
      </c>
      <c r="H11" s="62"/>
      <c r="I11" s="1"/>
    </row>
    <row r="12" spans="1:17" ht="16.2" thickBot="1" x14ac:dyDescent="0.35">
      <c r="A12" s="1"/>
      <c r="B12" s="63" t="s">
        <v>132</v>
      </c>
      <c r="C12" t="s">
        <v>136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 t="s">
        <v>141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4">
        <v>56994386075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147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2</v>
      </c>
      <c r="C21" s="122" t="s">
        <v>142</v>
      </c>
      <c r="D21" s="126">
        <v>1805</v>
      </c>
      <c r="E21" s="126">
        <v>600</v>
      </c>
      <c r="F21" s="122" t="s">
        <v>143</v>
      </c>
      <c r="G21" s="124">
        <v>74729</v>
      </c>
      <c r="H21" s="125">
        <f t="shared" ref="H21:H26" si="0">G21*B21</f>
        <v>149458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3</v>
      </c>
      <c r="C22" s="122" t="s">
        <v>142</v>
      </c>
      <c r="D22" s="126">
        <v>1605</v>
      </c>
      <c r="E22" s="126">
        <v>600</v>
      </c>
      <c r="F22" s="122" t="s">
        <v>143</v>
      </c>
      <c r="G22" s="124">
        <v>66672</v>
      </c>
      <c r="H22" s="125">
        <f t="shared" si="0"/>
        <v>200016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5">
        <v>1</v>
      </c>
      <c r="C23" s="122" t="s">
        <v>142</v>
      </c>
      <c r="D23" s="126">
        <v>605</v>
      </c>
      <c r="E23" s="126">
        <v>550</v>
      </c>
      <c r="F23" s="122" t="s">
        <v>143</v>
      </c>
      <c r="G23" s="124">
        <v>24188</v>
      </c>
      <c r="H23" s="125">
        <f t="shared" si="0"/>
        <v>24188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5">
        <v>1</v>
      </c>
      <c r="C24" s="122" t="s">
        <v>142</v>
      </c>
      <c r="D24" s="126">
        <v>2205</v>
      </c>
      <c r="E24" s="126">
        <v>600</v>
      </c>
      <c r="F24" s="122" t="s">
        <v>143</v>
      </c>
      <c r="G24" s="124">
        <v>90843</v>
      </c>
      <c r="H24" s="125">
        <f t="shared" si="0"/>
        <v>90843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5">
        <v>1</v>
      </c>
      <c r="C25" s="122" t="s">
        <v>142</v>
      </c>
      <c r="D25" s="126">
        <v>1925</v>
      </c>
      <c r="E25" s="126">
        <v>600</v>
      </c>
      <c r="F25" s="122" t="s">
        <v>143</v>
      </c>
      <c r="G25" s="124">
        <v>79563</v>
      </c>
      <c r="H25" s="125">
        <f t="shared" si="0"/>
        <v>79563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5">
        <v>8</v>
      </c>
      <c r="C26" s="122" t="s">
        <v>144</v>
      </c>
      <c r="D26" s="123"/>
      <c r="E26" s="123"/>
      <c r="F26" s="122"/>
      <c r="G26" s="124">
        <v>5000</v>
      </c>
      <c r="H26" s="125">
        <f t="shared" si="0"/>
        <v>40000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7"/>
      <c r="C27" s="97"/>
      <c r="D27" s="97"/>
      <c r="E27" s="97"/>
      <c r="F27" s="98"/>
      <c r="G27" s="106" t="s">
        <v>137</v>
      </c>
      <c r="H27" s="106">
        <v>-29203</v>
      </c>
      <c r="I27" s="1"/>
      <c r="K27" s="17"/>
      <c r="L27" s="26"/>
      <c r="M27" s="17"/>
      <c r="N27" s="17"/>
      <c r="O27" s="26"/>
      <c r="P27" s="33"/>
    </row>
    <row r="28" spans="1:16" ht="8.25" customHeight="1" thickBot="1" x14ac:dyDescent="0.35">
      <c r="A28" s="1"/>
      <c r="B28" s="74"/>
      <c r="C28" s="74"/>
      <c r="D28" s="74"/>
      <c r="E28" s="74"/>
      <c r="F28" s="74"/>
      <c r="G28" s="75"/>
      <c r="H28" s="75"/>
      <c r="I28" s="1"/>
    </row>
    <row r="29" spans="1:16" ht="15.6" x14ac:dyDescent="0.3">
      <c r="A29" s="1"/>
      <c r="B29" s="1"/>
      <c r="C29" s="1"/>
      <c r="D29" s="1"/>
      <c r="E29" s="1"/>
      <c r="F29" s="1"/>
      <c r="G29" s="76" t="s">
        <v>5</v>
      </c>
      <c r="H29" s="77">
        <f>SUM(H21:H28)</f>
        <v>554865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8" t="s">
        <v>6</v>
      </c>
      <c r="H30" s="79">
        <f>H29*19%</f>
        <v>105424.35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80" t="s">
        <v>4</v>
      </c>
      <c r="H31" s="81">
        <f>H29+H30</f>
        <v>660289.35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2"/>
      <c r="H32" s="99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82" t="s">
        <v>123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82" t="s">
        <v>122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5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1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1"/>
  <sheetViews>
    <sheetView tabSelected="1" zoomScaleNormal="100" workbookViewId="0">
      <selection sqref="A1:F4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7089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ME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45469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 t="s">
        <v>149</v>
      </c>
      <c r="D14" s="25">
        <f>J14+D$13</f>
        <v>1855</v>
      </c>
      <c r="E14" s="35">
        <f>K14+E$13</f>
        <v>570</v>
      </c>
      <c r="F14" s="102" t="str">
        <f>C37</f>
        <v>CUB C/R 10 CMS FRENTE 90° R8</v>
      </c>
      <c r="G14" s="1"/>
      <c r="I14" s="3">
        <f t="shared" ref="I14:I18" si="1">I26</f>
        <v>2</v>
      </c>
      <c r="J14" s="4">
        <f t="shared" ref="J14:K14" si="2">D37</f>
        <v>1805</v>
      </c>
      <c r="K14" s="4">
        <f t="shared" si="2"/>
        <v>600</v>
      </c>
    </row>
    <row r="15" spans="1:14" ht="15.6" x14ac:dyDescent="0.3">
      <c r="A15" s="96"/>
      <c r="B15" s="25">
        <f t="shared" ref="B15:B18" si="3">I15</f>
        <v>3</v>
      </c>
      <c r="C15" s="25" t="s">
        <v>149</v>
      </c>
      <c r="D15" s="25">
        <f t="shared" ref="D15:D18" si="4">J15+D$13</f>
        <v>1655</v>
      </c>
      <c r="E15" s="35">
        <f t="shared" ref="E15:E18" si="5">K15+E$13</f>
        <v>570</v>
      </c>
      <c r="F15" s="102" t="str">
        <f>C38</f>
        <v>CUB C/R 10 CMS FRENTE 90° R8</v>
      </c>
      <c r="G15" s="1"/>
      <c r="I15" s="3">
        <f t="shared" si="1"/>
        <v>3</v>
      </c>
      <c r="J15" s="4">
        <f>D38</f>
        <v>1605</v>
      </c>
      <c r="K15" s="4">
        <f>E38</f>
        <v>600</v>
      </c>
    </row>
    <row r="16" spans="1:14" ht="15.6" x14ac:dyDescent="0.3">
      <c r="A16" s="96"/>
      <c r="B16" s="25">
        <f t="shared" si="3"/>
        <v>1</v>
      </c>
      <c r="C16" s="25" t="s">
        <v>149</v>
      </c>
      <c r="D16" s="25">
        <f t="shared" si="4"/>
        <v>655</v>
      </c>
      <c r="E16" s="35">
        <f t="shared" si="5"/>
        <v>520</v>
      </c>
      <c r="F16" s="102" t="str">
        <f>C39</f>
        <v>CUB C/R 10 CMS FRENTE 90° R8</v>
      </c>
      <c r="G16" s="1"/>
      <c r="I16" s="3">
        <f t="shared" si="1"/>
        <v>1</v>
      </c>
      <c r="J16" s="4">
        <f>D39</f>
        <v>605</v>
      </c>
      <c r="K16" s="4">
        <f>E39</f>
        <v>550</v>
      </c>
    </row>
    <row r="17" spans="1:11" ht="15.6" x14ac:dyDescent="0.3">
      <c r="A17" s="96"/>
      <c r="B17" s="25">
        <f t="shared" si="3"/>
        <v>1</v>
      </c>
      <c r="C17" s="25" t="s">
        <v>149</v>
      </c>
      <c r="D17" s="25">
        <f t="shared" si="4"/>
        <v>2255</v>
      </c>
      <c r="E17" s="35">
        <f t="shared" si="5"/>
        <v>570</v>
      </c>
      <c r="F17" s="102" t="str">
        <f>C40</f>
        <v>CUB C/R 10 CMS FRENTE 90° R8</v>
      </c>
      <c r="G17" s="1"/>
      <c r="I17" s="3">
        <f t="shared" si="1"/>
        <v>1</v>
      </c>
      <c r="J17" s="4">
        <f>D40</f>
        <v>2205</v>
      </c>
      <c r="K17" s="4">
        <f>E40</f>
        <v>600</v>
      </c>
    </row>
    <row r="18" spans="1:11" ht="15.6" x14ac:dyDescent="0.3">
      <c r="A18" s="96"/>
      <c r="B18" s="25">
        <f t="shared" si="3"/>
        <v>1</v>
      </c>
      <c r="C18" s="25" t="s">
        <v>149</v>
      </c>
      <c r="D18" s="25">
        <f t="shared" si="4"/>
        <v>1975</v>
      </c>
      <c r="E18" s="35">
        <f t="shared" si="5"/>
        <v>570</v>
      </c>
      <c r="F18" s="102" t="str">
        <f>C41</f>
        <v>CUB C/R 10 CMS FRENTE 90° R8</v>
      </c>
      <c r="G18" s="1"/>
      <c r="I18" s="3">
        <f t="shared" si="1"/>
        <v>1</v>
      </c>
      <c r="J18" s="4">
        <f>D41</f>
        <v>1925</v>
      </c>
      <c r="K18" s="4">
        <f>E41</f>
        <v>600</v>
      </c>
    </row>
    <row r="19" spans="1:11" ht="15.6" x14ac:dyDescent="0.3">
      <c r="A19" s="96"/>
      <c r="B19" s="6"/>
      <c r="C19" s="6"/>
      <c r="D19" s="6"/>
      <c r="E19" s="89"/>
      <c r="F19" s="108"/>
      <c r="G19" s="1"/>
      <c r="I19" s="90"/>
      <c r="J19" s="2"/>
      <c r="K19" s="2"/>
    </row>
    <row r="20" spans="1:11" ht="15.6" x14ac:dyDescent="0.3">
      <c r="A20" s="52"/>
      <c r="B20" s="6"/>
      <c r="C20" s="6"/>
      <c r="D20" s="6"/>
      <c r="E20" s="89"/>
      <c r="F20" s="6"/>
      <c r="G20" s="1"/>
      <c r="I20" s="90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17" t="s">
        <v>14</v>
      </c>
      <c r="B22" s="117"/>
      <c r="C22" s="117"/>
      <c r="D22" s="117"/>
      <c r="E22" s="117"/>
      <c r="F22" s="117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1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180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6" t="s">
        <v>130</v>
      </c>
      <c r="B26" s="16">
        <f t="shared" ref="B26" si="6">I26</f>
        <v>2</v>
      </c>
      <c r="C26" s="16" t="s">
        <v>148</v>
      </c>
      <c r="D26" s="16">
        <f>J26+D$25</f>
        <v>1845</v>
      </c>
      <c r="E26" s="16">
        <f>K26+E$25</f>
        <v>780</v>
      </c>
      <c r="F26" s="103" t="str">
        <f>C37</f>
        <v>CUB C/R 10 CMS FRENTE 90° R8</v>
      </c>
      <c r="G26" s="1"/>
      <c r="I26" s="3">
        <f>B37</f>
        <v>2</v>
      </c>
      <c r="J26" s="4">
        <f>D37</f>
        <v>1805</v>
      </c>
      <c r="K26" s="4">
        <f>E37</f>
        <v>600</v>
      </c>
    </row>
    <row r="27" spans="1:11" ht="15.6" x14ac:dyDescent="0.3">
      <c r="A27" s="96"/>
      <c r="B27" s="16">
        <f t="shared" ref="B27:B30" si="7">I27</f>
        <v>3</v>
      </c>
      <c r="C27" s="16" t="s">
        <v>148</v>
      </c>
      <c r="D27" s="16">
        <f>J27+D$25</f>
        <v>1645</v>
      </c>
      <c r="E27" s="16">
        <f>K27+E$25</f>
        <v>780</v>
      </c>
      <c r="F27" s="103" t="str">
        <f>C38</f>
        <v>CUB C/R 10 CMS FRENTE 90° R8</v>
      </c>
      <c r="G27" s="1"/>
      <c r="I27" s="3">
        <f>B38</f>
        <v>3</v>
      </c>
      <c r="J27" s="4">
        <f t="shared" ref="J27:K27" si="8">D38</f>
        <v>1605</v>
      </c>
      <c r="K27" s="4">
        <f t="shared" si="8"/>
        <v>600</v>
      </c>
    </row>
    <row r="28" spans="1:11" ht="15.6" x14ac:dyDescent="0.3">
      <c r="A28" s="96"/>
      <c r="B28" s="16">
        <f t="shared" si="7"/>
        <v>1</v>
      </c>
      <c r="C28" s="16" t="s">
        <v>148</v>
      </c>
      <c r="D28" s="16">
        <f>J28+D$25</f>
        <v>645</v>
      </c>
      <c r="E28" s="16">
        <f>K28+E$25</f>
        <v>730</v>
      </c>
      <c r="F28" s="103" t="str">
        <f>C39</f>
        <v>CUB C/R 10 CMS FRENTE 90° R8</v>
      </c>
      <c r="G28" s="1"/>
      <c r="I28" s="3">
        <f>B39</f>
        <v>1</v>
      </c>
      <c r="J28" s="4">
        <f t="shared" ref="J28:K28" si="9">D39</f>
        <v>605</v>
      </c>
      <c r="K28" s="4">
        <f t="shared" si="9"/>
        <v>550</v>
      </c>
    </row>
    <row r="29" spans="1:11" ht="15.6" x14ac:dyDescent="0.3">
      <c r="A29" s="96"/>
      <c r="B29" s="16">
        <f t="shared" si="7"/>
        <v>1</v>
      </c>
      <c r="C29" s="16" t="s">
        <v>148</v>
      </c>
      <c r="D29" s="16">
        <f>J29+D$25</f>
        <v>2245</v>
      </c>
      <c r="E29" s="16">
        <f>K29+E$25</f>
        <v>780</v>
      </c>
      <c r="F29" s="103" t="str">
        <f>C40</f>
        <v>CUB C/R 10 CMS FRENTE 90° R8</v>
      </c>
      <c r="G29" s="1"/>
      <c r="I29" s="3">
        <f>B40</f>
        <v>1</v>
      </c>
      <c r="J29" s="4">
        <f t="shared" ref="J29:K29" si="10">D40</f>
        <v>2205</v>
      </c>
      <c r="K29" s="4">
        <f t="shared" si="10"/>
        <v>600</v>
      </c>
    </row>
    <row r="30" spans="1:11" ht="15.6" x14ac:dyDescent="0.3">
      <c r="A30" s="96"/>
      <c r="B30" s="16">
        <f t="shared" si="7"/>
        <v>1</v>
      </c>
      <c r="C30" s="16" t="s">
        <v>148</v>
      </c>
      <c r="D30" s="16">
        <f>J30+D$25</f>
        <v>1965</v>
      </c>
      <c r="E30" s="16">
        <f>K30+E$25</f>
        <v>780</v>
      </c>
      <c r="F30" s="103" t="str">
        <f>C41</f>
        <v>CUB C/R 10 CMS FRENTE 90° R8</v>
      </c>
      <c r="G30" s="1"/>
      <c r="I30" s="3">
        <f>B41</f>
        <v>1</v>
      </c>
      <c r="J30" s="4">
        <f t="shared" ref="J30:K30" si="11">D41</f>
        <v>1925</v>
      </c>
      <c r="K30" s="4">
        <f t="shared" si="11"/>
        <v>600</v>
      </c>
    </row>
    <row r="31" spans="1:11" ht="15.6" x14ac:dyDescent="0.3">
      <c r="A31" s="96"/>
      <c r="B31" s="6"/>
      <c r="C31" s="6"/>
      <c r="D31" s="6"/>
      <c r="E31" s="6"/>
      <c r="F31" s="108"/>
      <c r="G31" s="1"/>
      <c r="I31" s="90"/>
      <c r="J31" s="2"/>
      <c r="K31" s="2"/>
    </row>
    <row r="32" spans="1:11" ht="15.6" x14ac:dyDescent="0.3">
      <c r="A32" s="96"/>
      <c r="B32" s="6"/>
      <c r="C32" s="6"/>
      <c r="D32" s="6"/>
      <c r="E32" s="6"/>
      <c r="F32" s="6"/>
      <c r="G32" s="1"/>
      <c r="I32" s="90"/>
      <c r="J32" s="2"/>
      <c r="K32" s="2"/>
    </row>
    <row r="33" spans="1:11" ht="16.2" thickBot="1" x14ac:dyDescent="0.35">
      <c r="A33" s="52"/>
      <c r="B33" s="6"/>
      <c r="C33" s="6"/>
      <c r="D33" s="6"/>
      <c r="E33" s="6"/>
      <c r="F33" s="6"/>
      <c r="G33" s="1"/>
      <c r="I33" s="2"/>
      <c r="J33" s="2"/>
      <c r="K33" s="2"/>
    </row>
    <row r="34" spans="1:11" ht="16.2" thickBot="1" x14ac:dyDescent="0.35">
      <c r="A34" s="52"/>
      <c r="B34" s="22" t="s">
        <v>107</v>
      </c>
      <c r="C34" s="23"/>
      <c r="D34" s="23"/>
      <c r="E34" s="23"/>
      <c r="F34" s="24"/>
      <c r="G34" s="1"/>
      <c r="I34" s="2"/>
      <c r="J34" s="2"/>
      <c r="K34" s="2"/>
    </row>
    <row r="35" spans="1:11" ht="10.5" customHeight="1" x14ac:dyDescent="0.3">
      <c r="A35" s="1"/>
      <c r="B35" s="1"/>
      <c r="C35" s="1"/>
      <c r="D35" s="1"/>
      <c r="E35" s="1"/>
      <c r="F35" s="1"/>
      <c r="G35" s="1"/>
    </row>
    <row r="36" spans="1:11" ht="15.6" x14ac:dyDescent="0.3">
      <c r="A36" s="52" t="s">
        <v>9</v>
      </c>
      <c r="B36" s="88" t="s">
        <v>10</v>
      </c>
      <c r="C36" s="88" t="s">
        <v>110</v>
      </c>
      <c r="D36" s="88" t="s">
        <v>7</v>
      </c>
      <c r="E36" s="88" t="s">
        <v>8</v>
      </c>
      <c r="F36" s="88" t="s">
        <v>23</v>
      </c>
      <c r="G36" s="1"/>
    </row>
    <row r="37" spans="1:11" ht="15.6" x14ac:dyDescent="0.3">
      <c r="A37" s="96" t="s">
        <v>135</v>
      </c>
      <c r="B37" s="25">
        <f>'4637'!B21</f>
        <v>2</v>
      </c>
      <c r="C37" s="102" t="str">
        <f>'4637'!C21</f>
        <v>CUB C/R 10 CMS FRENTE 90° R8</v>
      </c>
      <c r="D37" s="25">
        <f>'4637'!D21</f>
        <v>1805</v>
      </c>
      <c r="E37" s="25">
        <f>'4637'!E21</f>
        <v>600</v>
      </c>
      <c r="F37" s="25" t="str">
        <f>'4637'!F21</f>
        <v>BLANCO BRILLO</v>
      </c>
      <c r="G37" s="1"/>
    </row>
    <row r="38" spans="1:11" ht="15.6" x14ac:dyDescent="0.3">
      <c r="A38" s="96"/>
      <c r="B38" s="25">
        <f>'4637'!B22</f>
        <v>3</v>
      </c>
      <c r="C38" s="102" t="str">
        <f>'4637'!C22</f>
        <v>CUB C/R 10 CMS FRENTE 90° R8</v>
      </c>
      <c r="D38" s="25">
        <f>'4637'!D22</f>
        <v>1605</v>
      </c>
      <c r="E38" s="25">
        <f>'4637'!E22</f>
        <v>600</v>
      </c>
      <c r="F38" s="25" t="str">
        <f>'4637'!F22</f>
        <v>BLANCO BRILLO</v>
      </c>
      <c r="G38" s="1"/>
    </row>
    <row r="39" spans="1:11" ht="15.6" x14ac:dyDescent="0.3">
      <c r="A39" s="96"/>
      <c r="B39" s="25">
        <f>'4637'!B23</f>
        <v>1</v>
      </c>
      <c r="C39" s="102" t="str">
        <f>'4637'!C23</f>
        <v>CUB C/R 10 CMS FRENTE 90° R8</v>
      </c>
      <c r="D39" s="25">
        <f>'4637'!D23</f>
        <v>605</v>
      </c>
      <c r="E39" s="25">
        <f>'4637'!E23</f>
        <v>550</v>
      </c>
      <c r="F39" s="25" t="str">
        <f>'4637'!F23</f>
        <v>BLANCO BRILLO</v>
      </c>
      <c r="G39" s="1"/>
    </row>
    <row r="40" spans="1:11" ht="15.6" x14ac:dyDescent="0.3">
      <c r="A40" s="96"/>
      <c r="B40" s="25">
        <f>'4637'!B24</f>
        <v>1</v>
      </c>
      <c r="C40" s="102" t="str">
        <f>'4637'!C24</f>
        <v>CUB C/R 10 CMS FRENTE 90° R8</v>
      </c>
      <c r="D40" s="25">
        <f>'4637'!D24</f>
        <v>2205</v>
      </c>
      <c r="E40" s="25">
        <f>'4637'!E24</f>
        <v>600</v>
      </c>
      <c r="F40" s="25" t="str">
        <f>'4637'!F24</f>
        <v>BLANCO BRILLO</v>
      </c>
      <c r="G40" s="1"/>
    </row>
    <row r="41" spans="1:11" ht="15.6" x14ac:dyDescent="0.3">
      <c r="A41" s="96"/>
      <c r="B41" s="25">
        <f>'4637'!B25</f>
        <v>1</v>
      </c>
      <c r="C41" s="102" t="str">
        <f>'4637'!C25</f>
        <v>CUB C/R 10 CMS FRENTE 90° R8</v>
      </c>
      <c r="D41" s="25">
        <f>'4637'!D25</f>
        <v>1925</v>
      </c>
      <c r="E41" s="25">
        <f>'4637'!E25</f>
        <v>600</v>
      </c>
      <c r="F41" s="25" t="str">
        <f>'4637'!F25</f>
        <v>BLANCO BRILLO</v>
      </c>
      <c r="G41" s="1"/>
    </row>
    <row r="42" spans="1:11" ht="15.6" x14ac:dyDescent="0.3">
      <c r="A42" s="96"/>
      <c r="B42" s="25">
        <f>'4637'!B26</f>
        <v>8</v>
      </c>
      <c r="C42" s="102" t="str">
        <f>'4637'!C26</f>
        <v>SERVICIO CORTE A LA MEDIDA</v>
      </c>
      <c r="D42" s="25">
        <f>'4637'!D26</f>
        <v>0</v>
      </c>
      <c r="E42" s="25">
        <f>'4637'!E26</f>
        <v>0</v>
      </c>
      <c r="F42" s="25">
        <f>'4637'!F26</f>
        <v>0</v>
      </c>
      <c r="G42" s="1"/>
    </row>
    <row r="43" spans="1:11" ht="15.6" x14ac:dyDescent="0.3">
      <c r="A43" s="52"/>
      <c r="B43" s="6"/>
      <c r="C43" s="6"/>
      <c r="D43" s="6"/>
      <c r="E43" s="6"/>
      <c r="F43" s="6"/>
      <c r="G43" s="1"/>
    </row>
    <row r="44" spans="1:11" ht="15.6" x14ac:dyDescent="0.3">
      <c r="A44" s="1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40" t="s">
        <v>27</v>
      </c>
      <c r="D53" s="14">
        <f>'4637'!G8</f>
        <v>7089</v>
      </c>
      <c r="E53" s="1"/>
      <c r="F53" s="1"/>
      <c r="G53" s="1"/>
    </row>
    <row r="54" spans="1:7" ht="17.25" customHeight="1" x14ac:dyDescent="0.3">
      <c r="A54" s="1"/>
      <c r="B54" s="1"/>
      <c r="C54" s="41" t="s">
        <v>67</v>
      </c>
      <c r="D54" s="42" t="str">
        <f>'4637'!C10</f>
        <v>MUEBLES ME SPA</v>
      </c>
      <c r="E54" s="43"/>
      <c r="F54" s="43"/>
      <c r="G54" s="1"/>
    </row>
    <row r="55" spans="1:7" ht="4.5" customHeight="1" x14ac:dyDescent="0.3">
      <c r="A55" s="1"/>
      <c r="B55" s="1"/>
      <c r="C55" s="44"/>
      <c r="D55" s="45"/>
      <c r="E55" s="1"/>
      <c r="F55" s="1"/>
      <c r="G55" s="1"/>
    </row>
    <row r="56" spans="1:7" ht="15.6" x14ac:dyDescent="0.3">
      <c r="A56" s="1"/>
      <c r="B56" s="1"/>
      <c r="C56" s="46" t="str">
        <f>'4637'!F11</f>
        <v>FECHA LIMITE :</v>
      </c>
      <c r="D56" s="13">
        <f>'4637'!G11</f>
        <v>45469</v>
      </c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17" t="s">
        <v>68</v>
      </c>
      <c r="B59" s="117"/>
      <c r="C59" s="117"/>
      <c r="D59" s="117"/>
      <c r="E59" s="117"/>
      <c r="F59" s="117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75" customHeight="1" x14ac:dyDescent="0.3">
      <c r="A61" s="1"/>
      <c r="B61" s="118" t="s">
        <v>69</v>
      </c>
      <c r="C61" s="119"/>
      <c r="D61" s="120"/>
      <c r="E61" s="120"/>
      <c r="F61" s="121"/>
      <c r="G61" s="1"/>
    </row>
    <row r="62" spans="1:7" s="15" customFormat="1" ht="12.75" customHeight="1" x14ac:dyDescent="0.3">
      <c r="A62" s="1"/>
      <c r="B62" s="36" t="s">
        <v>10</v>
      </c>
      <c r="C62" s="47" t="s">
        <v>11</v>
      </c>
      <c r="D62" s="48" t="s">
        <v>7</v>
      </c>
      <c r="E62" s="48" t="s">
        <v>8</v>
      </c>
      <c r="F62" s="49" t="s">
        <v>12</v>
      </c>
      <c r="G62" s="1"/>
    </row>
    <row r="63" spans="1:7" s="15" customFormat="1" ht="15" customHeight="1" x14ac:dyDescent="0.3">
      <c r="A63" s="96"/>
      <c r="B63" s="38">
        <f>'4637'!B21</f>
        <v>2</v>
      </c>
      <c r="C63" s="101" t="str">
        <f>'4637'!C21</f>
        <v>CUB C/R 10 CMS FRENTE 90° R8</v>
      </c>
      <c r="D63" s="39">
        <f>'4637'!D21</f>
        <v>1805</v>
      </c>
      <c r="E63" s="39">
        <f>'4637'!E21</f>
        <v>600</v>
      </c>
      <c r="F63" s="38" t="str">
        <f>'4637'!F21</f>
        <v>BLANCO BRILLO</v>
      </c>
      <c r="G63" s="1"/>
    </row>
    <row r="64" spans="1:7" s="15" customFormat="1" ht="15" customHeight="1" x14ac:dyDescent="0.3">
      <c r="A64" s="96"/>
      <c r="B64" s="38">
        <f>'4637'!B22</f>
        <v>3</v>
      </c>
      <c r="C64" s="101" t="str">
        <f>'4637'!C22</f>
        <v>CUB C/R 10 CMS FRENTE 90° R8</v>
      </c>
      <c r="D64" s="39">
        <f>'4637'!D22</f>
        <v>1605</v>
      </c>
      <c r="E64" s="39">
        <f>'4637'!E22</f>
        <v>600</v>
      </c>
      <c r="F64" s="38" t="str">
        <f>'4637'!F22</f>
        <v>BLANCO BRILLO</v>
      </c>
      <c r="G64" s="1"/>
    </row>
    <row r="65" spans="1:7" s="15" customFormat="1" ht="15" customHeight="1" x14ac:dyDescent="0.3">
      <c r="A65" s="96"/>
      <c r="B65" s="38">
        <f>'4637'!B23</f>
        <v>1</v>
      </c>
      <c r="C65" s="101" t="str">
        <f>'4637'!C23</f>
        <v>CUB C/R 10 CMS FRENTE 90° R8</v>
      </c>
      <c r="D65" s="39">
        <f>'4637'!D23</f>
        <v>605</v>
      </c>
      <c r="E65" s="39">
        <f>'4637'!E23</f>
        <v>550</v>
      </c>
      <c r="F65" s="38" t="str">
        <f>'4637'!F23</f>
        <v>BLANCO BRILLO</v>
      </c>
      <c r="G65" s="1"/>
    </row>
    <row r="66" spans="1:7" s="15" customFormat="1" ht="15" customHeight="1" x14ac:dyDescent="0.3">
      <c r="A66" s="96"/>
      <c r="B66" s="38">
        <f>'4637'!B24</f>
        <v>1</v>
      </c>
      <c r="C66" s="101" t="str">
        <f>'4637'!C24</f>
        <v>CUB C/R 10 CMS FRENTE 90° R8</v>
      </c>
      <c r="D66" s="39">
        <f>'4637'!D24</f>
        <v>2205</v>
      </c>
      <c r="E66" s="39">
        <f>'4637'!E24</f>
        <v>600</v>
      </c>
      <c r="F66" s="38" t="str">
        <f>'4637'!F24</f>
        <v>BLANCO BRILLO</v>
      </c>
      <c r="G66" s="1"/>
    </row>
    <row r="67" spans="1:7" s="15" customFormat="1" ht="15" customHeight="1" x14ac:dyDescent="0.3">
      <c r="A67" s="96"/>
      <c r="B67" s="38">
        <f>'4637'!B25</f>
        <v>1</v>
      </c>
      <c r="C67" s="101" t="str">
        <f>'4637'!C25</f>
        <v>CUB C/R 10 CMS FRENTE 90° R8</v>
      </c>
      <c r="D67" s="39">
        <f>'4637'!D25</f>
        <v>1925</v>
      </c>
      <c r="E67" s="39">
        <f>'4637'!E25</f>
        <v>600</v>
      </c>
      <c r="F67" s="38" t="str">
        <f>'4637'!F25</f>
        <v>BLANCO BRILLO</v>
      </c>
      <c r="G67" s="1"/>
    </row>
    <row r="68" spans="1:7" s="15" customFormat="1" ht="15" customHeight="1" x14ac:dyDescent="0.3">
      <c r="A68" s="96"/>
      <c r="B68" s="38">
        <f>'4637'!B26</f>
        <v>8</v>
      </c>
      <c r="C68" s="101" t="str">
        <f>'4637'!C26</f>
        <v>SERVICIO CORTE A LA MEDIDA</v>
      </c>
      <c r="D68" s="39">
        <f>'4637'!D26</f>
        <v>0</v>
      </c>
      <c r="E68" s="39">
        <f>'4637'!E26</f>
        <v>0</v>
      </c>
      <c r="F68" s="38">
        <f>'4637'!F26</f>
        <v>0</v>
      </c>
      <c r="G68" s="1"/>
    </row>
    <row r="69" spans="1:7" s="15" customFormat="1" ht="15" customHeight="1" x14ac:dyDescent="0.3">
      <c r="A69" s="96"/>
      <c r="B69" s="52"/>
      <c r="C69" s="107"/>
      <c r="D69" s="52"/>
      <c r="E69" s="52"/>
      <c r="F69" s="52"/>
      <c r="G69" s="1"/>
    </row>
    <row r="70" spans="1:7" s="15" customFormat="1" ht="15" customHeight="1" x14ac:dyDescent="0.3">
      <c r="A70" s="50"/>
      <c r="B70" s="52"/>
      <c r="C70" s="52"/>
      <c r="D70" s="52"/>
      <c r="E70" s="52"/>
      <c r="F70" s="52"/>
      <c r="G70" s="1"/>
    </row>
    <row r="71" spans="1:7" ht="15.6" x14ac:dyDescent="0.3">
      <c r="A71" s="6"/>
      <c r="B71" s="6"/>
      <c r="C71" s="1"/>
      <c r="D71" s="6"/>
      <c r="E71" s="6"/>
      <c r="F71" s="44"/>
      <c r="G71" s="1"/>
    </row>
    <row r="72" spans="1:7" ht="15.6" x14ac:dyDescent="0.3">
      <c r="A72" s="6"/>
      <c r="B72" s="6"/>
      <c r="C72" s="1"/>
      <c r="D72" s="6"/>
      <c r="E72" s="6"/>
      <c r="F72" s="6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" customHeight="1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6"/>
      <c r="B78" s="5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x14ac:dyDescent="0.3">
      <c r="B80" s="20"/>
      <c r="C80" s="20"/>
      <c r="D80" s="20"/>
      <c r="E80" s="20"/>
      <c r="F80" s="20"/>
    </row>
    <row r="81" spans="2:6" x14ac:dyDescent="0.3">
      <c r="B81" s="20"/>
      <c r="C81" s="20"/>
      <c r="E81" s="20"/>
      <c r="F81" s="20"/>
    </row>
  </sheetData>
  <mergeCells count="6">
    <mergeCell ref="M3:N3"/>
    <mergeCell ref="A22:F22"/>
    <mergeCell ref="A10:F10"/>
    <mergeCell ref="A59:F59"/>
    <mergeCell ref="B61:F6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2024-06-21T14:20:54Z</cp:lastPrinted>
  <dcterms:created xsi:type="dcterms:W3CDTF">2013-03-19T12:54:14Z</dcterms:created>
  <dcterms:modified xsi:type="dcterms:W3CDTF">2024-06-21T14:23:17Z</dcterms:modified>
</cp:coreProperties>
</file>