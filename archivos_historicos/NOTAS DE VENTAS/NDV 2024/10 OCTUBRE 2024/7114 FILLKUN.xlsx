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D02FA5AE-1B25-4186-B6A2-3EBBEC7806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CUBIERTA!$A$2:$G$50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6" i="3"/>
  <c r="G17" i="3"/>
  <c r="G18" i="3"/>
  <c r="G19" i="3"/>
  <c r="K17" i="3"/>
  <c r="E17" i="3" s="1"/>
  <c r="K18" i="3"/>
  <c r="E18" i="3" s="1"/>
  <c r="L18" i="3"/>
  <c r="F18" i="3" s="1"/>
  <c r="C38" i="3"/>
  <c r="J28" i="3" s="1"/>
  <c r="C28" i="3" s="1"/>
  <c r="D38" i="3"/>
  <c r="G28" i="3" s="1"/>
  <c r="E38" i="3"/>
  <c r="K28" i="3" s="1"/>
  <c r="E28" i="3" s="1"/>
  <c r="F38" i="3"/>
  <c r="L28" i="3" s="1"/>
  <c r="F28" i="3" s="1"/>
  <c r="C39" i="3"/>
  <c r="J29" i="3" s="1"/>
  <c r="C29" i="3" s="1"/>
  <c r="D39" i="3"/>
  <c r="G29" i="3" s="1"/>
  <c r="E39" i="3"/>
  <c r="K29" i="3" s="1"/>
  <c r="E29" i="3" s="1"/>
  <c r="F39" i="3"/>
  <c r="L29" i="3" s="1"/>
  <c r="F29" i="3" s="1"/>
  <c r="C40" i="3"/>
  <c r="J30" i="3" s="1"/>
  <c r="C30" i="3" s="1"/>
  <c r="D40" i="3"/>
  <c r="G30" i="3" s="1"/>
  <c r="E40" i="3"/>
  <c r="K30" i="3" s="1"/>
  <c r="E30" i="3" s="1"/>
  <c r="F40" i="3"/>
  <c r="L30" i="3" s="1"/>
  <c r="F30" i="3" s="1"/>
  <c r="C41" i="3"/>
  <c r="J31" i="3" s="1"/>
  <c r="C31" i="3" s="1"/>
  <c r="D41" i="3"/>
  <c r="G31" i="3" s="1"/>
  <c r="E41" i="3"/>
  <c r="K31" i="3" s="1"/>
  <c r="E31" i="3" s="1"/>
  <c r="F41" i="3"/>
  <c r="L31" i="3" s="1"/>
  <c r="F31" i="3" s="1"/>
  <c r="C42" i="3"/>
  <c r="J32" i="3" s="1"/>
  <c r="C32" i="3" s="1"/>
  <c r="D42" i="3"/>
  <c r="G32" i="3" s="1"/>
  <c r="E42" i="3"/>
  <c r="K32" i="3" s="1"/>
  <c r="E32" i="3" s="1"/>
  <c r="F42" i="3"/>
  <c r="L32" i="3" s="1"/>
  <c r="F32" i="3" s="1"/>
  <c r="C64" i="3"/>
  <c r="D64" i="3"/>
  <c r="E64" i="3"/>
  <c r="F64" i="3"/>
  <c r="G64" i="3"/>
  <c r="G38" i="3" s="1"/>
  <c r="C65" i="3"/>
  <c r="D65" i="3"/>
  <c r="E65" i="3"/>
  <c r="F65" i="3"/>
  <c r="G65" i="3"/>
  <c r="G39" i="3" s="1"/>
  <c r="C66" i="3"/>
  <c r="D66" i="3"/>
  <c r="E66" i="3"/>
  <c r="F66" i="3"/>
  <c r="G66" i="3"/>
  <c r="G40" i="3" s="1"/>
  <c r="C67" i="3"/>
  <c r="D67" i="3"/>
  <c r="E67" i="3"/>
  <c r="F67" i="3"/>
  <c r="G67" i="3"/>
  <c r="G41" i="3" s="1"/>
  <c r="C68" i="3"/>
  <c r="D68" i="3"/>
  <c r="E68" i="3"/>
  <c r="F68" i="3"/>
  <c r="G68" i="3"/>
  <c r="G42" i="3" s="1"/>
  <c r="H27" i="4"/>
  <c r="H26" i="4"/>
  <c r="H25" i="4"/>
  <c r="H24" i="4"/>
  <c r="H23" i="4"/>
  <c r="H22" i="4"/>
  <c r="J16" i="3" l="1"/>
  <c r="C16" i="3" s="1"/>
  <c r="L19" i="3"/>
  <c r="F19" i="3" s="1"/>
  <c r="J17" i="3"/>
  <c r="C17" i="3" s="1"/>
  <c r="L15" i="3"/>
  <c r="F15" i="3" s="1"/>
  <c r="K19" i="3"/>
  <c r="E19" i="3" s="1"/>
  <c r="J18" i="3"/>
  <c r="C18" i="3" s="1"/>
  <c r="L16" i="3"/>
  <c r="F16" i="3" s="1"/>
  <c r="K15" i="3"/>
  <c r="E15" i="3" s="1"/>
  <c r="J19" i="3"/>
  <c r="C19" i="3" s="1"/>
  <c r="L17" i="3"/>
  <c r="F17" i="3" s="1"/>
  <c r="K16" i="3"/>
  <c r="E16" i="3" s="1"/>
  <c r="J15" i="3"/>
  <c r="C15" i="3" s="1"/>
  <c r="G63" i="3"/>
  <c r="G37" i="3" s="1"/>
  <c r="L22" i="4" l="1"/>
  <c r="H29" i="4" l="1"/>
  <c r="H30" i="4" s="1"/>
  <c r="H31" i="4" l="1"/>
  <c r="F37" i="3"/>
  <c r="L27" i="3" s="1"/>
  <c r="E37" i="3"/>
  <c r="K27" i="3" s="1"/>
  <c r="D37" i="3"/>
  <c r="G27" i="3" s="1"/>
  <c r="G14" i="3" s="1"/>
  <c r="C37" i="3"/>
  <c r="F63" i="3"/>
  <c r="E63" i="3"/>
  <c r="D63" i="3"/>
  <c r="C63" i="3"/>
  <c r="J27" i="3" l="1"/>
  <c r="J14" i="3" s="1"/>
  <c r="C14" i="3" s="1"/>
  <c r="K14" i="3"/>
  <c r="E14" i="3" s="1"/>
  <c r="E27" i="3"/>
  <c r="L14" i="3"/>
  <c r="F14" i="3" s="1"/>
  <c r="F27" i="3"/>
  <c r="O5" i="3"/>
  <c r="C27" i="3" l="1"/>
  <c r="N5" i="3"/>
  <c r="M5" i="3"/>
  <c r="L5" i="3"/>
  <c r="D56" i="3" l="1"/>
  <c r="D7" i="3"/>
  <c r="E54" i="3"/>
  <c r="E5" i="3"/>
  <c r="E56" i="3"/>
  <c r="E7" i="3"/>
  <c r="E53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<sst xmlns="http://schemas.openxmlformats.org/spreadsheetml/2006/main" count="261" uniqueCount="150">
  <si>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</si>
  <si>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</si>
  <si>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</si>
  <si>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</si>
  <si>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</si>
  <si>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</si>
  <si>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</si>
  <si>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</si>
  <si>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</si>
  <si>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</si>
  <si>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</si>
  <si>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</si>
  <si>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</si>
  <si>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</si>
  <si>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</si>
  <si>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</si>
  <si>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</si>
  <si>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</si>
  <si>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</si>
  <si>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</si>
  <si>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</si>
  <si>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</si>
  <si>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</si>
  <si>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</si>
  <si>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</si>
  <si>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</si>
  <si>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</si>
  <si>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</si>
  <si>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</si>
  <si>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</si>
  <si>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</si>
  <si>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</si>
  <si>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</si>
  <si>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</si>
  <si>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</si>
  <si>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</si>
  <si>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</si>
  <si>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</si>
  <si>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</si>
  <si>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</si>
  <si>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</si>
  <si>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</si>
  <si>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</si>
  <si>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</si>
  <si>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</si>
  <si>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</si>
  <si>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</si>
  <si>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</si>
  <si>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</si>
  <si>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</si>
  <si>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</si>
  <si>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</si>
  <si>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</si>
  <si>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</si>
  <si>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</si>
  <si>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</si>
  <si>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</si>
  <si>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</si>
  <si>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</si>
  <si>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</si>
  <si>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</si>
  <si>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</si>
  <si>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</si>
  <si>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</si>
  <si>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</si>
  <si>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</si>
  <si>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</si>
  <si>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</si>
  <si>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</si>
  <si>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</si>
  <si>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</si>
  <si>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</si>
  <si>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</si>
  <si>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</si>
  <si>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</si>
  <si>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</si>
  <si>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</si>
  <si>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</si>
  <si>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</si>
  <si>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</si>
  <si>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</si>
  <si>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</si>
  <si>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</si>
  <si>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</si>
  <si>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</si>
  <si>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</si>
  <si>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</si>
  <si>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</si>
  <si>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</si>
  <si>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</si>
  <si>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</si>
  <si>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</si>
  <si>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</si>
  <si>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</si>
  <si>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</si>
  <si>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</si>
  <si>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</si>
  <si>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</si>
  <si>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</si>
  <si>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</si>
  <si>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</si>
  <si>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</si>
  <si>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</si>
  <si>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</si>
  <si>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</si>
  <si>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</si>
  <si>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</si>
  <si>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</si>
  <si>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</si>
  <si>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</si>
  <si>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</si>
  <si>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</si>
  <si>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</si>
  <si>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</si>
  <si>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</si>
  <si>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</si>
  <si>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</si>
  <si>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</si>
  <si>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</si>
  <si>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</si>
  <si>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</si>
  <si>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</si>
  <si>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</si>
  <si>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</si>
  <si>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</si>
  <si>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</si>
  <si>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</si>
  <si>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</si>
  <si>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</si>
  <si>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</si>
  <si>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</si>
  <si>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</si>
  <si>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</si>
  <si>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</si>
  <si>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</si>
  <si>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</si>
  <si>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</si>
  <si>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N° 11117</t>
  </si>
  <si>
    <t>CONTADO</t>
  </si>
  <si>
    <t>E/R 2 CARAS</t>
  </si>
  <si>
    <t>HUMO 2108 MT</t>
  </si>
  <si>
    <t>E/R 1 CARA</t>
  </si>
  <si>
    <t>TROZO LAMINA</t>
  </si>
  <si>
    <t>77.369.374-9</t>
  </si>
  <si>
    <t>FILLKUN CARPINTERIA</t>
  </si>
  <si>
    <t>DAVID RAMIREZ</t>
  </si>
  <si>
    <t>+569 8521 7073</t>
  </si>
  <si>
    <t>SANTIAGO</t>
  </si>
  <si>
    <t>NO</t>
  </si>
  <si>
    <t>MDF9MM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</si>
</sst>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6" fontId="3" fillId="0" borderId="32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27</xdr:row>
      <xdr:rowOff>213360</xdr:rowOff>
    </xdr:from>
    <xdr:to>
      <xdr:col>5</xdr:col>
      <xdr:colOff>1583056</xdr:colOff>
      <xdr:row>31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$ 813.615.-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21</xdr:row>
      <xdr:rowOff>60960</xdr:rowOff>
    </xdr:from>
    <xdr:to>
      <xdr:col>6</xdr:col>
      <xdr:colOff>2240279</xdr:colOff>
      <xdr:row>23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57</xdr:row>
      <xdr:rowOff>171450</xdr:rowOff>
    </xdr:from>
    <xdr:to>
      <xdr:col>6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53</xdr:row>
      <xdr:rowOff>38100</xdr:rowOff>
    </xdr:from>
    <xdr:to>
      <xdr:col>7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70</xdr:row>
      <xdr:rowOff>0</xdr:rowOff>
    </xdr:from>
    <xdr:to>
      <xdr:col>3</xdr:col>
      <xdr:colOff>1019175</xdr:colOff>
      <xdr:row>71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70</xdr:row>
      <xdr:rowOff>0</xdr:rowOff>
    </xdr:from>
    <xdr:to>
      <xdr:col>4</xdr:col>
      <xdr:colOff>352425</xdr:colOff>
      <xdr:row>71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70</xdr:row>
      <xdr:rowOff>0</xdr:rowOff>
    </xdr:from>
    <xdr:to>
      <xdr:col>5</xdr:col>
      <xdr:colOff>257175</xdr:colOff>
      <xdr:row>71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70</xdr:row>
      <xdr:rowOff>0</xdr:rowOff>
    </xdr:from>
    <xdr:to>
      <xdr:col>6</xdr:col>
      <xdr:colOff>447675</xdr:colOff>
      <xdr:row>71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70</xdr:row>
      <xdr:rowOff>0</xdr:rowOff>
    </xdr:from>
    <xdr:to>
      <xdr:col>7</xdr:col>
      <xdr:colOff>0</xdr:colOff>
      <xdr:row>71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304800</xdr:colOff>
      <xdr:row>72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71</xdr:row>
      <xdr:rowOff>0</xdr:rowOff>
    </xdr:from>
    <xdr:to>
      <xdr:col>3</xdr:col>
      <xdr:colOff>1276350</xdr:colOff>
      <xdr:row>72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71</xdr:row>
      <xdr:rowOff>0</xdr:rowOff>
    </xdr:from>
    <xdr:to>
      <xdr:col>4</xdr:col>
      <xdr:colOff>619125</xdr:colOff>
      <xdr:row>72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71</xdr:row>
      <xdr:rowOff>0</xdr:rowOff>
    </xdr:from>
    <xdr:to>
      <xdr:col>5</xdr:col>
      <xdr:colOff>523875</xdr:colOff>
      <xdr:row>72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71</xdr:row>
      <xdr:rowOff>0</xdr:rowOff>
    </xdr:from>
    <xdr:to>
      <xdr:col>6</xdr:col>
      <xdr:colOff>723900</xdr:colOff>
      <xdr:row>72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71</xdr:row>
      <xdr:rowOff>0</xdr:rowOff>
    </xdr:from>
    <xdr:to>
      <xdr:col>7</xdr:col>
      <xdr:colOff>0</xdr:colOff>
      <xdr:row>72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44</xdr:row>
      <xdr:rowOff>15238</xdr:rowOff>
    </xdr:from>
    <xdr:to>
      <xdr:col>7</xdr:col>
      <xdr:colOff>68580</xdr:colOff>
      <xdr:row>48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33</xdr:row>
      <xdr:rowOff>1905</xdr:rowOff>
    </xdr:from>
    <xdr:to>
      <xdr:col>7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73</xdr:row>
      <xdr:rowOff>32385</xdr:rowOff>
    </xdr:from>
    <xdr:to>
      <xdr:col>7</xdr:col>
      <xdr:colOff>19050</xdr:colOff>
      <xdr:row>78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51</xdr:row>
      <xdr:rowOff>175260</xdr:rowOff>
    </xdr:from>
    <xdr:to>
      <xdr:col>2</xdr:col>
      <xdr:colOff>433184</xdr:colOff>
      <xdr:row>57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8"/>
  <sheetViews>
    <sheetView topLeftCell="A3" workbookViewId="0">
      <selection activeCell="G16" sqref="G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137</v>
      </c>
      <c r="E8" s="1"/>
      <c r="F8" s="85" t="s">
        <v>27</v>
      </c>
      <c r="G8" s="86">
        <v>7114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144</v>
      </c>
      <c r="D10" s="49"/>
      <c r="E10" s="49"/>
      <c r="F10" s="50" t="s">
        <v>28</v>
      </c>
      <c r="G10" s="51">
        <v>45574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 t="s">
        <v>143</v>
      </c>
      <c r="D11" s="54"/>
      <c r="E11" s="54"/>
      <c r="F11" s="54" t="s">
        <v>125</v>
      </c>
      <c r="G11" s="55">
        <v>45580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145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2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3" t="s">
        <v>146</v>
      </c>
      <c r="D15" s="60"/>
      <c r="E15" s="54"/>
      <c r="F15" s="54" t="s">
        <v>29</v>
      </c>
      <c r="G15" s="54" t="s">
        <v>148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104" t="s">
        <v>147</v>
      </c>
      <c r="D17" s="63"/>
      <c r="E17" s="64"/>
      <c r="F17" s="119" t="s">
        <v>18</v>
      </c>
      <c r="G17" s="119"/>
      <c r="H17" s="12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1" t="s">
        <v>19</v>
      </c>
      <c r="C20" s="122"/>
      <c r="D20" s="122"/>
      <c r="E20" s="122"/>
      <c r="F20" s="122"/>
      <c r="G20" s="122"/>
      <c r="H20" s="123"/>
      <c r="I20" s="1"/>
    </row>
    <row r="21" spans="1:19" ht="15.6" x14ac:dyDescent="0.3">
      <c r="A21" s="1"/>
      <c r="B21" s="65" t="s">
        <v>20</v>
      </c>
      <c r="C21" s="105" t="s">
        <v>21</v>
      </c>
      <c r="D21" s="105" t="s">
        <v>22</v>
      </c>
      <c r="E21" s="105" t="s">
        <v>8</v>
      </c>
      <c r="F21" s="106" t="s">
        <v>23</v>
      </c>
      <c r="G21" s="107" t="s">
        <v>24</v>
      </c>
      <c r="H21" s="106" t="s">
        <v>4</v>
      </c>
      <c r="I21" s="1"/>
      <c r="L21">
        <v>45000</v>
      </c>
    </row>
    <row r="22" spans="1:19" ht="18" customHeight="1" x14ac:dyDescent="0.3">
      <c r="A22" s="1"/>
      <c r="B22" s="114">
        <v>6</v>
      </c>
      <c r="C22" s="115" t="s">
        <v>139</v>
      </c>
      <c r="D22" s="117">
        <v>1700</v>
      </c>
      <c r="E22" s="117">
        <v>1200</v>
      </c>
      <c r="F22" s="115" t="s">
        <v>140</v>
      </c>
      <c r="G22" s="113">
        <v>143558</v>
      </c>
      <c r="H22" s="116">
        <f t="shared" ref="H22:H27" si="0">G22*B22</f>
        <v>861348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4">
        <v>1</v>
      </c>
      <c r="C23" s="115" t="s">
        <v>141</v>
      </c>
      <c r="D23" s="117">
        <v>1800</v>
      </c>
      <c r="E23" s="117">
        <v>1500</v>
      </c>
      <c r="F23" s="115" t="s">
        <v>140</v>
      </c>
      <c r="G23" s="113">
        <v>175840</v>
      </c>
      <c r="H23" s="116">
        <f t="shared" si="0"/>
        <v>175840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4">
        <v>1</v>
      </c>
      <c r="C24" s="115" t="s">
        <v>142</v>
      </c>
      <c r="D24" s="117">
        <v>1800</v>
      </c>
      <c r="E24" s="117">
        <v>1500</v>
      </c>
      <c r="F24" s="115" t="s">
        <v>140</v>
      </c>
      <c r="G24" s="113">
        <v>57500</v>
      </c>
      <c r="H24" s="116">
        <f t="shared" si="0"/>
        <v>57500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4">
        <v>1</v>
      </c>
      <c r="C25" s="115" t="s">
        <v>141</v>
      </c>
      <c r="D25" s="117">
        <v>1675</v>
      </c>
      <c r="E25" s="117">
        <v>1213</v>
      </c>
      <c r="F25" s="115" t="s">
        <v>140</v>
      </c>
      <c r="G25" s="113">
        <v>133326</v>
      </c>
      <c r="H25" s="116">
        <f t="shared" si="0"/>
        <v>133326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14">
        <v>1</v>
      </c>
      <c r="C26" s="115" t="s">
        <v>141</v>
      </c>
      <c r="D26" s="117">
        <v>1358</v>
      </c>
      <c r="E26" s="117">
        <v>835</v>
      </c>
      <c r="F26" s="114" t="s">
        <v>140</v>
      </c>
      <c r="G26" s="113">
        <v>76227</v>
      </c>
      <c r="H26" s="111">
        <f t="shared" si="0"/>
        <v>76227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14">
        <v>1</v>
      </c>
      <c r="C27" s="115" t="s">
        <v>141</v>
      </c>
      <c r="D27" s="117">
        <v>1107</v>
      </c>
      <c r="E27" s="117">
        <v>835</v>
      </c>
      <c r="F27" s="114" t="s">
        <v>140</v>
      </c>
      <c r="G27" s="113">
        <v>63173</v>
      </c>
      <c r="H27" s="111">
        <f t="shared" si="0"/>
        <v>63173</v>
      </c>
      <c r="K27" s="16"/>
      <c r="L27" s="24"/>
      <c r="M27" s="16"/>
      <c r="N27" s="16"/>
      <c r="O27" s="24"/>
      <c r="P27" s="31"/>
    </row>
    <row r="28" spans="1:19" ht="18" customHeight="1" thickBot="1" x14ac:dyDescent="0.35">
      <c r="A28" s="1"/>
      <c r="B28" s="108"/>
      <c r="C28" s="109"/>
      <c r="D28" s="110"/>
      <c r="E28" s="110"/>
      <c r="F28" s="108"/>
      <c r="G28" s="88"/>
      <c r="H28" s="88"/>
      <c r="K28" s="16"/>
      <c r="L28" s="24"/>
      <c r="M28" s="16"/>
      <c r="N28" s="16"/>
      <c r="O28" s="24"/>
      <c r="P28" s="31"/>
    </row>
    <row r="29" spans="1:19" ht="15.6" x14ac:dyDescent="0.3">
      <c r="A29" s="1"/>
      <c r="B29" s="66"/>
      <c r="C29" s="66"/>
      <c r="D29" s="66"/>
      <c r="E29" s="66"/>
      <c r="F29" s="66"/>
      <c r="G29" s="67" t="s">
        <v>5</v>
      </c>
      <c r="H29" s="68">
        <f>SUM(H22:H28)</f>
        <v>1367414</v>
      </c>
      <c r="I29" s="1"/>
      <c r="L29" s="2"/>
      <c r="O29" s="2"/>
      <c r="P29">
        <v>2940</v>
      </c>
      <c r="Q29">
        <v>600</v>
      </c>
      <c r="S29" t="s">
        <v>136</v>
      </c>
    </row>
    <row r="30" spans="1:19" ht="15.6" x14ac:dyDescent="0.3">
      <c r="A30" s="1"/>
      <c r="B30" s="1"/>
      <c r="C30" s="1"/>
      <c r="D30" s="1"/>
      <c r="E30" s="1"/>
      <c r="F30" s="1"/>
      <c r="G30" s="69" t="s">
        <v>6</v>
      </c>
      <c r="H30" s="70">
        <f>H29*19%</f>
        <v>259808.66</v>
      </c>
      <c r="I30" s="1"/>
      <c r="L30" s="2"/>
      <c r="O30" s="24"/>
      <c r="P30" s="31">
        <v>1890</v>
      </c>
      <c r="Q30">
        <v>600</v>
      </c>
    </row>
    <row r="31" spans="1:19" ht="16.2" thickBot="1" x14ac:dyDescent="0.35">
      <c r="A31" s="1"/>
      <c r="B31" s="1"/>
      <c r="C31" s="1"/>
      <c r="D31" s="1"/>
      <c r="E31" s="1"/>
      <c r="F31" s="1"/>
      <c r="G31" s="71" t="s">
        <v>4</v>
      </c>
      <c r="H31" s="72">
        <f>H29+H30</f>
        <v>1627222.66</v>
      </c>
      <c r="I31" s="1"/>
      <c r="L31" s="2"/>
    </row>
    <row r="32" spans="1:19" ht="15.6" x14ac:dyDescent="0.3">
      <c r="A32" s="1"/>
      <c r="B32" s="1"/>
      <c r="C32" s="1"/>
      <c r="D32" s="1"/>
      <c r="E32" s="1"/>
      <c r="F32" s="1"/>
      <c r="I32" s="1"/>
      <c r="L32" s="2"/>
    </row>
    <row r="33" spans="1:9" ht="15.6" x14ac:dyDescent="0.3">
      <c r="A33" s="1"/>
      <c r="B33" s="1"/>
      <c r="C33" s="1"/>
      <c r="D33" s="1"/>
      <c r="E33" s="1"/>
      <c r="F33" s="1"/>
      <c r="H33" s="31"/>
      <c r="I33" s="1"/>
    </row>
    <row r="34" spans="1:9" ht="15.6" x14ac:dyDescent="0.3">
      <c r="A34" s="1"/>
      <c r="B34" s="73" t="s">
        <v>124</v>
      </c>
      <c r="C34" s="74"/>
      <c r="D34" s="75"/>
      <c r="E34" s="75"/>
      <c r="F34" s="66"/>
      <c r="I34" s="1"/>
    </row>
    <row r="35" spans="1:9" ht="15.6" x14ac:dyDescent="0.3">
      <c r="A35" s="1"/>
      <c r="B35" s="73" t="s">
        <v>123</v>
      </c>
      <c r="C35" s="74"/>
      <c r="D35" s="75"/>
      <c r="E35" s="75"/>
      <c r="F35" s="66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76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7:H17"/>
    <mergeCell ref="B20:H20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7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1"/>
  <sheetViews>
    <sheetView tabSelected="1" zoomScaleNormal="100" workbookViewId="0">
      <selection activeCell="A2" sqref="A2:G50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6" t="s">
        <v>61</v>
      </c>
      <c r="M3" s="126"/>
      <c r="N3" s="126" t="s">
        <v>14</v>
      </c>
      <c r="O3" s="126"/>
    </row>
    <row r="4" spans="1:15" ht="15.75" customHeight="1" x14ac:dyDescent="0.3">
      <c r="B4" s="1"/>
      <c r="C4" s="1"/>
      <c r="D4" s="35" t="s">
        <v>27</v>
      </c>
      <c r="E4" s="14">
        <f>'4637'!G8</f>
        <v>7114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FILLKUN CARPINTERIA</v>
      </c>
      <c r="F5" s="38"/>
      <c r="G5" s="38"/>
      <c r="H5" s="1"/>
      <c r="L5">
        <f>LOOKUP(G14,REGLAS!$I$4:$I$37,REGLAS!$G$4:$G$37)+K14</f>
        <v>1750</v>
      </c>
      <c r="M5">
        <f>LOOKUP(G14,REGLAS!$I$4:$I$37,REGLAS!$H$4:$H$37)+L14</f>
        <v>1200</v>
      </c>
      <c r="N5" t="e">
        <f>LOOKUP(G27,REGLAS!$D$4:$D$37,REGLAS!$B$4:$B$37)+#REF!</f>
        <v>#REF!</v>
      </c>
      <c r="O5">
        <f>LOOKUP(G27,REGLAS!$D$4:$D$37,REGLAS!$C$4:$C$37)+K27</f>
        <v>1760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45580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7" t="s">
        <v>61</v>
      </c>
      <c r="C10" s="127"/>
      <c r="D10" s="127"/>
      <c r="E10" s="127"/>
      <c r="F10" s="127"/>
      <c r="G10" s="127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20</v>
      </c>
      <c r="F13" s="30">
        <v>20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1">
        <v>1</v>
      </c>
      <c r="B14" s="112" t="s">
        <v>149</v>
      </c>
      <c r="C14" s="93">
        <f t="shared" ref="C14" si="0">J14</f>
        <v>6</v>
      </c>
      <c r="D14" s="94"/>
      <c r="E14" s="93">
        <f>K14+E$13</f>
        <v>1720</v>
      </c>
      <c r="F14" s="93">
        <f>L14+F$13</f>
        <v>1220</v>
      </c>
      <c r="G14" s="93" t="str">
        <f>G27</f>
        <v>E/R 2 CARAS</v>
      </c>
      <c r="H14" s="1"/>
      <c r="J14" s="3">
        <f>J27</f>
        <v>6</v>
      </c>
      <c r="K14" s="4">
        <f>K27</f>
        <v>1700</v>
      </c>
      <c r="L14" s="4">
        <f>L27</f>
        <v>1200</v>
      </c>
    </row>
    <row r="15" spans="1:15" ht="18" x14ac:dyDescent="0.35">
      <c r="A15" s="101"/>
      <c r="B15" s="112"/>
      <c r="C15" s="93">
        <f t="shared" ref="C15:C19" si="1">J15</f>
        <v>1</v>
      </c>
      <c r="D15" s="94"/>
      <c r="E15" s="93">
        <f t="shared" ref="E15:E19" si="2">K15+E$13</f>
        <v>1820</v>
      </c>
      <c r="F15" s="93">
        <f t="shared" ref="F15:F19" si="3">L15+F$13</f>
        <v>1520</v>
      </c>
      <c r="G15" s="93" t="str">
        <f t="shared" ref="G15:G19" si="4">G28</f>
        <v>E/R 1 CARA</v>
      </c>
      <c r="H15" s="1"/>
      <c r="J15" s="3">
        <f t="shared" ref="J15:L15" si="5">J28</f>
        <v>1</v>
      </c>
      <c r="K15" s="4">
        <f t="shared" si="5"/>
        <v>1800</v>
      </c>
      <c r="L15" s="4">
        <f t="shared" si="5"/>
        <v>1500</v>
      </c>
    </row>
    <row r="16" spans="1:15" ht="18" x14ac:dyDescent="0.35">
      <c r="A16" s="101"/>
      <c r="B16" s="112"/>
      <c r="C16" s="93">
        <f t="shared" si="1"/>
        <v>1</v>
      </c>
      <c r="D16" s="94"/>
      <c r="E16" s="93">
        <f t="shared" si="2"/>
        <v>1820</v>
      </c>
      <c r="F16" s="93">
        <f t="shared" si="3"/>
        <v>1520</v>
      </c>
      <c r="G16" s="93" t="str">
        <f t="shared" si="4"/>
        <v>TROZO LAMINA</v>
      </c>
      <c r="H16" s="1"/>
      <c r="J16" s="3">
        <f t="shared" ref="J16:L16" si="6">J29</f>
        <v>1</v>
      </c>
      <c r="K16" s="4">
        <f t="shared" si="6"/>
        <v>1800</v>
      </c>
      <c r="L16" s="4">
        <f t="shared" si="6"/>
        <v>1500</v>
      </c>
    </row>
    <row r="17" spans="1:12" ht="18" x14ac:dyDescent="0.35">
      <c r="A17" s="101"/>
      <c r="B17" s="112"/>
      <c r="C17" s="93">
        <f t="shared" si="1"/>
        <v>1</v>
      </c>
      <c r="D17" s="94"/>
      <c r="E17" s="93">
        <f t="shared" si="2"/>
        <v>1695</v>
      </c>
      <c r="F17" s="93">
        <f t="shared" si="3"/>
        <v>1233</v>
      </c>
      <c r="G17" s="93" t="str">
        <f t="shared" si="4"/>
        <v>E/R 1 CARA</v>
      </c>
      <c r="H17" s="1"/>
      <c r="J17" s="3">
        <f t="shared" ref="J17:L17" si="7">J30</f>
        <v>1</v>
      </c>
      <c r="K17" s="4">
        <f t="shared" si="7"/>
        <v>1675</v>
      </c>
      <c r="L17" s="4">
        <f t="shared" si="7"/>
        <v>1213</v>
      </c>
    </row>
    <row r="18" spans="1:12" ht="18" x14ac:dyDescent="0.35">
      <c r="A18" s="101"/>
      <c r="B18" s="112"/>
      <c r="C18" s="93">
        <f t="shared" si="1"/>
        <v>1</v>
      </c>
      <c r="D18" s="94"/>
      <c r="E18" s="93">
        <f t="shared" si="2"/>
        <v>1378</v>
      </c>
      <c r="F18" s="93">
        <f t="shared" si="3"/>
        <v>855</v>
      </c>
      <c r="G18" s="93" t="str">
        <f t="shared" si="4"/>
        <v>E/R 1 CARA</v>
      </c>
      <c r="H18" s="1"/>
      <c r="J18" s="3">
        <f t="shared" ref="J18:L18" si="8">J31</f>
        <v>1</v>
      </c>
      <c r="K18" s="4">
        <f t="shared" si="8"/>
        <v>1358</v>
      </c>
      <c r="L18" s="4">
        <f t="shared" si="8"/>
        <v>835</v>
      </c>
    </row>
    <row r="19" spans="1:12" ht="18" x14ac:dyDescent="0.35">
      <c r="A19" s="101"/>
      <c r="B19" s="112"/>
      <c r="C19" s="93">
        <f t="shared" si="1"/>
        <v>1</v>
      </c>
      <c r="D19" s="94"/>
      <c r="E19" s="93">
        <f t="shared" si="2"/>
        <v>1127</v>
      </c>
      <c r="F19" s="93">
        <f t="shared" si="3"/>
        <v>855</v>
      </c>
      <c r="G19" s="93" t="str">
        <f t="shared" si="4"/>
        <v>E/R 1 CARA</v>
      </c>
      <c r="H19" s="1"/>
      <c r="J19" s="3">
        <f t="shared" ref="J19:L19" si="9">J32</f>
        <v>1</v>
      </c>
      <c r="K19" s="4">
        <f t="shared" si="9"/>
        <v>1107</v>
      </c>
      <c r="L19" s="4">
        <f t="shared" si="9"/>
        <v>835</v>
      </c>
    </row>
    <row r="20" spans="1:12" ht="15.6" x14ac:dyDescent="0.3">
      <c r="B20" s="87"/>
      <c r="C20" s="6"/>
      <c r="D20" s="6"/>
      <c r="E20" s="6"/>
      <c r="F20" s="6"/>
      <c r="G20" s="6"/>
      <c r="H20" s="1"/>
      <c r="J20" s="81"/>
      <c r="K20" s="2"/>
      <c r="L20" s="2"/>
    </row>
    <row r="21" spans="1:12" ht="15.6" x14ac:dyDescent="0.3">
      <c r="B21" s="46"/>
      <c r="C21" s="6"/>
      <c r="D21" s="6"/>
      <c r="E21" s="6"/>
      <c r="F21" s="80"/>
      <c r="G21" s="6"/>
      <c r="H21" s="1"/>
      <c r="J21" s="2"/>
      <c r="K21" s="2"/>
      <c r="L21" s="2"/>
    </row>
    <row r="22" spans="1:12" ht="6.75" customHeight="1" x14ac:dyDescent="0.3">
      <c r="B22" s="1"/>
      <c r="C22" s="1"/>
      <c r="D22" s="1"/>
      <c r="E22" s="1"/>
      <c r="F22" s="1"/>
      <c r="G22" s="1"/>
      <c r="H22" s="1"/>
    </row>
    <row r="23" spans="1:12" ht="15.6" x14ac:dyDescent="0.3">
      <c r="B23" s="127" t="s">
        <v>14</v>
      </c>
      <c r="C23" s="127"/>
      <c r="D23" s="127"/>
      <c r="E23" s="127"/>
      <c r="F23" s="127"/>
      <c r="G23" s="127"/>
      <c r="H23" s="1"/>
    </row>
    <row r="24" spans="1:12" ht="10.5" customHeight="1" x14ac:dyDescent="0.3">
      <c r="B24" s="1"/>
      <c r="C24" s="1"/>
      <c r="D24" s="12"/>
      <c r="E24" s="1"/>
      <c r="F24" s="1"/>
      <c r="G24" s="1"/>
      <c r="H24" s="1"/>
    </row>
    <row r="25" spans="1:12" ht="15.6" x14ac:dyDescent="0.3">
      <c r="B25" s="1"/>
      <c r="C25" s="1"/>
      <c r="D25" s="1"/>
      <c r="E25" s="46" t="s">
        <v>7</v>
      </c>
      <c r="F25" s="46" t="s">
        <v>8</v>
      </c>
      <c r="G25" s="1"/>
      <c r="H25" s="1"/>
    </row>
    <row r="26" spans="1:12" ht="15.6" x14ac:dyDescent="0.3">
      <c r="B26" s="46" t="s">
        <v>9</v>
      </c>
      <c r="C26" s="33" t="s">
        <v>10</v>
      </c>
      <c r="D26" s="33" t="s">
        <v>11</v>
      </c>
      <c r="E26" s="20">
        <v>20</v>
      </c>
      <c r="F26" s="20">
        <v>20</v>
      </c>
      <c r="G26" s="33" t="s">
        <v>110</v>
      </c>
      <c r="H26" s="1"/>
      <c r="K26" s="5" t="s">
        <v>7</v>
      </c>
      <c r="L26" s="5" t="s">
        <v>8</v>
      </c>
    </row>
    <row r="27" spans="1:12" ht="18" x14ac:dyDescent="0.35">
      <c r="A27" s="101">
        <v>1</v>
      </c>
      <c r="B27" s="15"/>
      <c r="C27" s="94">
        <f>J27</f>
        <v>6</v>
      </c>
      <c r="D27" s="94"/>
      <c r="E27" s="94">
        <f t="shared" ref="E27:F32" si="10">K27+E$26</f>
        <v>1720</v>
      </c>
      <c r="F27" s="94">
        <f t="shared" si="10"/>
        <v>1220</v>
      </c>
      <c r="G27" s="94" t="str">
        <f t="shared" ref="G27:G32" si="11">D37</f>
        <v>E/R 2 CARAS</v>
      </c>
      <c r="H27" s="1"/>
      <c r="J27" s="3">
        <f t="shared" ref="J27:J32" si="12">C37</f>
        <v>6</v>
      </c>
      <c r="K27" s="4">
        <f>E37</f>
        <v>1700</v>
      </c>
      <c r="L27" s="4">
        <f>F37</f>
        <v>1200</v>
      </c>
    </row>
    <row r="28" spans="1:12" ht="18" x14ac:dyDescent="0.35">
      <c r="A28" s="101"/>
      <c r="B28" s="15"/>
      <c r="C28" s="94">
        <f t="shared" ref="C28:C32" si="13">J28</f>
        <v>1</v>
      </c>
      <c r="D28" s="94"/>
      <c r="E28" s="94">
        <f t="shared" si="10"/>
        <v>1820</v>
      </c>
      <c r="F28" s="94">
        <f t="shared" si="10"/>
        <v>1520</v>
      </c>
      <c r="G28" s="94" t="str">
        <f t="shared" si="11"/>
        <v>E/R 1 CARA</v>
      </c>
      <c r="H28" s="1"/>
      <c r="J28" s="3">
        <f t="shared" si="12"/>
        <v>1</v>
      </c>
      <c r="K28" s="4">
        <f t="shared" ref="K28:L28" si="14">E38</f>
        <v>1800</v>
      </c>
      <c r="L28" s="4">
        <f t="shared" si="14"/>
        <v>1500</v>
      </c>
    </row>
    <row r="29" spans="1:12" ht="18" x14ac:dyDescent="0.35">
      <c r="A29" s="101"/>
      <c r="B29" s="15"/>
      <c r="C29" s="94">
        <f t="shared" si="13"/>
        <v>1</v>
      </c>
      <c r="D29" s="94"/>
      <c r="E29" s="94">
        <f t="shared" si="10"/>
        <v>1820</v>
      </c>
      <c r="F29" s="94">
        <f t="shared" si="10"/>
        <v>1520</v>
      </c>
      <c r="G29" s="94" t="str">
        <f t="shared" si="11"/>
        <v>TROZO LAMINA</v>
      </c>
      <c r="H29" s="1"/>
      <c r="J29" s="3">
        <f t="shared" si="12"/>
        <v>1</v>
      </c>
      <c r="K29" s="4">
        <f t="shared" ref="K29:L29" si="15">E39</f>
        <v>1800</v>
      </c>
      <c r="L29" s="4">
        <f t="shared" si="15"/>
        <v>1500</v>
      </c>
    </row>
    <row r="30" spans="1:12" ht="18" x14ac:dyDescent="0.35">
      <c r="A30" s="101"/>
      <c r="B30" s="15"/>
      <c r="C30" s="94">
        <f t="shared" si="13"/>
        <v>1</v>
      </c>
      <c r="D30" s="94"/>
      <c r="E30" s="94">
        <f t="shared" si="10"/>
        <v>1695</v>
      </c>
      <c r="F30" s="94">
        <f t="shared" si="10"/>
        <v>1233</v>
      </c>
      <c r="G30" s="94" t="str">
        <f t="shared" si="11"/>
        <v>E/R 1 CARA</v>
      </c>
      <c r="H30" s="1"/>
      <c r="J30" s="3">
        <f t="shared" si="12"/>
        <v>1</v>
      </c>
      <c r="K30" s="4">
        <f t="shared" ref="K30:L30" si="16">E40</f>
        <v>1675</v>
      </c>
      <c r="L30" s="4">
        <f t="shared" si="16"/>
        <v>1213</v>
      </c>
    </row>
    <row r="31" spans="1:12" ht="18" x14ac:dyDescent="0.35">
      <c r="A31" s="101"/>
      <c r="B31" s="15"/>
      <c r="C31" s="94">
        <f t="shared" si="13"/>
        <v>1</v>
      </c>
      <c r="D31" s="94"/>
      <c r="E31" s="94">
        <f t="shared" si="10"/>
        <v>1378</v>
      </c>
      <c r="F31" s="94">
        <f t="shared" si="10"/>
        <v>855</v>
      </c>
      <c r="G31" s="94" t="str">
        <f t="shared" si="11"/>
        <v>E/R 1 CARA</v>
      </c>
      <c r="H31" s="1"/>
      <c r="J31" s="3">
        <f t="shared" si="12"/>
        <v>1</v>
      </c>
      <c r="K31" s="4">
        <f t="shared" ref="K31:L31" si="17">E41</f>
        <v>1358</v>
      </c>
      <c r="L31" s="4">
        <f t="shared" si="17"/>
        <v>835</v>
      </c>
    </row>
    <row r="32" spans="1:12" ht="18" x14ac:dyDescent="0.35">
      <c r="A32" s="101"/>
      <c r="B32" s="15"/>
      <c r="C32" s="94">
        <f t="shared" si="13"/>
        <v>1</v>
      </c>
      <c r="D32" s="94"/>
      <c r="E32" s="94">
        <f t="shared" si="10"/>
        <v>1127</v>
      </c>
      <c r="F32" s="94">
        <f t="shared" si="10"/>
        <v>855</v>
      </c>
      <c r="G32" s="94" t="str">
        <f t="shared" si="11"/>
        <v>E/R 1 CARA</v>
      </c>
      <c r="H32" s="1"/>
      <c r="J32" s="3">
        <f t="shared" si="12"/>
        <v>1</v>
      </c>
      <c r="K32" s="4">
        <f t="shared" ref="K32:L32" si="18">E42</f>
        <v>1107</v>
      </c>
      <c r="L32" s="4">
        <f t="shared" si="18"/>
        <v>835</v>
      </c>
    </row>
    <row r="33" spans="1:12" ht="16.2" thickBot="1" x14ac:dyDescent="0.35">
      <c r="B33" s="46"/>
      <c r="C33" s="6"/>
      <c r="D33" s="6"/>
      <c r="E33" s="6"/>
      <c r="F33" s="6"/>
      <c r="G33" s="6"/>
      <c r="H33" s="1"/>
      <c r="J33" s="2"/>
      <c r="K33" s="2"/>
      <c r="L33" s="2"/>
    </row>
    <row r="34" spans="1:12" ht="16.2" thickBot="1" x14ac:dyDescent="0.35">
      <c r="B34" s="46"/>
      <c r="C34" s="21" t="s">
        <v>107</v>
      </c>
      <c r="D34" s="22"/>
      <c r="E34" s="22"/>
      <c r="F34" s="22"/>
      <c r="G34" s="23"/>
      <c r="H34" s="1"/>
      <c r="J34" s="2"/>
      <c r="K34" s="2"/>
      <c r="L34" s="2"/>
    </row>
    <row r="35" spans="1:12" ht="10.5" customHeight="1" x14ac:dyDescent="0.3">
      <c r="B35" s="1"/>
      <c r="C35" s="1"/>
      <c r="D35" s="1"/>
      <c r="E35" s="1"/>
      <c r="F35" s="1"/>
      <c r="G35" s="1"/>
      <c r="H35" s="1"/>
    </row>
    <row r="36" spans="1:12" ht="15.6" x14ac:dyDescent="0.3">
      <c r="B36" s="46" t="s">
        <v>9</v>
      </c>
      <c r="C36" s="79" t="s">
        <v>10</v>
      </c>
      <c r="D36" s="79" t="s">
        <v>110</v>
      </c>
      <c r="E36" s="79" t="s">
        <v>7</v>
      </c>
      <c r="F36" s="79" t="s">
        <v>8</v>
      </c>
      <c r="G36" s="79" t="s">
        <v>23</v>
      </c>
      <c r="H36" s="1"/>
    </row>
    <row r="37" spans="1:12" ht="18" x14ac:dyDescent="0.35">
      <c r="A37" s="101">
        <v>1</v>
      </c>
      <c r="B37" s="112" t="s">
        <v>149</v>
      </c>
      <c r="C37" s="93">
        <f>'4637'!B22</f>
        <v>6</v>
      </c>
      <c r="D37" s="93" t="str">
        <f>'4637'!C22</f>
        <v>E/R 2 CARAS</v>
      </c>
      <c r="E37" s="93">
        <f>'4637'!D22</f>
        <v>1700</v>
      </c>
      <c r="F37" s="93">
        <f>'4637'!E22</f>
        <v>1200</v>
      </c>
      <c r="G37" s="98" t="str">
        <f>G63</f>
        <v>HUMO 2108 MT</v>
      </c>
      <c r="H37" s="1"/>
    </row>
    <row r="38" spans="1:12" ht="18" x14ac:dyDescent="0.35">
      <c r="A38" s="101"/>
      <c r="B38" s="112"/>
      <c r="C38" s="93">
        <f>'4637'!B23</f>
        <v>1</v>
      </c>
      <c r="D38" s="93" t="str">
        <f>'4637'!C23</f>
        <v>E/R 1 CARA</v>
      </c>
      <c r="E38" s="93">
        <f>'4637'!D23</f>
        <v>1800</v>
      </c>
      <c r="F38" s="93">
        <f>'4637'!E23</f>
        <v>1500</v>
      </c>
      <c r="G38" s="98" t="str">
        <f t="shared" ref="G38:G42" si="19">G64</f>
        <v>HUMO 2108 MT</v>
      </c>
      <c r="H38" s="1"/>
    </row>
    <row r="39" spans="1:12" ht="18" x14ac:dyDescent="0.35">
      <c r="A39" s="101"/>
      <c r="B39" s="112"/>
      <c r="C39" s="93">
        <f>'4637'!B24</f>
        <v>1</v>
      </c>
      <c r="D39" s="93" t="str">
        <f>'4637'!C24</f>
        <v>TROZO LAMINA</v>
      </c>
      <c r="E39" s="93">
        <f>'4637'!D24</f>
        <v>1800</v>
      </c>
      <c r="F39" s="93">
        <f>'4637'!E24</f>
        <v>1500</v>
      </c>
      <c r="G39" s="98" t="str">
        <f t="shared" si="19"/>
        <v>HUMO 2108 MT</v>
      </c>
      <c r="H39" s="1"/>
    </row>
    <row r="40" spans="1:12" ht="18" x14ac:dyDescent="0.35">
      <c r="A40" s="101"/>
      <c r="B40" s="112"/>
      <c r="C40" s="93">
        <f>'4637'!B25</f>
        <v>1</v>
      </c>
      <c r="D40" s="93" t="str">
        <f>'4637'!C25</f>
        <v>E/R 1 CARA</v>
      </c>
      <c r="E40" s="93">
        <f>'4637'!D25</f>
        <v>1675</v>
      </c>
      <c r="F40" s="93">
        <f>'4637'!E25</f>
        <v>1213</v>
      </c>
      <c r="G40" s="98" t="str">
        <f t="shared" si="19"/>
        <v>HUMO 2108 MT</v>
      </c>
      <c r="H40" s="1"/>
    </row>
    <row r="41" spans="1:12" ht="18" x14ac:dyDescent="0.35">
      <c r="A41" s="101"/>
      <c r="B41" s="112"/>
      <c r="C41" s="93">
        <f>'4637'!B26</f>
        <v>1</v>
      </c>
      <c r="D41" s="93" t="str">
        <f>'4637'!C26</f>
        <v>E/R 1 CARA</v>
      </c>
      <c r="E41" s="93">
        <f>'4637'!D26</f>
        <v>1358</v>
      </c>
      <c r="F41" s="93">
        <f>'4637'!E26</f>
        <v>835</v>
      </c>
      <c r="G41" s="98" t="str">
        <f t="shared" si="19"/>
        <v>HUMO 2108 MT</v>
      </c>
      <c r="H41" s="1"/>
    </row>
    <row r="42" spans="1:12" ht="18" x14ac:dyDescent="0.35">
      <c r="A42" s="101"/>
      <c r="B42" s="112"/>
      <c r="C42" s="93">
        <f>'4637'!B27</f>
        <v>1</v>
      </c>
      <c r="D42" s="93" t="str">
        <f>'4637'!C27</f>
        <v>E/R 1 CARA</v>
      </c>
      <c r="E42" s="93">
        <f>'4637'!D27</f>
        <v>1107</v>
      </c>
      <c r="F42" s="93">
        <f>'4637'!E27</f>
        <v>835</v>
      </c>
      <c r="G42" s="98" t="str">
        <f t="shared" si="19"/>
        <v>HUMO 2108 MT</v>
      </c>
      <c r="H42" s="1"/>
    </row>
    <row r="43" spans="1:12" ht="18" x14ac:dyDescent="0.35">
      <c r="A43" s="101"/>
      <c r="B43" s="112"/>
      <c r="C43" s="101"/>
      <c r="D43" s="101"/>
      <c r="E43" s="101"/>
      <c r="F43" s="101"/>
      <c r="H43" s="1"/>
    </row>
    <row r="44" spans="1:12" ht="15.6" x14ac:dyDescent="0.3">
      <c r="B44" s="1"/>
      <c r="C44" s="6"/>
      <c r="D44" s="6"/>
      <c r="E44" s="6"/>
      <c r="F44" s="6"/>
      <c r="G44" s="6"/>
      <c r="H44" s="1"/>
    </row>
    <row r="45" spans="1:12" ht="15.6" x14ac:dyDescent="0.3">
      <c r="B45" s="1"/>
      <c r="C45" s="6"/>
      <c r="D45" s="6"/>
      <c r="E45" s="6"/>
      <c r="F45" s="6"/>
      <c r="G45" s="6"/>
      <c r="H45" s="1"/>
    </row>
    <row r="46" spans="1:12" ht="15.6" x14ac:dyDescent="0.3">
      <c r="B46" s="1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1"/>
      <c r="D52" s="1"/>
      <c r="E52" s="1"/>
      <c r="F52" s="1"/>
      <c r="G52" s="1"/>
      <c r="H52" s="1"/>
    </row>
    <row r="53" spans="2:8" ht="15.6" x14ac:dyDescent="0.3">
      <c r="B53" s="1"/>
      <c r="C53" s="1"/>
      <c r="D53" s="35" t="s">
        <v>27</v>
      </c>
      <c r="E53" s="14">
        <f>'4637'!G8</f>
        <v>7114</v>
      </c>
      <c r="F53" s="1"/>
      <c r="G53" s="1"/>
      <c r="H53" s="1"/>
    </row>
    <row r="54" spans="2:8" ht="17.25" customHeight="1" x14ac:dyDescent="0.3">
      <c r="B54" s="1"/>
      <c r="C54" s="1"/>
      <c r="D54" s="36" t="s">
        <v>67</v>
      </c>
      <c r="E54" s="37" t="str">
        <f>'4637'!C10</f>
        <v>FILLKUN CARPINTERIA</v>
      </c>
      <c r="F54" s="38"/>
      <c r="G54" s="38"/>
      <c r="H54" s="1"/>
    </row>
    <row r="55" spans="2:8" ht="4.5" customHeight="1" x14ac:dyDescent="0.3">
      <c r="B55" s="1"/>
      <c r="C55" s="1"/>
      <c r="D55" s="39"/>
      <c r="E55" s="40"/>
      <c r="F55" s="1"/>
      <c r="G55" s="1"/>
      <c r="H55" s="1"/>
    </row>
    <row r="56" spans="2:8" ht="15.6" x14ac:dyDescent="0.3">
      <c r="B56" s="1"/>
      <c r="C56" s="1"/>
      <c r="D56" s="41" t="str">
        <f>'4637'!F11</f>
        <v>FECHA LIMITE :</v>
      </c>
      <c r="E56" s="13">
        <f>'4637'!G11</f>
        <v>45580</v>
      </c>
      <c r="F56" s="1"/>
      <c r="G56" s="1" t="s">
        <v>134</v>
      </c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27" t="s">
        <v>68</v>
      </c>
      <c r="C59" s="127"/>
      <c r="D59" s="127"/>
      <c r="E59" s="127"/>
      <c r="F59" s="127"/>
      <c r="G59" s="127"/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ht="15.75" customHeight="1" x14ac:dyDescent="0.3">
      <c r="B61" s="1"/>
      <c r="C61" s="128" t="s">
        <v>69</v>
      </c>
      <c r="D61" s="129"/>
      <c r="E61" s="130"/>
      <c r="F61" s="130"/>
      <c r="G61" s="131"/>
      <c r="H61" s="1"/>
    </row>
    <row r="62" spans="2:8" s="15" customFormat="1" ht="12.75" customHeight="1" x14ac:dyDescent="0.3">
      <c r="B62" s="1"/>
      <c r="C62" s="33" t="s">
        <v>10</v>
      </c>
      <c r="D62" s="42" t="s">
        <v>11</v>
      </c>
      <c r="E62" s="43" t="s">
        <v>7</v>
      </c>
      <c r="F62" s="43" t="s">
        <v>8</v>
      </c>
      <c r="G62" s="97" t="s">
        <v>12</v>
      </c>
      <c r="H62" s="1"/>
    </row>
    <row r="63" spans="2:8" s="15" customFormat="1" ht="15" customHeight="1" x14ac:dyDescent="0.35">
      <c r="B63" s="112" t="s">
        <v>149</v>
      </c>
      <c r="C63" s="91">
        <f>'4637'!B22</f>
        <v>6</v>
      </c>
      <c r="D63" s="92" t="str">
        <f>'4637'!C22</f>
        <v>E/R 2 CARAS</v>
      </c>
      <c r="E63" s="92">
        <f>'4637'!D22</f>
        <v>1700</v>
      </c>
      <c r="F63" s="96">
        <f>'4637'!E22</f>
        <v>1200</v>
      </c>
      <c r="G63" s="99" t="str">
        <f>'4637'!F22</f>
        <v>HUMO 2108 MT</v>
      </c>
      <c r="H63" s="1"/>
    </row>
    <row r="64" spans="2:8" s="15" customFormat="1" ht="15" customHeight="1" x14ac:dyDescent="0.35">
      <c r="B64" s="112"/>
      <c r="C64" s="91">
        <f>'4637'!B23</f>
        <v>1</v>
      </c>
      <c r="D64" s="92" t="str">
        <f>'4637'!C23</f>
        <v>E/R 1 CARA</v>
      </c>
      <c r="E64" s="92">
        <f>'4637'!D23</f>
        <v>1800</v>
      </c>
      <c r="F64" s="96">
        <f>'4637'!E23</f>
        <v>1500</v>
      </c>
      <c r="G64" s="99" t="str">
        <f>'4637'!F23</f>
        <v>HUMO 2108 MT</v>
      </c>
      <c r="H64" s="1"/>
    </row>
    <row r="65" spans="2:8" s="15" customFormat="1" ht="15" customHeight="1" x14ac:dyDescent="0.35">
      <c r="B65" s="112"/>
      <c r="C65" s="91">
        <f>'4637'!B24</f>
        <v>1</v>
      </c>
      <c r="D65" s="92" t="str">
        <f>'4637'!C24</f>
        <v>TROZO LAMINA</v>
      </c>
      <c r="E65" s="92">
        <f>'4637'!D24</f>
        <v>1800</v>
      </c>
      <c r="F65" s="96">
        <f>'4637'!E24</f>
        <v>1500</v>
      </c>
      <c r="G65" s="99" t="str">
        <f>'4637'!F24</f>
        <v>HUMO 2108 MT</v>
      </c>
      <c r="H65" s="1"/>
    </row>
    <row r="66" spans="2:8" s="15" customFormat="1" ht="15" customHeight="1" x14ac:dyDescent="0.35">
      <c r="B66" s="112"/>
      <c r="C66" s="91">
        <f>'4637'!B25</f>
        <v>1</v>
      </c>
      <c r="D66" s="92" t="str">
        <f>'4637'!C25</f>
        <v>E/R 1 CARA</v>
      </c>
      <c r="E66" s="92">
        <f>'4637'!D25</f>
        <v>1675</v>
      </c>
      <c r="F66" s="96">
        <f>'4637'!E25</f>
        <v>1213</v>
      </c>
      <c r="G66" s="99" t="str">
        <f>'4637'!F25</f>
        <v>HUMO 2108 MT</v>
      </c>
      <c r="H66" s="1"/>
    </row>
    <row r="67" spans="2:8" s="15" customFormat="1" ht="15" customHeight="1" x14ac:dyDescent="0.35">
      <c r="B67" s="112"/>
      <c r="C67" s="91">
        <f>'4637'!B26</f>
        <v>1</v>
      </c>
      <c r="D67" s="92" t="str">
        <f>'4637'!C26</f>
        <v>E/R 1 CARA</v>
      </c>
      <c r="E67" s="92">
        <f>'4637'!D26</f>
        <v>1358</v>
      </c>
      <c r="F67" s="96">
        <f>'4637'!E26</f>
        <v>835</v>
      </c>
      <c r="G67" s="99" t="str">
        <f>'4637'!F26</f>
        <v>HUMO 2108 MT</v>
      </c>
      <c r="H67" s="1"/>
    </row>
    <row r="68" spans="2:8" s="15" customFormat="1" ht="15" customHeight="1" x14ac:dyDescent="0.35">
      <c r="B68" s="112"/>
      <c r="C68" s="91">
        <f>'4637'!B27</f>
        <v>1</v>
      </c>
      <c r="D68" s="92" t="str">
        <f>'4637'!C27</f>
        <v>E/R 1 CARA</v>
      </c>
      <c r="E68" s="92">
        <f>'4637'!D27</f>
        <v>1107</v>
      </c>
      <c r="F68" s="96">
        <f>'4637'!E27</f>
        <v>835</v>
      </c>
      <c r="G68" s="99" t="str">
        <f>'4637'!F27</f>
        <v>HUMO 2108 MT</v>
      </c>
      <c r="H68" s="1"/>
    </row>
    <row r="69" spans="2:8" s="15" customFormat="1" ht="15" customHeight="1" x14ac:dyDescent="0.35">
      <c r="B69" s="112"/>
      <c r="C69" s="118"/>
      <c r="D69" s="118"/>
      <c r="E69" s="118"/>
      <c r="F69" s="118"/>
      <c r="G69" s="1"/>
      <c r="H69" s="1"/>
    </row>
    <row r="70" spans="2:8" s="15" customFormat="1" ht="15" customHeight="1" x14ac:dyDescent="0.3">
      <c r="B70" s="44"/>
      <c r="C70" s="46"/>
      <c r="D70" s="46"/>
      <c r="E70" s="46"/>
      <c r="F70" s="46"/>
      <c r="G70" s="46"/>
      <c r="H70" s="1"/>
    </row>
    <row r="71" spans="2:8" ht="15.6" x14ac:dyDescent="0.3">
      <c r="B71" s="6"/>
      <c r="C71" s="6"/>
      <c r="D71" s="1"/>
      <c r="E71" s="6"/>
      <c r="F71" s="6"/>
      <c r="G71" s="39"/>
      <c r="H71" s="1"/>
    </row>
    <row r="72" spans="2:8" ht="15.6" x14ac:dyDescent="0.3">
      <c r="B72" s="6"/>
      <c r="C72" s="6"/>
      <c r="D72" s="1"/>
      <c r="E72" s="6"/>
      <c r="F72" s="6"/>
      <c r="G72" s="6"/>
      <c r="H72" s="1"/>
    </row>
    <row r="73" spans="2:8" ht="15.6" x14ac:dyDescent="0.3">
      <c r="B73" s="1"/>
      <c r="C73" s="1"/>
      <c r="D73" s="1"/>
      <c r="E73" s="1"/>
      <c r="F73" s="1"/>
      <c r="G73" s="1"/>
      <c r="H73" s="1"/>
    </row>
    <row r="74" spans="2:8" ht="15.6" x14ac:dyDescent="0.3">
      <c r="B74" s="1"/>
      <c r="C74" s="1"/>
      <c r="D74" s="1"/>
      <c r="E74" s="1"/>
      <c r="F74" s="1"/>
      <c r="G74" s="1"/>
      <c r="H74" s="1"/>
    </row>
    <row r="75" spans="2:8" ht="15.6" x14ac:dyDescent="0.3">
      <c r="B75" s="1"/>
      <c r="C75" s="1"/>
      <c r="D75" s="1"/>
      <c r="E75" s="1"/>
      <c r="F75" s="1"/>
      <c r="G75" s="1"/>
      <c r="H75" s="1"/>
    </row>
    <row r="76" spans="2:8" ht="15" customHeight="1" x14ac:dyDescent="0.3">
      <c r="B76" s="1"/>
      <c r="C76" s="1"/>
      <c r="D76" s="1"/>
      <c r="E76" s="1"/>
      <c r="F76" s="1"/>
      <c r="G76" s="1"/>
      <c r="H76" s="1"/>
    </row>
    <row r="77" spans="2:8" ht="15.6" x14ac:dyDescent="0.3">
      <c r="B77" s="1"/>
      <c r="C77" s="1"/>
      <c r="D77" s="1"/>
      <c r="E77" s="1"/>
      <c r="F77" s="1"/>
      <c r="G77" s="1"/>
      <c r="H77" s="1"/>
    </row>
    <row r="78" spans="2:8" ht="15.6" x14ac:dyDescent="0.3">
      <c r="B78" s="6"/>
      <c r="C78" s="45"/>
      <c r="D78" s="1"/>
      <c r="E78" s="1"/>
      <c r="F78" s="1"/>
      <c r="G78" s="1"/>
      <c r="H78" s="1"/>
    </row>
    <row r="79" spans="2:8" ht="15.6" x14ac:dyDescent="0.3">
      <c r="B79" s="1"/>
      <c r="C79" s="1"/>
      <c r="D79" s="1"/>
      <c r="E79" s="1"/>
      <c r="F79" s="1"/>
      <c r="G79" s="1"/>
      <c r="H79" s="1"/>
    </row>
    <row r="80" spans="2:8" x14ac:dyDescent="0.3">
      <c r="C80" s="19"/>
      <c r="D80" s="19"/>
      <c r="E80" s="19"/>
      <c r="F80" s="19"/>
      <c r="G80" s="19"/>
    </row>
    <row r="81" spans="3:7" x14ac:dyDescent="0.3">
      <c r="C81" s="19"/>
      <c r="D81" s="19"/>
      <c r="F81" s="19"/>
      <c r="G81" s="19"/>
    </row>
  </sheetData>
  <mergeCells count="6">
    <mergeCell ref="N3:O3"/>
    <mergeCell ref="B23:G23"/>
    <mergeCell ref="B10:G10"/>
    <mergeCell ref="B59:G59"/>
    <mergeCell ref="C61:G61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2024-10-14T12:46:30Z</cp:lastPrinted>
  <dcterms:created xsi:type="dcterms:W3CDTF">2013-03-19T12:54:14Z</dcterms:created>
  <dcterms:modified xsi:type="dcterms:W3CDTF">2024-10-14T12:47:45Z</dcterms:modified>
</cp:coreProperties>
</file>