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NDV 2024\10 OCTUBRE 2024\"/>
    </mc:Choice>
  </mc:AlternateContent>
  <xr:revisionPtr revIDLastSave="0" documentId="13_ncr:1_{9171223A-43A9-4D8A-8EC4-5571F8EDF4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'4637'!$A$1:$H$33</definedName>
    <definedName name="_xlnm.Print_Area" localSheetId="2">CUBIERTA!$A$37:$G$59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G49" i="3" l="1"/>
  <c r="G28" i="3" s="1"/>
  <c r="L22" i="4" l="1"/>
  <c r="H25" i="4" l="1"/>
  <c r="H26" i="4" s="1"/>
  <c r="H27" i="4" l="1"/>
  <c r="F28" i="3"/>
  <c r="L22" i="3" s="1"/>
  <c r="E28" i="3"/>
  <c r="K22" i="3" s="1"/>
  <c r="D28" i="3"/>
  <c r="G22" i="3" s="1"/>
  <c r="G14" i="3" s="1"/>
  <c r="C28" i="3"/>
  <c r="F49" i="3"/>
  <c r="E49" i="3"/>
  <c r="D49" i="3"/>
  <c r="C49" i="3"/>
  <c r="J22" i="3" l="1"/>
  <c r="J14" i="3" s="1"/>
  <c r="C14" i="3" s="1"/>
  <c r="K14" i="3"/>
  <c r="E14" i="3" s="1"/>
  <c r="E22" i="3"/>
  <c r="L14" i="3"/>
  <c r="F14" i="3" s="1"/>
  <c r="F22" i="3"/>
  <c r="O5" i="3"/>
  <c r="C22" i="3" l="1"/>
  <c r="N5" i="3"/>
  <c r="M5" i="3"/>
  <c r="L5" i="3"/>
  <c r="D42" i="3" l="1"/>
  <c r="D7" i="3"/>
  <c r="E40" i="3"/>
  <c r="E5" i="3"/>
  <c r="E42" i="3"/>
  <c r="E7" i="3"/>
  <c r="E39" i="3"/>
  <c r="E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 de Windows</author>
  </authors>
  <commentList>
    <comment ref="E2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Usuario de Windows: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<sst xmlns="http://schemas.openxmlformats.org/spreadsheetml/2006/main" count="253" uniqueCount="149">
  <si>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</si>
  <si>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</si>
  <si>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</si>
  <si>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</si>
  <si>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</si>
  <si>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</si>
  <si>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</si>
  <si>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</si>
  <si>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</si>
  <si>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</si>
  <si>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</si>
  <si>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</si>
  <si>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</si>
  <si>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</si>
  <si>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</si>
  <si>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</si>
  <si>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</si>
  <si>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</si>
  <si>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</si>
  <si>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</si>
  <si>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</si>
  <si>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</si>
  <si>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</si>
  <si>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</si>
  <si>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</si>
  <si>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</si>
  <si>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</si>
  <si>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</si>
  <si>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</si>
  <si>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</si>
  <si>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</si>
  <si>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</si>
  <si>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</si>
  <si>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</si>
  <si>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</si>
  <si>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</si>
  <si>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</si>
  <si>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</si>
  <si>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</si>
  <si>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</si>
  <si>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</si>
  <si>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</si>
  <si>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</si>
  <si>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</si>
  <si>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</si>
  <si>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</si>
  <si>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</si>
  <si>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</si>
  <si>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</si>
  <si>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</si>
  <si>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</si>
  <si>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</si>
  <si>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</si>
  <si>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</si>
  <si>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</si>
  <si>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</si>
  <si>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</si>
  <si>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</si>
  <si>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</si>
  <si>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</si>
  <si>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</si>
  <si>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</si>
  <si>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</si>
  <si>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</si>
  <si>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</si>
  <si>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</si>
  <si>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</si>
  <si>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</si>
  <si>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</si>
  <si>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</si>
  <si>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</si>
  <si>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</si>
  <si>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</si>
  <si>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</si>
  <si>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</si>
  <si>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</si>
  <si>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</si>
  <si>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</si>
  <si>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</si>
  <si>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</si>
  <si>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</si>
  <si>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</si>
  <si>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</si>
  <si>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</si>
  <si>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</si>
  <si>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</si>
  <si>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</si>
  <si>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</si>
  <si>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</si>
  <si>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</si>
  <si>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</si>
  <si>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</si>
  <si>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</si>
  <si>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</si>
  <si>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</si>
  <si>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</si>
  <si>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</si>
  <si>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</si>
  <si>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</si>
  <si>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</si>
  <si>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</si>
  <si>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</si>
  <si>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</si>
  <si>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</si>
  <si>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</si>
  <si>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</si>
  <si>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</si>
  <si>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</si>
  <si>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</si>
  <si>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</si>
  <si>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</si>
  <si>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</si>
  <si>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CONTACTO: 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</si>
  <si>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</si>
  <si>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</si>
  <si>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</si>
  <si>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</si>
  <si>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</si>
  <si>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</si>
  <si>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</si>
  <si>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</si>
  <si>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</si>
  <si>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</si>
  <si>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</si>
  <si>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</si>
  <si>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</si>
  <si>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</si>
  <si>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</si>
  <si>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CORREO:</t>
  </si>
  <si>
    <t>CUB C/R R6</t>
  </si>
  <si>
    <t>HECHO POR:</t>
  </si>
  <si>
    <t xml:space="preserve">CLIENTE: </t>
  </si>
  <si>
    <t>GIRO:</t>
  </si>
  <si>
    <t>F.D.</t>
  </si>
  <si>
    <t>FERNANDO DONOSO</t>
  </si>
  <si>
    <t>FD</t>
  </si>
  <si>
    <t>ABONO 50% SALDO C/ENTREGA</t>
  </si>
  <si>
    <t>162x132</t>
  </si>
  <si>
    <t>SANTIAGO</t>
  </si>
  <si>
    <t>COMERCIALIZADORA MDM SPA</t>
  </si>
  <si>
    <t>DANIELA MORA</t>
  </si>
  <si>
    <t>+569 85526125</t>
  </si>
  <si>
    <t>LAS DALIAS 2798-D MACUL</t>
  </si>
  <si>
    <t>VAINILLA 2109 MT</t>
  </si>
  <si>
    <t>MELAMIL18MM</t>
  </si>
  <si>
    <t>MELAMIL 18MM</t>
  </si>
  <si>
    <t>N° 11086</t>
  </si>
  <si>
    <t>SERVICIO EXPRESS</t>
  </si>
  <si>
    <t>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</si>
</sst>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4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9" fillId="0" borderId="18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3" fillId="0" borderId="0" xfId="0" applyFont="1" applyAlignment="1">
      <alignment horizontal="left" indent="1"/>
    </xf>
    <xf numFmtId="0" fontId="13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3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7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29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28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3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3" fillId="0" borderId="0" xfId="1" applyNumberFormat="1" applyFont="1" applyFill="1" applyBorder="1" applyAlignment="1">
      <alignment horizontal="center" vertical="center"/>
    </xf>
    <xf numFmtId="14" fontId="3" fillId="4" borderId="0" xfId="0" applyNumberFormat="1" applyFont="1" applyFill="1" applyAlignment="1">
      <alignment horizontal="left"/>
    </xf>
    <xf numFmtId="0" fontId="18" fillId="3" borderId="0" xfId="0" applyFont="1" applyFill="1"/>
    <xf numFmtId="0" fontId="19" fillId="0" borderId="18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18" xfId="0" applyFont="1" applyBorder="1" applyAlignment="1">
      <alignment horizontal="center"/>
    </xf>
    <xf numFmtId="0" fontId="21" fillId="0" borderId="0" xfId="0" applyFont="1"/>
    <xf numFmtId="0" fontId="19" fillId="0" borderId="20" xfId="0" applyFont="1" applyBorder="1" applyAlignment="1">
      <alignment horizontal="center"/>
    </xf>
    <xf numFmtId="0" fontId="9" fillId="0" borderId="30" xfId="0" applyFont="1" applyBorder="1" applyAlignment="1">
      <alignment horizontal="center"/>
    </xf>
    <xf numFmtId="0" fontId="0" fillId="0" borderId="2" xfId="0" applyBorder="1"/>
    <xf numFmtId="0" fontId="3" fillId="0" borderId="2" xfId="0" applyFont="1" applyBorder="1"/>
    <xf numFmtId="0" fontId="2" fillId="3" borderId="6" xfId="0" applyFont="1" applyFill="1" applyBorder="1"/>
    <xf numFmtId="0" fontId="20" fillId="0" borderId="0" xfId="0" applyFont="1" applyAlignment="1">
      <alignment horizontal="center"/>
    </xf>
    <xf numFmtId="0" fontId="6" fillId="0" borderId="0" xfId="2"/>
    <xf numFmtId="0" fontId="23" fillId="0" borderId="0" xfId="2" quotePrefix="1" applyFont="1" applyFill="1" applyBorder="1" applyAlignment="1">
      <alignment horizontal="left"/>
    </xf>
    <xf numFmtId="0" fontId="22" fillId="3" borderId="9" xfId="2" applyFont="1" applyFill="1" applyBorder="1" applyAlignment="1">
      <alignment horizontal="left"/>
    </xf>
    <xf numFmtId="0" fontId="1" fillId="8" borderId="31" xfId="0" applyFont="1" applyFill="1" applyBorder="1" applyAlignment="1">
      <alignment horizontal="center" vertical="center"/>
    </xf>
    <xf numFmtId="0" fontId="1" fillId="8" borderId="12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65" fontId="17" fillId="0" borderId="0" xfId="0" applyNumberFormat="1" applyFont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/>
    </xf>
    <xf numFmtId="166" fontId="3" fillId="0" borderId="31" xfId="1" applyNumberFormat="1" applyFont="1" applyFill="1" applyBorder="1" applyAlignment="1">
      <alignment horizontal="center" vertical="center"/>
    </xf>
    <xf numFmtId="166" fontId="3" fillId="0" borderId="12" xfId="1" applyNumberFormat="1" applyFont="1" applyFill="1" applyBorder="1" applyAlignment="1">
      <alignment horizontal="center" vertical="center"/>
    </xf>
    <xf numFmtId="1" fontId="17" fillId="0" borderId="31" xfId="0" applyNumberFormat="1" applyFont="1" applyBorder="1" applyAlignment="1">
      <alignment horizontal="center" vertical="center"/>
    </xf>
    <xf numFmtId="0" fontId="13" fillId="4" borderId="9" xfId="0" applyFont="1" applyFill="1" applyBorder="1" applyAlignment="1">
      <alignment horizontal="left"/>
    </xf>
    <xf numFmtId="0" fontId="13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6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166" fontId="3" fillId="0" borderId="2" xfId="1" applyNumberFormat="1" applyFont="1" applyFill="1" applyBorder="1" applyAlignment="1">
      <alignment horizontal="center" vertical="center" shrinkToFit="1"/>
    </xf>
  </cellXfs>
  <cellStyles count="3">
    <cellStyle name="Hipervínculo" xfId="2" builtinId="8"/>
    <cellStyle name="Millares" xfId="1" builtinId="3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34291</xdr:colOff>
      <xdr:row>25</xdr:row>
      <xdr:rowOff>0</xdr:rowOff>
    </xdr:from>
    <xdr:to>
      <xdr:col>5</xdr:col>
      <xdr:colOff>1522096</xdr:colOff>
      <xdr:row>28</xdr:row>
      <xdr:rowOff>104775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32411" y="5128260"/>
          <a:ext cx="5983605" cy="7067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</a:t>
          </a:r>
          <a:r>
            <a:rPr lang="es-CL" sz="900" b="1" i="1" baseline="0"/>
            <a:t>  </a:t>
          </a:r>
          <a:endParaRPr lang="es-CL" sz="12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1089418</xdr:colOff>
      <xdr:row>6</xdr:row>
      <xdr:rowOff>20955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895350</xdr:colOff>
      <xdr:row>5</xdr:row>
      <xdr:rowOff>47625</xdr:rowOff>
    </xdr:from>
    <xdr:to>
      <xdr:col>6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716280</xdr:colOff>
      <xdr:row>16</xdr:row>
      <xdr:rowOff>60960</xdr:rowOff>
    </xdr:from>
    <xdr:to>
      <xdr:col>6</xdr:col>
      <xdr:colOff>2240279</xdr:colOff>
      <xdr:row>18</xdr:row>
      <xdr:rowOff>3810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716280" y="4899660"/>
          <a:ext cx="7155179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171450</xdr:colOff>
      <xdr:row>8</xdr:row>
      <xdr:rowOff>171450</xdr:rowOff>
    </xdr:from>
    <xdr:to>
      <xdr:col>6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161925</xdr:colOff>
      <xdr:row>43</xdr:row>
      <xdr:rowOff>171450</xdr:rowOff>
    </xdr:from>
    <xdr:to>
      <xdr:col>6</xdr:col>
      <xdr:colOff>1685924</xdr:colOff>
      <xdr:row>45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12767310"/>
          <a:ext cx="7498079" cy="2438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41</xdr:row>
      <xdr:rowOff>0</xdr:rowOff>
    </xdr:from>
    <xdr:to>
      <xdr:col>7</xdr:col>
      <xdr:colOff>0</xdr:colOff>
      <xdr:row>42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647825" y="12344400"/>
          <a:ext cx="6726555" cy="5334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39</xdr:row>
      <xdr:rowOff>38100</xdr:rowOff>
    </xdr:from>
    <xdr:to>
      <xdr:col>7</xdr:col>
      <xdr:colOff>0</xdr:colOff>
      <xdr:row>40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647825" y="11971020"/>
          <a:ext cx="6726555" cy="17907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38</xdr:row>
      <xdr:rowOff>0</xdr:rowOff>
    </xdr:from>
    <xdr:to>
      <xdr:col>7</xdr:col>
      <xdr:colOff>0</xdr:colOff>
      <xdr:row>39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647825" y="11734800"/>
          <a:ext cx="6726555" cy="19812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50</xdr:row>
      <xdr:rowOff>0</xdr:rowOff>
    </xdr:from>
    <xdr:to>
      <xdr:col>3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5460980"/>
          <a:ext cx="9677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50</xdr:row>
      <xdr:rowOff>0</xdr:rowOff>
    </xdr:from>
    <xdr:to>
      <xdr:col>3</xdr:col>
      <xdr:colOff>1019175</xdr:colOff>
      <xdr:row>51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1640" y="15460980"/>
          <a:ext cx="98107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50</xdr:row>
      <xdr:rowOff>0</xdr:rowOff>
    </xdr:from>
    <xdr:to>
      <xdr:col>4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63190" y="15460980"/>
          <a:ext cx="169735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50</xdr:row>
      <xdr:rowOff>0</xdr:rowOff>
    </xdr:from>
    <xdr:to>
      <xdr:col>5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4360545" y="15460980"/>
          <a:ext cx="100203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50</xdr:row>
      <xdr:rowOff>0</xdr:rowOff>
    </xdr:from>
    <xdr:to>
      <xdr:col>6</xdr:col>
      <xdr:colOff>447675</xdr:colOff>
      <xdr:row>51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5353050" y="1546098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50</xdr:row>
      <xdr:rowOff>0</xdr:rowOff>
    </xdr:from>
    <xdr:to>
      <xdr:col>7</xdr:col>
      <xdr:colOff>0</xdr:colOff>
      <xdr:row>51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6431280" y="1546098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51</xdr:row>
      <xdr:rowOff>0</xdr:rowOff>
    </xdr:from>
    <xdr:to>
      <xdr:col>3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5651480"/>
          <a:ext cx="123444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51</xdr:row>
      <xdr:rowOff>0</xdr:rowOff>
    </xdr:from>
    <xdr:to>
      <xdr:col>3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1640" y="156514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51</xdr:row>
      <xdr:rowOff>0</xdr:rowOff>
    </xdr:from>
    <xdr:to>
      <xdr:col>4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63190" y="15651480"/>
          <a:ext cx="196405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51</xdr:row>
      <xdr:rowOff>0</xdr:rowOff>
    </xdr:from>
    <xdr:to>
      <xdr:col>5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4360545" y="156514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51</xdr:row>
      <xdr:rowOff>0</xdr:rowOff>
    </xdr:from>
    <xdr:to>
      <xdr:col>6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5353050" y="156514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51</xdr:row>
      <xdr:rowOff>0</xdr:rowOff>
    </xdr:from>
    <xdr:to>
      <xdr:col>7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6431280" y="15651480"/>
          <a:ext cx="194310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392430</xdr:colOff>
      <xdr:row>30</xdr:row>
      <xdr:rowOff>15238</xdr:rowOff>
    </xdr:from>
    <xdr:to>
      <xdr:col>7</xdr:col>
      <xdr:colOff>68580</xdr:colOff>
      <xdr:row>34</xdr:row>
      <xdr:rowOff>76199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8"/>
          <a:ext cx="7991475" cy="8610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</a:t>
          </a:r>
          <a:endParaRPr lang="es-CL" sz="1050">
            <a:effectLst/>
          </a:endParaRPr>
        </a:p>
      </xdr:txBody>
    </xdr:sp>
    <xdr:clientData/>
  </xdr:twoCellAnchor>
  <xdr:twoCellAnchor>
    <xdr:from>
      <xdr:col>1</xdr:col>
      <xdr:colOff>190500</xdr:colOff>
      <xdr:row>24</xdr:row>
      <xdr:rowOff>1905</xdr:rowOff>
    </xdr:from>
    <xdr:to>
      <xdr:col>7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7629525"/>
          <a:ext cx="8202929" cy="21336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20955</xdr:colOff>
      <xdr:row>53</xdr:row>
      <xdr:rowOff>32385</xdr:rowOff>
    </xdr:from>
    <xdr:to>
      <xdr:col>7</xdr:col>
      <xdr:colOff>19050</xdr:colOff>
      <xdr:row>58</xdr:row>
      <xdr:rowOff>47625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481435"/>
          <a:ext cx="7608570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OBSERVACIONES:PUERTAS CORTADAS A LA MEDIDA Y ENCHAPADAS CON TAPACANTO PVC 0,4MM</a:t>
          </a:r>
          <a:endParaRPr lang="es-CL" b="1">
            <a:effectLst/>
          </a:endParaRPr>
        </a:p>
      </xdr:txBody>
    </xdr:sp>
    <xdr:clientData/>
  </xdr:twoCellAnchor>
  <xdr:twoCellAnchor editAs="oneCell">
    <xdr:from>
      <xdr:col>1</xdr:col>
      <xdr:colOff>55245</xdr:colOff>
      <xdr:row>37</xdr:row>
      <xdr:rowOff>175260</xdr:rowOff>
    </xdr:from>
    <xdr:to>
      <xdr:col>2</xdr:col>
      <xdr:colOff>433184</xdr:colOff>
      <xdr:row>43</xdr:row>
      <xdr:rowOff>85725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" y="14634210"/>
          <a:ext cx="1303769" cy="986790"/>
        </a:xfrm>
        <a:prstGeom prst="rect">
          <a:avLst/>
        </a:prstGeom>
      </xdr:spPr>
    </xdr:pic>
    <xdr:clientData/>
  </xdr:twoCellAnchor>
  <xdr:twoCellAnchor editAs="oneCell">
    <xdr:from>
      <xdr:col>1</xdr:col>
      <xdr:colOff>177166</xdr:colOff>
      <xdr:row>2</xdr:row>
      <xdr:rowOff>152400</xdr:rowOff>
    </xdr:from>
    <xdr:to>
      <xdr:col>2</xdr:col>
      <xdr:colOff>482612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6" y="561975"/>
          <a:ext cx="1231276" cy="927735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34"/>
  <sheetViews>
    <sheetView workbookViewId="0">
      <selection activeCell="G12" sqref="G1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4.5546875" customWidth="1"/>
    <col min="4" max="4" width="9.5546875" customWidth="1"/>
    <col min="5" max="5" width="8.88671875" customWidth="1"/>
    <col min="6" max="6" width="30.77734375" customWidth="1"/>
    <col min="7" max="7" width="13" customWidth="1"/>
    <col min="8" max="8" width="14.109375" bestFit="1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120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121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122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2" t="s">
        <v>16</v>
      </c>
      <c r="C8" s="83"/>
      <c r="D8" s="84" t="s">
        <v>146</v>
      </c>
      <c r="E8" s="1"/>
      <c r="F8" s="85" t="s">
        <v>27</v>
      </c>
      <c r="G8" s="86">
        <v>7112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48" t="s">
        <v>131</v>
      </c>
      <c r="C10" s="77" t="s">
        <v>139</v>
      </c>
      <c r="D10" s="49"/>
      <c r="E10" s="49"/>
      <c r="F10" s="50" t="s">
        <v>28</v>
      </c>
      <c r="G10" s="51">
        <v>45567</v>
      </c>
      <c r="H10" s="52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3" t="s">
        <v>2</v>
      </c>
      <c r="C11" s="95"/>
      <c r="D11" s="54"/>
      <c r="E11" s="54"/>
      <c r="F11" s="54" t="s">
        <v>125</v>
      </c>
      <c r="G11" s="55">
        <v>45568</v>
      </c>
      <c r="H11" s="56"/>
      <c r="I11" s="1"/>
    </row>
    <row r="12" spans="1:17" ht="16.8" x14ac:dyDescent="0.4">
      <c r="A12" s="1"/>
      <c r="B12" s="53" t="s">
        <v>132</v>
      </c>
      <c r="C12" s="95"/>
      <c r="D12" s="54"/>
      <c r="E12" s="54"/>
      <c r="F12" s="54"/>
      <c r="G12" s="89"/>
      <c r="H12" s="56"/>
      <c r="I12" s="1"/>
    </row>
    <row r="13" spans="1:17" ht="15.6" x14ac:dyDescent="0.3">
      <c r="A13" s="1"/>
      <c r="B13" s="57" t="s">
        <v>112</v>
      </c>
      <c r="C13" t="s">
        <v>140</v>
      </c>
      <c r="D13" s="38"/>
      <c r="E13" s="38"/>
      <c r="F13" s="38" t="s">
        <v>30</v>
      </c>
      <c r="G13" s="58"/>
      <c r="H13" s="59"/>
      <c r="I13" s="1"/>
    </row>
    <row r="14" spans="1:17" ht="15.6" x14ac:dyDescent="0.3">
      <c r="A14" s="1"/>
      <c r="B14" s="57" t="s">
        <v>128</v>
      </c>
      <c r="C14" s="102"/>
      <c r="D14" s="38"/>
      <c r="E14" s="38"/>
      <c r="F14" s="38" t="s">
        <v>130</v>
      </c>
      <c r="G14" s="58" t="s">
        <v>133</v>
      </c>
      <c r="H14" s="59"/>
      <c r="I14" s="1"/>
    </row>
    <row r="15" spans="1:17" ht="15.6" x14ac:dyDescent="0.3">
      <c r="A15" s="1"/>
      <c r="B15" s="53" t="s">
        <v>17</v>
      </c>
      <c r="C15" s="103" t="s">
        <v>141</v>
      </c>
      <c r="D15" s="60"/>
      <c r="E15" s="54"/>
      <c r="F15" s="54" t="s">
        <v>29</v>
      </c>
      <c r="G15" s="54" t="s">
        <v>148</v>
      </c>
      <c r="H15" s="56"/>
      <c r="I15" s="1"/>
    </row>
    <row r="16" spans="1:17" ht="16.8" x14ac:dyDescent="0.4">
      <c r="A16" s="1"/>
      <c r="B16" s="100" t="s">
        <v>1</v>
      </c>
      <c r="C16" s="95" t="s">
        <v>142</v>
      </c>
      <c r="D16" s="38"/>
      <c r="E16" s="38"/>
      <c r="F16" s="61" t="s">
        <v>75</v>
      </c>
      <c r="G16" s="90" t="s">
        <v>136</v>
      </c>
      <c r="H16" s="59"/>
      <c r="I16" s="1"/>
    </row>
    <row r="17" spans="1:19" ht="16.2" thickBot="1" x14ac:dyDescent="0.35">
      <c r="A17" s="1"/>
      <c r="B17" s="62" t="s">
        <v>3</v>
      </c>
      <c r="C17" s="104" t="s">
        <v>138</v>
      </c>
      <c r="D17" s="63"/>
      <c r="E17" s="64"/>
      <c r="F17" s="118" t="s">
        <v>18</v>
      </c>
      <c r="G17" s="118"/>
      <c r="H17" s="119"/>
      <c r="I17" s="1"/>
    </row>
    <row r="18" spans="1:19" ht="15.6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19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9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9" ht="16.2" thickBot="1" x14ac:dyDescent="0.35">
      <c r="A21" s="1"/>
      <c r="B21" s="65" t="s">
        <v>20</v>
      </c>
      <c r="C21" s="105" t="s">
        <v>21</v>
      </c>
      <c r="D21" s="105" t="s">
        <v>22</v>
      </c>
      <c r="E21" s="105" t="s">
        <v>8</v>
      </c>
      <c r="F21" s="106" t="s">
        <v>23</v>
      </c>
      <c r="G21" s="107" t="s">
        <v>24</v>
      </c>
      <c r="H21" s="106" t="s">
        <v>4</v>
      </c>
      <c r="I21" s="1"/>
      <c r="L21">
        <v>45000</v>
      </c>
    </row>
    <row r="22" spans="1:19" ht="18" customHeight="1" x14ac:dyDescent="0.3">
      <c r="A22" s="1"/>
      <c r="B22" s="113">
        <v>1</v>
      </c>
      <c r="C22" s="114" t="s">
        <v>64</v>
      </c>
      <c r="D22" s="117">
        <v>700</v>
      </c>
      <c r="E22" s="117">
        <v>381</v>
      </c>
      <c r="F22" s="111" t="s">
        <v>143</v>
      </c>
      <c r="G22" s="115">
        <v>29553</v>
      </c>
      <c r="H22" s="116">
        <f t="shared" ref="H22" si="0">G22*B22</f>
        <v>29553</v>
      </c>
      <c r="K22" s="16"/>
      <c r="L22" s="24">
        <f>L21*2.5</f>
        <v>112500</v>
      </c>
      <c r="M22" s="16"/>
      <c r="N22" s="16">
        <v>108700</v>
      </c>
      <c r="O22" s="24"/>
      <c r="P22" s="31"/>
    </row>
    <row r="23" spans="1:19" ht="18" customHeight="1" x14ac:dyDescent="0.3">
      <c r="A23" s="1"/>
      <c r="B23" s="108"/>
      <c r="C23" s="108"/>
      <c r="D23" s="110"/>
      <c r="E23" s="110"/>
      <c r="F23" s="108"/>
      <c r="G23" s="131" t="s">
        <v>147</v>
      </c>
      <c r="H23" s="112">
        <v>2955</v>
      </c>
      <c r="K23" s="16"/>
      <c r="L23" s="24"/>
      <c r="M23" s="16"/>
      <c r="N23" s="16"/>
      <c r="O23" s="24"/>
      <c r="P23" s="31"/>
    </row>
    <row r="24" spans="1:19" ht="18" customHeight="1" thickBot="1" x14ac:dyDescent="0.35">
      <c r="A24" s="1"/>
      <c r="B24" s="108"/>
      <c r="C24" s="109"/>
      <c r="D24" s="110"/>
      <c r="E24" s="110"/>
      <c r="F24" s="108"/>
      <c r="G24" s="88"/>
      <c r="H24" s="88"/>
      <c r="K24" s="16"/>
      <c r="L24" s="24"/>
      <c r="M24" s="16"/>
      <c r="N24" s="16"/>
      <c r="O24" s="24"/>
      <c r="P24" s="31"/>
    </row>
    <row r="25" spans="1:19" ht="15.6" x14ac:dyDescent="0.3">
      <c r="A25" s="1"/>
      <c r="B25" s="66"/>
      <c r="C25" s="66"/>
      <c r="D25" s="66"/>
      <c r="E25" s="66"/>
      <c r="F25" s="66"/>
      <c r="G25" s="67" t="s">
        <v>5</v>
      </c>
      <c r="H25" s="68">
        <f>SUM(H22:H24)</f>
        <v>32508</v>
      </c>
      <c r="I25" s="1"/>
      <c r="L25" s="2"/>
      <c r="O25" s="2"/>
      <c r="P25">
        <v>2940</v>
      </c>
      <c r="Q25">
        <v>600</v>
      </c>
      <c r="S25" t="s">
        <v>137</v>
      </c>
    </row>
    <row r="26" spans="1:19" ht="15.6" x14ac:dyDescent="0.3">
      <c r="A26" s="1"/>
      <c r="B26" s="1"/>
      <c r="C26" s="1"/>
      <c r="D26" s="1"/>
      <c r="E26" s="1"/>
      <c r="F26" s="1"/>
      <c r="G26" s="69" t="s">
        <v>6</v>
      </c>
      <c r="H26" s="70">
        <f>H25*19%</f>
        <v>6176.52</v>
      </c>
      <c r="I26" s="1"/>
      <c r="L26" s="2"/>
      <c r="O26" s="24"/>
      <c r="P26" s="31">
        <v>1890</v>
      </c>
      <c r="Q26">
        <v>600</v>
      </c>
    </row>
    <row r="27" spans="1:19" ht="16.2" thickBot="1" x14ac:dyDescent="0.35">
      <c r="A27" s="1"/>
      <c r="B27" s="1"/>
      <c r="C27" s="1"/>
      <c r="D27" s="1"/>
      <c r="E27" s="1"/>
      <c r="F27" s="1"/>
      <c r="G27" s="71" t="s">
        <v>4</v>
      </c>
      <c r="H27" s="72">
        <f>H25+H26</f>
        <v>38684.520000000004</v>
      </c>
      <c r="I27" s="1"/>
      <c r="L27" s="2"/>
    </row>
    <row r="28" spans="1:19" ht="15.6" x14ac:dyDescent="0.3">
      <c r="A28" s="1"/>
      <c r="B28" s="1"/>
      <c r="C28" s="1"/>
      <c r="D28" s="1"/>
      <c r="E28" s="1"/>
      <c r="F28" s="1"/>
      <c r="I28" s="1"/>
      <c r="L28" s="2"/>
    </row>
    <row r="29" spans="1:19" ht="15.6" x14ac:dyDescent="0.3">
      <c r="A29" s="1"/>
      <c r="B29" s="1"/>
      <c r="C29" s="1"/>
      <c r="D29" s="1"/>
      <c r="E29" s="1"/>
      <c r="F29" s="1"/>
      <c r="H29" s="31"/>
      <c r="I29" s="1"/>
    </row>
    <row r="30" spans="1:19" ht="15.6" x14ac:dyDescent="0.3">
      <c r="A30" s="1"/>
      <c r="B30" s="73" t="s">
        <v>124</v>
      </c>
      <c r="C30" s="74"/>
      <c r="D30" s="75"/>
      <c r="E30" s="75"/>
      <c r="F30" s="66"/>
      <c r="I30" s="1"/>
    </row>
    <row r="31" spans="1:19" ht="15.6" x14ac:dyDescent="0.3">
      <c r="A31" s="1"/>
      <c r="B31" s="73" t="s">
        <v>123</v>
      </c>
      <c r="C31" s="74"/>
      <c r="D31" s="75"/>
      <c r="E31" s="75"/>
      <c r="F31" s="66"/>
      <c r="G31" s="1"/>
      <c r="H31" s="1"/>
      <c r="I31" s="1"/>
    </row>
    <row r="32" spans="1:19" ht="15.6" x14ac:dyDescent="0.3">
      <c r="A32" s="1"/>
      <c r="B32" s="1" t="s">
        <v>25</v>
      </c>
      <c r="C32" s="1"/>
      <c r="D32" s="1"/>
      <c r="E32" s="76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7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8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114</v>
      </c>
      <c r="E4" s="8" t="s">
        <v>101</v>
      </c>
      <c r="G4" s="27">
        <v>50</v>
      </c>
      <c r="H4" s="27">
        <v>100</v>
      </c>
      <c r="I4" s="28" t="s">
        <v>114</v>
      </c>
      <c r="J4" s="29" t="s">
        <v>109</v>
      </c>
      <c r="K4" s="29"/>
      <c r="L4" s="29"/>
      <c r="M4" s="29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115</v>
      </c>
      <c r="E5" s="8" t="s">
        <v>102</v>
      </c>
      <c r="G5" s="27">
        <v>50</v>
      </c>
      <c r="H5" s="27"/>
      <c r="I5" s="28" t="s">
        <v>116</v>
      </c>
      <c r="J5" s="29" t="s">
        <v>118</v>
      </c>
      <c r="K5" s="29"/>
      <c r="L5" s="29"/>
      <c r="M5" s="29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129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117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119</v>
      </c>
      <c r="E20" s="8" t="s">
        <v>86</v>
      </c>
      <c r="G20" s="9">
        <v>50</v>
      </c>
      <c r="H20" s="9">
        <v>0</v>
      </c>
      <c r="I20" s="10" t="s">
        <v>119</v>
      </c>
      <c r="J20" s="29" t="s">
        <v>111</v>
      </c>
      <c r="K20" s="29"/>
      <c r="L20" s="29"/>
      <c r="M20" s="29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113</v>
      </c>
      <c r="E21" s="8" t="s">
        <v>87</v>
      </c>
      <c r="G21" s="9">
        <v>50</v>
      </c>
      <c r="H21" s="9">
        <v>0</v>
      </c>
      <c r="I21" s="10" t="s">
        <v>113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7"/>
      <c r="H22" s="27"/>
      <c r="I22" s="28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5">
        <v>40</v>
      </c>
      <c r="C36" s="25">
        <v>90</v>
      </c>
      <c r="D36" s="26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5">
        <v>40</v>
      </c>
      <c r="C37" s="25">
        <v>90</v>
      </c>
      <c r="D37" s="26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1"/>
  <sheetViews>
    <sheetView tabSelected="1" topLeftCell="A9" zoomScaleNormal="100" workbookViewId="0">
      <selection activeCell="A23" sqref="A23:XFD23"/>
    </sheetView>
  </sheetViews>
  <sheetFormatPr baseColWidth="10" defaultRowHeight="14.4" x14ac:dyDescent="0.3"/>
  <cols>
    <col min="2" max="2" width="13.77734375" customWidth="1"/>
    <col min="3" max="3" width="10.5546875" customWidth="1"/>
    <col min="4" max="4" width="41.6640625" customWidth="1"/>
    <col min="5" max="6" width="9.6640625" customWidth="1"/>
    <col min="7" max="7" width="40.5546875" customWidth="1"/>
    <col min="10" max="10" width="5.44140625" customWidth="1"/>
    <col min="11" max="11" width="9.33203125" customWidth="1"/>
    <col min="12" max="12" width="8.6640625" customWidth="1"/>
  </cols>
  <sheetData>
    <row r="1" spans="1:15" ht="15.6" x14ac:dyDescent="0.3">
      <c r="B1" s="1"/>
      <c r="C1" s="1"/>
      <c r="D1" s="1"/>
      <c r="E1" s="1"/>
      <c r="F1" s="1"/>
      <c r="G1" s="1"/>
      <c r="H1" s="1"/>
    </row>
    <row r="2" spans="1:15" ht="16.5" customHeight="1" x14ac:dyDescent="0.3">
      <c r="B2" s="1"/>
      <c r="C2" s="1"/>
      <c r="D2" s="1"/>
      <c r="E2" s="1"/>
      <c r="F2" s="1"/>
      <c r="G2" s="1"/>
      <c r="H2" s="1"/>
      <c r="L2" s="32" t="s">
        <v>127</v>
      </c>
      <c r="M2" s="32"/>
      <c r="N2" s="32"/>
    </row>
    <row r="3" spans="1:15" ht="15.6" x14ac:dyDescent="0.3">
      <c r="B3" s="1"/>
      <c r="C3" s="1"/>
      <c r="D3" s="1"/>
      <c r="E3" s="1"/>
      <c r="F3" s="1"/>
      <c r="G3" s="1"/>
      <c r="H3" s="1"/>
      <c r="L3" s="125" t="s">
        <v>61</v>
      </c>
      <c r="M3" s="125"/>
      <c r="N3" s="125" t="s">
        <v>14</v>
      </c>
      <c r="O3" s="125"/>
    </row>
    <row r="4" spans="1:15" ht="15.75" customHeight="1" x14ac:dyDescent="0.3">
      <c r="B4" s="1"/>
      <c r="C4" s="1"/>
      <c r="D4" s="35" t="s">
        <v>27</v>
      </c>
      <c r="E4" s="14">
        <f>'4637'!G8</f>
        <v>7112</v>
      </c>
      <c r="F4" s="1"/>
      <c r="G4" s="1"/>
      <c r="H4" s="1"/>
      <c r="L4" t="s">
        <v>7</v>
      </c>
      <c r="M4" t="s">
        <v>8</v>
      </c>
      <c r="N4" t="s">
        <v>7</v>
      </c>
      <c r="O4" t="s">
        <v>8</v>
      </c>
    </row>
    <row r="5" spans="1:15" ht="18" customHeight="1" x14ac:dyDescent="0.3">
      <c r="B5" s="1"/>
      <c r="C5" s="1"/>
      <c r="D5" s="36" t="s">
        <v>67</v>
      </c>
      <c r="E5" s="37" t="str">
        <f>'4637'!C10</f>
        <v>COMERCIALIZADORA MDM SPA</v>
      </c>
      <c r="F5" s="38"/>
      <c r="G5" s="38"/>
      <c r="H5" s="1"/>
      <c r="L5">
        <f>LOOKUP(G14,REGLAS!$I$4:$I$37,REGLAS!$G$4:$G$37)+K14</f>
        <v>750</v>
      </c>
      <c r="M5">
        <f>LOOKUP(G14,REGLAS!$I$4:$I$37,REGLAS!$H$4:$H$37)+L14</f>
        <v>379</v>
      </c>
      <c r="N5" t="e">
        <f>LOOKUP(G22,REGLAS!$D$4:$D$37,REGLAS!$B$4:$B$37)+#REF!</f>
        <v>#REF!</v>
      </c>
      <c r="O5">
        <f>LOOKUP(G22,REGLAS!$D$4:$D$37,REGLAS!$C$4:$C$37)+K22</f>
        <v>790</v>
      </c>
    </row>
    <row r="6" spans="1:15" ht="4.5" customHeight="1" x14ac:dyDescent="0.3">
      <c r="B6" s="1"/>
      <c r="C6" s="1"/>
      <c r="D6" s="39"/>
      <c r="E6" s="40"/>
      <c r="F6" s="1"/>
      <c r="G6" s="1"/>
      <c r="H6" s="1"/>
    </row>
    <row r="7" spans="1:15" ht="15.6" x14ac:dyDescent="0.3">
      <c r="B7" s="1"/>
      <c r="C7" s="1"/>
      <c r="D7" s="78" t="str">
        <f>'4637'!F11</f>
        <v>FECHA LIMITE :</v>
      </c>
      <c r="E7" s="13">
        <f>'4637'!G11</f>
        <v>45568</v>
      </c>
      <c r="F7" s="1"/>
      <c r="G7" s="1"/>
      <c r="H7" s="1"/>
    </row>
    <row r="8" spans="1:15" ht="15.6" x14ac:dyDescent="0.3">
      <c r="B8" s="1"/>
      <c r="C8" s="1"/>
      <c r="D8" s="47" t="s">
        <v>126</v>
      </c>
      <c r="E8" s="1"/>
      <c r="F8" s="1"/>
      <c r="G8" s="1" t="s">
        <v>135</v>
      </c>
      <c r="H8" s="1"/>
    </row>
    <row r="9" spans="1:15" ht="15.6" x14ac:dyDescent="0.3">
      <c r="B9" s="1"/>
      <c r="C9" s="1"/>
      <c r="D9" s="1"/>
      <c r="E9" s="1"/>
      <c r="F9" s="1"/>
      <c r="G9" s="1"/>
      <c r="H9" s="1"/>
    </row>
    <row r="10" spans="1:15" ht="15" customHeight="1" x14ac:dyDescent="0.3">
      <c r="B10" s="126" t="s">
        <v>61</v>
      </c>
      <c r="C10" s="126"/>
      <c r="D10" s="126"/>
      <c r="E10" s="126"/>
      <c r="F10" s="126"/>
      <c r="G10" s="126"/>
      <c r="H10" s="1"/>
    </row>
    <row r="11" spans="1:15" ht="15.6" x14ac:dyDescent="0.3">
      <c r="B11" s="1"/>
      <c r="C11" s="1"/>
      <c r="D11" s="12"/>
      <c r="E11" s="1"/>
      <c r="F11" s="1"/>
      <c r="G11" s="1"/>
      <c r="H11" s="1">
        <v>20</v>
      </c>
    </row>
    <row r="12" spans="1:15" ht="15.6" x14ac:dyDescent="0.3">
      <c r="B12" s="1"/>
      <c r="C12" s="1"/>
      <c r="D12" s="1"/>
      <c r="E12" s="46" t="s">
        <v>7</v>
      </c>
      <c r="F12" s="46" t="s">
        <v>8</v>
      </c>
      <c r="G12" s="1"/>
      <c r="H12" s="1"/>
    </row>
    <row r="13" spans="1:15" ht="15.6" x14ac:dyDescent="0.3">
      <c r="B13" s="46" t="s">
        <v>9</v>
      </c>
      <c r="C13" s="34" t="s">
        <v>10</v>
      </c>
      <c r="D13" s="34" t="s">
        <v>11</v>
      </c>
      <c r="E13" s="30">
        <v>50</v>
      </c>
      <c r="F13" s="30">
        <v>-2</v>
      </c>
      <c r="G13" s="34" t="s">
        <v>110</v>
      </c>
      <c r="H13" s="1"/>
      <c r="K13" s="5" t="s">
        <v>7</v>
      </c>
      <c r="L13" s="5" t="s">
        <v>8</v>
      </c>
    </row>
    <row r="14" spans="1:15" ht="18" x14ac:dyDescent="0.35">
      <c r="A14" s="101">
        <v>1</v>
      </c>
      <c r="B14" s="15" t="s">
        <v>145</v>
      </c>
      <c r="C14" s="93">
        <f t="shared" ref="C14" si="0">J14</f>
        <v>1</v>
      </c>
      <c r="D14" s="94"/>
      <c r="E14" s="93">
        <f>K14+E$13</f>
        <v>750</v>
      </c>
      <c r="F14" s="93">
        <f>L14+F$13</f>
        <v>379</v>
      </c>
      <c r="G14" s="93" t="str">
        <f>G22</f>
        <v>PR8</v>
      </c>
      <c r="H14" s="1"/>
      <c r="J14" s="3">
        <f>J22</f>
        <v>1</v>
      </c>
      <c r="K14" s="4">
        <f>K22</f>
        <v>700</v>
      </c>
      <c r="L14" s="4">
        <f>L22</f>
        <v>381</v>
      </c>
    </row>
    <row r="15" spans="1:15" ht="15.6" x14ac:dyDescent="0.3">
      <c r="B15" s="87"/>
      <c r="C15" s="6"/>
      <c r="D15" s="6"/>
      <c r="E15" s="6"/>
      <c r="F15" s="6"/>
      <c r="G15" s="6"/>
      <c r="H15" s="1"/>
      <c r="J15" s="81"/>
      <c r="K15" s="2"/>
      <c r="L15" s="2"/>
    </row>
    <row r="16" spans="1:15" ht="15.6" x14ac:dyDescent="0.3">
      <c r="B16" s="46"/>
      <c r="C16" s="6"/>
      <c r="D16" s="6"/>
      <c r="E16" s="6"/>
      <c r="F16" s="80"/>
      <c r="G16" s="6"/>
      <c r="H16" s="1"/>
      <c r="J16" s="2"/>
      <c r="K16" s="2"/>
      <c r="L16" s="2"/>
    </row>
    <row r="17" spans="1:12" ht="6.75" customHeight="1" x14ac:dyDescent="0.3">
      <c r="B17" s="1"/>
      <c r="C17" s="1"/>
      <c r="D17" s="1"/>
      <c r="E17" s="1"/>
      <c r="F17" s="1"/>
      <c r="G17" s="1"/>
      <c r="H17" s="1"/>
    </row>
    <row r="18" spans="1:12" ht="15.6" x14ac:dyDescent="0.3">
      <c r="B18" s="126" t="s">
        <v>14</v>
      </c>
      <c r="C18" s="126"/>
      <c r="D18" s="126"/>
      <c r="E18" s="126"/>
      <c r="F18" s="126"/>
      <c r="G18" s="126"/>
      <c r="H18" s="1"/>
    </row>
    <row r="19" spans="1:12" ht="10.5" customHeight="1" x14ac:dyDescent="0.3">
      <c r="B19" s="1"/>
      <c r="C19" s="1"/>
      <c r="D19" s="12"/>
      <c r="E19" s="1"/>
      <c r="F19" s="1"/>
      <c r="G19" s="1"/>
      <c r="H19" s="1"/>
    </row>
    <row r="20" spans="1:12" ht="15.6" x14ac:dyDescent="0.3">
      <c r="B20" s="1"/>
      <c r="C20" s="1"/>
      <c r="D20" s="1"/>
      <c r="E20" s="46" t="s">
        <v>7</v>
      </c>
      <c r="F20" s="46" t="s">
        <v>8</v>
      </c>
      <c r="G20" s="1"/>
      <c r="H20" s="1"/>
    </row>
    <row r="21" spans="1:12" ht="15.6" x14ac:dyDescent="0.3">
      <c r="B21" s="46" t="s">
        <v>9</v>
      </c>
      <c r="C21" s="33" t="s">
        <v>10</v>
      </c>
      <c r="D21" s="33" t="s">
        <v>11</v>
      </c>
      <c r="E21" s="20">
        <v>40</v>
      </c>
      <c r="F21" s="20">
        <v>90</v>
      </c>
      <c r="G21" s="33" t="s">
        <v>110</v>
      </c>
      <c r="H21" s="1"/>
      <c r="K21" s="5" t="s">
        <v>7</v>
      </c>
      <c r="L21" s="5" t="s">
        <v>8</v>
      </c>
    </row>
    <row r="22" spans="1:12" ht="18" x14ac:dyDescent="0.35">
      <c r="A22" s="101">
        <v>1</v>
      </c>
      <c r="B22" s="15" t="s">
        <v>145</v>
      </c>
      <c r="C22" s="94">
        <f>J22</f>
        <v>1</v>
      </c>
      <c r="D22" s="94"/>
      <c r="E22" s="94">
        <f>K22+E$21</f>
        <v>740</v>
      </c>
      <c r="F22" s="94">
        <f>L22+F$21</f>
        <v>471</v>
      </c>
      <c r="G22" s="94" t="str">
        <f>D28</f>
        <v>PR8</v>
      </c>
      <c r="H22" s="1"/>
      <c r="J22" s="3">
        <f>C28</f>
        <v>1</v>
      </c>
      <c r="K22" s="4">
        <f>E28</f>
        <v>700</v>
      </c>
      <c r="L22" s="4">
        <f>F28</f>
        <v>381</v>
      </c>
    </row>
    <row r="23" spans="1:12" ht="15.6" x14ac:dyDescent="0.3">
      <c r="B23" s="87"/>
      <c r="C23" s="6"/>
      <c r="D23" s="6"/>
      <c r="E23" s="6"/>
      <c r="F23" s="6"/>
      <c r="G23" s="6"/>
      <c r="H23" s="1"/>
      <c r="J23" s="81"/>
      <c r="K23" s="2"/>
      <c r="L23" s="2"/>
    </row>
    <row r="24" spans="1:12" ht="16.2" thickBot="1" x14ac:dyDescent="0.35">
      <c r="B24" s="46"/>
      <c r="C24" s="6"/>
      <c r="D24" s="6"/>
      <c r="E24" s="6"/>
      <c r="F24" s="6"/>
      <c r="G24" s="6"/>
      <c r="H24" s="1"/>
      <c r="J24" s="2"/>
      <c r="K24" s="2"/>
      <c r="L24" s="2"/>
    </row>
    <row r="25" spans="1:12" ht="16.2" thickBot="1" x14ac:dyDescent="0.35">
      <c r="B25" s="46"/>
      <c r="C25" s="21" t="s">
        <v>107</v>
      </c>
      <c r="D25" s="22"/>
      <c r="E25" s="22"/>
      <c r="F25" s="22"/>
      <c r="G25" s="23"/>
      <c r="H25" s="1"/>
      <c r="J25" s="2"/>
      <c r="K25" s="2"/>
      <c r="L25" s="2"/>
    </row>
    <row r="26" spans="1:12" ht="10.5" customHeight="1" x14ac:dyDescent="0.3">
      <c r="B26" s="1"/>
      <c r="C26" s="1"/>
      <c r="D26" s="1"/>
      <c r="E26" s="1"/>
      <c r="F26" s="1"/>
      <c r="G26" s="1"/>
      <c r="H26" s="1"/>
    </row>
    <row r="27" spans="1:12" ht="15.6" x14ac:dyDescent="0.3">
      <c r="B27" s="46" t="s">
        <v>9</v>
      </c>
      <c r="C27" s="79" t="s">
        <v>10</v>
      </c>
      <c r="D27" s="79" t="s">
        <v>110</v>
      </c>
      <c r="E27" s="79" t="s">
        <v>7</v>
      </c>
      <c r="F27" s="79" t="s">
        <v>8</v>
      </c>
      <c r="G27" s="79" t="s">
        <v>23</v>
      </c>
      <c r="H27" s="1"/>
    </row>
    <row r="28" spans="1:12" ht="18" x14ac:dyDescent="0.35">
      <c r="A28" s="101">
        <v>1</v>
      </c>
      <c r="B28" s="15" t="s">
        <v>145</v>
      </c>
      <c r="C28" s="93">
        <f>'4637'!B22</f>
        <v>1</v>
      </c>
      <c r="D28" s="93" t="str">
        <f>'4637'!C22</f>
        <v>PR8</v>
      </c>
      <c r="E28" s="93">
        <f>'4637'!D22</f>
        <v>700</v>
      </c>
      <c r="F28" s="93">
        <f>'4637'!E22</f>
        <v>381</v>
      </c>
      <c r="G28" s="98" t="str">
        <f>G49</f>
        <v>VAINILLA 2109 MT</v>
      </c>
      <c r="H28" s="1"/>
    </row>
    <row r="29" spans="1:12" ht="15.6" x14ac:dyDescent="0.3">
      <c r="B29" s="87"/>
      <c r="C29" s="6"/>
      <c r="D29" s="6"/>
      <c r="E29" s="6"/>
      <c r="F29" s="6"/>
      <c r="G29" s="6"/>
      <c r="H29" s="1"/>
    </row>
    <row r="30" spans="1:12" ht="15.6" x14ac:dyDescent="0.3">
      <c r="B30" s="1"/>
      <c r="C30" s="6"/>
      <c r="D30" s="6"/>
      <c r="E30" s="6"/>
      <c r="F30" s="6"/>
      <c r="G30" s="6"/>
      <c r="H30" s="1"/>
    </row>
    <row r="31" spans="1:12" ht="15.6" x14ac:dyDescent="0.3">
      <c r="B31" s="1"/>
      <c r="C31" s="6"/>
      <c r="D31" s="6"/>
      <c r="E31" s="6"/>
      <c r="F31" s="6"/>
      <c r="G31" s="6"/>
      <c r="H31" s="1"/>
    </row>
    <row r="32" spans="1:12" ht="15.6" x14ac:dyDescent="0.3">
      <c r="B32" s="1"/>
      <c r="C32" s="6"/>
      <c r="D32" s="6"/>
      <c r="E32" s="6"/>
      <c r="F32" s="6"/>
      <c r="G32" s="6"/>
      <c r="H32" s="1"/>
    </row>
    <row r="33" spans="2:8" ht="15.6" x14ac:dyDescent="0.3">
      <c r="B33" s="1"/>
      <c r="C33" s="6"/>
      <c r="D33" s="6"/>
      <c r="E33" s="6"/>
      <c r="F33" s="6"/>
      <c r="G33" s="6"/>
      <c r="H33" s="1"/>
    </row>
    <row r="34" spans="2:8" ht="15.6" x14ac:dyDescent="0.3">
      <c r="B34" s="1"/>
      <c r="C34" s="6"/>
      <c r="D34" s="6"/>
      <c r="E34" s="6"/>
      <c r="F34" s="6"/>
      <c r="G34" s="6"/>
      <c r="H34" s="1"/>
    </row>
    <row r="35" spans="2:8" ht="15.6" x14ac:dyDescent="0.3">
      <c r="B35" s="1"/>
      <c r="C35" s="6"/>
      <c r="D35" s="6"/>
      <c r="E35" s="6"/>
      <c r="F35" s="6"/>
      <c r="G35" s="6"/>
      <c r="H35" s="1"/>
    </row>
    <row r="36" spans="2:8" ht="15.6" x14ac:dyDescent="0.3">
      <c r="B36" s="1"/>
      <c r="C36" s="6"/>
      <c r="D36" s="6"/>
      <c r="E36" s="6"/>
      <c r="F36" s="6"/>
      <c r="G36" s="6"/>
      <c r="H36" s="1"/>
    </row>
    <row r="37" spans="2:8" ht="15.6" x14ac:dyDescent="0.3">
      <c r="B37" s="1"/>
      <c r="C37" s="6"/>
      <c r="D37" s="6"/>
      <c r="E37" s="6"/>
      <c r="F37" s="6"/>
      <c r="G37" s="6"/>
      <c r="H37" s="1"/>
    </row>
    <row r="38" spans="2:8" ht="15.6" x14ac:dyDescent="0.3">
      <c r="B38" s="1"/>
      <c r="C38" s="1"/>
      <c r="D38" s="1"/>
      <c r="E38" s="1"/>
      <c r="F38" s="1"/>
      <c r="G38" s="1"/>
      <c r="H38" s="1"/>
    </row>
    <row r="39" spans="2:8" ht="15.6" x14ac:dyDescent="0.3">
      <c r="B39" s="1"/>
      <c r="C39" s="1"/>
      <c r="D39" s="35" t="s">
        <v>27</v>
      </c>
      <c r="E39" s="14">
        <f>'4637'!G8</f>
        <v>7112</v>
      </c>
      <c r="F39" s="1"/>
      <c r="G39" s="1"/>
      <c r="H39" s="1"/>
    </row>
    <row r="40" spans="2:8" ht="17.25" customHeight="1" x14ac:dyDescent="0.3">
      <c r="B40" s="1"/>
      <c r="C40" s="1"/>
      <c r="D40" s="36" t="s">
        <v>67</v>
      </c>
      <c r="E40" s="37" t="str">
        <f>'4637'!C10</f>
        <v>COMERCIALIZADORA MDM SPA</v>
      </c>
      <c r="F40" s="38"/>
      <c r="G40" s="38"/>
      <c r="H40" s="1"/>
    </row>
    <row r="41" spans="2:8" ht="4.5" customHeight="1" x14ac:dyDescent="0.3">
      <c r="B41" s="1"/>
      <c r="C41" s="1"/>
      <c r="D41" s="39"/>
      <c r="E41" s="40"/>
      <c r="F41" s="1"/>
      <c r="G41" s="1"/>
      <c r="H41" s="1"/>
    </row>
    <row r="42" spans="2:8" ht="15.6" x14ac:dyDescent="0.3">
      <c r="B42" s="1"/>
      <c r="C42" s="1"/>
      <c r="D42" s="41" t="str">
        <f>'4637'!F11</f>
        <v>FECHA LIMITE :</v>
      </c>
      <c r="E42" s="13">
        <f>'4637'!G11</f>
        <v>45568</v>
      </c>
      <c r="F42" s="1"/>
      <c r="G42" s="1" t="s">
        <v>134</v>
      </c>
      <c r="H42" s="1"/>
    </row>
    <row r="43" spans="2:8" ht="15.6" x14ac:dyDescent="0.3">
      <c r="B43" s="1"/>
      <c r="C43" s="1"/>
      <c r="D43" s="1"/>
      <c r="E43" s="1"/>
      <c r="F43" s="1"/>
      <c r="G43" s="1"/>
      <c r="H43" s="1"/>
    </row>
    <row r="44" spans="2:8" ht="15.6" x14ac:dyDescent="0.3">
      <c r="B44" s="1"/>
      <c r="C44" s="1"/>
      <c r="D44" s="1"/>
      <c r="E44" s="1"/>
      <c r="F44" s="1"/>
      <c r="G44" s="1"/>
      <c r="H44" s="1"/>
    </row>
    <row r="45" spans="2:8" ht="15.6" x14ac:dyDescent="0.3">
      <c r="B45" s="126" t="s">
        <v>68</v>
      </c>
      <c r="C45" s="126"/>
      <c r="D45" s="126"/>
      <c r="E45" s="126"/>
      <c r="F45" s="126"/>
      <c r="G45" s="126"/>
      <c r="H45" s="1"/>
    </row>
    <row r="46" spans="2:8" ht="15.6" x14ac:dyDescent="0.3">
      <c r="B46" s="1"/>
      <c r="C46" s="1"/>
      <c r="D46" s="1"/>
      <c r="E46" s="1"/>
      <c r="F46" s="1"/>
      <c r="G46" s="1"/>
      <c r="H46" s="1"/>
    </row>
    <row r="47" spans="2:8" ht="15.75" customHeight="1" x14ac:dyDescent="0.3">
      <c r="B47" s="1"/>
      <c r="C47" s="127" t="s">
        <v>69</v>
      </c>
      <c r="D47" s="128"/>
      <c r="E47" s="129"/>
      <c r="F47" s="129"/>
      <c r="G47" s="130"/>
      <c r="H47" s="1"/>
    </row>
    <row r="48" spans="2:8" s="15" customFormat="1" ht="12.75" customHeight="1" x14ac:dyDescent="0.3">
      <c r="B48" s="1"/>
      <c r="C48" s="33" t="s">
        <v>10</v>
      </c>
      <c r="D48" s="42" t="s">
        <v>11</v>
      </c>
      <c r="E48" s="43" t="s">
        <v>7</v>
      </c>
      <c r="F48" s="43" t="s">
        <v>8</v>
      </c>
      <c r="G48" s="97" t="s">
        <v>12</v>
      </c>
      <c r="H48" s="1"/>
    </row>
    <row r="49" spans="2:8" s="15" customFormat="1" ht="15" customHeight="1" x14ac:dyDescent="0.35">
      <c r="B49" s="15" t="s">
        <v>144</v>
      </c>
      <c r="C49" s="91">
        <f>'4637'!B22</f>
        <v>1</v>
      </c>
      <c r="D49" s="92" t="str">
        <f>'4637'!C22</f>
        <v>PR8</v>
      </c>
      <c r="E49" s="92">
        <f>'4637'!D22</f>
        <v>700</v>
      </c>
      <c r="F49" s="96">
        <f>'4637'!E22</f>
        <v>381</v>
      </c>
      <c r="G49" s="99" t="str">
        <f>'4637'!F22</f>
        <v>VAINILLA 2109 MT</v>
      </c>
      <c r="H49" s="1"/>
    </row>
    <row r="50" spans="2:8" s="15" customFormat="1" ht="15" customHeight="1" x14ac:dyDescent="0.3">
      <c r="B50" s="44"/>
      <c r="C50" s="46"/>
      <c r="D50" s="46"/>
      <c r="E50" s="46"/>
      <c r="F50" s="46"/>
      <c r="G50" s="46"/>
      <c r="H50" s="1"/>
    </row>
    <row r="51" spans="2:8" ht="15.6" x14ac:dyDescent="0.3">
      <c r="B51" s="6"/>
      <c r="C51" s="6"/>
      <c r="D51" s="1"/>
      <c r="E51" s="6"/>
      <c r="F51" s="6"/>
      <c r="G51" s="39"/>
      <c r="H51" s="1"/>
    </row>
    <row r="52" spans="2:8" ht="15.6" x14ac:dyDescent="0.3">
      <c r="B52" s="6"/>
      <c r="C52" s="6"/>
      <c r="D52" s="1"/>
      <c r="E52" s="6"/>
      <c r="F52" s="6"/>
      <c r="G52" s="6"/>
      <c r="H52" s="1"/>
    </row>
    <row r="53" spans="2:8" ht="15.6" x14ac:dyDescent="0.3">
      <c r="B53" s="1"/>
      <c r="C53" s="1"/>
      <c r="D53" s="1"/>
      <c r="E53" s="1"/>
      <c r="F53" s="1"/>
      <c r="G53" s="1"/>
      <c r="H53" s="1"/>
    </row>
    <row r="54" spans="2:8" ht="15.6" x14ac:dyDescent="0.3">
      <c r="B54" s="1"/>
      <c r="C54" s="1"/>
      <c r="D54" s="1"/>
      <c r="E54" s="1"/>
      <c r="F54" s="1"/>
      <c r="G54" s="1"/>
      <c r="H54" s="1"/>
    </row>
    <row r="55" spans="2:8" ht="15.6" x14ac:dyDescent="0.3">
      <c r="B55" s="1"/>
      <c r="C55" s="1"/>
      <c r="D55" s="1"/>
      <c r="E55" s="1"/>
      <c r="F55" s="1"/>
      <c r="G55" s="1"/>
      <c r="H55" s="1"/>
    </row>
    <row r="56" spans="2:8" ht="15" customHeight="1" x14ac:dyDescent="0.3">
      <c r="B56" s="1"/>
      <c r="C56" s="1"/>
      <c r="D56" s="1"/>
      <c r="E56" s="1"/>
      <c r="F56" s="1"/>
      <c r="G56" s="1"/>
      <c r="H56" s="1"/>
    </row>
    <row r="57" spans="2:8" ht="15.6" x14ac:dyDescent="0.3">
      <c r="B57" s="1"/>
      <c r="C57" s="1"/>
      <c r="D57" s="1"/>
      <c r="E57" s="1"/>
      <c r="F57" s="1"/>
      <c r="G57" s="1"/>
      <c r="H57" s="1"/>
    </row>
    <row r="58" spans="2:8" ht="15.6" x14ac:dyDescent="0.3">
      <c r="B58" s="6"/>
      <c r="C58" s="45"/>
      <c r="D58" s="1"/>
      <c r="E58" s="1"/>
      <c r="F58" s="1"/>
      <c r="G58" s="1"/>
      <c r="H58" s="1"/>
    </row>
    <row r="59" spans="2:8" ht="15.6" x14ac:dyDescent="0.3">
      <c r="B59" s="1"/>
      <c r="C59" s="1"/>
      <c r="D59" s="1"/>
      <c r="E59" s="1"/>
      <c r="F59" s="1"/>
      <c r="G59" s="1"/>
      <c r="H59" s="1"/>
    </row>
    <row r="60" spans="2:8" x14ac:dyDescent="0.3">
      <c r="C60" s="19"/>
      <c r="D60" s="19"/>
      <c r="E60" s="19"/>
      <c r="F60" s="19"/>
      <c r="G60" s="19"/>
    </row>
    <row r="61" spans="2:8" x14ac:dyDescent="0.3">
      <c r="C61" s="19"/>
      <c r="D61" s="19"/>
      <c r="F61" s="19"/>
      <c r="G61" s="19"/>
    </row>
  </sheetData>
  <mergeCells count="6">
    <mergeCell ref="N3:O3"/>
    <mergeCell ref="B18:G18"/>
    <mergeCell ref="B10:G10"/>
    <mergeCell ref="B45:G45"/>
    <mergeCell ref="C47:G47"/>
    <mergeCell ref="L3:M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2024-10-02T19:57:17Z</cp:lastPrinted>
  <dcterms:created xsi:type="dcterms:W3CDTF">2013-03-19T12:54:14Z</dcterms:created>
  <dcterms:modified xsi:type="dcterms:W3CDTF">2024-10-02T20:16:13Z</dcterms:modified>
</cp:coreProperties>
</file>