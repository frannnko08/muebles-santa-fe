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1F5E1321-3AE2-42B8-95E1-D5F51837D5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23" i="3" s="1"/>
  <c r="D30" i="3"/>
  <c r="J23" i="3" s="1"/>
  <c r="D23" i="3" s="1"/>
  <c r="E30" i="3"/>
  <c r="K23" i="3" s="1"/>
  <c r="F30" i="3"/>
  <c r="B31" i="3"/>
  <c r="I24" i="3" s="1"/>
  <c r="B24" i="3" s="1"/>
  <c r="C31" i="3"/>
  <c r="F24" i="3" s="1"/>
  <c r="D31" i="3"/>
  <c r="J24" i="3" s="1"/>
  <c r="D24" i="3" s="1"/>
  <c r="E31" i="3"/>
  <c r="K24" i="3" s="1"/>
  <c r="F31" i="3"/>
  <c r="B52" i="3"/>
  <c r="C52" i="3"/>
  <c r="D52" i="3"/>
  <c r="E52" i="3"/>
  <c r="F52" i="3"/>
  <c r="B53" i="3"/>
  <c r="C53" i="3"/>
  <c r="D53" i="3"/>
  <c r="E53" i="3"/>
  <c r="F53" i="3"/>
  <c r="H22" i="4"/>
  <c r="H21" i="4"/>
  <c r="K15" i="3" l="1"/>
  <c r="E15" i="3" s="1"/>
  <c r="J15" i="3"/>
  <c r="D15" i="3" s="1"/>
  <c r="K14" i="3"/>
  <c r="E14" i="3" s="1"/>
  <c r="I15" i="3"/>
  <c r="B15" i="3" s="1"/>
  <c r="I14" i="3"/>
  <c r="B14" i="3" s="1"/>
  <c r="J14" i="3"/>
  <c r="D14" i="3" s="1"/>
  <c r="F15" i="3"/>
  <c r="F14" i="3"/>
  <c r="H25" i="4"/>
  <c r="H26" i="4" l="1"/>
  <c r="H27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<sst xmlns="http://schemas.openxmlformats.org/spreadsheetml/2006/main" count="254" uniqueCount="149">
  <si>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</si>
  <si>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</si>
  <si>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</si>
  <si>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</si>
  <si>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</si>
  <si>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</si>
  <si>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</si>
  <si>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</si>
  <si>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</si>
  <si>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</si>
  <si>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</si>
  <si>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</si>
  <si>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</si>
  <si>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</si>
  <si>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</si>
  <si>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</si>
  <si>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</si>
  <si>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</si>
  <si>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</si>
  <si>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</si>
  <si>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</si>
  <si>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</si>
  <si>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</si>
  <si>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</si>
  <si>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</si>
  <si>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</si>
  <si>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</si>
  <si>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</si>
  <si>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</si>
  <si>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</si>
  <si>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</si>
  <si>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</si>
  <si>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</si>
  <si>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</si>
  <si>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</si>
  <si>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</si>
  <si>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</si>
  <si>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</si>
  <si>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</si>
  <si>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</si>
  <si>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</si>
  <si>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</si>
  <si>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</si>
  <si>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</si>
  <si>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</si>
  <si>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</si>
  <si>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</si>
  <si>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</si>
  <si>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</si>
  <si>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</si>
  <si>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</si>
  <si>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</si>
  <si>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</si>
  <si>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</si>
  <si>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</si>
  <si>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</si>
  <si>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</si>
  <si>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</si>
  <si>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</si>
  <si>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</si>
  <si>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</si>
  <si>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</si>
  <si>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</si>
  <si>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</si>
  <si>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</si>
  <si>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</si>
  <si>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</si>
  <si>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</si>
  <si>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</si>
  <si>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</si>
  <si>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</si>
  <si>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</si>
  <si>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</si>
  <si>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</si>
  <si>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</si>
  <si>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</si>
  <si>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</si>
  <si>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</si>
  <si>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</si>
  <si>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</si>
  <si>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</si>
  <si>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</si>
  <si>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</si>
  <si>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</si>
  <si>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</si>
  <si>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</si>
  <si>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</si>
  <si>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</si>
  <si>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</si>
  <si>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</si>
  <si>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</si>
  <si>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</si>
  <si>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</si>
  <si>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</si>
  <si>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</si>
  <si>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</si>
  <si>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</si>
  <si>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</si>
  <si>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</si>
  <si>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</si>
  <si>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</si>
  <si>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</si>
  <si>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</si>
  <si>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</si>
  <si>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</si>
  <si>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</si>
  <si>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</si>
  <si>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</si>
  <si>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</si>
  <si>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</si>
  <si>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</si>
  <si>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</si>
  <si>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</si>
  <si>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</si>
  <si>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</si>
  <si>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</si>
  <si>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</si>
  <si>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</si>
  <si>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</si>
  <si>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</si>
  <si>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</si>
  <si>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</si>
  <si>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</si>
  <si>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</si>
  <si>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</si>
  <si>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</si>
  <si>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</si>
  <si>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</si>
  <si>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</si>
  <si>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</si>
  <si>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</si>
  <si>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</si>
  <si>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</si>
  <si>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</si>
  <si>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</si>
  <si>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</si>
  <si>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</si>
  <si>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</si>
  <si>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</si>
  <si>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</si>
  <si>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SI</t>
  </si>
  <si>
    <t>CUB PT 1 LADO</t>
  </si>
  <si>
    <t>CUB PT 1 LADO MDF 25MM</t>
  </si>
  <si>
    <t>MDF30MM</t>
  </si>
  <si>
    <t>VER DESARROLLO DE LAMINA</t>
  </si>
  <si>
    <t>MDF25MM</t>
  </si>
  <si>
    <t>INVERTIDA</t>
  </si>
  <si>
    <t>N° 11139</t>
  </si>
  <si>
    <t>BELARUS CHERRY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</si>
</sst>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6</xdr:col>
      <xdr:colOff>19050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194310</xdr:rowOff>
    </xdr:from>
    <xdr:to>
      <xdr:col>1</xdr:col>
      <xdr:colOff>748423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727468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312420"/>
          <a:ext cx="1603768" cy="1162050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F22" sqref="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147</v>
      </c>
      <c r="E8" s="1"/>
      <c r="F8" s="94" t="s">
        <v>27</v>
      </c>
      <c r="G8" s="95">
        <v>7122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135</v>
      </c>
      <c r="D10" s="55"/>
      <c r="E10" s="55"/>
      <c r="F10" s="56" t="s">
        <v>28</v>
      </c>
      <c r="G10" s="57">
        <v>45589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132</v>
      </c>
      <c r="C12" t="s">
        <v>137</v>
      </c>
      <c r="D12" s="43"/>
      <c r="E12" s="43"/>
      <c r="F12" s="43" t="s">
        <v>30</v>
      </c>
      <c r="G12" s="64">
        <v>22440</v>
      </c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6">
        <v>12</v>
      </c>
      <c r="C21" s="107" t="s">
        <v>141</v>
      </c>
      <c r="D21" s="108">
        <v>900</v>
      </c>
      <c r="E21" s="108">
        <v>500</v>
      </c>
      <c r="F21" s="111" t="s">
        <v>148</v>
      </c>
      <c r="G21" s="112">
        <v>38325</v>
      </c>
      <c r="H21" s="113">
        <f t="shared" ref="H21:H22" si="0">G21*B21</f>
        <v>459900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12</v>
      </c>
      <c r="C22" s="107" t="s">
        <v>142</v>
      </c>
      <c r="D22" s="108">
        <v>600</v>
      </c>
      <c r="E22" s="108">
        <v>350</v>
      </c>
      <c r="F22" s="111" t="s">
        <v>148</v>
      </c>
      <c r="G22" s="112">
        <v>18758</v>
      </c>
      <c r="H22" s="113">
        <f t="shared" si="0"/>
        <v>225096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684996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130149.24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815145.24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zoomScaleNormal="100" workbookViewId="0">
      <selection sqref="A1:F39"/>
    </sheetView>
  </sheetViews>
  <sheetFormatPr baseColWidth="10" defaultRowHeight="14.4" x14ac:dyDescent="0.3"/>
  <cols>
    <col min="1" max="1" width="14.66406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7122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143</v>
      </c>
      <c r="B14" s="25">
        <f t="shared" ref="B14:B15" si="0">I14</f>
        <v>12</v>
      </c>
      <c r="C14" s="25"/>
      <c r="D14" s="25">
        <f t="shared" ref="D14:D15" si="1">J14+D$13</f>
        <v>950</v>
      </c>
      <c r="E14" s="35">
        <f t="shared" ref="E14:E15" si="2">K14+E$13</f>
        <v>500</v>
      </c>
      <c r="F14" s="103" t="str">
        <f>C30</f>
        <v>CUB PT 1 LADO</v>
      </c>
      <c r="G14" s="1"/>
      <c r="I14" s="3">
        <f>I23</f>
        <v>12</v>
      </c>
      <c r="J14" s="4">
        <f>D30</f>
        <v>900</v>
      </c>
      <c r="K14" s="4">
        <f>E30</f>
        <v>500</v>
      </c>
    </row>
    <row r="15" spans="1:14" ht="15.6" x14ac:dyDescent="0.3">
      <c r="A15" s="96" t="s">
        <v>145</v>
      </c>
      <c r="B15" s="25">
        <f t="shared" si="0"/>
        <v>12</v>
      </c>
      <c r="C15" s="25" t="s">
        <v>146</v>
      </c>
      <c r="D15" s="25">
        <f t="shared" si="1"/>
        <v>650</v>
      </c>
      <c r="E15" s="35">
        <f t="shared" si="2"/>
        <v>350</v>
      </c>
      <c r="F15" s="103" t="str">
        <f>C31</f>
        <v>CUB PT 1 LADO MDF 25MM</v>
      </c>
      <c r="G15" s="1"/>
      <c r="I15" s="3">
        <f>I24</f>
        <v>12</v>
      </c>
      <c r="J15" s="4">
        <f>D31</f>
        <v>600</v>
      </c>
      <c r="K15" s="4">
        <f>E31</f>
        <v>350</v>
      </c>
    </row>
    <row r="16" spans="1:14" ht="15.6" x14ac:dyDescent="0.3">
      <c r="A16" s="96"/>
      <c r="B16" s="6"/>
      <c r="C16" s="6"/>
      <c r="D16" s="6"/>
      <c r="E16" s="89"/>
      <c r="F16" s="110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2" t="s">
        <v>14</v>
      </c>
      <c r="B19" s="122"/>
      <c r="C19" s="122"/>
      <c r="D19" s="122"/>
      <c r="E19" s="122"/>
      <c r="F19" s="122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70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/>
      <c r="B23" s="16">
        <f t="shared" ref="B23:B24" si="3">I23</f>
        <v>12</v>
      </c>
      <c r="C23" s="16" t="s">
        <v>144</v>
      </c>
      <c r="D23" s="16">
        <f>J23+D$22</f>
        <v>940</v>
      </c>
      <c r="E23" s="16">
        <v>540</v>
      </c>
      <c r="F23" s="104" t="str">
        <f>C30</f>
        <v>CUB PT 1 LADO</v>
      </c>
      <c r="G23" s="1"/>
      <c r="I23" s="3">
        <f>B30</f>
        <v>12</v>
      </c>
      <c r="J23" s="4">
        <f t="shared" ref="J23:K23" si="4">D30</f>
        <v>900</v>
      </c>
      <c r="K23" s="4">
        <f t="shared" si="4"/>
        <v>500</v>
      </c>
    </row>
    <row r="24" spans="1:11" ht="15.6" x14ac:dyDescent="0.3">
      <c r="A24" s="96"/>
      <c r="B24" s="16">
        <f t="shared" si="3"/>
        <v>12</v>
      </c>
      <c r="C24" s="16" t="s">
        <v>144</v>
      </c>
      <c r="D24" s="16">
        <f>J24+D$22</f>
        <v>640</v>
      </c>
      <c r="E24" s="16">
        <v>770</v>
      </c>
      <c r="F24" s="104" t="str">
        <f>C31</f>
        <v>CUB PT 1 LADO MDF 25MM</v>
      </c>
      <c r="G24" s="1"/>
      <c r="I24" s="3">
        <f>B31</f>
        <v>12</v>
      </c>
      <c r="J24" s="4">
        <f t="shared" ref="J24:K24" si="5">D31</f>
        <v>600</v>
      </c>
      <c r="K24" s="4">
        <f t="shared" si="5"/>
        <v>350</v>
      </c>
    </row>
    <row r="25" spans="1:11" ht="15.6" x14ac:dyDescent="0.3">
      <c r="A25" s="96"/>
      <c r="B25" s="6"/>
      <c r="C25" s="6"/>
      <c r="D25" s="6"/>
      <c r="E25" s="6"/>
      <c r="F25" s="6"/>
      <c r="G25" s="1"/>
      <c r="I25" s="90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6"/>
      <c r="B30" s="25">
        <f>'4637'!B21</f>
        <v>12</v>
      </c>
      <c r="C30" s="103" t="str">
        <f>'4637'!C21</f>
        <v>CUB PT 1 LADO</v>
      </c>
      <c r="D30" s="25">
        <f>'4637'!D21</f>
        <v>900</v>
      </c>
      <c r="E30" s="25">
        <f>'4637'!E21</f>
        <v>500</v>
      </c>
      <c r="F30" s="25" t="str">
        <f>'4637'!F21</f>
        <v>BELARUS CHERRY SF</v>
      </c>
      <c r="G30" s="1"/>
    </row>
    <row r="31" spans="1:11" ht="15.6" x14ac:dyDescent="0.3">
      <c r="A31" s="96"/>
      <c r="B31" s="25">
        <f>'4637'!B22</f>
        <v>12</v>
      </c>
      <c r="C31" s="103" t="str">
        <f>'4637'!C22</f>
        <v>CUB PT 1 LADO MDF 25MM</v>
      </c>
      <c r="D31" s="25">
        <f>'4637'!D22</f>
        <v>600</v>
      </c>
      <c r="E31" s="25">
        <f>'4637'!E22</f>
        <v>350</v>
      </c>
      <c r="F31" s="25" t="str">
        <f>'4637'!F22</f>
        <v>BELARUS CHERRY SF</v>
      </c>
      <c r="G31" s="1"/>
    </row>
    <row r="32" spans="1:11" ht="15.6" x14ac:dyDescent="0.3">
      <c r="A32" s="52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7122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MUEBLES ASENJO LTDA.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0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22" t="s">
        <v>68</v>
      </c>
      <c r="B48" s="122"/>
      <c r="C48" s="122"/>
      <c r="D48" s="122"/>
      <c r="E48" s="122"/>
      <c r="F48" s="122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3" t="s">
        <v>69</v>
      </c>
      <c r="C50" s="124"/>
      <c r="D50" s="125"/>
      <c r="E50" s="125"/>
      <c r="F50" s="126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 t="s">
        <v>143</v>
      </c>
      <c r="B52" s="38">
        <f>'4637'!B21</f>
        <v>12</v>
      </c>
      <c r="C52" s="102" t="str">
        <f>'4637'!C21</f>
        <v>CUB PT 1 LADO</v>
      </c>
      <c r="D52" s="39">
        <f>'4637'!D21</f>
        <v>900</v>
      </c>
      <c r="E52" s="39">
        <f>'4637'!E21</f>
        <v>500</v>
      </c>
      <c r="F52" s="38" t="str">
        <f>'4637'!F21</f>
        <v>BELARUS CHERRY SF</v>
      </c>
      <c r="G52" s="1"/>
    </row>
    <row r="53" spans="1:7" s="15" customFormat="1" ht="15" customHeight="1" x14ac:dyDescent="0.3">
      <c r="A53" s="96" t="s">
        <v>145</v>
      </c>
      <c r="B53" s="38">
        <f>'4637'!B22</f>
        <v>12</v>
      </c>
      <c r="C53" s="102" t="str">
        <f>'4637'!C22</f>
        <v>CUB PT 1 LADO MDF 25MM</v>
      </c>
      <c r="D53" s="39">
        <f>'4637'!D22</f>
        <v>600</v>
      </c>
      <c r="E53" s="39">
        <f>'4637'!E22</f>
        <v>350</v>
      </c>
      <c r="F53" s="38" t="str">
        <f>'4637'!F22</f>
        <v>BELARUS CHERRY SF</v>
      </c>
      <c r="G53" s="1"/>
    </row>
    <row r="54" spans="1:7" s="15" customFormat="1" ht="15" customHeight="1" x14ac:dyDescent="0.3">
      <c r="A54" s="96"/>
      <c r="B54" s="52"/>
      <c r="C54" s="109"/>
      <c r="D54" s="52"/>
      <c r="E54" s="52"/>
      <c r="F54" s="52"/>
      <c r="G54" s="1"/>
    </row>
    <row r="55" spans="1:7" s="15" customFormat="1" ht="15" customHeight="1" x14ac:dyDescent="0.3">
      <c r="A55" s="96"/>
      <c r="B55" s="52"/>
      <c r="C55" s="109"/>
      <c r="D55" s="52"/>
      <c r="E55" s="52"/>
      <c r="F55" s="52"/>
      <c r="G55" s="1"/>
    </row>
    <row r="56" spans="1:7" s="15" customFormat="1" ht="15" customHeight="1" x14ac:dyDescent="0.3">
      <c r="A56" s="50"/>
      <c r="B56" s="52"/>
      <c r="C56" s="52"/>
      <c r="D56" s="52"/>
      <c r="E56" s="52"/>
      <c r="F56" s="52"/>
      <c r="G56" s="1"/>
    </row>
    <row r="57" spans="1:7" ht="15.6" x14ac:dyDescent="0.3">
      <c r="A57" s="6"/>
      <c r="B57" s="6"/>
      <c r="C57" s="1"/>
      <c r="D57" s="6"/>
      <c r="E57" s="6"/>
      <c r="F57" s="44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5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19:F19"/>
    <mergeCell ref="A10:F10"/>
    <mergeCell ref="A48:F48"/>
    <mergeCell ref="B50:F50"/>
    <mergeCell ref="K3:L3"/>
  </mergeCells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2024-10-25T11:33:57Z</cp:lastPrinted>
  <dcterms:created xsi:type="dcterms:W3CDTF">2013-03-19T12:54:14Z</dcterms:created>
  <dcterms:modified xsi:type="dcterms:W3CDTF">2024-10-25T11:34:21Z</dcterms:modified>
</cp:coreProperties>
</file>