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9FBEF0D0-BBBD-4423-A3F4-F26310C42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6" i="4" l="1"/>
  <c r="B50" i="3"/>
  <c r="C50" i="3"/>
  <c r="D50" i="3"/>
  <c r="E50" i="3"/>
  <c r="F50" i="3"/>
  <c r="B28" i="3"/>
  <c r="C28" i="3"/>
  <c r="F22" i="3" s="1"/>
  <c r="D28" i="3"/>
  <c r="J14" i="3" s="1"/>
  <c r="D14" i="3" s="1"/>
  <c r="E28" i="3"/>
  <c r="K14" i="3" s="1"/>
  <c r="E14" i="3" s="1"/>
  <c r="F28" i="3"/>
  <c r="H27" i="4" l="1"/>
  <c r="I22" i="3"/>
  <c r="F14" i="3"/>
  <c r="K22" i="3"/>
  <c r="E22" i="3" s="1"/>
  <c r="J22" i="3"/>
  <c r="D22" i="3" s="1"/>
  <c r="B22" i="3" l="1"/>
  <c r="I14" i="3"/>
  <c r="B14" i="3" s="1"/>
  <c r="H28" i="4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<sst xmlns="http://schemas.openxmlformats.org/spreadsheetml/2006/main" count="248" uniqueCount="146">
  <si>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</si>
  <si>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</si>
  <si>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</si>
  <si>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</si>
  <si>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</si>
  <si>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</si>
  <si>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</si>
  <si>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</si>
  <si>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</si>
  <si>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</si>
  <si>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</si>
  <si>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</si>
  <si>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</si>
  <si>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</si>
  <si>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</si>
  <si>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</si>
  <si>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</si>
  <si>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</si>
  <si>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</si>
  <si>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</si>
  <si>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</si>
  <si>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</si>
  <si>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</si>
  <si>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</si>
  <si>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</si>
  <si>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</si>
  <si>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</si>
  <si>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</si>
  <si>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</si>
  <si>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</si>
  <si>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</si>
  <si>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</si>
  <si>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</si>
  <si>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</si>
  <si>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</si>
  <si>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</si>
  <si>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</si>
  <si>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</si>
  <si>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</si>
  <si>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</si>
  <si>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</si>
  <si>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</si>
  <si>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</si>
  <si>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</si>
  <si>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</si>
  <si>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</si>
  <si>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</si>
  <si>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</si>
  <si>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</si>
  <si>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</si>
  <si>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</si>
  <si>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</si>
  <si>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</si>
  <si>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</si>
  <si>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</si>
  <si>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</si>
  <si>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</si>
  <si>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</si>
  <si>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</si>
  <si>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</si>
  <si>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</si>
  <si>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</si>
  <si>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</si>
  <si>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</si>
  <si>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</si>
  <si>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</si>
  <si>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</si>
  <si>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</si>
  <si>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</si>
  <si>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</si>
  <si>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</si>
  <si>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</si>
  <si>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</si>
  <si>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</si>
  <si>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</si>
  <si>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</si>
  <si>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</si>
  <si>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</si>
  <si>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</si>
  <si>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</si>
  <si>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</si>
  <si>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</si>
  <si>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</si>
  <si>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</si>
  <si>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</si>
  <si>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</si>
  <si>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</si>
  <si>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</si>
  <si>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</si>
  <si>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</si>
  <si>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</si>
  <si>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</si>
  <si>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</si>
  <si>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</si>
  <si>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</si>
  <si>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</si>
  <si>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</si>
  <si>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</si>
  <si>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</si>
  <si>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</si>
  <si>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</si>
  <si>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</si>
  <si>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</si>
  <si>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</si>
  <si>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</si>
  <si>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</si>
  <si>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</si>
  <si>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</si>
  <si>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</si>
  <si>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</si>
  <si>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</si>
  <si>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</si>
  <si>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</si>
  <si>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</si>
  <si>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</si>
  <si>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</si>
  <si>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</si>
  <si>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</si>
  <si>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</si>
  <si>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</si>
  <si>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</si>
  <si>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</si>
  <si>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</si>
  <si>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</si>
  <si>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</si>
  <si>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</si>
  <si>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</si>
  <si>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</si>
  <si>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</si>
  <si>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</si>
  <si>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</si>
  <si>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</si>
  <si>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</si>
  <si>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</si>
  <si>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</si>
  <si>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</si>
  <si>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</si>
  <si>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</t>
  </si>
  <si>
    <t>COMERCIALIZADORA MDM SPA</t>
  </si>
  <si>
    <t>DANIELA MORA</t>
  </si>
  <si>
    <t>NO</t>
  </si>
  <si>
    <t>CUB CON RESPALDO 180°</t>
  </si>
  <si>
    <t>+569 9744 8059</t>
  </si>
  <si>
    <t>77.386.506-1</t>
  </si>
  <si>
    <t>INK  21032 SF</t>
  </si>
  <si>
    <t>N° 11138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</si>
</sst>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194310</xdr:rowOff>
    </xdr:from>
    <xdr:to>
      <xdr:col>2</xdr:col>
      <xdr:colOff>100723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8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7119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138</v>
      </c>
      <c r="D10" s="55"/>
      <c r="E10" s="55"/>
      <c r="F10" s="56" t="s">
        <v>28</v>
      </c>
      <c r="G10" s="57">
        <v>45588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143</v>
      </c>
      <c r="D11" s="60"/>
      <c r="E11" s="60"/>
      <c r="F11" s="60" t="s">
        <v>124</v>
      </c>
      <c r="G11" s="61">
        <v>45590</v>
      </c>
      <c r="H11" s="62"/>
      <c r="I11" s="1"/>
    </row>
    <row r="12" spans="1:17" ht="16.2" thickBot="1" x14ac:dyDescent="0.35">
      <c r="A12" s="1"/>
      <c r="B12" s="63" t="s">
        <v>133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139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 t="s">
        <v>142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10" t="s">
        <v>141</v>
      </c>
      <c r="D21" s="112">
        <v>1600</v>
      </c>
      <c r="E21" s="112">
        <v>600</v>
      </c>
      <c r="F21" s="110" t="s">
        <v>144</v>
      </c>
      <c r="G21" s="111">
        <v>105815</v>
      </c>
      <c r="H21" s="107">
        <f>G21*B21</f>
        <v>105815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8"/>
      <c r="D23" s="108"/>
      <c r="E23" s="108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105815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20104.849999999999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125919.85</v>
      </c>
      <c r="I28" s="113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5" zoomScaleNormal="100" workbookViewId="0">
      <selection activeCell="A37" sqref="A37:G6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7119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COMERCIALIZADORA MDM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45590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1650</v>
      </c>
      <c r="E14" s="35">
        <f>K14</f>
        <v>600</v>
      </c>
      <c r="F14" s="103" t="str">
        <f t="shared" ref="F14" si="1">C28</f>
        <v>CUB CON RESPALDO 180°</v>
      </c>
      <c r="G14" s="1"/>
      <c r="I14" s="3">
        <f t="shared" ref="I14" si="2">I22</f>
        <v>1</v>
      </c>
      <c r="J14" s="4">
        <f t="shared" ref="J14:K14" si="3">D28</f>
        <v>1600</v>
      </c>
      <c r="K14" s="4">
        <f t="shared" si="3"/>
        <v>600</v>
      </c>
    </row>
    <row r="15" spans="1:14" ht="15.6" x14ac:dyDescent="0.3">
      <c r="A15" s="96"/>
      <c r="B15" s="6"/>
      <c r="C15" s="6"/>
      <c r="D15" s="6"/>
      <c r="E15" s="89"/>
      <c r="F15" s="109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4">I22</f>
        <v>1</v>
      </c>
      <c r="C22" s="16"/>
      <c r="D22" s="16">
        <f>J22+D$21</f>
        <v>1640</v>
      </c>
      <c r="E22" s="16">
        <f>K22+E$21</f>
        <v>760</v>
      </c>
      <c r="F22" s="104" t="str">
        <f t="shared" ref="F22" si="5">C28</f>
        <v>CUB CON RESPALDO 180°</v>
      </c>
      <c r="G22" s="1"/>
      <c r="I22" s="3">
        <f t="shared" ref="I22" si="6">B28</f>
        <v>1</v>
      </c>
      <c r="J22" s="4">
        <f>D28</f>
        <v>1600</v>
      </c>
      <c r="K22" s="4">
        <f>E28</f>
        <v>600</v>
      </c>
    </row>
    <row r="23" spans="1:11" ht="15.6" x14ac:dyDescent="0.3">
      <c r="A23" s="96"/>
      <c r="B23" s="6"/>
      <c r="C23" s="6"/>
      <c r="D23" s="6"/>
      <c r="E23" s="6"/>
      <c r="F23" s="109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CON RESPALDO 180°</v>
      </c>
      <c r="D28" s="25">
        <f>'4637'!D21</f>
        <v>1600</v>
      </c>
      <c r="E28" s="25">
        <f>'4637'!E21</f>
        <v>600</v>
      </c>
      <c r="F28" s="25" t="str">
        <f>'4637'!F21</f>
        <v>INK  21032 SF</v>
      </c>
      <c r="G28" s="1"/>
    </row>
    <row r="29" spans="1:11" ht="15.6" x14ac:dyDescent="0.3">
      <c r="A29" s="96"/>
      <c r="B29" s="6"/>
      <c r="C29" s="109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7119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COMERCIALIZADORA MDM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45590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2" t="s">
        <v>68</v>
      </c>
      <c r="B46" s="122"/>
      <c r="C46" s="122"/>
      <c r="D46" s="122"/>
      <c r="E46" s="122"/>
      <c r="F46" s="12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3" t="s">
        <v>69</v>
      </c>
      <c r="C48" s="124"/>
      <c r="D48" s="125"/>
      <c r="E48" s="125"/>
      <c r="F48" s="126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</v>
      </c>
      <c r="C50" s="102" t="str">
        <f>'4637'!C21</f>
        <v>CUB CON RESPALDO 180°</v>
      </c>
      <c r="D50" s="39">
        <f>'4637'!D21</f>
        <v>1600</v>
      </c>
      <c r="E50" s="39">
        <f>'4637'!E21</f>
        <v>600</v>
      </c>
      <c r="F50" s="38" t="str">
        <f>'4637'!F21</f>
        <v>INK  21032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2024-10-23T14:46:51Z</cp:lastPrinted>
  <dcterms:created xsi:type="dcterms:W3CDTF">2013-03-19T12:54:14Z</dcterms:created>
  <dcterms:modified xsi:type="dcterms:W3CDTF">2024-10-23T14:46:59Z</dcterms:modified>
</cp:coreProperties>
</file>