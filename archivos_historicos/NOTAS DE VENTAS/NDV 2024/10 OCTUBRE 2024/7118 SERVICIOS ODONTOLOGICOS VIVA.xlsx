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0 OCTUBRE 2024\"/>
    </mc:Choice>
  </mc:AlternateContent>
  <xr:revisionPtr revIDLastSave="0" documentId="13_ncr:1_{60D0A156-FB32-4E31-A321-FE5EBBB3F40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CUBIERTA!$A$40:$G$63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3" l="1"/>
  <c r="F15" i="3"/>
  <c r="C31" i="3"/>
  <c r="J24" i="3" s="1"/>
  <c r="C24" i="3" s="1"/>
  <c r="D31" i="3"/>
  <c r="G24" i="3" s="1"/>
  <c r="G15" i="3" s="1"/>
  <c r="E31" i="3"/>
  <c r="K24" i="3" s="1"/>
  <c r="E24" i="3" s="1"/>
  <c r="F31" i="3"/>
  <c r="L24" i="3" s="1"/>
  <c r="L15" i="3" s="1"/>
  <c r="C53" i="3"/>
  <c r="D53" i="3"/>
  <c r="E53" i="3"/>
  <c r="F53" i="3"/>
  <c r="G53" i="3"/>
  <c r="G31" i="3" s="1"/>
  <c r="H23" i="4"/>
  <c r="H22" i="4"/>
  <c r="K15" i="3" l="1"/>
  <c r="E15" i="3" s="1"/>
  <c r="J15" i="3"/>
  <c r="C15" i="3" s="1"/>
  <c r="G52" i="3"/>
  <c r="G30" i="3" s="1"/>
  <c r="L22" i="4" l="1"/>
  <c r="H26" i="4" l="1"/>
  <c r="H27" i="4" s="1"/>
  <c r="H28" i="4" l="1"/>
  <c r="F30" i="3"/>
  <c r="L23" i="3" s="1"/>
  <c r="E30" i="3"/>
  <c r="K23" i="3" s="1"/>
  <c r="D30" i="3"/>
  <c r="G23" i="3" s="1"/>
  <c r="G14" i="3" s="1"/>
  <c r="C30" i="3"/>
  <c r="F52" i="3"/>
  <c r="E52" i="3"/>
  <c r="D52" i="3"/>
  <c r="C52" i="3"/>
  <c r="J23" i="3" l="1"/>
  <c r="J14" i="3" s="1"/>
  <c r="C14" i="3" s="1"/>
  <c r="K14" i="3"/>
  <c r="E14" i="3" s="1"/>
  <c r="E23" i="3"/>
  <c r="L14" i="3"/>
  <c r="F14" i="3" s="1"/>
  <c r="F23" i="3"/>
  <c r="O5" i="3"/>
  <c r="C23" i="3" l="1"/>
  <c r="N5" i="3"/>
  <c r="M5" i="3"/>
  <c r="L5" i="3"/>
  <c r="D45" i="3" l="1"/>
  <c r="D7" i="3"/>
  <c r="E43" i="3"/>
  <c r="E5" i="3"/>
  <c r="E45" i="3"/>
  <c r="E7" i="3"/>
  <c r="E42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<sst xmlns="http://schemas.openxmlformats.org/spreadsheetml/2006/main" count="254" uniqueCount="149">
  <si>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</si>
  <si>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</si>
  <si>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</si>
  <si>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</si>
  <si>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</si>
  <si>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</si>
  <si>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</si>
  <si>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</si>
  <si>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</si>
  <si>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</si>
  <si>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</si>
  <si>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</si>
  <si>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</si>
  <si>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</si>
  <si>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</si>
  <si>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</si>
  <si>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</si>
  <si>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</si>
  <si>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</si>
  <si>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</si>
  <si>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</si>
  <si>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</si>
  <si>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</si>
  <si>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</si>
  <si>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</si>
  <si>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</si>
  <si>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</si>
  <si>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</si>
  <si>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</si>
  <si>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</si>
  <si>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</si>
  <si>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</si>
  <si>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</si>
  <si>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</si>
  <si>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</si>
  <si>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</si>
  <si>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</si>
  <si>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</si>
  <si>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</si>
  <si>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</si>
  <si>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</si>
  <si>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</si>
  <si>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</si>
  <si>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</si>
  <si>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</si>
  <si>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</si>
  <si>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</si>
  <si>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</si>
  <si>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</si>
  <si>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</si>
  <si>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</si>
  <si>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</si>
  <si>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</si>
  <si>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</si>
  <si>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</si>
  <si>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</si>
  <si>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</si>
  <si>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</si>
  <si>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</si>
  <si>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</si>
  <si>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</si>
  <si>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</si>
  <si>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</si>
  <si>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</si>
  <si>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</si>
  <si>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</si>
  <si>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</si>
  <si>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</si>
  <si>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</si>
  <si>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</si>
  <si>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</si>
  <si>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</si>
  <si>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</si>
  <si>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</si>
  <si>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</si>
  <si>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</si>
  <si>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</si>
  <si>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</si>
  <si>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</si>
  <si>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</si>
  <si>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</si>
  <si>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</si>
  <si>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</si>
  <si>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</si>
  <si>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</si>
  <si>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</si>
  <si>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</si>
  <si>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</si>
  <si>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</si>
  <si>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</si>
  <si>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</si>
  <si>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</si>
  <si>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</si>
  <si>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</si>
  <si>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</si>
  <si>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</si>
  <si>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</si>
  <si>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</si>
  <si>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</si>
  <si>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</si>
  <si>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</si>
  <si>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</si>
  <si>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</si>
  <si>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</si>
  <si>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</si>
  <si>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</si>
  <si>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</si>
  <si>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</si>
  <si>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</si>
  <si>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</si>
  <si>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</si>
  <si>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</si>
  <si>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</si>
  <si>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</si>
  <si>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</si>
  <si>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</si>
  <si>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</si>
  <si>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</si>
  <si>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</si>
  <si>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</si>
  <si>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</si>
  <si>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</si>
  <si>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</si>
  <si>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</si>
  <si>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</si>
  <si>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</si>
  <si>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</si>
  <si>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</si>
  <si>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</si>
  <si>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</si>
  <si>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</si>
  <si>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</si>
  <si>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</si>
  <si>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</si>
  <si>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</si>
  <si>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</si>
  <si>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162x132</t>
  </si>
  <si>
    <t>CONTADO</t>
  </si>
  <si>
    <t>MDF18MM</t>
  </si>
  <si>
    <t>SANTIAGO</t>
  </si>
  <si>
    <t>N° 11128</t>
  </si>
  <si>
    <t>NO</t>
  </si>
  <si>
    <t>Sociedad de Inversiones y Servicios Odontologicos VIVA Ltda</t>
  </si>
  <si>
    <t>76.161.412-6</t>
  </si>
  <si>
    <t>Servicios Odontologicos</t>
  </si>
  <si>
    <t>PABLO VILLALON</t>
  </si>
  <si>
    <t>Onofre Jarpa 10567 Casa U, La Reina</t>
  </si>
  <si>
    <t>CUB C/R R8</t>
  </si>
  <si>
    <t>ROBLE NATURAL 1802 MT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</si>
</sst>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0" fillId="0" borderId="0" xfId="0" applyFont="1" applyAlignment="1">
      <alignment horizontal="center"/>
    </xf>
    <xf numFmtId="0" fontId="21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/>
    </xf>
    <xf numFmtId="166" fontId="3" fillId="0" borderId="32" xfId="1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0" fillId="0" borderId="4" xfId="0" applyBorder="1"/>
    <xf numFmtId="0" fontId="5" fillId="3" borderId="0" xfId="0" applyFont="1" applyFill="1"/>
    <xf numFmtId="0" fontId="6" fillId="0" borderId="0" xfId="2" applyBorder="1"/>
    <xf numFmtId="0" fontId="0" fillId="0" borderId="0" xfId="0" applyAlignment="1">
      <alignment horizontal="left"/>
    </xf>
    <xf numFmtId="1" fontId="17" fillId="0" borderId="32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24</xdr:row>
      <xdr:rowOff>213360</xdr:rowOff>
    </xdr:from>
    <xdr:to>
      <xdr:col>5</xdr:col>
      <xdr:colOff>1583056</xdr:colOff>
      <xdr:row>28</xdr:row>
      <xdr:rowOff>89535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93371" y="4945380"/>
          <a:ext cx="589978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$ 87.406.-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17</xdr:row>
      <xdr:rowOff>60960</xdr:rowOff>
    </xdr:from>
    <xdr:to>
      <xdr:col>6</xdr:col>
      <xdr:colOff>2240279</xdr:colOff>
      <xdr:row>19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46</xdr:row>
      <xdr:rowOff>171450</xdr:rowOff>
    </xdr:from>
    <xdr:to>
      <xdr:col>6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44</xdr:row>
      <xdr:rowOff>0</xdr:rowOff>
    </xdr:from>
    <xdr:to>
      <xdr:col>7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42</xdr:row>
      <xdr:rowOff>38100</xdr:rowOff>
    </xdr:from>
    <xdr:to>
      <xdr:col>7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41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55</xdr:row>
      <xdr:rowOff>0</xdr:rowOff>
    </xdr:from>
    <xdr:to>
      <xdr:col>3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55</xdr:row>
      <xdr:rowOff>0</xdr:rowOff>
    </xdr:from>
    <xdr:to>
      <xdr:col>4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55</xdr:row>
      <xdr:rowOff>0</xdr:rowOff>
    </xdr:from>
    <xdr:to>
      <xdr:col>5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55</xdr:row>
      <xdr:rowOff>0</xdr:rowOff>
    </xdr:from>
    <xdr:to>
      <xdr:col>6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55</xdr:row>
      <xdr:rowOff>0</xdr:rowOff>
    </xdr:from>
    <xdr:to>
      <xdr:col>7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33</xdr:row>
      <xdr:rowOff>15238</xdr:rowOff>
    </xdr:from>
    <xdr:to>
      <xdr:col>7</xdr:col>
      <xdr:colOff>68580</xdr:colOff>
      <xdr:row>37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OBSERVACIONES:CUBIERTAS VAN UNIDAS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26</xdr:row>
      <xdr:rowOff>1905</xdr:rowOff>
    </xdr:from>
    <xdr:to>
      <xdr:col>7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57</xdr:row>
      <xdr:rowOff>32385</xdr:rowOff>
    </xdr:from>
    <xdr:to>
      <xdr:col>7</xdr:col>
      <xdr:colOff>19050</xdr:colOff>
      <xdr:row>62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CUBIERTAS VAN UNIDAS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40</xdr:row>
      <xdr:rowOff>175260</xdr:rowOff>
    </xdr:from>
    <xdr:to>
      <xdr:col>2</xdr:col>
      <xdr:colOff>433184</xdr:colOff>
      <xdr:row>46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5"/>
  <sheetViews>
    <sheetView topLeftCell="A6" workbookViewId="0">
      <selection activeCell="F23" sqref="F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6.777343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1" t="s">
        <v>16</v>
      </c>
      <c r="C8" s="82"/>
      <c r="D8" s="83" t="s">
        <v>140</v>
      </c>
      <c r="E8" s="1"/>
      <c r="F8" s="84" t="s">
        <v>27</v>
      </c>
      <c r="G8" s="85">
        <v>7118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125" t="s">
        <v>142</v>
      </c>
      <c r="D10" s="49"/>
      <c r="E10" s="49"/>
      <c r="F10" s="50" t="s">
        <v>28</v>
      </c>
      <c r="G10" s="51">
        <v>45586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3" t="s">
        <v>2</v>
      </c>
      <c r="C11" t="s">
        <v>143</v>
      </c>
      <c r="D11" s="54"/>
      <c r="E11" s="54"/>
      <c r="F11" s="54" t="s">
        <v>125</v>
      </c>
      <c r="G11" s="55"/>
      <c r="H11" s="56"/>
      <c r="I11" s="1"/>
    </row>
    <row r="12" spans="1:17" ht="15.6" x14ac:dyDescent="0.3">
      <c r="A12" s="1"/>
      <c r="B12" s="53" t="s">
        <v>132</v>
      </c>
      <c r="C12" t="s">
        <v>144</v>
      </c>
      <c r="D12" s="54"/>
      <c r="E12" s="54"/>
      <c r="F12" s="54"/>
      <c r="G12" s="88"/>
      <c r="H12" s="56"/>
      <c r="I12" s="1"/>
    </row>
    <row r="13" spans="1:17" ht="15.6" x14ac:dyDescent="0.3">
      <c r="A13" s="1"/>
      <c r="B13" s="57" t="s">
        <v>112</v>
      </c>
      <c r="C13" s="126" t="s">
        <v>145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27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28">
        <v>56990894591</v>
      </c>
      <c r="D15" s="60"/>
      <c r="E15" s="54"/>
      <c r="F15" s="54" t="s">
        <v>29</v>
      </c>
      <c r="G15" s="54" t="s">
        <v>141</v>
      </c>
      <c r="H15" s="56"/>
      <c r="I15" s="1"/>
    </row>
    <row r="16" spans="1:17" ht="15.6" x14ac:dyDescent="0.3">
      <c r="A16" s="1"/>
      <c r="B16" s="98" t="s">
        <v>1</v>
      </c>
      <c r="C16" t="s">
        <v>146</v>
      </c>
      <c r="D16" s="38"/>
      <c r="E16" s="38"/>
      <c r="F16" s="61" t="s">
        <v>75</v>
      </c>
      <c r="G16" s="89" t="s">
        <v>137</v>
      </c>
      <c r="H16" s="59"/>
      <c r="I16" s="1"/>
    </row>
    <row r="17" spans="1:19" ht="16.2" thickBot="1" x14ac:dyDescent="0.35">
      <c r="A17" s="1"/>
      <c r="B17" s="62" t="s">
        <v>3</v>
      </c>
      <c r="C17" s="100" t="s">
        <v>139</v>
      </c>
      <c r="D17" s="63"/>
      <c r="E17" s="64"/>
      <c r="F17" s="112" t="s">
        <v>18</v>
      </c>
      <c r="G17" s="112"/>
      <c r="H17" s="113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4" t="s">
        <v>19</v>
      </c>
      <c r="C20" s="115"/>
      <c r="D20" s="115"/>
      <c r="E20" s="115"/>
      <c r="F20" s="115"/>
      <c r="G20" s="115"/>
      <c r="H20" s="116"/>
      <c r="I20" s="1"/>
    </row>
    <row r="21" spans="1:19" ht="15.6" x14ac:dyDescent="0.3">
      <c r="A21" s="1"/>
      <c r="B21" s="65" t="s">
        <v>20</v>
      </c>
      <c r="C21" s="101" t="s">
        <v>21</v>
      </c>
      <c r="D21" s="101" t="s">
        <v>22</v>
      </c>
      <c r="E21" s="101" t="s">
        <v>8</v>
      </c>
      <c r="F21" s="102" t="s">
        <v>23</v>
      </c>
      <c r="G21" s="103" t="s">
        <v>24</v>
      </c>
      <c r="H21" s="102" t="s">
        <v>4</v>
      </c>
      <c r="I21" s="1"/>
      <c r="L21">
        <v>45000</v>
      </c>
    </row>
    <row r="22" spans="1:19" ht="18" customHeight="1" x14ac:dyDescent="0.3">
      <c r="A22" s="1"/>
      <c r="B22" s="109">
        <v>1</v>
      </c>
      <c r="C22" s="110" t="s">
        <v>147</v>
      </c>
      <c r="D22" s="129">
        <v>2400</v>
      </c>
      <c r="E22" s="129">
        <v>650</v>
      </c>
      <c r="F22" s="110" t="s">
        <v>148</v>
      </c>
      <c r="G22" s="108">
        <v>85496</v>
      </c>
      <c r="H22" s="111">
        <f t="shared" ref="H22:H23" si="0">G22*B22</f>
        <v>85496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109">
        <v>1</v>
      </c>
      <c r="C23" s="110" t="s">
        <v>147</v>
      </c>
      <c r="D23" s="129">
        <v>1400</v>
      </c>
      <c r="E23" s="129">
        <v>650</v>
      </c>
      <c r="F23" s="110" t="s">
        <v>148</v>
      </c>
      <c r="G23" s="108">
        <v>61405</v>
      </c>
      <c r="H23" s="111">
        <f t="shared" si="0"/>
        <v>61405</v>
      </c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104"/>
      <c r="C24" s="104"/>
      <c r="D24" s="106"/>
      <c r="E24" s="106"/>
      <c r="F24" s="104"/>
      <c r="G24" s="87"/>
      <c r="H24" s="87"/>
      <c r="K24" s="16"/>
      <c r="L24" s="24"/>
      <c r="M24" s="16"/>
      <c r="N24" s="16"/>
      <c r="O24" s="24"/>
      <c r="P24" s="31"/>
    </row>
    <row r="25" spans="1:19" ht="18" customHeight="1" thickBot="1" x14ac:dyDescent="0.35">
      <c r="A25" s="1"/>
      <c r="B25" s="104"/>
      <c r="C25" s="105"/>
      <c r="D25" s="106"/>
      <c r="E25" s="106"/>
      <c r="F25" s="104"/>
      <c r="G25" s="87"/>
      <c r="H25" s="87"/>
      <c r="K25" s="16"/>
      <c r="L25" s="24"/>
      <c r="M25" s="16"/>
      <c r="N25" s="16"/>
      <c r="O25" s="24"/>
      <c r="P25" s="31"/>
    </row>
    <row r="26" spans="1:19" ht="15.6" x14ac:dyDescent="0.3">
      <c r="A26" s="1"/>
      <c r="B26" s="66"/>
      <c r="C26" s="66"/>
      <c r="D26" s="66"/>
      <c r="E26" s="66"/>
      <c r="F26" s="66"/>
      <c r="G26" s="67" t="s">
        <v>5</v>
      </c>
      <c r="H26" s="68">
        <f>SUM(H22:H25)</f>
        <v>146901</v>
      </c>
      <c r="I26" s="1"/>
      <c r="L26" s="2"/>
      <c r="O26" s="2"/>
      <c r="P26">
        <v>2940</v>
      </c>
      <c r="Q26">
        <v>600</v>
      </c>
      <c r="S26" t="s">
        <v>136</v>
      </c>
    </row>
    <row r="27" spans="1:19" ht="15.6" x14ac:dyDescent="0.3">
      <c r="A27" s="1"/>
      <c r="B27" s="1"/>
      <c r="C27" s="1"/>
      <c r="D27" s="1"/>
      <c r="E27" s="1"/>
      <c r="F27" s="1"/>
      <c r="G27" s="69" t="s">
        <v>6</v>
      </c>
      <c r="H27" s="70">
        <f>H26*19%</f>
        <v>27911.19</v>
      </c>
      <c r="I27" s="1"/>
      <c r="L27" s="2"/>
      <c r="O27" s="24"/>
      <c r="P27" s="31">
        <v>1890</v>
      </c>
      <c r="Q27">
        <v>600</v>
      </c>
    </row>
    <row r="28" spans="1:19" ht="16.2" thickBot="1" x14ac:dyDescent="0.35">
      <c r="A28" s="1"/>
      <c r="B28" s="1"/>
      <c r="C28" s="1"/>
      <c r="D28" s="1"/>
      <c r="E28" s="1"/>
      <c r="F28" s="1"/>
      <c r="G28" s="71" t="s">
        <v>4</v>
      </c>
      <c r="H28" s="72">
        <f>H26+H27</f>
        <v>174812.19</v>
      </c>
      <c r="I28" s="1"/>
      <c r="L28" s="2"/>
    </row>
    <row r="29" spans="1:19" ht="15.6" x14ac:dyDescent="0.3">
      <c r="A29" s="1"/>
      <c r="B29" s="1"/>
      <c r="C29" s="1"/>
      <c r="D29" s="1"/>
      <c r="E29" s="1"/>
      <c r="F29" s="1"/>
      <c r="I29" s="1"/>
      <c r="L29" s="2"/>
    </row>
    <row r="30" spans="1:19" ht="15.6" x14ac:dyDescent="0.3">
      <c r="A30" s="1"/>
      <c r="B30" s="1"/>
      <c r="C30" s="1"/>
      <c r="D30" s="1"/>
      <c r="E30" s="1"/>
      <c r="F30" s="1"/>
      <c r="H30" s="31"/>
      <c r="I30" s="1"/>
    </row>
    <row r="31" spans="1:19" ht="15.6" x14ac:dyDescent="0.3">
      <c r="A31" s="1"/>
      <c r="B31" s="73" t="s">
        <v>124</v>
      </c>
      <c r="C31" s="74"/>
      <c r="D31" s="75"/>
      <c r="E31" s="75"/>
      <c r="F31" s="66"/>
      <c r="I31" s="1"/>
    </row>
    <row r="32" spans="1:19" ht="15.6" x14ac:dyDescent="0.3">
      <c r="A32" s="1"/>
      <c r="B32" s="73" t="s">
        <v>123</v>
      </c>
      <c r="C32" s="74"/>
      <c r="D32" s="75"/>
      <c r="E32" s="75"/>
      <c r="F32" s="66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76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1"/>
  </sortState>
  <mergeCells count="2">
    <mergeCell ref="F17:H17"/>
    <mergeCell ref="B20:H20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7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5"/>
  <sheetViews>
    <sheetView tabSelected="1" topLeftCell="A40" zoomScaleNormal="100" workbookViewId="0">
      <selection activeCell="A40" sqref="A40:G63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19" t="s">
        <v>61</v>
      </c>
      <c r="M3" s="119"/>
      <c r="N3" s="119" t="s">
        <v>14</v>
      </c>
      <c r="O3" s="119"/>
    </row>
    <row r="4" spans="1:15" ht="15.75" customHeight="1" x14ac:dyDescent="0.3">
      <c r="B4" s="1"/>
      <c r="C4" s="1"/>
      <c r="D4" s="35" t="s">
        <v>27</v>
      </c>
      <c r="E4" s="14">
        <f>'4637'!G8</f>
        <v>7118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Sociedad de Inversiones y Servicios Odontologicos VIVA Ltda</v>
      </c>
      <c r="F5" s="38"/>
      <c r="G5" s="38"/>
      <c r="H5" s="1"/>
      <c r="L5">
        <f>LOOKUP(G14,REGLAS!$I$4:$I$37,REGLAS!$G$4:$G$37)+K14</f>
        <v>2450</v>
      </c>
      <c r="M5">
        <f>LOOKUP(G14,REGLAS!$I$4:$I$37,REGLAS!$H$4:$H$37)+L14</f>
        <v>620</v>
      </c>
      <c r="N5" t="e">
        <f>LOOKUP(G23,REGLAS!$D$4:$D$37,REGLAS!$B$4:$B$37)+#REF!</f>
        <v>#REF!</v>
      </c>
      <c r="O5">
        <f>LOOKUP(G23,REGLAS!$D$4:$D$37,REGLAS!$C$4:$C$37)+K23</f>
        <v>2530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7" t="str">
        <f>'4637'!F11</f>
        <v>FECHA LIMITE :</v>
      </c>
      <c r="E7" s="13">
        <f>'4637'!G11</f>
        <v>0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0" t="s">
        <v>61</v>
      </c>
      <c r="C10" s="120"/>
      <c r="D10" s="120"/>
      <c r="E10" s="120"/>
      <c r="F10" s="120"/>
      <c r="G10" s="120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>
        <v>-30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99">
        <v>1</v>
      </c>
      <c r="B14" s="107" t="s">
        <v>138</v>
      </c>
      <c r="C14" s="92">
        <f t="shared" ref="C14" si="0">J14</f>
        <v>1</v>
      </c>
      <c r="D14" s="93"/>
      <c r="E14" s="92">
        <f>K14+E$13</f>
        <v>2450</v>
      </c>
      <c r="F14" s="92">
        <f>L14+F$13</f>
        <v>620</v>
      </c>
      <c r="G14" s="92" t="str">
        <f>G23</f>
        <v>CUB C/R R8</v>
      </c>
      <c r="H14" s="1"/>
      <c r="J14" s="3">
        <f>J23</f>
        <v>1</v>
      </c>
      <c r="K14" s="4">
        <f>K23</f>
        <v>2400</v>
      </c>
      <c r="L14" s="4">
        <f>L23</f>
        <v>650</v>
      </c>
    </row>
    <row r="15" spans="1:15" ht="18" x14ac:dyDescent="0.35">
      <c r="A15" s="99">
        <v>2</v>
      </c>
      <c r="B15" s="107"/>
      <c r="C15" s="92">
        <f t="shared" ref="C15" si="1">J15</f>
        <v>1</v>
      </c>
      <c r="D15" s="93"/>
      <c r="E15" s="92">
        <f t="shared" ref="E15" si="2">K15+E$13</f>
        <v>1450</v>
      </c>
      <c r="F15" s="92">
        <f>L15+F$13</f>
        <v>620</v>
      </c>
      <c r="G15" s="92" t="str">
        <f>G24</f>
        <v>CUB C/R R8</v>
      </c>
      <c r="H15" s="1"/>
      <c r="J15" s="3">
        <f t="shared" ref="J15:L15" si="3">J24</f>
        <v>1</v>
      </c>
      <c r="K15" s="4">
        <f t="shared" si="3"/>
        <v>1400</v>
      </c>
      <c r="L15" s="4">
        <f t="shared" si="3"/>
        <v>650</v>
      </c>
    </row>
    <row r="16" spans="1:15" ht="15.6" x14ac:dyDescent="0.3">
      <c r="B16" s="86"/>
      <c r="C16" s="6"/>
      <c r="D16" s="6"/>
      <c r="E16" s="6"/>
      <c r="F16" s="6"/>
      <c r="G16" s="6"/>
      <c r="H16" s="1"/>
      <c r="J16" s="80"/>
      <c r="K16" s="2"/>
      <c r="L16" s="2"/>
    </row>
    <row r="17" spans="1:12" ht="15.6" x14ac:dyDescent="0.3">
      <c r="B17" s="46"/>
      <c r="C17" s="6"/>
      <c r="D17" s="6"/>
      <c r="E17" s="6"/>
      <c r="F17" s="79"/>
      <c r="G17" s="6"/>
      <c r="H17" s="1"/>
      <c r="J17" s="2"/>
      <c r="K17" s="2"/>
      <c r="L17" s="2"/>
    </row>
    <row r="18" spans="1:12" ht="6.75" customHeight="1" x14ac:dyDescent="0.3">
      <c r="B18" s="1"/>
      <c r="C18" s="1"/>
      <c r="D18" s="1"/>
      <c r="E18" s="1"/>
      <c r="F18" s="1"/>
      <c r="G18" s="1"/>
      <c r="H18" s="1"/>
    </row>
    <row r="19" spans="1:12" ht="15.6" x14ac:dyDescent="0.3">
      <c r="B19" s="120" t="s">
        <v>14</v>
      </c>
      <c r="C19" s="120"/>
      <c r="D19" s="120"/>
      <c r="E19" s="120"/>
      <c r="F19" s="120"/>
      <c r="G19" s="120"/>
      <c r="H19" s="1"/>
    </row>
    <row r="20" spans="1:12" ht="10.5" customHeight="1" x14ac:dyDescent="0.3">
      <c r="B20" s="1"/>
      <c r="C20" s="1"/>
      <c r="D20" s="12"/>
      <c r="E20" s="1"/>
      <c r="F20" s="1"/>
      <c r="G20" s="1"/>
      <c r="H20" s="1"/>
    </row>
    <row r="21" spans="1:12" ht="15.6" x14ac:dyDescent="0.3">
      <c r="B21" s="1"/>
      <c r="C21" s="1"/>
      <c r="D21" s="1"/>
      <c r="E21" s="46" t="s">
        <v>7</v>
      </c>
      <c r="F21" s="46" t="s">
        <v>8</v>
      </c>
      <c r="G21" s="1"/>
      <c r="H21" s="1"/>
    </row>
    <row r="22" spans="1:12" ht="15.6" x14ac:dyDescent="0.3">
      <c r="B22" s="46" t="s">
        <v>9</v>
      </c>
      <c r="C22" s="33" t="s">
        <v>10</v>
      </c>
      <c r="D22" s="33" t="s">
        <v>11</v>
      </c>
      <c r="E22" s="20">
        <v>40</v>
      </c>
      <c r="F22" s="20">
        <v>130</v>
      </c>
      <c r="G22" s="33" t="s">
        <v>110</v>
      </c>
      <c r="H22" s="1"/>
      <c r="K22" s="5" t="s">
        <v>7</v>
      </c>
      <c r="L22" s="5" t="s">
        <v>8</v>
      </c>
    </row>
    <row r="23" spans="1:12" ht="18" x14ac:dyDescent="0.35">
      <c r="A23" s="99">
        <v>1</v>
      </c>
      <c r="B23" s="15"/>
      <c r="C23" s="93">
        <f>J23</f>
        <v>1</v>
      </c>
      <c r="D23" s="93"/>
      <c r="E23" s="93">
        <f>K23+E$22</f>
        <v>2440</v>
      </c>
      <c r="F23" s="93">
        <f>L23+F$22</f>
        <v>780</v>
      </c>
      <c r="G23" s="93" t="str">
        <f>D30</f>
        <v>CUB C/R R8</v>
      </c>
      <c r="H23" s="1"/>
      <c r="J23" s="3">
        <f>C30</f>
        <v>1</v>
      </c>
      <c r="K23" s="4">
        <f>E30</f>
        <v>2400</v>
      </c>
      <c r="L23" s="4">
        <f>F30</f>
        <v>650</v>
      </c>
    </row>
    <row r="24" spans="1:12" ht="18" x14ac:dyDescent="0.35">
      <c r="A24" s="99">
        <v>2</v>
      </c>
      <c r="B24" s="15"/>
      <c r="C24" s="93">
        <f t="shared" ref="C24" si="4">J24</f>
        <v>1</v>
      </c>
      <c r="D24" s="93"/>
      <c r="E24" s="93">
        <f t="shared" ref="E24" si="5">K24+E$22</f>
        <v>1440</v>
      </c>
      <c r="F24" s="93">
        <f>L24+F$22</f>
        <v>780</v>
      </c>
      <c r="G24" s="93" t="str">
        <f>D31</f>
        <v>CUB C/R R8</v>
      </c>
      <c r="H24" s="1"/>
      <c r="J24" s="3">
        <f>C31</f>
        <v>1</v>
      </c>
      <c r="K24" s="4">
        <f t="shared" ref="K24:L24" si="6">E31</f>
        <v>1400</v>
      </c>
      <c r="L24" s="4">
        <f t="shared" si="6"/>
        <v>650</v>
      </c>
    </row>
    <row r="25" spans="1:12" ht="15.6" x14ac:dyDescent="0.3">
      <c r="B25" s="86"/>
      <c r="C25" s="6"/>
      <c r="D25" s="6"/>
      <c r="E25" s="6"/>
      <c r="F25" s="6"/>
      <c r="G25" s="6"/>
      <c r="H25" s="1"/>
      <c r="J25" s="80"/>
      <c r="K25" s="2"/>
      <c r="L25" s="2"/>
    </row>
    <row r="26" spans="1:12" ht="16.2" thickBot="1" x14ac:dyDescent="0.35">
      <c r="B26" s="46"/>
      <c r="C26" s="6"/>
      <c r="D26" s="6"/>
      <c r="E26" s="6"/>
      <c r="F26" s="6"/>
      <c r="G26" s="6"/>
      <c r="H26" s="1"/>
      <c r="J26" s="2"/>
      <c r="K26" s="2"/>
      <c r="L26" s="2"/>
    </row>
    <row r="27" spans="1:12" ht="16.2" thickBot="1" x14ac:dyDescent="0.35">
      <c r="B27" s="46"/>
      <c r="C27" s="21" t="s">
        <v>107</v>
      </c>
      <c r="D27" s="22"/>
      <c r="E27" s="22"/>
      <c r="F27" s="22"/>
      <c r="G27" s="23"/>
      <c r="H27" s="1"/>
      <c r="J27" s="2"/>
      <c r="K27" s="2"/>
      <c r="L27" s="2"/>
    </row>
    <row r="28" spans="1:12" ht="10.5" customHeight="1" x14ac:dyDescent="0.3">
      <c r="B28" s="1"/>
      <c r="C28" s="1"/>
      <c r="D28" s="1"/>
      <c r="E28" s="1"/>
      <c r="F28" s="1"/>
      <c r="G28" s="1"/>
      <c r="H28" s="1"/>
    </row>
    <row r="29" spans="1:12" ht="15.6" x14ac:dyDescent="0.3">
      <c r="B29" s="46" t="s">
        <v>9</v>
      </c>
      <c r="C29" s="78" t="s">
        <v>10</v>
      </c>
      <c r="D29" s="78" t="s">
        <v>110</v>
      </c>
      <c r="E29" s="78" t="s">
        <v>7</v>
      </c>
      <c r="F29" s="78" t="s">
        <v>8</v>
      </c>
      <c r="G29" s="78" t="s">
        <v>23</v>
      </c>
      <c r="H29" s="1"/>
    </row>
    <row r="30" spans="1:12" ht="18" x14ac:dyDescent="0.35">
      <c r="A30" s="99">
        <v>1</v>
      </c>
      <c r="B30" s="107" t="s">
        <v>138</v>
      </c>
      <c r="C30" s="92">
        <f>'4637'!B22</f>
        <v>1</v>
      </c>
      <c r="D30" s="92" t="str">
        <f>'4637'!C22</f>
        <v>CUB C/R R8</v>
      </c>
      <c r="E30" s="92">
        <f>'4637'!D22</f>
        <v>2400</v>
      </c>
      <c r="F30" s="92">
        <f>'4637'!E22</f>
        <v>650</v>
      </c>
      <c r="G30" s="96" t="str">
        <f>G52</f>
        <v>ROBLE NATURAL 1802 MT F6</v>
      </c>
      <c r="H30" s="1"/>
    </row>
    <row r="31" spans="1:12" ht="18" x14ac:dyDescent="0.35">
      <c r="A31" s="99">
        <v>2</v>
      </c>
      <c r="B31" s="107"/>
      <c r="C31" s="92">
        <f>'4637'!B23</f>
        <v>1</v>
      </c>
      <c r="D31" s="92" t="str">
        <f>'4637'!C23</f>
        <v>CUB C/R R8</v>
      </c>
      <c r="E31" s="92">
        <f>'4637'!D23</f>
        <v>1400</v>
      </c>
      <c r="F31" s="92">
        <f>'4637'!E23</f>
        <v>650</v>
      </c>
      <c r="G31" s="96" t="str">
        <f>G53</f>
        <v>ROBLE NATURAL 1802 MT F6</v>
      </c>
      <c r="H31" s="1"/>
    </row>
    <row r="32" spans="1:12" ht="15.6" x14ac:dyDescent="0.3">
      <c r="B32" s="86"/>
      <c r="C32" s="6"/>
      <c r="D32" s="6"/>
      <c r="E32" s="6"/>
      <c r="F32" s="6"/>
      <c r="G32" s="6"/>
      <c r="H32" s="1"/>
    </row>
    <row r="33" spans="2:8" ht="15.6" x14ac:dyDescent="0.3">
      <c r="B33" s="1"/>
      <c r="C33" s="6"/>
      <c r="D33" s="6"/>
      <c r="E33" s="6"/>
      <c r="F33" s="6"/>
      <c r="G33" s="6"/>
      <c r="H33" s="1"/>
    </row>
    <row r="34" spans="2:8" ht="15.6" x14ac:dyDescent="0.3">
      <c r="B34" s="1"/>
      <c r="C34" s="6"/>
      <c r="D34" s="6"/>
      <c r="E34" s="6"/>
      <c r="F34" s="6"/>
      <c r="G34" s="6"/>
      <c r="H34" s="1"/>
    </row>
    <row r="35" spans="2:8" ht="15.6" x14ac:dyDescent="0.3">
      <c r="B35" s="1"/>
      <c r="C35" s="6"/>
      <c r="D35" s="6"/>
      <c r="E35" s="6"/>
      <c r="F35" s="6"/>
      <c r="G35" s="6"/>
      <c r="H35" s="1"/>
    </row>
    <row r="36" spans="2:8" ht="15.6" x14ac:dyDescent="0.3">
      <c r="B36" s="1"/>
      <c r="C36" s="6"/>
      <c r="D36" s="6"/>
      <c r="E36" s="6"/>
      <c r="F36" s="6"/>
      <c r="G36" s="6"/>
      <c r="H36" s="1"/>
    </row>
    <row r="37" spans="2:8" ht="15.6" x14ac:dyDescent="0.3">
      <c r="B37" s="1"/>
      <c r="C37" s="6"/>
      <c r="D37" s="6"/>
      <c r="E37" s="6"/>
      <c r="F37" s="6"/>
      <c r="G37" s="6"/>
      <c r="H37" s="1"/>
    </row>
    <row r="38" spans="2:8" ht="15.6" x14ac:dyDescent="0.3">
      <c r="B38" s="1"/>
      <c r="C38" s="6"/>
      <c r="D38" s="6"/>
      <c r="E38" s="6"/>
      <c r="F38" s="6"/>
      <c r="G38" s="6"/>
      <c r="H38" s="1"/>
    </row>
    <row r="39" spans="2:8" ht="15.6" x14ac:dyDescent="0.3">
      <c r="B39" s="1"/>
      <c r="C39" s="6"/>
      <c r="D39" s="6"/>
      <c r="E39" s="6"/>
      <c r="F39" s="6"/>
      <c r="G39" s="6"/>
      <c r="H39" s="1"/>
    </row>
    <row r="40" spans="2:8" ht="15.6" x14ac:dyDescent="0.3">
      <c r="B40" s="1"/>
      <c r="C40" s="6"/>
      <c r="D40" s="6"/>
      <c r="E40" s="6"/>
      <c r="F40" s="6"/>
      <c r="G40" s="6"/>
      <c r="H40" s="1"/>
    </row>
    <row r="41" spans="2:8" ht="15.6" x14ac:dyDescent="0.3">
      <c r="B41" s="1"/>
      <c r="C41" s="1"/>
      <c r="D41" s="1"/>
      <c r="E41" s="1"/>
      <c r="F41" s="1"/>
      <c r="G41" s="1"/>
      <c r="H41" s="1"/>
    </row>
    <row r="42" spans="2:8" ht="15.6" x14ac:dyDescent="0.3">
      <c r="B42" s="1"/>
      <c r="C42" s="1"/>
      <c r="D42" s="35" t="s">
        <v>27</v>
      </c>
      <c r="E42" s="14">
        <f>'4637'!G8</f>
        <v>7118</v>
      </c>
      <c r="F42" s="1"/>
      <c r="G42" s="1"/>
      <c r="H42" s="1"/>
    </row>
    <row r="43" spans="2:8" ht="17.25" customHeight="1" x14ac:dyDescent="0.3">
      <c r="B43" s="1"/>
      <c r="C43" s="1"/>
      <c r="D43" s="36" t="s">
        <v>67</v>
      </c>
      <c r="E43" s="37" t="str">
        <f>'4637'!C10</f>
        <v>Sociedad de Inversiones y Servicios Odontologicos VIVA Ltda</v>
      </c>
      <c r="F43" s="38"/>
      <c r="G43" s="38"/>
      <c r="H43" s="1"/>
    </row>
    <row r="44" spans="2:8" ht="4.5" customHeight="1" x14ac:dyDescent="0.3">
      <c r="B44" s="1"/>
      <c r="C44" s="1"/>
      <c r="D44" s="39"/>
      <c r="E44" s="40"/>
      <c r="F44" s="1"/>
      <c r="G44" s="1"/>
      <c r="H44" s="1"/>
    </row>
    <row r="45" spans="2:8" ht="15.6" x14ac:dyDescent="0.3">
      <c r="B45" s="1"/>
      <c r="C45" s="1"/>
      <c r="D45" s="41" t="str">
        <f>'4637'!F11</f>
        <v>FECHA LIMITE :</v>
      </c>
      <c r="E45" s="13">
        <f>'4637'!G11</f>
        <v>0</v>
      </c>
      <c r="F45" s="1"/>
      <c r="G45" s="1" t="s">
        <v>134</v>
      </c>
      <c r="H45" s="1"/>
    </row>
    <row r="46" spans="2:8" ht="15.6" x14ac:dyDescent="0.3">
      <c r="B46" s="1"/>
      <c r="C46" s="1"/>
      <c r="D46" s="1"/>
      <c r="E46" s="1"/>
      <c r="F46" s="1"/>
      <c r="G46" s="1"/>
      <c r="H46" s="1"/>
    </row>
    <row r="47" spans="2:8" ht="15.6" x14ac:dyDescent="0.3">
      <c r="B47" s="1"/>
      <c r="C47" s="1"/>
      <c r="D47" s="1"/>
      <c r="E47" s="1"/>
      <c r="F47" s="1"/>
      <c r="G47" s="1"/>
      <c r="H47" s="1"/>
    </row>
    <row r="48" spans="2:8" ht="15.6" x14ac:dyDescent="0.3">
      <c r="B48" s="120" t="s">
        <v>68</v>
      </c>
      <c r="C48" s="120"/>
      <c r="D48" s="120"/>
      <c r="E48" s="120"/>
      <c r="F48" s="120"/>
      <c r="G48" s="120"/>
      <c r="H48" s="1"/>
    </row>
    <row r="49" spans="2:8" ht="15.6" x14ac:dyDescent="0.3">
      <c r="B49" s="1"/>
      <c r="C49" s="1"/>
      <c r="D49" s="1"/>
      <c r="E49" s="1"/>
      <c r="F49" s="1"/>
      <c r="G49" s="1"/>
      <c r="H49" s="1"/>
    </row>
    <row r="50" spans="2:8" ht="15.75" customHeight="1" x14ac:dyDescent="0.3">
      <c r="B50" s="1"/>
      <c r="C50" s="121" t="s">
        <v>69</v>
      </c>
      <c r="D50" s="122"/>
      <c r="E50" s="123"/>
      <c r="F50" s="123"/>
      <c r="G50" s="124"/>
      <c r="H50" s="1"/>
    </row>
    <row r="51" spans="2:8" s="15" customFormat="1" ht="12.75" customHeight="1" x14ac:dyDescent="0.3">
      <c r="B51" s="1"/>
      <c r="C51" s="33" t="s">
        <v>10</v>
      </c>
      <c r="D51" s="42" t="s">
        <v>11</v>
      </c>
      <c r="E51" s="43" t="s">
        <v>7</v>
      </c>
      <c r="F51" s="43" t="s">
        <v>8</v>
      </c>
      <c r="G51" s="95" t="s">
        <v>12</v>
      </c>
      <c r="H51" s="1"/>
    </row>
    <row r="52" spans="2:8" s="15" customFormat="1" ht="15" customHeight="1" x14ac:dyDescent="0.35">
      <c r="B52" s="107" t="s">
        <v>138</v>
      </c>
      <c r="C52" s="90">
        <f>'4637'!B22</f>
        <v>1</v>
      </c>
      <c r="D52" s="91" t="str">
        <f>'4637'!C22</f>
        <v>CUB C/R R8</v>
      </c>
      <c r="E52" s="91">
        <f>'4637'!D22</f>
        <v>2400</v>
      </c>
      <c r="F52" s="94">
        <f>'4637'!E22</f>
        <v>650</v>
      </c>
      <c r="G52" s="97" t="str">
        <f>'4637'!F22</f>
        <v>ROBLE NATURAL 1802 MT F6</v>
      </c>
      <c r="H52" s="1"/>
    </row>
    <row r="53" spans="2:8" s="15" customFormat="1" ht="15" customHeight="1" x14ac:dyDescent="0.35">
      <c r="B53" s="107"/>
      <c r="C53" s="90">
        <f>'4637'!B23</f>
        <v>1</v>
      </c>
      <c r="D53" s="91" t="str">
        <f>'4637'!C23</f>
        <v>CUB C/R R8</v>
      </c>
      <c r="E53" s="91">
        <f>'4637'!D23</f>
        <v>1400</v>
      </c>
      <c r="F53" s="94">
        <f>'4637'!E23</f>
        <v>650</v>
      </c>
      <c r="G53" s="97" t="str">
        <f>'4637'!F23</f>
        <v>ROBLE NATURAL 1802 MT F6</v>
      </c>
      <c r="H53" s="1"/>
    </row>
    <row r="54" spans="2:8" s="15" customFormat="1" ht="15" customHeight="1" x14ac:dyDescent="0.3">
      <c r="B54" s="44"/>
      <c r="C54" s="46"/>
      <c r="D54" s="46"/>
      <c r="E54" s="46"/>
      <c r="F54" s="46"/>
      <c r="G54" s="46"/>
      <c r="H54" s="1"/>
    </row>
    <row r="55" spans="2:8" ht="15.6" x14ac:dyDescent="0.3">
      <c r="B55" s="6"/>
      <c r="C55" s="6"/>
      <c r="D55" s="1"/>
      <c r="E55" s="6"/>
      <c r="F55" s="6"/>
      <c r="G55" s="39"/>
      <c r="H55" s="1"/>
    </row>
    <row r="56" spans="2:8" ht="15.6" x14ac:dyDescent="0.3">
      <c r="B56" s="6"/>
      <c r="C56" s="6"/>
      <c r="D56" s="1"/>
      <c r="E56" s="6"/>
      <c r="F56" s="6"/>
      <c r="G56" s="6"/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.6" x14ac:dyDescent="0.3">
      <c r="B58" s="1"/>
      <c r="C58" s="1"/>
      <c r="D58" s="1"/>
      <c r="E58" s="1"/>
      <c r="F58" s="1"/>
      <c r="G58" s="1"/>
      <c r="H58" s="1"/>
    </row>
    <row r="59" spans="2:8" ht="15.6" x14ac:dyDescent="0.3">
      <c r="B59" s="1"/>
      <c r="C59" s="1"/>
      <c r="D59" s="1"/>
      <c r="E59" s="1"/>
      <c r="F59" s="1"/>
      <c r="G59" s="1"/>
      <c r="H59" s="1"/>
    </row>
    <row r="60" spans="2:8" ht="15" customHeight="1" x14ac:dyDescent="0.3">
      <c r="B60" s="1"/>
      <c r="C60" s="1"/>
      <c r="D60" s="1"/>
      <c r="E60" s="1"/>
      <c r="F60" s="1"/>
      <c r="G60" s="1"/>
      <c r="H60" s="1"/>
    </row>
    <row r="61" spans="2:8" ht="15.6" x14ac:dyDescent="0.3">
      <c r="B61" s="1"/>
      <c r="C61" s="1"/>
      <c r="D61" s="1"/>
      <c r="E61" s="1"/>
      <c r="F61" s="1"/>
      <c r="G61" s="1"/>
      <c r="H61" s="1"/>
    </row>
    <row r="62" spans="2:8" ht="15.6" x14ac:dyDescent="0.3">
      <c r="B62" s="6"/>
      <c r="C62" s="45"/>
      <c r="D62" s="1"/>
      <c r="E62" s="1"/>
      <c r="F62" s="1"/>
      <c r="G62" s="1"/>
      <c r="H62" s="1"/>
    </row>
    <row r="63" spans="2:8" ht="15.6" x14ac:dyDescent="0.3">
      <c r="B63" s="1"/>
      <c r="C63" s="1"/>
      <c r="D63" s="1"/>
      <c r="E63" s="1"/>
      <c r="F63" s="1"/>
      <c r="G63" s="1"/>
      <c r="H63" s="1"/>
    </row>
    <row r="64" spans="2:8" x14ac:dyDescent="0.3">
      <c r="C64" s="19"/>
      <c r="D64" s="19"/>
      <c r="E64" s="19"/>
      <c r="F64" s="19"/>
      <c r="G64" s="19"/>
    </row>
    <row r="65" spans="3:7" x14ac:dyDescent="0.3">
      <c r="C65" s="19"/>
      <c r="D65" s="19"/>
      <c r="F65" s="19"/>
      <c r="G65" s="19"/>
    </row>
  </sheetData>
  <mergeCells count="6">
    <mergeCell ref="N3:O3"/>
    <mergeCell ref="B19:G19"/>
    <mergeCell ref="B10:G10"/>
    <mergeCell ref="B48:G48"/>
    <mergeCell ref="C50:G50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2024-10-22T13:04:57Z</cp:lastPrinted>
  <dcterms:created xsi:type="dcterms:W3CDTF">2013-03-19T12:54:14Z</dcterms:created>
  <dcterms:modified xsi:type="dcterms:W3CDTF">2024-10-22T14:31:35Z</dcterms:modified>
</cp:coreProperties>
</file>