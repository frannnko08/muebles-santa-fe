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D8B06946-BD7B-4565-B1C2-BE251C1FF4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CUBIERTA!$A$2:$G$47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F15" i="3"/>
  <c r="F16" i="3"/>
  <c r="F17" i="3"/>
  <c r="E27" i="3"/>
  <c r="E28" i="3"/>
  <c r="E29" i="3"/>
  <c r="F28" i="3"/>
  <c r="F29" i="3"/>
  <c r="H27" i="4"/>
  <c r="H26" i="4"/>
  <c r="H25" i="4"/>
  <c r="H24" i="4"/>
  <c r="H23" i="4"/>
  <c r="H22" i="4"/>
  <c r="C38" i="3"/>
  <c r="J28" i="3" s="1"/>
  <c r="C28" i="3" s="1"/>
  <c r="D38" i="3"/>
  <c r="G28" i="3" s="1"/>
  <c r="G16" i="3" s="1"/>
  <c r="E38" i="3"/>
  <c r="K28" i="3" s="1"/>
  <c r="F38" i="3"/>
  <c r="L28" i="3" s="1"/>
  <c r="L16" i="3" s="1"/>
  <c r="C39" i="3"/>
  <c r="J29" i="3" s="1"/>
  <c r="C29" i="3" s="1"/>
  <c r="D39" i="3"/>
  <c r="G29" i="3" s="1"/>
  <c r="G17" i="3" s="1"/>
  <c r="E39" i="3"/>
  <c r="K29" i="3" s="1"/>
  <c r="K17" i="3" s="1"/>
  <c r="F39" i="3"/>
  <c r="L29" i="3" s="1"/>
  <c r="L17" i="3" s="1"/>
  <c r="C62" i="3"/>
  <c r="D62" i="3"/>
  <c r="E62" i="3"/>
  <c r="F62" i="3"/>
  <c r="G62" i="3"/>
  <c r="G38" i="3" s="1"/>
  <c r="C63" i="3"/>
  <c r="D63" i="3"/>
  <c r="E63" i="3"/>
  <c r="F63" i="3"/>
  <c r="G63" i="3"/>
  <c r="G39" i="3" s="1"/>
  <c r="C64" i="3"/>
  <c r="D64" i="3"/>
  <c r="E64" i="3"/>
  <c r="F64" i="3"/>
  <c r="G64" i="3"/>
  <c r="K16" i="3" l="1"/>
  <c r="J16" i="3"/>
  <c r="C16" i="3" s="1"/>
  <c r="J17" i="3"/>
  <c r="C17" i="3" s="1"/>
  <c r="G61" i="3"/>
  <c r="G37" i="3" s="1"/>
  <c r="G60" i="3"/>
  <c r="G36" i="3" s="1"/>
  <c r="C37" i="3" l="1"/>
  <c r="J27" i="3" s="1"/>
  <c r="D37" i="3"/>
  <c r="G27" i="3" s="1"/>
  <c r="G15" i="3" s="1"/>
  <c r="E37" i="3"/>
  <c r="K27" i="3" s="1"/>
  <c r="F37" i="3"/>
  <c r="L27" i="3" s="1"/>
  <c r="C61" i="3"/>
  <c r="D61" i="3"/>
  <c r="E61" i="3"/>
  <c r="F61" i="3"/>
  <c r="F27" i="3" l="1"/>
  <c r="L15" i="3"/>
  <c r="K15" i="3"/>
  <c r="C27" i="3"/>
  <c r="J15" i="3"/>
  <c r="C15" i="3" s="1"/>
  <c r="L22" i="4"/>
  <c r="H30" i="4" l="1"/>
  <c r="H31" i="4" s="1"/>
  <c r="H32" i="4" l="1"/>
  <c r="F36" i="3"/>
  <c r="L26" i="3" s="1"/>
  <c r="E36" i="3"/>
  <c r="K26" i="3" s="1"/>
  <c r="D36" i="3"/>
  <c r="G26" i="3" s="1"/>
  <c r="G14" i="3" s="1"/>
  <c r="C36" i="3"/>
  <c r="C40" i="3" s="1"/>
  <c r="F60" i="3"/>
  <c r="E60" i="3"/>
  <c r="D60" i="3"/>
  <c r="C60" i="3"/>
  <c r="C66" i="3" s="1"/>
  <c r="J26" i="3" l="1"/>
  <c r="J14" i="3" s="1"/>
  <c r="C14" i="3" s="1"/>
  <c r="K14" i="3"/>
  <c r="E14" i="3" s="1"/>
  <c r="E26" i="3"/>
  <c r="L14" i="3"/>
  <c r="F14" i="3" s="1"/>
  <c r="F26" i="3"/>
  <c r="O5" i="3"/>
  <c r="C26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<sst xmlns="http://schemas.openxmlformats.org/spreadsheetml/2006/main" count="262" uniqueCount="151">
  <si>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</si>
  <si>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</si>
  <si>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</si>
  <si>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</si>
  <si>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</si>
  <si>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</si>
  <si>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</si>
  <si>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</si>
  <si>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</si>
  <si>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</si>
  <si>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</si>
  <si>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</si>
  <si>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</si>
  <si>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</si>
  <si>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</si>
  <si>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</si>
  <si>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</si>
  <si>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</si>
  <si>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</si>
  <si>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</si>
  <si>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</si>
  <si>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</si>
  <si>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</si>
  <si>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</si>
  <si>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</si>
  <si>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</si>
  <si>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</si>
  <si>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</si>
  <si>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</si>
  <si>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</si>
  <si>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</si>
  <si>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</si>
  <si>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</si>
  <si>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</si>
  <si>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</si>
  <si>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</si>
  <si>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</si>
  <si>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</si>
  <si>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</si>
  <si>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</si>
  <si>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</si>
  <si>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</si>
  <si>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</si>
  <si>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</si>
  <si>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</si>
  <si>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</si>
  <si>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</si>
  <si>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</si>
  <si>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</si>
  <si>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</si>
  <si>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</si>
  <si>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</si>
  <si>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</si>
  <si>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</si>
  <si>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</si>
  <si>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</si>
  <si>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</si>
  <si>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</si>
  <si>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</si>
  <si>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</si>
  <si>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</si>
  <si>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</si>
  <si>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</si>
  <si>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</si>
  <si>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</si>
  <si>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</si>
  <si>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</si>
  <si>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</si>
  <si>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</si>
  <si>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</si>
  <si>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</si>
  <si>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</si>
  <si>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</si>
  <si>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</si>
  <si>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</si>
  <si>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</si>
  <si>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</si>
  <si>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</si>
  <si>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</si>
  <si>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</si>
  <si>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</si>
  <si>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</si>
  <si>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</si>
  <si>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</si>
  <si>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</si>
  <si>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</si>
  <si>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</si>
  <si>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</si>
  <si>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</si>
  <si>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</si>
  <si>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</si>
  <si>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</si>
  <si>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</si>
  <si>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</si>
  <si>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</si>
  <si>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</si>
  <si>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</si>
  <si>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</si>
  <si>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</si>
  <si>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</si>
  <si>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</si>
  <si>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</si>
  <si>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</si>
  <si>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</si>
  <si>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</si>
  <si>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</si>
  <si>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</si>
  <si>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</si>
  <si>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</si>
  <si>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</si>
  <si>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</si>
  <si>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</si>
  <si>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</si>
  <si>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</si>
  <si>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</si>
  <si>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</si>
  <si>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</si>
  <si>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</si>
  <si>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</si>
  <si>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</si>
  <si>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</si>
  <si>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</si>
  <si>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</si>
  <si>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</si>
  <si>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</si>
  <si>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</si>
  <si>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</si>
  <si>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</si>
  <si>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</si>
  <si>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</si>
  <si>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</si>
  <si>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</si>
  <si>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</si>
  <si>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</si>
  <si>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</si>
  <si>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</si>
  <si>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</si>
  <si>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</si>
  <si>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</si>
  <si>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</si>
  <si>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</si>
  <si>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FILKUN CARPINTERIA SPA</t>
  </si>
  <si>
    <t>77.369.374-9</t>
  </si>
  <si>
    <t>MUEBLES</t>
  </si>
  <si>
    <t>DAVID RAMIREZ</t>
  </si>
  <si>
    <t>+569 8521 7073</t>
  </si>
  <si>
    <t>N° 11073</t>
  </si>
  <si>
    <t>GRANITO FOSSIL 2724 BR</t>
  </si>
  <si>
    <t>SERVICIO CORTE 45°</t>
  </si>
  <si>
    <t>SERVICIO CORTE A LA MEDIDA MAS ENCHAPE</t>
  </si>
  <si>
    <t>LAMAMBA.TALLER@GMAIL.COM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</si>
</sst>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29</xdr:row>
      <xdr:rowOff>0</xdr:rowOff>
    </xdr:from>
    <xdr:to>
      <xdr:col>5</xdr:col>
      <xdr:colOff>1522096</xdr:colOff>
      <xdr:row>32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$230.335.-.-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20</xdr:row>
      <xdr:rowOff>60960</xdr:rowOff>
    </xdr:from>
    <xdr:to>
      <xdr:col>6</xdr:col>
      <xdr:colOff>2240279</xdr:colOff>
      <xdr:row>22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54</xdr:row>
      <xdr:rowOff>171450</xdr:rowOff>
    </xdr:from>
    <xdr:to>
      <xdr:col>6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50</xdr:row>
      <xdr:rowOff>38100</xdr:rowOff>
    </xdr:from>
    <xdr:to>
      <xdr:col>7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49</xdr:row>
      <xdr:rowOff>0</xdr:rowOff>
    </xdr:from>
    <xdr:to>
      <xdr:col>7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1019175</xdr:colOff>
      <xdr:row>68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352425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447675</xdr:colOff>
      <xdr:row>68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41</xdr:row>
      <xdr:rowOff>15238</xdr:rowOff>
    </xdr:from>
    <xdr:to>
      <xdr:col>7</xdr:col>
      <xdr:colOff>68580</xdr:colOff>
      <xdr:row>45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LLEVAN CORTE DE 45 Y TERMINACIONES,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LAS CUBIERTA DE 2640 Y 750, DEBEN SER TUPISADAS UNIDAS YA QUE ES UNA SOLA, CLIENTE LA PIDE EN DOS PARTES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32</xdr:row>
      <xdr:rowOff>1905</xdr:rowOff>
    </xdr:from>
    <xdr:to>
      <xdr:col>7</xdr:col>
      <xdr:colOff>19049</xdr:colOff>
      <xdr:row>33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70</xdr:row>
      <xdr:rowOff>32385</xdr:rowOff>
    </xdr:from>
    <xdr:to>
      <xdr:col>7</xdr:col>
      <xdr:colOff>19050</xdr:colOff>
      <xdr:row>75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 DE 45° Y TERMINACIONES SEGUN DIBUJO, SE DEBE POSTFORMAR JUNTAS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CUBIERTA DE 2640 Y 750 YA QUE VAN LINEALMENTE UNIDAS, DUDAS PREGUNTAR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48</xdr:row>
      <xdr:rowOff>175260</xdr:rowOff>
    </xdr:from>
    <xdr:to>
      <xdr:col>2</xdr:col>
      <xdr:colOff>585584</xdr:colOff>
      <xdr:row>54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AMBA.TALLER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8"/>
  <sheetViews>
    <sheetView workbookViewId="0">
      <selection activeCell="K20" sqref="K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8.3320312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146</v>
      </c>
      <c r="E8" s="1"/>
      <c r="F8" s="85" t="s">
        <v>27</v>
      </c>
      <c r="G8" s="86">
        <v>7101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45530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 t="s">
        <v>142</v>
      </c>
      <c r="D11" s="54"/>
      <c r="E11" s="54"/>
      <c r="F11" s="54" t="s">
        <v>125</v>
      </c>
      <c r="G11" s="55">
        <v>45534</v>
      </c>
      <c r="H11" s="56"/>
      <c r="I11" s="1"/>
    </row>
    <row r="12" spans="1:17" ht="17.399999999999999" thickBot="1" x14ac:dyDescent="0.45">
      <c r="A12" s="1"/>
      <c r="B12" s="53" t="s">
        <v>132</v>
      </c>
      <c r="C12" s="95" t="s">
        <v>143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77" t="s">
        <v>144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4" t="s">
        <v>150</v>
      </c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5" t="s">
        <v>145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6" t="s">
        <v>138</v>
      </c>
      <c r="D17" s="63"/>
      <c r="E17" s="64"/>
      <c r="F17" s="113" t="s">
        <v>18</v>
      </c>
      <c r="G17" s="113"/>
      <c r="H17" s="114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9" ht="15.6" x14ac:dyDescent="0.3">
      <c r="A21" s="1"/>
      <c r="B21" s="65" t="s">
        <v>20</v>
      </c>
      <c r="C21" s="107" t="s">
        <v>21</v>
      </c>
      <c r="D21" s="107" t="s">
        <v>22</v>
      </c>
      <c r="E21" s="107" t="s">
        <v>8</v>
      </c>
      <c r="F21" s="108" t="s">
        <v>23</v>
      </c>
      <c r="G21" s="109" t="s">
        <v>24</v>
      </c>
      <c r="H21" s="108" t="s">
        <v>4</v>
      </c>
      <c r="I21" s="1"/>
      <c r="L21">
        <v>45000</v>
      </c>
    </row>
    <row r="22" spans="1:19" ht="18" customHeight="1" x14ac:dyDescent="0.3">
      <c r="A22" s="1"/>
      <c r="B22" s="110">
        <v>1</v>
      </c>
      <c r="C22" s="128" t="s">
        <v>129</v>
      </c>
      <c r="D22" s="112">
        <v>2640</v>
      </c>
      <c r="E22" s="112">
        <v>600</v>
      </c>
      <c r="F22" s="128" t="s">
        <v>147</v>
      </c>
      <c r="G22" s="129">
        <v>187943</v>
      </c>
      <c r="H22" s="130">
        <f t="shared" ref="H22:H27" si="0">G22*B22</f>
        <v>187943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0">
        <v>1</v>
      </c>
      <c r="C23" s="128" t="s">
        <v>129</v>
      </c>
      <c r="D23" s="112">
        <v>750</v>
      </c>
      <c r="E23" s="112">
        <v>600</v>
      </c>
      <c r="F23" s="128" t="s">
        <v>147</v>
      </c>
      <c r="G23" s="129">
        <v>58002</v>
      </c>
      <c r="H23" s="130">
        <f t="shared" si="0"/>
        <v>58002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0">
        <v>1</v>
      </c>
      <c r="C24" s="128" t="s">
        <v>129</v>
      </c>
      <c r="D24" s="112">
        <v>1460</v>
      </c>
      <c r="E24" s="112">
        <v>600</v>
      </c>
      <c r="F24" s="128" t="s">
        <v>147</v>
      </c>
      <c r="G24" s="129">
        <v>106815</v>
      </c>
      <c r="H24" s="130">
        <f t="shared" si="0"/>
        <v>106815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0">
        <v>1</v>
      </c>
      <c r="C25" s="128" t="s">
        <v>129</v>
      </c>
      <c r="D25" s="112">
        <v>1240</v>
      </c>
      <c r="E25" s="112">
        <v>500</v>
      </c>
      <c r="F25" s="128" t="s">
        <v>147</v>
      </c>
      <c r="G25" s="129">
        <v>76908</v>
      </c>
      <c r="H25" s="130">
        <f t="shared" si="0"/>
        <v>76908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10">
        <v>2</v>
      </c>
      <c r="C26" s="128" t="s">
        <v>148</v>
      </c>
      <c r="D26" s="111"/>
      <c r="E26" s="111"/>
      <c r="F26" s="128"/>
      <c r="G26" s="129">
        <v>7500</v>
      </c>
      <c r="H26" s="130">
        <f t="shared" si="0"/>
        <v>15000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10">
        <v>4</v>
      </c>
      <c r="C27" s="131" t="s">
        <v>149</v>
      </c>
      <c r="D27" s="111"/>
      <c r="E27" s="111"/>
      <c r="F27" s="128"/>
      <c r="G27" s="129">
        <v>4000</v>
      </c>
      <c r="H27" s="130">
        <f t="shared" si="0"/>
        <v>16000</v>
      </c>
      <c r="K27" s="16"/>
      <c r="L27" s="24"/>
      <c r="M27" s="16"/>
      <c r="N27" s="16"/>
      <c r="O27" s="24"/>
      <c r="P27" s="31"/>
    </row>
    <row r="28" spans="1:19" ht="18" customHeight="1" x14ac:dyDescent="0.3">
      <c r="A28" s="1"/>
      <c r="B28" s="126"/>
      <c r="C28" s="126"/>
      <c r="D28" s="127"/>
      <c r="E28" s="127"/>
      <c r="F28" s="126"/>
      <c r="G28" s="88"/>
      <c r="H28" s="88"/>
      <c r="K28" s="16"/>
      <c r="L28" s="24"/>
      <c r="M28" s="16"/>
      <c r="N28" s="16"/>
      <c r="O28" s="24"/>
      <c r="P28" s="31"/>
    </row>
    <row r="29" spans="1:19" ht="16.2" thickBot="1" x14ac:dyDescent="0.35">
      <c r="A29" s="1"/>
      <c r="B29" s="66"/>
      <c r="C29" s="66"/>
      <c r="D29" s="66"/>
      <c r="E29" s="66"/>
      <c r="F29" s="66"/>
      <c r="G29" s="88"/>
      <c r="H29" s="88"/>
      <c r="I29" s="1"/>
      <c r="L29" s="2"/>
      <c r="O29" s="2"/>
      <c r="P29">
        <v>2940</v>
      </c>
      <c r="Q29">
        <v>600</v>
      </c>
      <c r="S29" t="s">
        <v>137</v>
      </c>
    </row>
    <row r="30" spans="1:19" ht="15.6" x14ac:dyDescent="0.3">
      <c r="A30" s="1"/>
      <c r="B30" s="1"/>
      <c r="C30" s="1"/>
      <c r="D30" s="1"/>
      <c r="E30" s="1"/>
      <c r="F30" s="1"/>
      <c r="G30" s="67" t="s">
        <v>5</v>
      </c>
      <c r="H30" s="68">
        <f>SUM(H22:H29)</f>
        <v>460668</v>
      </c>
      <c r="I30" s="1"/>
      <c r="L30" s="2"/>
      <c r="O30" s="24"/>
      <c r="P30" s="31">
        <v>1890</v>
      </c>
      <c r="Q30">
        <v>600</v>
      </c>
    </row>
    <row r="31" spans="1:19" ht="15.6" x14ac:dyDescent="0.3">
      <c r="A31" s="1"/>
      <c r="B31" s="1"/>
      <c r="C31" s="1"/>
      <c r="D31" s="1"/>
      <c r="E31" s="1"/>
      <c r="F31" s="1"/>
      <c r="G31" s="69" t="s">
        <v>6</v>
      </c>
      <c r="H31" s="70">
        <f>H30*19%</f>
        <v>87526.92</v>
      </c>
      <c r="I31" s="1"/>
      <c r="L31" s="2"/>
    </row>
    <row r="32" spans="1:19" ht="16.2" thickBot="1" x14ac:dyDescent="0.35">
      <c r="A32" s="1"/>
      <c r="B32" s="1"/>
      <c r="C32" s="1"/>
      <c r="D32" s="1"/>
      <c r="E32" s="1"/>
      <c r="F32" s="1"/>
      <c r="G32" s="71" t="s">
        <v>4</v>
      </c>
      <c r="H32" s="72">
        <f>H30+H31</f>
        <v>548194.92000000004</v>
      </c>
      <c r="I32" s="1"/>
      <c r="L32" s="2"/>
    </row>
    <row r="33" spans="1:9" ht="15.6" x14ac:dyDescent="0.3">
      <c r="A33" s="1"/>
      <c r="B33" s="1"/>
      <c r="C33" s="1"/>
      <c r="D33" s="1"/>
      <c r="E33" s="1"/>
      <c r="F33" s="1"/>
      <c r="H33" s="31"/>
      <c r="I33" s="1"/>
    </row>
    <row r="34" spans="1:9" ht="15.6" x14ac:dyDescent="0.3">
      <c r="A34" s="1"/>
      <c r="B34" s="73" t="s">
        <v>124</v>
      </c>
      <c r="C34" s="74"/>
      <c r="D34" s="75"/>
      <c r="E34" s="75"/>
      <c r="F34" s="66"/>
      <c r="I34" s="1"/>
    </row>
    <row r="35" spans="1:9" ht="15.6" x14ac:dyDescent="0.3">
      <c r="A35" s="1"/>
      <c r="B35" s="73" t="s">
        <v>123</v>
      </c>
      <c r="C35" s="74"/>
      <c r="D35" s="75"/>
      <c r="E35" s="75"/>
      <c r="F35" s="66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76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7:H17"/>
    <mergeCell ref="B20:H20"/>
  </mergeCells>
  <phoneticPr fontId="10" type="noConversion"/>
  <hyperlinks>
    <hyperlink ref="E36" r:id="rId1" xr:uid="{00000000-0004-0000-0000-000000000000}"/>
    <hyperlink ref="C14" r:id="rId2" xr:uid="{2363D655-9FB8-4801-8118-44EBCC0394D8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7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8"/>
  <sheetViews>
    <sheetView tabSelected="1" zoomScaleNormal="100" workbookViewId="0">
      <selection activeCell="A2" sqref="A2:G47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0" t="s">
        <v>61</v>
      </c>
      <c r="M3" s="120"/>
      <c r="N3" s="120" t="s">
        <v>14</v>
      </c>
      <c r="O3" s="120"/>
    </row>
    <row r="4" spans="1:15" ht="15.75" customHeight="1" x14ac:dyDescent="0.3">
      <c r="B4" s="1"/>
      <c r="C4" s="1"/>
      <c r="D4" s="35" t="s">
        <v>27</v>
      </c>
      <c r="E4" s="14">
        <f>'4637'!G8</f>
        <v>7101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FILKUN CARPINTERIA SPA</v>
      </c>
      <c r="F5" s="38"/>
      <c r="G5" s="38"/>
      <c r="H5" s="1"/>
      <c r="L5">
        <f>LOOKUP(G14,REGLAS!$I$4:$I$37,REGLAS!$G$4:$G$37)+K14</f>
        <v>2690</v>
      </c>
      <c r="M5">
        <f>LOOKUP(G14,REGLAS!$I$4:$I$37,REGLAS!$H$4:$H$37)+L14</f>
        <v>570</v>
      </c>
      <c r="N5" t="e">
        <f>LOOKUP(G26,REGLAS!$D$4:$D$37,REGLAS!$B$4:$B$37)+#REF!</f>
        <v>#REF!</v>
      </c>
      <c r="O5">
        <f>LOOKUP(G26,REGLAS!$D$4:$D$37,REGLAS!$C$4:$C$37)+K26</f>
        <v>2770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45534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1" t="s">
        <v>61</v>
      </c>
      <c r="C10" s="121"/>
      <c r="D10" s="121"/>
      <c r="E10" s="121"/>
      <c r="F10" s="121"/>
      <c r="G10" s="121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3">
        <v>1</v>
      </c>
      <c r="B14" s="102" t="s">
        <v>139</v>
      </c>
      <c r="C14" s="93">
        <f t="shared" ref="C14" si="0">J14</f>
        <v>1</v>
      </c>
      <c r="D14" s="94"/>
      <c r="E14" s="93">
        <f>K14+E$13</f>
        <v>2690</v>
      </c>
      <c r="F14" s="93">
        <f>L14+F$13</f>
        <v>570</v>
      </c>
      <c r="G14" s="93" t="str">
        <f>G26</f>
        <v>CUB C/R R6</v>
      </c>
      <c r="H14" s="1"/>
      <c r="J14" s="3">
        <f>J26</f>
        <v>1</v>
      </c>
      <c r="K14" s="4">
        <f>K26</f>
        <v>2640</v>
      </c>
      <c r="L14" s="4">
        <f>L26</f>
        <v>600</v>
      </c>
    </row>
    <row r="15" spans="1:15" ht="18" x14ac:dyDescent="0.35">
      <c r="A15" s="103">
        <v>2</v>
      </c>
      <c r="B15" s="102"/>
      <c r="C15" s="93">
        <f t="shared" ref="C15" si="1">J15</f>
        <v>1</v>
      </c>
      <c r="D15" s="94"/>
      <c r="E15" s="93">
        <f t="shared" ref="E15:E17" si="2">K15+E$13</f>
        <v>800</v>
      </c>
      <c r="F15" s="93">
        <f t="shared" ref="F15:F17" si="3">L15+F$13</f>
        <v>570</v>
      </c>
      <c r="G15" s="93" t="str">
        <f t="shared" ref="G15:G17" si="4">G27</f>
        <v>CUB C/R R6</v>
      </c>
      <c r="H15" s="1"/>
      <c r="J15" s="3">
        <f t="shared" ref="J15:L15" si="5">J27</f>
        <v>1</v>
      </c>
      <c r="K15" s="4">
        <f t="shared" si="5"/>
        <v>750</v>
      </c>
      <c r="L15" s="4">
        <f t="shared" si="5"/>
        <v>600</v>
      </c>
    </row>
    <row r="16" spans="1:15" ht="18" x14ac:dyDescent="0.35">
      <c r="A16" s="103">
        <v>3</v>
      </c>
      <c r="B16" s="102"/>
      <c r="C16" s="93">
        <f t="shared" ref="C16:C17" si="6">J16</f>
        <v>1</v>
      </c>
      <c r="D16" s="94"/>
      <c r="E16" s="93">
        <f t="shared" si="2"/>
        <v>1510</v>
      </c>
      <c r="F16" s="93">
        <f t="shared" si="3"/>
        <v>570</v>
      </c>
      <c r="G16" s="93" t="str">
        <f t="shared" si="4"/>
        <v>CUB C/R R6</v>
      </c>
      <c r="H16" s="1"/>
      <c r="J16" s="3">
        <f t="shared" ref="J16:L16" si="7">J28</f>
        <v>1</v>
      </c>
      <c r="K16" s="4">
        <f t="shared" si="7"/>
        <v>1460</v>
      </c>
      <c r="L16" s="4">
        <f t="shared" si="7"/>
        <v>600</v>
      </c>
    </row>
    <row r="17" spans="1:12" ht="18" x14ac:dyDescent="0.35">
      <c r="A17" s="103">
        <v>4</v>
      </c>
      <c r="B17" s="102"/>
      <c r="C17" s="93">
        <f t="shared" si="6"/>
        <v>1</v>
      </c>
      <c r="D17" s="94"/>
      <c r="E17" s="93">
        <f t="shared" si="2"/>
        <v>1290</v>
      </c>
      <c r="F17" s="93">
        <f t="shared" si="3"/>
        <v>470</v>
      </c>
      <c r="G17" s="93" t="str">
        <f t="shared" si="4"/>
        <v>CUB C/R R6</v>
      </c>
      <c r="H17" s="1"/>
      <c r="J17" s="3">
        <f t="shared" ref="J17:L17" si="8">J29</f>
        <v>1</v>
      </c>
      <c r="K17" s="4">
        <f t="shared" si="8"/>
        <v>1240</v>
      </c>
      <c r="L17" s="4">
        <f t="shared" si="8"/>
        <v>500</v>
      </c>
    </row>
    <row r="18" spans="1:12" ht="18" x14ac:dyDescent="0.35">
      <c r="A18" s="103"/>
      <c r="B18" s="102"/>
      <c r="C18" s="103"/>
      <c r="D18" s="103"/>
      <c r="E18" s="103"/>
      <c r="F18" s="103"/>
      <c r="G18" s="103"/>
      <c r="H18" s="1"/>
      <c r="J18" s="81"/>
      <c r="K18" s="2"/>
      <c r="L18" s="2"/>
    </row>
    <row r="19" spans="1:12" ht="15.6" x14ac:dyDescent="0.3">
      <c r="B19" s="87"/>
      <c r="C19" s="6"/>
      <c r="D19" s="6"/>
      <c r="E19" s="6"/>
      <c r="F19" s="6"/>
      <c r="G19" s="6"/>
      <c r="H19" s="1"/>
      <c r="J19" s="81"/>
      <c r="K19" s="2"/>
      <c r="L19" s="2"/>
    </row>
    <row r="20" spans="1:12" ht="15.6" x14ac:dyDescent="0.3">
      <c r="B20" s="46"/>
      <c r="C20" s="6"/>
      <c r="D20" s="6"/>
      <c r="E20" s="6"/>
      <c r="F20" s="80"/>
      <c r="G20" s="6"/>
      <c r="H20" s="1"/>
      <c r="J20" s="2"/>
      <c r="K20" s="2"/>
      <c r="L20" s="2"/>
    </row>
    <row r="21" spans="1:12" ht="6.75" customHeight="1" x14ac:dyDescent="0.3">
      <c r="B21" s="1"/>
      <c r="C21" s="1"/>
      <c r="D21" s="1"/>
      <c r="E21" s="1"/>
      <c r="F21" s="1"/>
      <c r="G21" s="1"/>
      <c r="H21" s="1"/>
    </row>
    <row r="22" spans="1:12" ht="15.6" x14ac:dyDescent="0.3">
      <c r="B22" s="121" t="s">
        <v>14</v>
      </c>
      <c r="C22" s="121"/>
      <c r="D22" s="121"/>
      <c r="E22" s="121"/>
      <c r="F22" s="121"/>
      <c r="G22" s="121"/>
      <c r="H22" s="1"/>
    </row>
    <row r="23" spans="1:12" ht="10.5" customHeight="1" x14ac:dyDescent="0.3">
      <c r="B23" s="1"/>
      <c r="C23" s="1"/>
      <c r="D23" s="12"/>
      <c r="E23" s="1"/>
      <c r="F23" s="1"/>
      <c r="G23" s="1"/>
      <c r="H23" s="1"/>
    </row>
    <row r="24" spans="1:12" ht="15.6" x14ac:dyDescent="0.3">
      <c r="B24" s="1"/>
      <c r="C24" s="1"/>
      <c r="D24" s="1"/>
      <c r="E24" s="46" t="s">
        <v>7</v>
      </c>
      <c r="F24" s="46" t="s">
        <v>8</v>
      </c>
      <c r="G24" s="1"/>
      <c r="H24" s="1"/>
    </row>
    <row r="25" spans="1:12" ht="15.6" x14ac:dyDescent="0.3">
      <c r="B25" s="46" t="s">
        <v>9</v>
      </c>
      <c r="C25" s="33" t="s">
        <v>10</v>
      </c>
      <c r="D25" s="33" t="s">
        <v>11</v>
      </c>
      <c r="E25" s="20">
        <v>40</v>
      </c>
      <c r="F25" s="20">
        <v>130</v>
      </c>
      <c r="G25" s="33" t="s">
        <v>110</v>
      </c>
      <c r="H25" s="1"/>
      <c r="K25" s="5" t="s">
        <v>7</v>
      </c>
      <c r="L25" s="5" t="s">
        <v>8</v>
      </c>
    </row>
    <row r="26" spans="1:12" ht="18" x14ac:dyDescent="0.35">
      <c r="A26" s="103">
        <v>1</v>
      </c>
      <c r="B26" s="102" t="s">
        <v>139</v>
      </c>
      <c r="C26" s="94">
        <f>J26</f>
        <v>1</v>
      </c>
      <c r="D26" s="94"/>
      <c r="E26" s="94">
        <f t="shared" ref="E26:F29" si="9">K26+E$25</f>
        <v>2680</v>
      </c>
      <c r="F26" s="94">
        <f t="shared" si="9"/>
        <v>730</v>
      </c>
      <c r="G26" s="94" t="str">
        <f>D36</f>
        <v>CUB C/R R6</v>
      </c>
      <c r="H26" s="1"/>
      <c r="J26" s="3">
        <f>C36</f>
        <v>1</v>
      </c>
      <c r="K26" s="4">
        <f>E36</f>
        <v>2640</v>
      </c>
      <c r="L26" s="4">
        <f>F36</f>
        <v>600</v>
      </c>
    </row>
    <row r="27" spans="1:12" ht="18" x14ac:dyDescent="0.35">
      <c r="A27" s="103">
        <v>2</v>
      </c>
      <c r="B27" s="102"/>
      <c r="C27" s="94">
        <f t="shared" ref="C27:C29" si="10">J27</f>
        <v>1</v>
      </c>
      <c r="D27" s="94"/>
      <c r="E27" s="94">
        <f t="shared" si="9"/>
        <v>790</v>
      </c>
      <c r="F27" s="94">
        <f>L27+F$25</f>
        <v>730</v>
      </c>
      <c r="G27" s="94" t="str">
        <f t="shared" ref="G27:G29" si="11">D37</f>
        <v>CUB C/R R6</v>
      </c>
      <c r="H27" s="1"/>
      <c r="J27" s="3">
        <f t="shared" ref="J27:J29" si="12">C37</f>
        <v>1</v>
      </c>
      <c r="K27" s="4">
        <f t="shared" ref="K27:L27" si="13">E37</f>
        <v>750</v>
      </c>
      <c r="L27" s="4">
        <f t="shared" si="13"/>
        <v>600</v>
      </c>
    </row>
    <row r="28" spans="1:12" ht="18" x14ac:dyDescent="0.35">
      <c r="A28" s="103">
        <v>3</v>
      </c>
      <c r="B28" s="102"/>
      <c r="C28" s="94">
        <f t="shared" si="10"/>
        <v>1</v>
      </c>
      <c r="D28" s="94"/>
      <c r="E28" s="94">
        <f t="shared" si="9"/>
        <v>1500</v>
      </c>
      <c r="F28" s="94">
        <f t="shared" ref="F28:F29" si="14">L28+F$25</f>
        <v>730</v>
      </c>
      <c r="G28" s="94" t="str">
        <f t="shared" si="11"/>
        <v>CUB C/R R6</v>
      </c>
      <c r="H28" s="1"/>
      <c r="J28" s="3">
        <f t="shared" si="12"/>
        <v>1</v>
      </c>
      <c r="K28" s="4">
        <f t="shared" ref="K28:L28" si="15">E38</f>
        <v>1460</v>
      </c>
      <c r="L28" s="4">
        <f t="shared" si="15"/>
        <v>600</v>
      </c>
    </row>
    <row r="29" spans="1:12" ht="18" x14ac:dyDescent="0.35">
      <c r="A29" s="103">
        <v>4</v>
      </c>
      <c r="B29" s="102"/>
      <c r="C29" s="94">
        <f t="shared" si="10"/>
        <v>1</v>
      </c>
      <c r="D29" s="94"/>
      <c r="E29" s="94">
        <f t="shared" si="9"/>
        <v>1280</v>
      </c>
      <c r="F29" s="94">
        <f t="shared" si="14"/>
        <v>630</v>
      </c>
      <c r="G29" s="94" t="str">
        <f t="shared" si="11"/>
        <v>CUB C/R R6</v>
      </c>
      <c r="H29" s="1"/>
      <c r="J29" s="3">
        <f t="shared" si="12"/>
        <v>1</v>
      </c>
      <c r="K29" s="4">
        <f t="shared" ref="K29:L29" si="16">E39</f>
        <v>1240</v>
      </c>
      <c r="L29" s="4">
        <f t="shared" si="16"/>
        <v>500</v>
      </c>
    </row>
    <row r="30" spans="1:12" ht="18" x14ac:dyDescent="0.35">
      <c r="B30" s="87"/>
      <c r="C30" s="103"/>
      <c r="D30" s="103"/>
      <c r="E30" s="103"/>
      <c r="F30" s="103"/>
      <c r="G30" s="103"/>
      <c r="H30" s="1"/>
      <c r="J30" s="81"/>
      <c r="K30" s="2"/>
      <c r="L30" s="2"/>
    </row>
    <row r="31" spans="1:12" ht="15.6" x14ac:dyDescent="0.3">
      <c r="B31" s="87"/>
      <c r="C31" s="6"/>
      <c r="D31" s="6"/>
      <c r="E31" s="6"/>
      <c r="F31" s="6"/>
      <c r="G31" s="6"/>
      <c r="H31" s="1"/>
      <c r="J31" s="81"/>
      <c r="K31" s="2"/>
      <c r="L31" s="2"/>
    </row>
    <row r="32" spans="1:12" ht="16.2" thickBot="1" x14ac:dyDescent="0.35">
      <c r="B32" s="46"/>
      <c r="C32" s="6"/>
      <c r="D32" s="6"/>
      <c r="E32" s="6"/>
      <c r="F32" s="6"/>
      <c r="G32" s="6"/>
      <c r="H32" s="1"/>
      <c r="J32" s="2"/>
      <c r="K32" s="2"/>
      <c r="L32" s="2"/>
    </row>
    <row r="33" spans="1:12" ht="16.2" thickBot="1" x14ac:dyDescent="0.35">
      <c r="B33" s="46"/>
      <c r="C33" s="21" t="s">
        <v>107</v>
      </c>
      <c r="D33" s="22"/>
      <c r="E33" s="22"/>
      <c r="F33" s="22"/>
      <c r="G33" s="23"/>
      <c r="H33" s="1"/>
      <c r="J33" s="2"/>
      <c r="K33" s="2"/>
      <c r="L33" s="2"/>
    </row>
    <row r="34" spans="1:12" ht="10.5" customHeight="1" x14ac:dyDescent="0.3">
      <c r="B34" s="1"/>
      <c r="C34" s="1"/>
      <c r="D34" s="1"/>
      <c r="E34" s="1"/>
      <c r="F34" s="1"/>
      <c r="G34" s="1"/>
      <c r="H34" s="1"/>
    </row>
    <row r="35" spans="1:12" ht="15.6" x14ac:dyDescent="0.3">
      <c r="B35" s="46" t="s">
        <v>9</v>
      </c>
      <c r="C35" s="79" t="s">
        <v>10</v>
      </c>
      <c r="D35" s="79" t="s">
        <v>110</v>
      </c>
      <c r="E35" s="79" t="s">
        <v>7</v>
      </c>
      <c r="F35" s="79" t="s">
        <v>8</v>
      </c>
      <c r="G35" s="79" t="s">
        <v>23</v>
      </c>
      <c r="H35" s="1"/>
    </row>
    <row r="36" spans="1:12" ht="18" x14ac:dyDescent="0.35">
      <c r="A36" s="103">
        <v>1</v>
      </c>
      <c r="B36" s="102" t="s">
        <v>139</v>
      </c>
      <c r="C36" s="93">
        <f>'4637'!B22</f>
        <v>1</v>
      </c>
      <c r="D36" s="93" t="str">
        <f>'4637'!C22</f>
        <v>CUB C/R R6</v>
      </c>
      <c r="E36" s="93">
        <f>'4637'!D22</f>
        <v>2640</v>
      </c>
      <c r="F36" s="93">
        <f>'4637'!E22</f>
        <v>600</v>
      </c>
      <c r="G36" s="98" t="str">
        <f>G60</f>
        <v>GRANITO FOSSIL 2724 BR</v>
      </c>
      <c r="H36" s="1"/>
    </row>
    <row r="37" spans="1:12" ht="18" x14ac:dyDescent="0.35">
      <c r="A37" s="103">
        <v>2</v>
      </c>
      <c r="B37" s="87"/>
      <c r="C37" s="93">
        <f>'4637'!B23</f>
        <v>1</v>
      </c>
      <c r="D37" s="93" t="str">
        <f>'4637'!C23</f>
        <v>CUB C/R R6</v>
      </c>
      <c r="E37" s="93">
        <f>'4637'!D23</f>
        <v>750</v>
      </c>
      <c r="F37" s="93">
        <f>'4637'!E23</f>
        <v>600</v>
      </c>
      <c r="G37" s="98" t="str">
        <f>G61</f>
        <v>GRANITO FOSSIL 2724 BR</v>
      </c>
      <c r="H37" s="1"/>
    </row>
    <row r="38" spans="1:12" ht="18" x14ac:dyDescent="0.35">
      <c r="A38" s="103">
        <v>3</v>
      </c>
      <c r="B38" s="87"/>
      <c r="C38" s="93">
        <f>'4637'!B24</f>
        <v>1</v>
      </c>
      <c r="D38" s="93" t="str">
        <f>'4637'!C24</f>
        <v>CUB C/R R6</v>
      </c>
      <c r="E38" s="93">
        <f>'4637'!D24</f>
        <v>1460</v>
      </c>
      <c r="F38" s="93">
        <f>'4637'!E24</f>
        <v>600</v>
      </c>
      <c r="G38" s="98" t="str">
        <f t="shared" ref="G38:G39" si="17">G62</f>
        <v>GRANITO FOSSIL 2724 BR</v>
      </c>
      <c r="H38" s="1"/>
    </row>
    <row r="39" spans="1:12" ht="18" x14ac:dyDescent="0.35">
      <c r="A39" s="103">
        <v>4</v>
      </c>
      <c r="B39" s="87"/>
      <c r="C39" s="93">
        <f>'4637'!B25</f>
        <v>1</v>
      </c>
      <c r="D39" s="93" t="str">
        <f>'4637'!C25</f>
        <v>CUB C/R R6</v>
      </c>
      <c r="E39" s="93">
        <f>'4637'!D25</f>
        <v>1240</v>
      </c>
      <c r="F39" s="93">
        <f>'4637'!E25</f>
        <v>500</v>
      </c>
      <c r="G39" s="98" t="str">
        <f t="shared" si="17"/>
        <v>GRANITO FOSSIL 2724 BR</v>
      </c>
      <c r="H39" s="1"/>
    </row>
    <row r="40" spans="1:12" ht="15.6" x14ac:dyDescent="0.3">
      <c r="B40" s="87"/>
      <c r="C40" s="6">
        <f>SUM(C36:C39)</f>
        <v>4</v>
      </c>
      <c r="D40" s="6"/>
      <c r="E40" s="6"/>
      <c r="F40" s="6"/>
      <c r="G40" s="6"/>
      <c r="H40" s="1"/>
    </row>
    <row r="41" spans="1:12" ht="15.6" x14ac:dyDescent="0.3">
      <c r="B41" s="1"/>
      <c r="C41" s="6"/>
      <c r="D41" s="6"/>
      <c r="E41" s="6"/>
      <c r="F41" s="6"/>
      <c r="G41" s="6"/>
      <c r="H41" s="1"/>
    </row>
    <row r="42" spans="1:12" ht="15.6" x14ac:dyDescent="0.3">
      <c r="B42" s="1"/>
      <c r="C42" s="6"/>
      <c r="D42" s="6"/>
      <c r="E42" s="6"/>
      <c r="F42" s="6"/>
      <c r="G42" s="6"/>
      <c r="H42" s="1"/>
    </row>
    <row r="43" spans="1:12" ht="15.6" x14ac:dyDescent="0.3">
      <c r="B43" s="1"/>
      <c r="C43" s="6"/>
      <c r="D43" s="6"/>
      <c r="E43" s="6"/>
      <c r="F43" s="6"/>
      <c r="G43" s="6"/>
      <c r="H43" s="1"/>
    </row>
    <row r="44" spans="1:12" ht="15.6" x14ac:dyDescent="0.3">
      <c r="B44" s="1"/>
      <c r="C44" s="6"/>
      <c r="D44" s="6"/>
      <c r="E44" s="6"/>
      <c r="F44" s="6"/>
      <c r="G44" s="6"/>
      <c r="H44" s="1"/>
    </row>
    <row r="45" spans="1:12" ht="15.6" x14ac:dyDescent="0.3">
      <c r="B45" s="1"/>
      <c r="C45" s="6"/>
      <c r="D45" s="6"/>
      <c r="E45" s="6"/>
      <c r="F45" s="6"/>
      <c r="G45" s="6"/>
      <c r="H45" s="1"/>
    </row>
    <row r="46" spans="1:12" ht="15.6" x14ac:dyDescent="0.3">
      <c r="B46" s="1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1"/>
      <c r="D49" s="1"/>
      <c r="E49" s="1"/>
      <c r="F49" s="1"/>
      <c r="G49" s="1"/>
      <c r="H49" s="1"/>
    </row>
    <row r="50" spans="2:8" ht="15.6" x14ac:dyDescent="0.3">
      <c r="B50" s="1"/>
      <c r="C50" s="1"/>
      <c r="D50" s="35" t="s">
        <v>27</v>
      </c>
      <c r="E50" s="14">
        <f>'4637'!G8</f>
        <v>7101</v>
      </c>
      <c r="F50" s="1"/>
      <c r="G50" s="1"/>
      <c r="H50" s="1"/>
    </row>
    <row r="51" spans="2:8" ht="17.25" customHeight="1" x14ac:dyDescent="0.3">
      <c r="B51" s="1"/>
      <c r="C51" s="1"/>
      <c r="D51" s="36" t="s">
        <v>67</v>
      </c>
      <c r="E51" s="37" t="str">
        <f>'4637'!C10</f>
        <v>FILKUN CARPINTERIA SPA</v>
      </c>
      <c r="F51" s="38"/>
      <c r="G51" s="38"/>
      <c r="H51" s="1"/>
    </row>
    <row r="52" spans="2:8" ht="4.5" customHeight="1" x14ac:dyDescent="0.3">
      <c r="B52" s="1"/>
      <c r="C52" s="1"/>
      <c r="D52" s="39"/>
      <c r="E52" s="40"/>
      <c r="F52" s="1"/>
      <c r="G52" s="1"/>
      <c r="H52" s="1"/>
    </row>
    <row r="53" spans="2:8" ht="15.6" x14ac:dyDescent="0.3">
      <c r="B53" s="1"/>
      <c r="C53" s="1"/>
      <c r="D53" s="41" t="str">
        <f>'4637'!F11</f>
        <v>FECHA LIMITE :</v>
      </c>
      <c r="E53" s="13">
        <f>'4637'!G11</f>
        <v>45534</v>
      </c>
      <c r="F53" s="1"/>
      <c r="G53" s="1" t="s">
        <v>134</v>
      </c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.6" x14ac:dyDescent="0.3">
      <c r="B56" s="121" t="s">
        <v>68</v>
      </c>
      <c r="C56" s="121"/>
      <c r="D56" s="121"/>
      <c r="E56" s="121"/>
      <c r="F56" s="121"/>
      <c r="G56" s="12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75" customHeight="1" x14ac:dyDescent="0.3">
      <c r="B58" s="1"/>
      <c r="C58" s="122" t="s">
        <v>69</v>
      </c>
      <c r="D58" s="123"/>
      <c r="E58" s="124"/>
      <c r="F58" s="124"/>
      <c r="G58" s="125"/>
      <c r="H58" s="1"/>
    </row>
    <row r="59" spans="2:8" s="15" customFormat="1" ht="12.75" customHeight="1" x14ac:dyDescent="0.3">
      <c r="B59" s="1"/>
      <c r="C59" s="33" t="s">
        <v>10</v>
      </c>
      <c r="D59" s="42" t="s">
        <v>11</v>
      </c>
      <c r="E59" s="43" t="s">
        <v>7</v>
      </c>
      <c r="F59" s="43" t="s">
        <v>8</v>
      </c>
      <c r="G59" s="97" t="s">
        <v>12</v>
      </c>
      <c r="H59" s="1"/>
    </row>
    <row r="60" spans="2:8" s="15" customFormat="1" ht="15" customHeight="1" x14ac:dyDescent="0.35">
      <c r="B60" s="102" t="s">
        <v>139</v>
      </c>
      <c r="C60" s="91">
        <f>'4637'!B22</f>
        <v>1</v>
      </c>
      <c r="D60" s="92" t="str">
        <f>'4637'!C22</f>
        <v>CUB C/R R6</v>
      </c>
      <c r="E60" s="92">
        <f>'4637'!D22</f>
        <v>2640</v>
      </c>
      <c r="F60" s="96">
        <f>'4637'!E22</f>
        <v>600</v>
      </c>
      <c r="G60" s="99" t="str">
        <f>'4637'!F22</f>
        <v>GRANITO FOSSIL 2724 BR</v>
      </c>
      <c r="H60" s="1"/>
    </row>
    <row r="61" spans="2:8" s="15" customFormat="1" ht="15" customHeight="1" x14ac:dyDescent="0.35">
      <c r="B61" s="87"/>
      <c r="C61" s="91">
        <f>'4637'!B23</f>
        <v>1</v>
      </c>
      <c r="D61" s="92" t="str">
        <f>'4637'!C23</f>
        <v>CUB C/R R6</v>
      </c>
      <c r="E61" s="92">
        <f>'4637'!D23</f>
        <v>750</v>
      </c>
      <c r="F61" s="96">
        <f>'4637'!E23</f>
        <v>600</v>
      </c>
      <c r="G61" s="99" t="str">
        <f>'4637'!F23</f>
        <v>GRANITO FOSSIL 2724 BR</v>
      </c>
      <c r="H61" s="1"/>
    </row>
    <row r="62" spans="2:8" s="15" customFormat="1" ht="15" customHeight="1" x14ac:dyDescent="0.35">
      <c r="B62" s="87"/>
      <c r="C62" s="91">
        <f>'4637'!B24</f>
        <v>1</v>
      </c>
      <c r="D62" s="92" t="str">
        <f>'4637'!C24</f>
        <v>CUB C/R R6</v>
      </c>
      <c r="E62" s="92">
        <f>'4637'!D24</f>
        <v>1460</v>
      </c>
      <c r="F62" s="96">
        <f>'4637'!E24</f>
        <v>600</v>
      </c>
      <c r="G62" s="99" t="str">
        <f>'4637'!F24</f>
        <v>GRANITO FOSSIL 2724 BR</v>
      </c>
      <c r="H62" s="1"/>
    </row>
    <row r="63" spans="2:8" s="15" customFormat="1" ht="15" customHeight="1" x14ac:dyDescent="0.35">
      <c r="B63" s="87"/>
      <c r="C63" s="91">
        <f>'4637'!B25</f>
        <v>1</v>
      </c>
      <c r="D63" s="92" t="str">
        <f>'4637'!C25</f>
        <v>CUB C/R R6</v>
      </c>
      <c r="E63" s="92">
        <f>'4637'!D25</f>
        <v>1240</v>
      </c>
      <c r="F63" s="96">
        <f>'4637'!E25</f>
        <v>500</v>
      </c>
      <c r="G63" s="99" t="str">
        <f>'4637'!F25</f>
        <v>GRANITO FOSSIL 2724 BR</v>
      </c>
      <c r="H63" s="1"/>
    </row>
    <row r="64" spans="2:8" s="15" customFormat="1" ht="15" customHeight="1" x14ac:dyDescent="0.35">
      <c r="B64" s="87"/>
      <c r="C64" s="91">
        <f>'4637'!B26</f>
        <v>2</v>
      </c>
      <c r="D64" s="92" t="str">
        <f>'4637'!C26</f>
        <v>SERVICIO CORTE 45°</v>
      </c>
      <c r="E64" s="92">
        <f>'4637'!D26</f>
        <v>0</v>
      </c>
      <c r="F64" s="96">
        <f>'4637'!E26</f>
        <v>0</v>
      </c>
      <c r="G64" s="99">
        <f>'4637'!F26</f>
        <v>0</v>
      </c>
      <c r="H64" s="1"/>
    </row>
    <row r="65" spans="2:8" s="15" customFormat="1" ht="15" customHeight="1" x14ac:dyDescent="0.35">
      <c r="B65" s="87"/>
      <c r="C65" s="101"/>
      <c r="D65" s="101"/>
      <c r="E65" s="101"/>
      <c r="F65" s="101"/>
      <c r="G65" s="1"/>
      <c r="H65" s="1"/>
    </row>
    <row r="66" spans="2:8" s="15" customFormat="1" ht="15" customHeight="1" x14ac:dyDescent="0.35">
      <c r="B66" s="87"/>
      <c r="C66" s="101">
        <f>SUM(C60:C64)</f>
        <v>6</v>
      </c>
      <c r="D66" s="101"/>
      <c r="E66" s="101"/>
      <c r="F66" s="101"/>
      <c r="G66" s="1"/>
      <c r="H66" s="1"/>
    </row>
    <row r="67" spans="2:8" s="15" customFormat="1" ht="15" customHeight="1" x14ac:dyDescent="0.3">
      <c r="B67" s="44"/>
      <c r="C67" s="46"/>
      <c r="D67" s="46"/>
      <c r="E67" s="46"/>
      <c r="F67" s="46"/>
      <c r="G67" s="46"/>
      <c r="H67" s="1"/>
    </row>
    <row r="68" spans="2:8" ht="15.6" x14ac:dyDescent="0.3">
      <c r="B68" s="6"/>
      <c r="C68" s="6"/>
      <c r="D68" s="1"/>
      <c r="E68" s="6"/>
      <c r="F68" s="6"/>
      <c r="G68" s="39"/>
      <c r="H68" s="1"/>
    </row>
    <row r="69" spans="2:8" ht="15.6" x14ac:dyDescent="0.3">
      <c r="B69" s="6"/>
      <c r="C69" s="6"/>
      <c r="D69" s="1"/>
      <c r="E69" s="6"/>
      <c r="F69" s="6"/>
      <c r="G69" s="6"/>
      <c r="H69" s="1"/>
    </row>
    <row r="70" spans="2:8" ht="15.6" x14ac:dyDescent="0.3">
      <c r="B70" s="1"/>
      <c r="C70" s="1"/>
      <c r="D70" s="1"/>
      <c r="E70" s="1"/>
      <c r="F70" s="1"/>
      <c r="G70" s="1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ht="15.6" x14ac:dyDescent="0.3">
      <c r="B72" s="1"/>
      <c r="C72" s="1"/>
      <c r="D72" s="1"/>
      <c r="E72" s="1"/>
      <c r="F72" s="1"/>
      <c r="G72" s="1"/>
      <c r="H72" s="1"/>
    </row>
    <row r="73" spans="2:8" ht="15" customHeight="1" x14ac:dyDescent="0.3">
      <c r="B73" s="1"/>
      <c r="C73" s="1"/>
      <c r="D73" s="1"/>
      <c r="E73" s="1"/>
      <c r="F73" s="1"/>
      <c r="G73" s="1"/>
      <c r="H73" s="1"/>
    </row>
    <row r="74" spans="2:8" ht="15.6" x14ac:dyDescent="0.3">
      <c r="B74" s="1"/>
      <c r="C74" s="1"/>
      <c r="D74" s="1"/>
      <c r="E74" s="1"/>
      <c r="F74" s="1"/>
      <c r="G74" s="1"/>
      <c r="H74" s="1"/>
    </row>
    <row r="75" spans="2:8" ht="15.6" x14ac:dyDescent="0.3">
      <c r="B75" s="6"/>
      <c r="C75" s="45"/>
      <c r="D75" s="1"/>
      <c r="E75" s="1"/>
      <c r="F75" s="1"/>
      <c r="G75" s="1"/>
      <c r="H75" s="1"/>
    </row>
    <row r="76" spans="2:8" ht="15.6" x14ac:dyDescent="0.3">
      <c r="B76" s="1"/>
      <c r="C76" s="1"/>
      <c r="D76" s="1"/>
      <c r="E76" s="1"/>
      <c r="F76" s="1"/>
      <c r="G76" s="1"/>
      <c r="H76" s="1"/>
    </row>
    <row r="77" spans="2:8" x14ac:dyDescent="0.3">
      <c r="C77" s="19"/>
      <c r="D77" s="19"/>
      <c r="E77" s="19"/>
      <c r="F77" s="19"/>
      <c r="G77" s="19"/>
    </row>
    <row r="78" spans="2:8" x14ac:dyDescent="0.3">
      <c r="C78" s="19"/>
      <c r="D78" s="19"/>
      <c r="F78" s="19"/>
      <c r="G78" s="19"/>
    </row>
  </sheetData>
  <mergeCells count="6">
    <mergeCell ref="N3:O3"/>
    <mergeCell ref="B22:G22"/>
    <mergeCell ref="B10:G10"/>
    <mergeCell ref="B56:G56"/>
    <mergeCell ref="C58:G58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2024-08-26T14:09:38Z</cp:lastPrinted>
  <dcterms:created xsi:type="dcterms:W3CDTF">2013-03-19T12:54:14Z</dcterms:created>
  <dcterms:modified xsi:type="dcterms:W3CDTF">2024-08-26T14:09:54Z</dcterms:modified>
</cp:coreProperties>
</file>