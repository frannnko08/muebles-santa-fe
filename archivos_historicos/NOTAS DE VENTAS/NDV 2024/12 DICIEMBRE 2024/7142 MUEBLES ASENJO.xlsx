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2 DICIEMBRE 2024\"/>
    </mc:Choice>
  </mc:AlternateContent>
  <xr:revisionPtr revIDLastSave="0" documentId="13_ncr:1_{8D213F7D-CA7F-4199-9423-928A8938F36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CUBIERTA!$A$37:$G$64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3" l="1"/>
  <c r="I22" i="3" s="1"/>
  <c r="C29" i="3"/>
  <c r="F14" i="3" s="1"/>
  <c r="D29" i="3"/>
  <c r="J14" i="3" s="1"/>
  <c r="D14" i="3" s="1"/>
  <c r="E29" i="3"/>
  <c r="K22" i="3" s="1"/>
  <c r="E22" i="3" s="1"/>
  <c r="F29" i="3"/>
  <c r="B50" i="3"/>
  <c r="C50" i="3"/>
  <c r="D50" i="3"/>
  <c r="E50" i="3"/>
  <c r="F50" i="3"/>
  <c r="H21" i="4"/>
  <c r="J22" i="3" l="1"/>
  <c r="D22" i="3" s="1"/>
  <c r="K14" i="3"/>
  <c r="E14" i="3" s="1"/>
  <c r="B22" i="3"/>
  <c r="I14" i="3"/>
  <c r="B14" i="3" s="1"/>
  <c r="F22" i="3"/>
  <c r="H24" i="4"/>
  <c r="H25" i="4" l="1"/>
  <c r="H26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<sst xmlns="http://schemas.openxmlformats.org/spreadsheetml/2006/main" count="250" uniqueCount="148">
  <si>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</si>
  <si>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</si>
  <si>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</si>
  <si>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</si>
  <si>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</si>
  <si>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</si>
  <si>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</si>
  <si>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</si>
  <si>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</si>
  <si>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</si>
  <si>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</si>
  <si>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</si>
  <si>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</si>
  <si>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</si>
  <si>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</si>
  <si>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</si>
  <si>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</si>
  <si>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</si>
  <si>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</si>
  <si>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</si>
  <si>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</si>
  <si>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</si>
  <si>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</si>
  <si>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</si>
  <si>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</si>
  <si>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</si>
  <si>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</si>
  <si>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</si>
  <si>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</si>
  <si>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</si>
  <si>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</si>
  <si>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</si>
  <si>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</si>
  <si>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</si>
  <si>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</si>
  <si>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</si>
  <si>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</si>
  <si>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</si>
  <si>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</si>
  <si>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</si>
  <si>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</si>
  <si>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</si>
  <si>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</si>
  <si>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</si>
  <si>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</si>
  <si>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</si>
  <si>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</si>
  <si>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</si>
  <si>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</si>
  <si>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</si>
  <si>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</si>
  <si>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</si>
  <si>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</si>
  <si>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</si>
  <si>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</si>
  <si>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</si>
  <si>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</si>
  <si>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</si>
  <si>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</si>
  <si>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</si>
  <si>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</si>
  <si>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</si>
  <si>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</si>
  <si>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</si>
  <si>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</si>
  <si>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</si>
  <si>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</si>
  <si>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</si>
  <si>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</si>
  <si>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</si>
  <si>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</si>
  <si>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</si>
  <si>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</si>
  <si>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</si>
  <si>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</si>
  <si>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</si>
  <si>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</si>
  <si>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</si>
  <si>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</si>
  <si>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</si>
  <si>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</si>
  <si>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</si>
  <si>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</si>
  <si>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</si>
  <si>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</si>
  <si>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</si>
  <si>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</si>
  <si>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</si>
  <si>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</si>
  <si>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</si>
  <si>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</si>
  <si>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</si>
  <si>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</si>
  <si>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</si>
  <si>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</si>
  <si>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</si>
  <si>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</si>
  <si>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</si>
  <si>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</si>
  <si>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</si>
  <si>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</si>
  <si>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</si>
  <si>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</si>
  <si>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</si>
  <si>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</si>
  <si>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</si>
  <si>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</si>
  <si>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</si>
  <si>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</si>
  <si>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</si>
  <si>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</si>
  <si>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</si>
  <si>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</si>
  <si>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</si>
  <si>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</si>
  <si>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</si>
  <si>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</si>
  <si>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</si>
  <si>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</si>
  <si>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</si>
  <si>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</si>
  <si>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</si>
  <si>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</si>
  <si>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</si>
  <si>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</si>
  <si>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</si>
  <si>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</si>
  <si>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</si>
  <si>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</si>
  <si>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</si>
  <si>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</si>
  <si>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</si>
  <si>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</si>
  <si>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</si>
  <si>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</si>
  <si>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</si>
  <si>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</si>
  <si>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</si>
  <si>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</si>
  <si>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</si>
  <si>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</si>
  <si>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N° 10987</t>
  </si>
  <si>
    <t>CUB C/R R8</t>
  </si>
  <si>
    <t>WHITE ASWHOOD SF</t>
  </si>
  <si>
    <t>O/C 30 DIAS</t>
  </si>
  <si>
    <t>NO</t>
  </si>
  <si>
    <t>CORTAR RESPALDO A 88</t>
  </si>
  <si>
    <t>CORTAR RESPALDO A 88MM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</si>
</sst>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19050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4"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141</v>
      </c>
      <c r="E8" s="1"/>
      <c r="F8" s="94" t="s">
        <v>27</v>
      </c>
      <c r="G8" s="95">
        <v>7142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45643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124</v>
      </c>
      <c r="G11" s="61">
        <v>45645</v>
      </c>
      <c r="H11" s="62"/>
      <c r="I11" s="1"/>
    </row>
    <row r="12" spans="1:17" ht="16.2" thickBot="1" x14ac:dyDescent="0.35">
      <c r="A12" s="1"/>
      <c r="B12" s="63" t="s">
        <v>132</v>
      </c>
      <c r="C12" t="s">
        <v>138</v>
      </c>
      <c r="D12" s="43"/>
      <c r="E12" s="43"/>
      <c r="F12" s="43" t="s">
        <v>30</v>
      </c>
      <c r="G12" s="64">
        <v>22162</v>
      </c>
      <c r="H12" s="65"/>
      <c r="I12" s="1"/>
    </row>
    <row r="13" spans="1:17" ht="15.6" x14ac:dyDescent="0.3">
      <c r="A13" s="1"/>
      <c r="B13" s="63" t="s">
        <v>134</v>
      </c>
      <c r="C13" s="86" t="s">
        <v>140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145</v>
      </c>
      <c r="H14" s="62"/>
      <c r="I14" s="1"/>
    </row>
    <row r="15" spans="1:17" ht="15.6" x14ac:dyDescent="0.3">
      <c r="A15" s="1"/>
      <c r="B15" s="63" t="s">
        <v>1</v>
      </c>
      <c r="C15" s="101" t="s">
        <v>139</v>
      </c>
      <c r="D15" s="43"/>
      <c r="E15" s="43"/>
      <c r="F15" s="67" t="s">
        <v>75</v>
      </c>
      <c r="G15" s="67" t="s">
        <v>144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9">
        <v>1</v>
      </c>
      <c r="C21" s="110" t="s">
        <v>142</v>
      </c>
      <c r="D21" s="111">
        <v>1350</v>
      </c>
      <c r="E21" s="112">
        <v>550</v>
      </c>
      <c r="F21" s="106" t="s">
        <v>143</v>
      </c>
      <c r="G21" s="108">
        <v>42482</v>
      </c>
      <c r="H21" s="107">
        <f t="shared" ref="H21" si="0">G21*B21</f>
        <v>42482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42482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8071.58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50553.58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2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abSelected="1" topLeftCell="A25" zoomScaleNormal="100" workbookViewId="0">
      <selection activeCell="A37" sqref="A37:G6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40" t="s">
        <v>27</v>
      </c>
      <c r="D4" s="14">
        <f>'4637'!G8</f>
        <v>7142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45645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 t="s">
        <v>147</v>
      </c>
      <c r="D14" s="25">
        <f t="shared" ref="D14" si="1">J14+D$13</f>
        <v>1430</v>
      </c>
      <c r="E14" s="35">
        <f t="shared" ref="E14" si="2">K14+E$13</f>
        <v>520</v>
      </c>
      <c r="F14" s="103" t="str">
        <f>C29</f>
        <v>CUB C/R R8</v>
      </c>
      <c r="G14" s="1"/>
      <c r="I14" s="3">
        <f>I22</f>
        <v>1</v>
      </c>
      <c r="J14" s="4">
        <f>D29</f>
        <v>1350</v>
      </c>
      <c r="K14" s="4">
        <f>E29</f>
        <v>550</v>
      </c>
    </row>
    <row r="15" spans="1:14" ht="15.6" x14ac:dyDescent="0.3">
      <c r="A15" s="96"/>
      <c r="B15" s="6"/>
      <c r="C15" s="6"/>
      <c r="D15" s="6"/>
      <c r="E15" s="89"/>
      <c r="F15" s="114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3" t="s">
        <v>14</v>
      </c>
      <c r="B18" s="123"/>
      <c r="C18" s="123"/>
      <c r="D18" s="123"/>
      <c r="E18" s="123"/>
      <c r="F18" s="123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170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3">I22</f>
        <v>1</v>
      </c>
      <c r="C22" s="16" t="s">
        <v>146</v>
      </c>
      <c r="D22" s="16">
        <f>J22+D$21</f>
        <v>1390</v>
      </c>
      <c r="E22" s="16">
        <f>K22+E$21</f>
        <v>720</v>
      </c>
      <c r="F22" s="104" t="str">
        <f>C29</f>
        <v>CUB C/R R8</v>
      </c>
      <c r="G22" s="1"/>
      <c r="I22" s="3">
        <f>B29</f>
        <v>1</v>
      </c>
      <c r="J22" s="4">
        <f t="shared" ref="J22:K22" si="4">D29</f>
        <v>1350</v>
      </c>
      <c r="K22" s="4">
        <f t="shared" si="4"/>
        <v>550</v>
      </c>
    </row>
    <row r="23" spans="1:11" ht="15.6" x14ac:dyDescent="0.3">
      <c r="A23" s="96"/>
      <c r="B23" s="6"/>
      <c r="C23" s="6"/>
      <c r="D23" s="6"/>
      <c r="E23" s="6"/>
      <c r="F23" s="114"/>
      <c r="G23" s="1"/>
      <c r="I23" s="90"/>
      <c r="J23" s="2"/>
      <c r="K23" s="2"/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135</v>
      </c>
      <c r="B29" s="25">
        <f>'4637'!B21</f>
        <v>1</v>
      </c>
      <c r="C29" s="103" t="str">
        <f>'4637'!C21</f>
        <v>CUB C/R R8</v>
      </c>
      <c r="D29" s="25">
        <f>'4637'!D21</f>
        <v>1350</v>
      </c>
      <c r="E29" s="25">
        <f>'4637'!E21</f>
        <v>550</v>
      </c>
      <c r="F29" s="25" t="str">
        <f>'4637'!F21</f>
        <v>WHITE ASWHOOD SF</v>
      </c>
      <c r="G29" s="1"/>
    </row>
    <row r="30" spans="1:11" ht="15.6" x14ac:dyDescent="0.3">
      <c r="A30" s="52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7142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MUEBLES ASENJO LTDA.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45645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3" t="s">
        <v>68</v>
      </c>
      <c r="B46" s="123"/>
      <c r="C46" s="123"/>
      <c r="D46" s="123"/>
      <c r="E46" s="123"/>
      <c r="F46" s="123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4" t="s">
        <v>69</v>
      </c>
      <c r="C48" s="125"/>
      <c r="D48" s="126"/>
      <c r="E48" s="126"/>
      <c r="F48" s="127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/>
      <c r="B50" s="38">
        <f>'4637'!B21</f>
        <v>1</v>
      </c>
      <c r="C50" s="102" t="str">
        <f>'4637'!C21</f>
        <v>CUB C/R R8</v>
      </c>
      <c r="D50" s="39">
        <f>'4637'!D21</f>
        <v>1350</v>
      </c>
      <c r="E50" s="39">
        <f>'4637'!E21</f>
        <v>550</v>
      </c>
      <c r="F50" s="38" t="str">
        <f>'4637'!F21</f>
        <v>WHITE ASWHOOD SF</v>
      </c>
      <c r="G50" s="1"/>
    </row>
    <row r="51" spans="1:7" s="15" customFormat="1" ht="15" customHeight="1" x14ac:dyDescent="0.3">
      <c r="A51" s="96"/>
      <c r="B51" s="52"/>
      <c r="C51" s="113"/>
      <c r="D51" s="52"/>
      <c r="E51" s="52"/>
      <c r="F51" s="52"/>
      <c r="G51" s="1"/>
    </row>
    <row r="52" spans="1:7" s="15" customFormat="1" ht="15" customHeight="1" x14ac:dyDescent="0.3">
      <c r="A52" s="50"/>
      <c r="B52" s="52"/>
      <c r="C52" s="52"/>
      <c r="D52" s="52"/>
      <c r="E52" s="52"/>
      <c r="F52" s="52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2024-12-17T20:49:30Z</cp:lastPrinted>
  <dcterms:created xsi:type="dcterms:W3CDTF">2013-03-19T12:54:14Z</dcterms:created>
  <dcterms:modified xsi:type="dcterms:W3CDTF">2024-12-17T20:50:55Z</dcterms:modified>
</cp:coreProperties>
</file>