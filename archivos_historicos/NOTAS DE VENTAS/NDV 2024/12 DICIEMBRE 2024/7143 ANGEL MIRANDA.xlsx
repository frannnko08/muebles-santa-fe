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2 DICIEMBRE 2024\"/>
    </mc:Choice>
  </mc:AlternateContent>
  <xr:revisionPtr revIDLastSave="0" documentId="13_ncr:1_{5B15C126-02F7-436F-B6D8-964B3AF174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3" l="1"/>
  <c r="I22" i="3" s="1"/>
  <c r="C29" i="3"/>
  <c r="F14" i="3" s="1"/>
  <c r="D29" i="3"/>
  <c r="J14" i="3" s="1"/>
  <c r="D14" i="3" s="1"/>
  <c r="E29" i="3"/>
  <c r="K22" i="3" s="1"/>
  <c r="E22" i="3" s="1"/>
  <c r="F29" i="3"/>
  <c r="B50" i="3"/>
  <c r="C50" i="3"/>
  <c r="D50" i="3"/>
  <c r="E50" i="3"/>
  <c r="F50" i="3"/>
  <c r="H21" i="4"/>
  <c r="J22" i="3" l="1"/>
  <c r="D22" i="3" s="1"/>
  <c r="K14" i="3"/>
  <c r="E14" i="3" s="1"/>
  <c r="B22" i="3"/>
  <c r="I14" i="3"/>
  <c r="B14" i="3" s="1"/>
  <c r="F22" i="3"/>
  <c r="H24" i="4"/>
  <c r="H25" i="4" l="1"/>
  <c r="H26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<sst xmlns="http://schemas.openxmlformats.org/spreadsheetml/2006/main" count="247" uniqueCount="144">
  <si>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</si>
  <si>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</si>
  <si>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</si>
  <si>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</si>
  <si>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</si>
  <si>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</si>
  <si>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</si>
  <si>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</si>
  <si>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</si>
  <si>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</si>
  <si>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</si>
  <si>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</si>
  <si>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</si>
  <si>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</si>
  <si>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</si>
  <si>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</si>
  <si>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</si>
  <si>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</si>
  <si>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</si>
  <si>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</si>
  <si>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</si>
  <si>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</si>
  <si>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</si>
  <si>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</si>
  <si>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</si>
  <si>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</si>
  <si>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</si>
  <si>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</si>
  <si>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</si>
  <si>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</si>
  <si>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</si>
  <si>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</si>
  <si>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</si>
  <si>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</si>
  <si>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</si>
  <si>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</si>
  <si>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</si>
  <si>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</si>
  <si>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</si>
  <si>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</si>
  <si>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</si>
  <si>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</si>
  <si>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</si>
  <si>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</si>
  <si>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</si>
  <si>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</si>
  <si>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</si>
  <si>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</si>
  <si>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</si>
  <si>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</si>
  <si>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</si>
  <si>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</si>
  <si>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</si>
  <si>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</si>
  <si>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</si>
  <si>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</si>
  <si>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</si>
  <si>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</si>
  <si>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</si>
  <si>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</si>
  <si>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</si>
  <si>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</si>
  <si>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</si>
  <si>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</si>
  <si>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</si>
  <si>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</si>
  <si>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</si>
  <si>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</si>
  <si>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</si>
  <si>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</si>
  <si>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</si>
  <si>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</si>
  <si>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</si>
  <si>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</si>
  <si>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</si>
  <si>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</si>
  <si>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</si>
  <si>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</si>
  <si>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</si>
  <si>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</si>
  <si>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</si>
  <si>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</si>
  <si>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</si>
  <si>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</si>
  <si>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</si>
  <si>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</si>
  <si>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</si>
  <si>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</si>
  <si>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</si>
  <si>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</si>
  <si>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</si>
  <si>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</si>
  <si>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</si>
  <si>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</si>
  <si>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</si>
  <si>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</si>
  <si>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</si>
  <si>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</si>
  <si>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</si>
  <si>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</si>
  <si>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</si>
  <si>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</si>
  <si>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</si>
  <si>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</si>
  <si>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</si>
  <si>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</si>
  <si>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</si>
  <si>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</si>
  <si>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</si>
  <si>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</si>
  <si>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</si>
  <si>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</si>
  <si>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</si>
  <si>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</si>
  <si>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</si>
  <si>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</si>
  <si>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</si>
  <si>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</si>
  <si>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</si>
  <si>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</si>
  <si>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</si>
  <si>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</si>
  <si>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</si>
  <si>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</si>
  <si>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</si>
  <si>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</si>
  <si>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</si>
  <si>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</si>
  <si>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</si>
  <si>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</si>
  <si>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</si>
  <si>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</si>
  <si>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</si>
  <si>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</si>
  <si>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</si>
  <si>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</si>
  <si>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CORTAR RESPALDO A 88</t>
  </si>
  <si>
    <t>CORTAR RESPALDO A 88MM</t>
  </si>
  <si>
    <t>BELLA NOCE 10491 SF</t>
  </si>
  <si>
    <t>ANGEL MIRANDA</t>
  </si>
  <si>
    <t>MARCOS.VARELA.575@GMAIL.COM</t>
  </si>
  <si>
    <t>+569 6575 0468</t>
  </si>
  <si>
    <t>N° 12039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</si>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</sst>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42" fontId="15" fillId="0" borderId="2" xfId="3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3" fillId="4" borderId="0" xfId="0" applyFont="1" applyFill="1"/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19" fillId="0" borderId="0" xfId="0" applyFont="1"/>
    <xf numFmtId="0" fontId="19" fillId="3" borderId="0" xfId="0" applyFont="1" applyFill="1"/>
    <xf numFmtId="0" fontId="6" fillId="3" borderId="0" xfId="2" applyFill="1"/>
    <xf numFmtId="0" fontId="20" fillId="0" borderId="0" xfId="0" quotePrefix="1" applyFont="1"/>
    <xf numFmtId="0" fontId="21" fillId="0" borderId="9" xfId="2" applyFont="1" applyFill="1" applyBorder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</a:t>
          </a:r>
          <a:r>
            <a:rPr lang="es-CL" sz="900" b="1" i="1" baseline="0"/>
            <a:t>  $ 75.000.- saldo $ 77.399.- pagado 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6</xdr:col>
      <xdr:colOff>19050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COS.VARELA.575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4" workbookViewId="0">
      <selection activeCell="M26" sqref="M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7" t="s">
        <v>16</v>
      </c>
      <c r="C8" s="88"/>
      <c r="D8" s="89" t="s">
        <v>142</v>
      </c>
      <c r="E8" s="1"/>
      <c r="F8" s="90" t="s">
        <v>27</v>
      </c>
      <c r="G8" s="91">
        <v>7143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2" t="s">
        <v>139</v>
      </c>
      <c r="D10" s="55"/>
      <c r="E10" s="55"/>
      <c r="F10" s="56" t="s">
        <v>28</v>
      </c>
      <c r="G10" s="57">
        <v>45642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3"/>
      <c r="D11" s="109"/>
      <c r="E11" s="109"/>
      <c r="F11" s="109" t="s">
        <v>124</v>
      </c>
      <c r="G11" s="60">
        <v>45644</v>
      </c>
      <c r="H11" s="61"/>
      <c r="I11" s="1"/>
    </row>
    <row r="12" spans="1:17" ht="16.8" x14ac:dyDescent="0.4">
      <c r="A12" s="1"/>
      <c r="B12" s="62" t="s">
        <v>132</v>
      </c>
      <c r="C12" s="114"/>
      <c r="D12" s="43"/>
      <c r="E12" s="43"/>
      <c r="F12" s="43" t="s">
        <v>30</v>
      </c>
      <c r="G12" s="110"/>
      <c r="H12" s="63"/>
      <c r="I12" s="1"/>
    </row>
    <row r="13" spans="1:17" ht="15.6" x14ac:dyDescent="0.3">
      <c r="A13" s="1"/>
      <c r="B13" s="62" t="s">
        <v>134</v>
      </c>
      <c r="C13" s="115" t="s">
        <v>140</v>
      </c>
      <c r="D13" s="43"/>
      <c r="E13" s="43"/>
      <c r="F13" s="43" t="s">
        <v>128</v>
      </c>
      <c r="G13" s="110" t="s">
        <v>131</v>
      </c>
      <c r="H13" s="63"/>
      <c r="I13" s="1"/>
    </row>
    <row r="14" spans="1:17" ht="15.6" x14ac:dyDescent="0.3">
      <c r="A14" s="1"/>
      <c r="B14" s="59" t="s">
        <v>17</v>
      </c>
      <c r="C14" s="116" t="s">
        <v>141</v>
      </c>
      <c r="D14" s="111"/>
      <c r="E14" s="109"/>
      <c r="F14" s="109" t="s">
        <v>29</v>
      </c>
      <c r="G14" s="109" t="s">
        <v>143</v>
      </c>
      <c r="H14" s="61"/>
      <c r="I14" s="1"/>
    </row>
    <row r="15" spans="1:17" ht="16.8" x14ac:dyDescent="0.4">
      <c r="A15" s="1"/>
      <c r="B15" s="62" t="s">
        <v>1</v>
      </c>
      <c r="C15" s="114"/>
      <c r="D15" s="43"/>
      <c r="E15" s="43"/>
      <c r="F15" s="112" t="s">
        <v>75</v>
      </c>
      <c r="G15" s="112"/>
      <c r="H15" s="63"/>
      <c r="I15" s="1"/>
    </row>
    <row r="16" spans="1:17" ht="16.2" thickBot="1" x14ac:dyDescent="0.35">
      <c r="A16" s="1"/>
      <c r="B16" s="64" t="s">
        <v>3</v>
      </c>
      <c r="C16" s="117" t="s">
        <v>133</v>
      </c>
      <c r="D16" s="65"/>
      <c r="E16" s="66"/>
      <c r="F16" s="118" t="s">
        <v>18</v>
      </c>
      <c r="G16" s="118"/>
      <c r="H16" s="119"/>
      <c r="I16" s="1"/>
    </row>
    <row r="17" spans="1:16" ht="15.6" x14ac:dyDescent="0.3">
      <c r="A17" s="1"/>
      <c r="B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0" t="s">
        <v>19</v>
      </c>
      <c r="C19" s="121"/>
      <c r="D19" s="121"/>
      <c r="E19" s="121"/>
      <c r="F19" s="121"/>
      <c r="G19" s="121"/>
      <c r="H19" s="122"/>
      <c r="I19" s="1"/>
    </row>
    <row r="20" spans="1:16" ht="16.2" thickBot="1" x14ac:dyDescent="0.35">
      <c r="A20" s="1"/>
      <c r="B20" s="67" t="s">
        <v>20</v>
      </c>
      <c r="C20" s="68" t="s">
        <v>21</v>
      </c>
      <c r="D20" s="68" t="s">
        <v>22</v>
      </c>
      <c r="E20" s="68" t="s">
        <v>8</v>
      </c>
      <c r="F20" s="69" t="s">
        <v>23</v>
      </c>
      <c r="G20" s="67" t="s">
        <v>24</v>
      </c>
      <c r="H20" s="69" t="s">
        <v>4</v>
      </c>
      <c r="I20" s="1"/>
    </row>
    <row r="21" spans="1:16" ht="18" customHeight="1" x14ac:dyDescent="0.3">
      <c r="A21" s="1"/>
      <c r="B21" s="101">
        <v>1</v>
      </c>
      <c r="C21" s="102" t="s">
        <v>127</v>
      </c>
      <c r="D21" s="103">
        <v>2700</v>
      </c>
      <c r="E21" s="104">
        <v>610</v>
      </c>
      <c r="F21" s="107" t="s">
        <v>138</v>
      </c>
      <c r="G21" s="108">
        <v>152399</v>
      </c>
      <c r="H21" s="100">
        <f t="shared" ref="H21" si="0">G21*B21</f>
        <v>152399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3"/>
      <c r="C22" s="93"/>
      <c r="D22" s="93"/>
      <c r="E22" s="93"/>
      <c r="F22" s="94"/>
      <c r="G22" s="95"/>
      <c r="H22" s="9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0"/>
      <c r="C23" s="70"/>
      <c r="D23" s="70"/>
      <c r="E23" s="70"/>
      <c r="F23" s="70"/>
      <c r="G23" s="71"/>
      <c r="H23" s="71"/>
      <c r="I23" s="1"/>
    </row>
    <row r="24" spans="1:16" ht="15.6" x14ac:dyDescent="0.3">
      <c r="A24" s="1"/>
      <c r="B24" s="1"/>
      <c r="C24" s="1"/>
      <c r="D24" s="1"/>
      <c r="E24" s="1"/>
      <c r="F24" s="1"/>
      <c r="G24" s="72" t="s">
        <v>5</v>
      </c>
      <c r="H24" s="73">
        <f>SUM(H21:H23)</f>
        <v>152399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4" t="s">
        <v>6</v>
      </c>
      <c r="H25" s="75">
        <f>H24*19%</f>
        <v>28955.81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6" t="s">
        <v>4</v>
      </c>
      <c r="H26" s="77">
        <f>H24+H25</f>
        <v>181354.81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78" t="s">
        <v>123</v>
      </c>
      <c r="C29" s="79"/>
      <c r="D29" s="80"/>
      <c r="E29" s="80"/>
      <c r="F29" s="70"/>
      <c r="G29" s="1"/>
      <c r="H29" s="1"/>
      <c r="I29" s="1"/>
    </row>
    <row r="30" spans="1:16" ht="15.6" x14ac:dyDescent="0.3">
      <c r="A30" s="1"/>
      <c r="B30" s="78" t="s">
        <v>122</v>
      </c>
      <c r="C30" s="79"/>
      <c r="D30" s="80"/>
      <c r="E30" s="80"/>
      <c r="F30" s="70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1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  <hyperlink ref="C13" r:id="rId2" xr:uid="{A4A53D47-19F7-4668-9861-F167BA3FC3C4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31</v>
      </c>
      <c r="C2" s="123"/>
      <c r="D2" s="123"/>
      <c r="E2" s="18"/>
      <c r="G2" s="123" t="s">
        <v>70</v>
      </c>
      <c r="H2" s="123"/>
      <c r="I2" s="123"/>
      <c r="P2" s="124" t="s">
        <v>58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4" t="s">
        <v>58</v>
      </c>
      <c r="M8" s="124"/>
      <c r="N8" s="12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zoomScaleNormal="100" workbookViewId="0">
      <selection sqref="A1:F3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5" t="s">
        <v>61</v>
      </c>
      <c r="L3" s="125"/>
      <c r="M3" s="125" t="s">
        <v>14</v>
      </c>
      <c r="N3" s="125"/>
    </row>
    <row r="4" spans="1:14" ht="15.75" customHeight="1" x14ac:dyDescent="0.3">
      <c r="A4" s="1"/>
      <c r="B4" s="1"/>
      <c r="C4" s="40" t="s">
        <v>27</v>
      </c>
      <c r="D4" s="14">
        <f>'4637'!G8</f>
        <v>7143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ANGEL MIRANDA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45644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6" t="s">
        <v>61</v>
      </c>
      <c r="B10" s="126"/>
      <c r="C10" s="126"/>
      <c r="D10" s="126"/>
      <c r="E10" s="126"/>
      <c r="F10" s="12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2" t="s">
        <v>130</v>
      </c>
      <c r="B14" s="25">
        <f t="shared" ref="B14" si="0">I14</f>
        <v>1</v>
      </c>
      <c r="C14" s="25" t="s">
        <v>137</v>
      </c>
      <c r="D14" s="25">
        <f t="shared" ref="D14" si="1">J14+D$13</f>
        <v>2780</v>
      </c>
      <c r="E14" s="35">
        <f t="shared" ref="E14" si="2">K14+E$13</f>
        <v>580</v>
      </c>
      <c r="F14" s="98" t="str">
        <f>C29</f>
        <v>CUB C/R R6</v>
      </c>
      <c r="G14" s="1"/>
      <c r="I14" s="3">
        <f>I22</f>
        <v>1</v>
      </c>
      <c r="J14" s="4">
        <f>D29</f>
        <v>2700</v>
      </c>
      <c r="K14" s="4">
        <f>E29</f>
        <v>610</v>
      </c>
    </row>
    <row r="15" spans="1:14" ht="15.6" x14ac:dyDescent="0.3">
      <c r="A15" s="92"/>
      <c r="B15" s="6"/>
      <c r="C15" s="6"/>
      <c r="D15" s="6"/>
      <c r="E15" s="85"/>
      <c r="F15" s="106"/>
      <c r="G15" s="1"/>
      <c r="I15" s="86"/>
      <c r="J15" s="2"/>
      <c r="K15" s="2"/>
    </row>
    <row r="16" spans="1:14" ht="15.6" x14ac:dyDescent="0.3">
      <c r="A16" s="52"/>
      <c r="B16" s="6"/>
      <c r="C16" s="6"/>
      <c r="D16" s="6"/>
      <c r="E16" s="85"/>
      <c r="F16" s="6"/>
      <c r="G16" s="1"/>
      <c r="I16" s="86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6" t="s">
        <v>14</v>
      </c>
      <c r="B18" s="126"/>
      <c r="C18" s="126"/>
      <c r="D18" s="126"/>
      <c r="E18" s="126"/>
      <c r="F18" s="126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140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2" t="s">
        <v>130</v>
      </c>
      <c r="B22" s="16">
        <f t="shared" ref="B22" si="3">I22</f>
        <v>1</v>
      </c>
      <c r="C22" s="16" t="s">
        <v>136</v>
      </c>
      <c r="D22" s="16">
        <f>J22+D$21</f>
        <v>2740</v>
      </c>
      <c r="E22" s="16">
        <f>K22+E$21</f>
        <v>750</v>
      </c>
      <c r="F22" s="99" t="str">
        <f>C29</f>
        <v>CUB C/R R6</v>
      </c>
      <c r="G22" s="1"/>
      <c r="I22" s="3">
        <f>B29</f>
        <v>1</v>
      </c>
      <c r="J22" s="4">
        <f t="shared" ref="J22:K22" si="4">D29</f>
        <v>2700</v>
      </c>
      <c r="K22" s="4">
        <f t="shared" si="4"/>
        <v>610</v>
      </c>
    </row>
    <row r="23" spans="1:11" ht="15.6" x14ac:dyDescent="0.3">
      <c r="A23" s="92"/>
      <c r="B23" s="6"/>
      <c r="C23" s="6"/>
      <c r="D23" s="6"/>
      <c r="E23" s="6"/>
      <c r="F23" s="106"/>
      <c r="G23" s="1"/>
      <c r="I23" s="86"/>
      <c r="J23" s="2"/>
      <c r="K23" s="2"/>
    </row>
    <row r="24" spans="1:11" ht="15.6" x14ac:dyDescent="0.3">
      <c r="A24" s="92"/>
      <c r="B24" s="6"/>
      <c r="C24" s="6"/>
      <c r="D24" s="6"/>
      <c r="E24" s="6"/>
      <c r="F24" s="6"/>
      <c r="G24" s="1"/>
      <c r="I24" s="86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4" t="s">
        <v>10</v>
      </c>
      <c r="C28" s="84" t="s">
        <v>110</v>
      </c>
      <c r="D28" s="84" t="s">
        <v>7</v>
      </c>
      <c r="E28" s="84" t="s">
        <v>8</v>
      </c>
      <c r="F28" s="84" t="s">
        <v>23</v>
      </c>
      <c r="G28" s="1"/>
    </row>
    <row r="29" spans="1:11" ht="15.6" x14ac:dyDescent="0.3">
      <c r="A29" s="92" t="s">
        <v>135</v>
      </c>
      <c r="B29" s="25">
        <f>'4637'!B21</f>
        <v>1</v>
      </c>
      <c r="C29" s="98" t="str">
        <f>'4637'!C21</f>
        <v>CUB C/R R6</v>
      </c>
      <c r="D29" s="25">
        <f>'4637'!D21</f>
        <v>2700</v>
      </c>
      <c r="E29" s="25">
        <f>'4637'!E21</f>
        <v>610</v>
      </c>
      <c r="F29" s="25" t="str">
        <f>'4637'!F21</f>
        <v>BELLA NOCE 10491 SF</v>
      </c>
      <c r="G29" s="1"/>
    </row>
    <row r="30" spans="1:11" ht="15.6" x14ac:dyDescent="0.3">
      <c r="A30" s="52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7143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ANGEL MIRANDA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45644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6" t="s">
        <v>68</v>
      </c>
      <c r="B46" s="126"/>
      <c r="C46" s="126"/>
      <c r="D46" s="126"/>
      <c r="E46" s="126"/>
      <c r="F46" s="126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7" t="s">
        <v>69</v>
      </c>
      <c r="C48" s="128"/>
      <c r="D48" s="129"/>
      <c r="E48" s="129"/>
      <c r="F48" s="130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2"/>
      <c r="B50" s="38">
        <f>'4637'!B21</f>
        <v>1</v>
      </c>
      <c r="C50" s="97" t="str">
        <f>'4637'!C21</f>
        <v>CUB C/R R6</v>
      </c>
      <c r="D50" s="39">
        <f>'4637'!D21</f>
        <v>2700</v>
      </c>
      <c r="E50" s="39">
        <f>'4637'!E21</f>
        <v>610</v>
      </c>
      <c r="F50" s="38" t="str">
        <f>'4637'!F21</f>
        <v>BELLA NOCE 10491 SF</v>
      </c>
      <c r="G50" s="1"/>
    </row>
    <row r="51" spans="1:7" s="15" customFormat="1" ht="15" customHeight="1" x14ac:dyDescent="0.3">
      <c r="A51" s="92"/>
      <c r="B51" s="52"/>
      <c r="C51" s="105"/>
      <c r="D51" s="52"/>
      <c r="E51" s="52"/>
      <c r="F51" s="52"/>
      <c r="G51" s="1"/>
    </row>
    <row r="52" spans="1:7" s="15" customFormat="1" ht="15" customHeight="1" x14ac:dyDescent="0.3">
      <c r="A52" s="50"/>
      <c r="B52" s="52"/>
      <c r="C52" s="52"/>
      <c r="D52" s="52"/>
      <c r="E52" s="52"/>
      <c r="F52" s="52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2024-12-18T11:54:46Z</cp:lastPrinted>
  <dcterms:created xsi:type="dcterms:W3CDTF">2013-03-19T12:54:14Z</dcterms:created>
  <dcterms:modified xsi:type="dcterms:W3CDTF">2024-12-20T17:57:42Z</dcterms:modified>
</cp:coreProperties>
</file>