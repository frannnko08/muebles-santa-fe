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7C4B7958-75A0-4AAF-BEDB-653F10C4CC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3" l="1"/>
  <c r="B15" i="3" s="1"/>
  <c r="J15" i="3"/>
  <c r="D15" i="3" s="1"/>
  <c r="K15" i="3"/>
  <c r="E15" i="3" s="1"/>
  <c r="F23" i="3"/>
  <c r="I23" i="3"/>
  <c r="B23" i="3" s="1"/>
  <c r="J23" i="3"/>
  <c r="D23" i="3" s="1"/>
  <c r="K23" i="3"/>
  <c r="E23" i="3" s="1"/>
  <c r="B30" i="3"/>
  <c r="C30" i="3"/>
  <c r="F15" i="3" s="1"/>
  <c r="D30" i="3"/>
  <c r="E30" i="3"/>
  <c r="F30" i="3"/>
  <c r="B52" i="3"/>
  <c r="C52" i="3"/>
  <c r="D52" i="3"/>
  <c r="E52" i="3"/>
  <c r="F52" i="3"/>
  <c r="H22" i="4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H21" i="4"/>
  <c r="J22" i="3" l="1"/>
  <c r="D22" i="3" s="1"/>
  <c r="K14" i="3"/>
  <c r="E14" i="3" s="1"/>
  <c r="B22" i="3"/>
  <c r="I14" i="3"/>
  <c r="B14" i="3" s="1"/>
  <c r="F22" i="3"/>
  <c r="H25" i="4"/>
  <c r="H26" i="4" l="1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<sst xmlns="http://schemas.openxmlformats.org/spreadsheetml/2006/main" count="255" uniqueCount="149">
  <si>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</si>
  <si>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</si>
  <si>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</si>
  <si>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</si>
  <si>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</si>
  <si>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</si>
  <si>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</si>
  <si>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</si>
  <si>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</si>
  <si>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</si>
  <si>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</si>
  <si>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</si>
  <si>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</si>
  <si>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</si>
  <si>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</si>
  <si>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</si>
  <si>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</si>
  <si>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</si>
  <si>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</si>
  <si>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</si>
  <si>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</si>
  <si>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</si>
  <si>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</si>
  <si>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</si>
  <si>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</si>
  <si>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</si>
  <si>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</si>
  <si>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</si>
  <si>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</si>
  <si>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</si>
  <si>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</si>
  <si>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</si>
  <si>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</si>
  <si>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</si>
  <si>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</si>
  <si>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</si>
  <si>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</si>
  <si>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</si>
  <si>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</si>
  <si>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</si>
  <si>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</si>
  <si>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</si>
  <si>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</si>
  <si>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</si>
  <si>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</si>
  <si>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</si>
  <si>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</si>
  <si>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</si>
  <si>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</si>
  <si>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</si>
  <si>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</si>
  <si>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</si>
  <si>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</si>
  <si>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</si>
  <si>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</si>
  <si>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</si>
  <si>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</si>
  <si>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</si>
  <si>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</si>
  <si>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</si>
  <si>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</si>
  <si>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</si>
  <si>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</si>
  <si>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</si>
  <si>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</si>
  <si>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</si>
  <si>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</si>
  <si>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</si>
  <si>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</si>
  <si>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</si>
  <si>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</si>
  <si>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</si>
  <si>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</si>
  <si>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</si>
  <si>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</si>
  <si>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</si>
  <si>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</si>
  <si>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</si>
  <si>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</si>
  <si>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</si>
  <si>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</si>
  <si>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</si>
  <si>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</si>
  <si>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</si>
  <si>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</si>
  <si>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</si>
  <si>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</si>
  <si>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</si>
  <si>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</si>
  <si>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</si>
  <si>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</si>
  <si>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</si>
  <si>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</si>
  <si>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</si>
  <si>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</si>
  <si>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</si>
  <si>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</si>
  <si>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</si>
  <si>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</si>
  <si>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</si>
  <si>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</si>
  <si>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</si>
  <si>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</si>
  <si>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</si>
  <si>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</si>
  <si>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</si>
  <si>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</si>
  <si>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</si>
  <si>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</si>
  <si>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</si>
  <si>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</si>
  <si>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</si>
  <si>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</si>
  <si>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</si>
  <si>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</si>
  <si>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</si>
  <si>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</si>
  <si>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</si>
  <si>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</si>
  <si>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</si>
  <si>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</si>
  <si>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</si>
  <si>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</si>
  <si>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</si>
  <si>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</si>
  <si>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</si>
  <si>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</si>
  <si>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</si>
  <si>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</si>
  <si>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</si>
  <si>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</si>
  <si>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</si>
  <si>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</si>
  <si>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</si>
  <si>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</si>
  <si>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</si>
  <si>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</si>
  <si>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</si>
  <si>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</si>
  <si>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</si>
  <si>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</si>
  <si>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CUB C/R R8</t>
  </si>
  <si>
    <t>WHITE ASWHOOD SF</t>
  </si>
  <si>
    <t>O/C 30 DIAS</t>
  </si>
  <si>
    <t>NO</t>
  </si>
  <si>
    <t>CORTAR RESPALDO A 88</t>
  </si>
  <si>
    <t>CORTAR RESPALDO A 88MM</t>
  </si>
  <si>
    <t>06-0-2025</t>
  </si>
  <si>
    <t>N° 11223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</si>
</sst>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OBSERVACIONES:RESPALDO DE 11,8 CMS DESDE LA BASE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OBSERVACIONES:RESPALDO DE 11,8 CMS DESDE LA BASE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6"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148</v>
      </c>
      <c r="E8" s="1"/>
      <c r="F8" s="94" t="s">
        <v>27</v>
      </c>
      <c r="G8" s="95">
        <v>7147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45657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 t="s">
        <v>147</v>
      </c>
      <c r="H11" s="62"/>
      <c r="I11" s="1"/>
    </row>
    <row r="12" spans="1:17" ht="16.2" thickBot="1" x14ac:dyDescent="0.35">
      <c r="A12" s="1"/>
      <c r="B12" s="63" t="s">
        <v>132</v>
      </c>
      <c r="C12" t="s">
        <v>138</v>
      </c>
      <c r="D12" s="43"/>
      <c r="E12" s="43"/>
      <c r="F12" s="43" t="s">
        <v>30</v>
      </c>
      <c r="G12" s="64">
        <v>22662</v>
      </c>
      <c r="H12" s="65"/>
      <c r="I12" s="1"/>
    </row>
    <row r="13" spans="1:17" ht="15.6" x14ac:dyDescent="0.3">
      <c r="A13" s="1"/>
      <c r="B13" s="63" t="s">
        <v>134</v>
      </c>
      <c r="C13" s="86" t="s">
        <v>140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144</v>
      </c>
      <c r="H14" s="62"/>
      <c r="I14" s="1"/>
    </row>
    <row r="15" spans="1:17" ht="15.6" x14ac:dyDescent="0.3">
      <c r="A15" s="1"/>
      <c r="B15" s="63" t="s">
        <v>1</v>
      </c>
      <c r="C15" s="101" t="s">
        <v>139</v>
      </c>
      <c r="D15" s="43"/>
      <c r="E15" s="43"/>
      <c r="F15" s="67" t="s">
        <v>75</v>
      </c>
      <c r="G15" s="67" t="s">
        <v>143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9">
        <v>3</v>
      </c>
      <c r="C21" s="110" t="s">
        <v>141</v>
      </c>
      <c r="D21" s="111">
        <v>1510</v>
      </c>
      <c r="E21" s="112">
        <v>550</v>
      </c>
      <c r="F21" s="106" t="s">
        <v>142</v>
      </c>
      <c r="G21" s="114">
        <v>48551</v>
      </c>
      <c r="H21" s="107">
        <f t="shared" ref="H21" si="0">G21*B21</f>
        <v>145653</v>
      </c>
      <c r="I21" s="1">
        <v>61177</v>
      </c>
      <c r="K21" s="17">
        <v>48551</v>
      </c>
      <c r="L21" s="26"/>
      <c r="M21" s="17"/>
      <c r="N21" s="17"/>
      <c r="O21" s="26"/>
      <c r="P21" s="33"/>
    </row>
    <row r="22" spans="1:16" ht="18" customHeight="1" x14ac:dyDescent="0.3">
      <c r="A22" s="1"/>
      <c r="B22" s="109">
        <v>7</v>
      </c>
      <c r="C22" s="110" t="s">
        <v>141</v>
      </c>
      <c r="D22" s="111">
        <v>1310</v>
      </c>
      <c r="E22" s="112">
        <v>550</v>
      </c>
      <c r="F22" s="106" t="s">
        <v>142</v>
      </c>
      <c r="G22" s="108">
        <v>39448</v>
      </c>
      <c r="H22" s="107">
        <f t="shared" ref="H22" si="1">G22*B22</f>
        <v>276136</v>
      </c>
      <c r="I22" s="1">
        <v>49413</v>
      </c>
      <c r="K22" s="17">
        <v>39448</v>
      </c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421789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80139.91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501928.91000000003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zoomScaleNormal="100" workbookViewId="0">
      <selection sqref="A1:F3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7147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 t="str">
        <f>'4637'!G11</f>
        <v>06-0-2025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3</v>
      </c>
      <c r="C14" s="25" t="s">
        <v>146</v>
      </c>
      <c r="D14" s="25">
        <f t="shared" ref="D14" si="1">J14+D$13</f>
        <v>1590</v>
      </c>
      <c r="E14" s="35">
        <f t="shared" ref="E14" si="2">K14+E$13</f>
        <v>520</v>
      </c>
      <c r="F14" s="103" t="str">
        <f>C29</f>
        <v>CUB C/R R8</v>
      </c>
      <c r="G14" s="1"/>
      <c r="I14" s="3">
        <f>I22</f>
        <v>3</v>
      </c>
      <c r="J14" s="4">
        <f>D29</f>
        <v>1510</v>
      </c>
      <c r="K14" s="4">
        <f>E29</f>
        <v>550</v>
      </c>
    </row>
    <row r="15" spans="1:14" ht="15.6" x14ac:dyDescent="0.3">
      <c r="A15" s="96"/>
      <c r="B15" s="25">
        <f t="shared" ref="B15" si="3">I15</f>
        <v>7</v>
      </c>
      <c r="C15" s="25" t="s">
        <v>146</v>
      </c>
      <c r="D15" s="25">
        <f t="shared" ref="D15" si="4">J15+D$13</f>
        <v>1390</v>
      </c>
      <c r="E15" s="35">
        <f t="shared" ref="E15" si="5">K15+E$13</f>
        <v>520</v>
      </c>
      <c r="F15" s="103" t="str">
        <f>C30</f>
        <v>CUB C/R R8</v>
      </c>
      <c r="G15" s="1"/>
      <c r="I15" s="3">
        <f>I23</f>
        <v>7</v>
      </c>
      <c r="J15" s="4">
        <f>D30</f>
        <v>1310</v>
      </c>
      <c r="K15" s="4">
        <f>E30</f>
        <v>550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170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6">I22</f>
        <v>3</v>
      </c>
      <c r="C22" s="16" t="s">
        <v>145</v>
      </c>
      <c r="D22" s="16">
        <f>J22+D$21</f>
        <v>1550</v>
      </c>
      <c r="E22" s="16">
        <f>K22+E$21</f>
        <v>720</v>
      </c>
      <c r="F22" s="104" t="str">
        <f>C29</f>
        <v>CUB C/R R8</v>
      </c>
      <c r="G22" s="1"/>
      <c r="I22" s="3">
        <f>B29</f>
        <v>3</v>
      </c>
      <c r="J22" s="4">
        <f t="shared" ref="J22:K22" si="7">D29</f>
        <v>1510</v>
      </c>
      <c r="K22" s="4">
        <f t="shared" si="7"/>
        <v>550</v>
      </c>
    </row>
    <row r="23" spans="1:11" ht="15.6" x14ac:dyDescent="0.3">
      <c r="A23" s="96"/>
      <c r="B23" s="16">
        <f t="shared" ref="B23" si="8">I23</f>
        <v>7</v>
      </c>
      <c r="C23" s="16" t="s">
        <v>145</v>
      </c>
      <c r="D23" s="16">
        <f>J23+D$21</f>
        <v>1350</v>
      </c>
      <c r="E23" s="16">
        <f>K23+E$21</f>
        <v>720</v>
      </c>
      <c r="F23" s="104" t="str">
        <f>C30</f>
        <v>CUB C/R R8</v>
      </c>
      <c r="G23" s="1"/>
      <c r="I23" s="3">
        <f>B30</f>
        <v>7</v>
      </c>
      <c r="J23" s="4">
        <f t="shared" ref="J23" si="9">D30</f>
        <v>1310</v>
      </c>
      <c r="K23" s="4">
        <f t="shared" ref="K23" si="10">E30</f>
        <v>550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135</v>
      </c>
      <c r="B29" s="25">
        <f>'4637'!B21</f>
        <v>3</v>
      </c>
      <c r="C29" s="103" t="str">
        <f>'4637'!C21</f>
        <v>CUB C/R R8</v>
      </c>
      <c r="D29" s="25">
        <f>'4637'!D21</f>
        <v>1510</v>
      </c>
      <c r="E29" s="25">
        <f>'4637'!E21</f>
        <v>550</v>
      </c>
      <c r="F29" s="25" t="str">
        <f>'4637'!F21</f>
        <v>WHITE ASWHOOD SF</v>
      </c>
      <c r="G29" s="1"/>
    </row>
    <row r="30" spans="1:11" ht="15.6" x14ac:dyDescent="0.3">
      <c r="A30" s="96"/>
      <c r="B30" s="25">
        <f>'4637'!B22</f>
        <v>7</v>
      </c>
      <c r="C30" s="103" t="str">
        <f>'4637'!C22</f>
        <v>CUB C/R R8</v>
      </c>
      <c r="D30" s="25">
        <f>'4637'!D22</f>
        <v>1310</v>
      </c>
      <c r="E30" s="25">
        <f>'4637'!E22</f>
        <v>550</v>
      </c>
      <c r="F30" s="25" t="str">
        <f>'4637'!F22</f>
        <v>WHITE ASWHOOD SF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7147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 t="str">
        <f>'4637'!G11</f>
        <v>06-0-2025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3" t="s">
        <v>68</v>
      </c>
      <c r="B47" s="123"/>
      <c r="C47" s="123"/>
      <c r="D47" s="123"/>
      <c r="E47" s="123"/>
      <c r="F47" s="123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4" t="s">
        <v>69</v>
      </c>
      <c r="C49" s="125"/>
      <c r="D49" s="126"/>
      <c r="E49" s="126"/>
      <c r="F49" s="127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3</v>
      </c>
      <c r="C51" s="102" t="str">
        <f>'4637'!C21</f>
        <v>CUB C/R R8</v>
      </c>
      <c r="D51" s="39">
        <f>'4637'!D21</f>
        <v>1510</v>
      </c>
      <c r="E51" s="39">
        <f>'4637'!E21</f>
        <v>550</v>
      </c>
      <c r="F51" s="38" t="str">
        <f>'4637'!F21</f>
        <v>WHITE ASWHOOD SF</v>
      </c>
      <c r="G51" s="1"/>
    </row>
    <row r="52" spans="1:7" s="15" customFormat="1" ht="15" customHeight="1" x14ac:dyDescent="0.3">
      <c r="A52" s="96"/>
      <c r="B52" s="38">
        <f>'4637'!B22</f>
        <v>7</v>
      </c>
      <c r="C52" s="102" t="str">
        <f>'4637'!C22</f>
        <v>CUB C/R R8</v>
      </c>
      <c r="D52" s="39">
        <f>'4637'!D22</f>
        <v>1310</v>
      </c>
      <c r="E52" s="39">
        <f>'4637'!E22</f>
        <v>550</v>
      </c>
      <c r="F52" s="38" t="str">
        <f>'4637'!F22</f>
        <v>WHITE ASWHOOD SF</v>
      </c>
      <c r="G52" s="1"/>
    </row>
    <row r="53" spans="1:7" s="15" customFormat="1" ht="15" customHeight="1" x14ac:dyDescent="0.3">
      <c r="A53" s="96"/>
      <c r="B53" s="52"/>
      <c r="C53" s="113"/>
      <c r="D53" s="52"/>
      <c r="E53" s="52"/>
      <c r="F53" s="52"/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2024-12-30T19:15:10Z</cp:lastPrinted>
  <dcterms:created xsi:type="dcterms:W3CDTF">2013-03-19T12:54:14Z</dcterms:created>
  <dcterms:modified xsi:type="dcterms:W3CDTF">2025-01-13T18:05:11Z</dcterms:modified>
</cp:coreProperties>
</file>