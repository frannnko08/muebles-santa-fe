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77BBF30C-8872-4188-B774-232310686A1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6" i="4" l="1"/>
  <c r="I22" i="3"/>
  <c r="F14" i="3"/>
  <c r="K22" i="3"/>
  <c r="E22" i="3" s="1"/>
  <c r="J22" i="3"/>
  <c r="D22" i="3" s="1"/>
  <c r="B22" i="3" l="1"/>
  <c r="B14" i="3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<sst xmlns="http://schemas.openxmlformats.org/spreadsheetml/2006/main" count="246" uniqueCount="144">
  <si>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</si>
  <si>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</si>
  <si>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</si>
  <si>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</si>
  <si>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</si>
  <si>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</si>
  <si>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</si>
  <si>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</si>
  <si>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</si>
  <si>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</si>
  <si>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</si>
  <si>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</si>
  <si>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</si>
  <si>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</si>
  <si>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</si>
  <si>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</si>
  <si>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</si>
  <si>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</si>
  <si>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</si>
  <si>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</si>
  <si>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</si>
  <si>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</si>
  <si>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</si>
  <si>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</si>
  <si>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</si>
  <si>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</si>
  <si>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</si>
  <si>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</si>
  <si>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</si>
  <si>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</si>
  <si>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</si>
  <si>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</si>
  <si>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</si>
  <si>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</si>
  <si>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</si>
  <si>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</si>
  <si>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</si>
  <si>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</si>
  <si>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</si>
  <si>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</si>
  <si>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</si>
  <si>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</si>
  <si>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</si>
  <si>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</si>
  <si>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</si>
  <si>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</si>
  <si>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</si>
  <si>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</si>
  <si>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</si>
  <si>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</si>
  <si>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</si>
  <si>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</si>
  <si>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</si>
  <si>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</si>
  <si>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</si>
  <si>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</si>
  <si>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</si>
  <si>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</si>
  <si>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</si>
  <si>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</si>
  <si>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</si>
  <si>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</si>
  <si>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</si>
  <si>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</si>
  <si>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</si>
  <si>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</si>
  <si>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</si>
  <si>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</si>
  <si>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</si>
  <si>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</si>
  <si>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</si>
  <si>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</si>
  <si>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</si>
  <si>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</si>
  <si>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</si>
  <si>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</si>
  <si>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</si>
  <si>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</si>
  <si>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</si>
  <si>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</si>
  <si>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</si>
  <si>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</si>
  <si>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</si>
  <si>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</si>
  <si>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</si>
  <si>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</si>
  <si>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</si>
  <si>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</si>
  <si>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</si>
  <si>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</si>
  <si>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</si>
  <si>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</si>
  <si>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</si>
  <si>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</si>
  <si>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</si>
  <si>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</si>
  <si>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</si>
  <si>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</si>
  <si>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</si>
  <si>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</si>
  <si>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</si>
  <si>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</si>
  <si>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</si>
  <si>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</si>
  <si>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</si>
  <si>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</si>
  <si>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</si>
  <si>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</si>
  <si>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</si>
  <si>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</si>
  <si>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</si>
  <si>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</si>
  <si>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</si>
  <si>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</si>
  <si>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</si>
  <si>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</si>
  <si>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</si>
  <si>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</si>
  <si>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</si>
  <si>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</si>
  <si>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</si>
  <si>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</si>
  <si>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</si>
  <si>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</si>
  <si>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</si>
  <si>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</si>
  <si>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</si>
  <si>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</si>
  <si>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</si>
  <si>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</si>
  <si>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</si>
  <si>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</si>
  <si>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</si>
  <si>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CONTACTO:</t>
  </si>
  <si>
    <t>NO</t>
  </si>
  <si>
    <t>ESTRUCTURAS VINET SPA</t>
  </si>
  <si>
    <t>76.982.425-1</t>
  </si>
  <si>
    <t>ROBERTO BUSTOS</t>
  </si>
  <si>
    <t>+569 3094 4033</t>
  </si>
  <si>
    <t>CHILLAN</t>
  </si>
  <si>
    <t>MDF18MM</t>
  </si>
  <si>
    <t>N° 11192</t>
  </si>
  <si>
    <t>PLATINUM 21059 SF</t>
  </si>
  <si>
    <t>CUB MESA 180°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</si>
</sst>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0" fontId="18" fillId="0" borderId="0" xfId="0" applyFont="1"/>
    <xf numFmtId="0" fontId="18" fillId="3" borderId="0" xfId="0" applyFont="1" applyFill="1"/>
    <xf numFmtId="0" fontId="19" fillId="0" borderId="24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0" fillId="0" borderId="0" xfId="0" quotePrefix="1" applyFont="1"/>
    <xf numFmtId="1" fontId="15" fillId="0" borderId="0" xfId="0" applyNumberFormat="1" applyFont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84445"/>
          <a:ext cx="56007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900" b="1" i="1"/>
            <a:t>OBSERVACIONES:  </a:t>
          </a:r>
          <a:endParaRPr lang="es-CL" sz="900">
            <a:effectLst/>
          </a:endParaRP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44855" y="109747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 CON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CARTON POR LA ORILLAS CON FILMS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141</v>
      </c>
      <c r="E8" s="1"/>
      <c r="F8" s="89" t="s">
        <v>27</v>
      </c>
      <c r="G8" s="90">
        <v>7136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135</v>
      </c>
      <c r="D10" s="54"/>
      <c r="E10" s="54"/>
      <c r="F10" s="55" t="s">
        <v>28</v>
      </c>
      <c r="G10" s="56">
        <v>45635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1" t="s">
        <v>136</v>
      </c>
      <c r="D11" s="59"/>
      <c r="E11" s="59"/>
      <c r="F11" s="59" t="s">
        <v>124</v>
      </c>
      <c r="G11" s="60">
        <v>45636</v>
      </c>
      <c r="H11" s="61"/>
      <c r="I11" s="1"/>
    </row>
    <row r="12" spans="1:17" ht="16.8" x14ac:dyDescent="0.4">
      <c r="A12" s="1"/>
      <c r="B12" s="62" t="s">
        <v>132</v>
      </c>
      <c r="C12" s="102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133</v>
      </c>
      <c r="C13" t="s">
        <v>137</v>
      </c>
      <c r="D13" s="42"/>
      <c r="E13" s="42"/>
      <c r="F13" s="42" t="s">
        <v>129</v>
      </c>
      <c r="G13" s="63" t="s">
        <v>131</v>
      </c>
      <c r="H13" s="64"/>
      <c r="I13" s="1"/>
    </row>
    <row r="14" spans="1:17" ht="15.6" x14ac:dyDescent="0.3">
      <c r="A14" s="1"/>
      <c r="B14" s="58" t="s">
        <v>17</v>
      </c>
      <c r="C14" s="105" t="s">
        <v>138</v>
      </c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139</v>
      </c>
      <c r="D16" s="68"/>
      <c r="E16" s="69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107" t="s">
        <v>20</v>
      </c>
      <c r="C20" s="108" t="s">
        <v>21</v>
      </c>
      <c r="D20" s="108" t="s">
        <v>22</v>
      </c>
      <c r="E20" s="108" t="s">
        <v>8</v>
      </c>
      <c r="F20" s="109" t="s">
        <v>23</v>
      </c>
      <c r="G20" s="107" t="s">
        <v>24</v>
      </c>
      <c r="H20" s="109" t="s">
        <v>4</v>
      </c>
      <c r="I20" s="1"/>
    </row>
    <row r="21" spans="1:16" ht="18" customHeight="1" x14ac:dyDescent="0.3">
      <c r="A21" s="1"/>
      <c r="B21" s="110">
        <v>1</v>
      </c>
      <c r="C21" s="110" t="s">
        <v>143</v>
      </c>
      <c r="D21" s="111">
        <v>1170</v>
      </c>
      <c r="E21" s="111">
        <v>840</v>
      </c>
      <c r="F21" s="110" t="s">
        <v>142</v>
      </c>
      <c r="G21" s="112">
        <v>139500</v>
      </c>
      <c r="H21" s="112">
        <f>G21*B21</f>
        <v>139500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2"/>
      <c r="C22" s="92"/>
      <c r="D22" s="106"/>
      <c r="E22" s="106"/>
      <c r="F22" s="92"/>
      <c r="G22" s="71"/>
      <c r="H22" s="71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2"/>
      <c r="C23" s="92"/>
      <c r="D23" s="92"/>
      <c r="E23" s="92"/>
      <c r="F23" s="93"/>
      <c r="G23" s="94"/>
      <c r="H23" s="94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0"/>
      <c r="C24" s="70"/>
      <c r="D24" s="70"/>
      <c r="E24" s="70"/>
      <c r="F24" s="70"/>
      <c r="G24" s="71"/>
      <c r="H24" s="71"/>
      <c r="I24" s="1"/>
    </row>
    <row r="25" spans="1:16" ht="15.6" x14ac:dyDescent="0.3">
      <c r="A25" s="1"/>
      <c r="B25" s="1"/>
      <c r="C25" s="1"/>
      <c r="D25" s="1"/>
      <c r="E25" s="1"/>
      <c r="F25" s="1"/>
      <c r="G25" s="72" t="s">
        <v>5</v>
      </c>
      <c r="H25" s="73">
        <f>SUM(H21:H24)</f>
        <v>139500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4" t="s">
        <v>6</v>
      </c>
      <c r="H26" s="75">
        <f>H25*19%</f>
        <v>26505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6" t="s">
        <v>4</v>
      </c>
      <c r="H27" s="77">
        <f>H25+H26</f>
        <v>166005</v>
      </c>
      <c r="I27" s="100"/>
    </row>
    <row r="28" spans="1:16" ht="15.6" x14ac:dyDescent="0.3">
      <c r="A28" s="1"/>
      <c r="B28" s="1"/>
      <c r="C28" s="1"/>
      <c r="D28" s="1"/>
      <c r="E28" s="1"/>
      <c r="F28" s="1"/>
      <c r="G28" s="51"/>
      <c r="H28" s="95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78" t="s">
        <v>123</v>
      </c>
      <c r="C30" s="79"/>
      <c r="D30" s="80"/>
      <c r="E30" s="80"/>
      <c r="F30" s="70"/>
      <c r="G30" s="1"/>
      <c r="H30" s="1"/>
      <c r="I30" s="1"/>
    </row>
    <row r="31" spans="1:16" ht="15.6" x14ac:dyDescent="0.3">
      <c r="A31" s="1"/>
      <c r="B31" s="78" t="s">
        <v>122</v>
      </c>
      <c r="C31" s="79"/>
      <c r="D31" s="80"/>
      <c r="E31" s="80"/>
      <c r="F31" s="70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1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sqref="A1:G3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39" t="s">
        <v>27</v>
      </c>
      <c r="D4" s="14">
        <f>'4637'!G8</f>
        <v>7136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ESTRUCTURAS VINET SPA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45636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140</v>
      </c>
      <c r="B14" s="25">
        <f t="shared" ref="B14" si="0">I14</f>
        <v>2</v>
      </c>
      <c r="C14" s="25"/>
      <c r="D14" s="25">
        <f>J14+D$13</f>
        <v>1250</v>
      </c>
      <c r="E14" s="35">
        <f>K14+E$13</f>
        <v>840</v>
      </c>
      <c r="F14" s="97" t="str">
        <f t="shared" ref="F14" si="1">C28</f>
        <v>CUB MESA 180° 2L</v>
      </c>
      <c r="G14" s="1"/>
      <c r="I14" s="3">
        <v>2</v>
      </c>
      <c r="J14" s="4">
        <f t="shared" ref="J14:K14" si="2">D28</f>
        <v>1170</v>
      </c>
      <c r="K14" s="4">
        <f t="shared" si="2"/>
        <v>840</v>
      </c>
    </row>
    <row r="15" spans="1:14" ht="15.6" x14ac:dyDescent="0.3">
      <c r="A15" s="91"/>
      <c r="B15" s="6"/>
      <c r="C15" s="6"/>
      <c r="D15" s="6"/>
      <c r="E15" s="104"/>
      <c r="F15" s="99"/>
      <c r="G15" s="1"/>
      <c r="I15" s="85"/>
      <c r="J15" s="2"/>
      <c r="K15" s="2"/>
    </row>
    <row r="16" spans="1:14" ht="15.6" x14ac:dyDescent="0.3">
      <c r="A16" s="91"/>
      <c r="B16" s="6"/>
      <c r="C16" s="6"/>
      <c r="D16" s="6"/>
      <c r="E16" s="104"/>
      <c r="F16" s="99"/>
      <c r="G16" s="1"/>
      <c r="I16" s="85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1" t="s">
        <v>14</v>
      </c>
      <c r="B18" s="121"/>
      <c r="C18" s="121"/>
      <c r="D18" s="121"/>
      <c r="E18" s="121"/>
      <c r="F18" s="12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1"/>
      <c r="B22" s="16">
        <f t="shared" ref="B22" si="3">I22</f>
        <v>1</v>
      </c>
      <c r="C22" s="16"/>
      <c r="D22" s="16">
        <f>J22+D$21</f>
        <v>1210</v>
      </c>
      <c r="E22" s="16">
        <f>K22+E$21</f>
        <v>1000</v>
      </c>
      <c r="F22" s="98" t="str">
        <f t="shared" ref="F22" si="4">C28</f>
        <v>CUB MESA 180° 2L</v>
      </c>
      <c r="G22" s="1"/>
      <c r="I22" s="3">
        <f t="shared" ref="I22" si="5">B28</f>
        <v>1</v>
      </c>
      <c r="J22" s="4">
        <f>D28</f>
        <v>1170</v>
      </c>
      <c r="K22" s="4">
        <f>E28</f>
        <v>840</v>
      </c>
    </row>
    <row r="23" spans="1:11" ht="15.6" x14ac:dyDescent="0.3">
      <c r="A23" s="91"/>
      <c r="B23" s="6"/>
      <c r="C23" s="6"/>
      <c r="D23" s="6"/>
      <c r="E23" s="6"/>
      <c r="F23" s="99"/>
      <c r="G23" s="1"/>
      <c r="I23" s="85"/>
      <c r="J23" s="2"/>
      <c r="K23" s="2"/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4" t="s">
        <v>10</v>
      </c>
      <c r="C27" s="84" t="s">
        <v>110</v>
      </c>
      <c r="D27" s="84" t="s">
        <v>7</v>
      </c>
      <c r="E27" s="84" t="s">
        <v>8</v>
      </c>
      <c r="F27" s="84" t="s">
        <v>23</v>
      </c>
      <c r="G27" s="1"/>
    </row>
    <row r="28" spans="1:11" ht="15.6" x14ac:dyDescent="0.3">
      <c r="A28" s="91"/>
      <c r="B28" s="25">
        <f>'4637'!B21</f>
        <v>1</v>
      </c>
      <c r="C28" s="97" t="str">
        <f>'4637'!C21</f>
        <v>CUB MESA 180° 2L</v>
      </c>
      <c r="D28" s="25">
        <f>'4637'!D21</f>
        <v>1170</v>
      </c>
      <c r="E28" s="25">
        <f>'4637'!E21</f>
        <v>840</v>
      </c>
      <c r="F28" s="25" t="str">
        <f>'4637'!F21</f>
        <v>PLATINUM 21059 SF</v>
      </c>
      <c r="G28" s="1"/>
    </row>
    <row r="29" spans="1:11" ht="15.6" x14ac:dyDescent="0.3">
      <c r="A29" s="5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9" t="s">
        <v>27</v>
      </c>
      <c r="D39" s="14">
        <f>'4637'!G8</f>
        <v>7136</v>
      </c>
      <c r="E39" s="1"/>
      <c r="F39" s="1"/>
      <c r="G39" s="1"/>
    </row>
    <row r="40" spans="1:7" ht="17.25" customHeight="1" x14ac:dyDescent="0.3">
      <c r="A40" s="1"/>
      <c r="B40" s="1"/>
      <c r="C40" s="40" t="s">
        <v>67</v>
      </c>
      <c r="D40" s="41" t="str">
        <f>'4637'!C10</f>
        <v>ESTRUCTURAS VINET SPA</v>
      </c>
      <c r="E40" s="42"/>
      <c r="F40" s="42"/>
      <c r="G40" s="1"/>
    </row>
    <row r="41" spans="1:7" ht="4.5" customHeight="1" x14ac:dyDescent="0.3">
      <c r="A41" s="1"/>
      <c r="B41" s="1"/>
      <c r="C41" s="43"/>
      <c r="D41" s="44"/>
      <c r="E41" s="1"/>
      <c r="F41" s="1"/>
      <c r="G41" s="1"/>
    </row>
    <row r="42" spans="1:7" ht="15.6" x14ac:dyDescent="0.3">
      <c r="A42" s="1"/>
      <c r="B42" s="1"/>
      <c r="C42" s="45" t="str">
        <f>'4637'!F11</f>
        <v>FECHA LIMITE :</v>
      </c>
      <c r="D42" s="13">
        <f>'4637'!G11</f>
        <v>45636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1" t="s">
        <v>68</v>
      </c>
      <c r="B45" s="121"/>
      <c r="C45" s="121"/>
      <c r="D45" s="121"/>
      <c r="E45" s="121"/>
      <c r="F45" s="12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2" t="s">
        <v>69</v>
      </c>
      <c r="C47" s="123"/>
      <c r="D47" s="124"/>
      <c r="E47" s="124"/>
      <c r="F47" s="125"/>
      <c r="G47" s="1"/>
    </row>
    <row r="48" spans="1:7" s="15" customFormat="1" ht="12.75" customHeight="1" x14ac:dyDescent="0.3">
      <c r="A48" s="1"/>
      <c r="B48" s="36" t="s">
        <v>10</v>
      </c>
      <c r="C48" s="46" t="s">
        <v>11</v>
      </c>
      <c r="D48" s="47" t="s">
        <v>7</v>
      </c>
      <c r="E48" s="47" t="s">
        <v>8</v>
      </c>
      <c r="F48" s="48" t="s">
        <v>12</v>
      </c>
      <c r="G48" s="1"/>
    </row>
    <row r="49" spans="1:7" s="15" customFormat="1" ht="15" customHeight="1" x14ac:dyDescent="0.35">
      <c r="A49" s="91" t="s">
        <v>140</v>
      </c>
      <c r="B49" s="38">
        <f>'4637'!B21</f>
        <v>1</v>
      </c>
      <c r="C49" s="96" t="str">
        <f>'4637'!C21</f>
        <v>CUB MESA 180° 2L</v>
      </c>
      <c r="D49" s="103">
        <f>'4637'!D21</f>
        <v>1170</v>
      </c>
      <c r="E49" s="103">
        <f>'4637'!E21</f>
        <v>840</v>
      </c>
      <c r="F49" s="38" t="str">
        <f>'4637'!F21</f>
        <v>PLATINUM 21059 SF</v>
      </c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2024-12-09T18:39:04Z</cp:lastPrinted>
  <dcterms:created xsi:type="dcterms:W3CDTF">2013-03-19T12:54:14Z</dcterms:created>
  <dcterms:modified xsi:type="dcterms:W3CDTF">2024-12-09T18:39:26Z</dcterms:modified>
</cp:coreProperties>
</file>