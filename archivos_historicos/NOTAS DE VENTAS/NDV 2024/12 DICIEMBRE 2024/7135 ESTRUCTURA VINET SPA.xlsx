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12 DICIEMBRE 2024\"/>
    </mc:Choice>
  </mc:AlternateContent>
  <xr:revisionPtr revIDLastSave="0" documentId="13_ncr:1_{A4D6D3F5-5A78-4CA0-BFB9-CA89716B63E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'4637'!$A$1:$H$34</definedName>
    <definedName name="_xlnm.Print_Area" localSheetId="2">CUBIERTA!$A$1:$F$45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3" l="1"/>
  <c r="E27" i="3"/>
  <c r="E28" i="3"/>
  <c r="E25" i="3"/>
  <c r="B37" i="3"/>
  <c r="I28" i="3" s="1"/>
  <c r="B28" i="3" s="1"/>
  <c r="C37" i="3"/>
  <c r="F28" i="3" s="1"/>
  <c r="E37" i="3"/>
  <c r="K28" i="3" s="1"/>
  <c r="F37" i="3"/>
  <c r="B61" i="3"/>
  <c r="C61" i="3"/>
  <c r="D61" i="3"/>
  <c r="D37" i="3" s="1"/>
  <c r="J28" i="3" s="1"/>
  <c r="D28" i="3" s="1"/>
  <c r="E61" i="3"/>
  <c r="F61" i="3"/>
  <c r="H22" i="4"/>
  <c r="H23" i="4"/>
  <c r="H24" i="4"/>
  <c r="B36" i="3"/>
  <c r="I27" i="3" s="1"/>
  <c r="C36" i="3"/>
  <c r="F27" i="3" s="1"/>
  <c r="E36" i="3"/>
  <c r="K27" i="3" s="1"/>
  <c r="F36" i="3"/>
  <c r="B60" i="3"/>
  <c r="C60" i="3"/>
  <c r="D60" i="3"/>
  <c r="D36" i="3" s="1"/>
  <c r="E60" i="3"/>
  <c r="F60" i="3"/>
  <c r="H21" i="4"/>
  <c r="K17" i="3" l="1"/>
  <c r="E17" i="3" s="1"/>
  <c r="I17" i="3"/>
  <c r="B17" i="3" s="1"/>
  <c r="J17" i="3"/>
  <c r="D17" i="3" s="1"/>
  <c r="F17" i="3"/>
  <c r="B27" i="3"/>
  <c r="I16" i="3"/>
  <c r="B16" i="3" s="1"/>
  <c r="K16" i="3"/>
  <c r="E16" i="3" s="1"/>
  <c r="J16" i="3"/>
  <c r="D16" i="3" s="1"/>
  <c r="J27" i="3"/>
  <c r="D27" i="3" s="1"/>
  <c r="F16" i="3"/>
  <c r="D59" i="3"/>
  <c r="D35" i="3" s="1"/>
  <c r="J26" i="3" s="1"/>
  <c r="D26" i="3" s="1"/>
  <c r="B35" i="3"/>
  <c r="I26" i="3" s="1"/>
  <c r="B26" i="3" s="1"/>
  <c r="C35" i="3"/>
  <c r="F26" i="3" s="1"/>
  <c r="E35" i="3"/>
  <c r="K26" i="3" s="1"/>
  <c r="F35" i="3"/>
  <c r="B59" i="3"/>
  <c r="C59" i="3"/>
  <c r="E59" i="3"/>
  <c r="F59" i="3"/>
  <c r="K15" i="3" l="1"/>
  <c r="E15" i="3" s="1"/>
  <c r="J15" i="3"/>
  <c r="D15" i="3" s="1"/>
  <c r="I15" i="3"/>
  <c r="B15" i="3" s="1"/>
  <c r="F15" i="3"/>
  <c r="H28" i="4" l="1"/>
  <c r="B58" i="3"/>
  <c r="C58" i="3"/>
  <c r="D58" i="3"/>
  <c r="E58" i="3"/>
  <c r="F58" i="3"/>
  <c r="B34" i="3"/>
  <c r="C34" i="3"/>
  <c r="F25" i="3" s="1"/>
  <c r="D34" i="3"/>
  <c r="J14" i="3" s="1"/>
  <c r="D14" i="3" s="1"/>
  <c r="E34" i="3"/>
  <c r="K14" i="3" s="1"/>
  <c r="E14" i="3" s="1"/>
  <c r="F34" i="3"/>
  <c r="H29" i="4" l="1"/>
  <c r="I25" i="3"/>
  <c r="F14" i="3"/>
  <c r="K25" i="3"/>
  <c r="J25" i="3"/>
  <c r="D25" i="3" s="1"/>
  <c r="B25" i="3" l="1"/>
  <c r="B14" i="3"/>
  <c r="H30" i="4"/>
  <c r="N5" i="3" l="1"/>
  <c r="M5" i="3" l="1"/>
  <c r="L5" i="3"/>
  <c r="K5" i="3"/>
  <c r="C51" i="3" l="1"/>
  <c r="C7" i="3"/>
  <c r="D49" i="3"/>
  <c r="D5" i="3"/>
  <c r="D51" i="3"/>
  <c r="D7" i="3"/>
  <c r="D48" i="3"/>
  <c r="D4" i="3"/>
</calcChain>
</file>

<file path=xl/sharedStrings.xml><?xml version="1.0" encoding="utf-8"?>
<sst xmlns="http://schemas.openxmlformats.org/spreadsheetml/2006/main" count="254" uniqueCount="147">
  <si>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</si>
  <si>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</si>
  <si>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</si>
  <si>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</si>
  <si>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</si>
  <si>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</si>
  <si>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</si>
  <si>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</si>
  <si>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</si>
  <si>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</si>
  <si>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</si>
  <si>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</si>
  <si>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</si>
  <si>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</si>
  <si>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</si>
  <si>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</si>
  <si>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</si>
  <si>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</si>
  <si>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</si>
  <si>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</si>
  <si>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</si>
  <si>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</si>
  <si>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</si>
  <si>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</si>
  <si>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</si>
  <si>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</si>
  <si>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</si>
  <si>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</si>
  <si>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</si>
  <si>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</si>
  <si>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</si>
  <si>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</si>
  <si>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</si>
  <si>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</si>
  <si>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</si>
  <si>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</si>
  <si>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</si>
  <si>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</si>
  <si>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</si>
  <si>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</si>
  <si>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</si>
  <si>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</si>
  <si>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</si>
  <si>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</si>
  <si>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</si>
  <si>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</si>
  <si>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</si>
  <si>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</si>
  <si>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</si>
  <si>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</si>
  <si>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</si>
  <si>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</si>
  <si>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</si>
  <si>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</si>
  <si>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</si>
  <si>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</si>
  <si>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</si>
  <si>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</si>
  <si>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</si>
  <si>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</si>
  <si>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</si>
  <si>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</si>
  <si>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</si>
  <si>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</si>
  <si>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</si>
  <si>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</si>
  <si>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</si>
  <si>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</si>
  <si>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</si>
  <si>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</si>
  <si>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</si>
  <si>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</si>
  <si>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</si>
  <si>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</si>
  <si>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</si>
  <si>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</si>
  <si>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</si>
  <si>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</si>
  <si>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</si>
  <si>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</si>
  <si>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</si>
  <si>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</si>
  <si>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</si>
  <si>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</si>
  <si>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</si>
  <si>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</si>
  <si>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</si>
  <si>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</si>
  <si>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</si>
  <si>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</si>
  <si>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</si>
  <si>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</si>
  <si>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</si>
  <si>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</si>
  <si>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</si>
  <si>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</si>
  <si>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</si>
  <si>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</si>
  <si>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</si>
  <si>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</si>
  <si>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</si>
  <si>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</si>
  <si>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</si>
  <si>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</si>
  <si>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</si>
  <si>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</si>
  <si>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</si>
  <si>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</si>
  <si>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</si>
  <si>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</si>
  <si>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</si>
  <si>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</si>
  <si>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</si>
  <si>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</si>
  <si>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</si>
  <si>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</si>
  <si>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</si>
  <si>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</si>
  <si>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</si>
  <si>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</si>
  <si>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</si>
  <si>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</si>
  <si>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</si>
  <si>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</si>
  <si>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</si>
  <si>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</si>
  <si>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</si>
  <si>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</si>
  <si>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</si>
  <si>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</si>
  <si>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</si>
  <si>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</si>
  <si>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</si>
  <si>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CONTACTO:</t>
  </si>
  <si>
    <t>NO</t>
  </si>
  <si>
    <t>ESTRUCTURAS VINET SPA</t>
  </si>
  <si>
    <t>76.982.425-1</t>
  </si>
  <si>
    <t>ROBERTO BUSTOS</t>
  </si>
  <si>
    <t>+569 3094 4033</t>
  </si>
  <si>
    <t>CHILLAN</t>
  </si>
  <si>
    <t>MDF18MM</t>
  </si>
  <si>
    <t>MDF15MM</t>
  </si>
  <si>
    <t>N° 11192</t>
  </si>
  <si>
    <t>E/R 2 CARAS MDF 36MM</t>
  </si>
  <si>
    <t>ESSENSA PP-7976 TX</t>
  </si>
  <si>
    <t>E/R 1 CARA 15MM</t>
  </si>
  <si>
    <t>MDF36MM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</si>
</sst>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3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6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8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7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0" xfId="0" applyFont="1" applyAlignment="1">
      <alignment horizontal="center"/>
    </xf>
    <xf numFmtId="166" fontId="3" fillId="0" borderId="0" xfId="0" applyNumberFormat="1" applyFont="1"/>
    <xf numFmtId="0" fontId="18" fillId="0" borderId="0" xfId="0" applyFont="1"/>
    <xf numFmtId="0" fontId="18" fillId="3" borderId="0" xfId="0" applyFont="1" applyFill="1"/>
    <xf numFmtId="0" fontId="19" fillId="0" borderId="24" xfId="0" applyFont="1" applyBorder="1" applyAlignment="1">
      <alignment horizontal="center"/>
    </xf>
    <xf numFmtId="1" fontId="19" fillId="0" borderId="24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20" fillId="0" borderId="0" xfId="0" applyFont="1" applyAlignment="1">
      <alignment horizontal="right"/>
    </xf>
    <xf numFmtId="0" fontId="3" fillId="3" borderId="0" xfId="0" applyFont="1" applyFill="1" applyAlignment="1">
      <alignment horizontal="center"/>
    </xf>
    <xf numFmtId="0" fontId="21" fillId="0" borderId="0" xfId="0" quotePrefix="1" applyFont="1"/>
    <xf numFmtId="1" fontId="15" fillId="0" borderId="0" xfId="0" applyNumberFormat="1" applyFont="1" applyAlignment="1">
      <alignment horizontal="center" vertical="center"/>
    </xf>
    <xf numFmtId="0" fontId="1" fillId="8" borderId="29" xfId="0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5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27</xdr:row>
      <xdr:rowOff>9525</xdr:rowOff>
    </xdr:from>
    <xdr:to>
      <xdr:col>5</xdr:col>
      <xdr:colOff>1390650</xdr:colOff>
      <xdr:row>31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5084445"/>
          <a:ext cx="5600700" cy="838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900" b="1" i="1"/>
            <a:t>OBSERVACIONES:  </a:t>
          </a:r>
          <a:endParaRPr lang="es-CL" sz="900">
            <a:effectLst/>
          </a:endParaRP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19</xdr:row>
      <xdr:rowOff>76200</xdr:rowOff>
    </xdr:from>
    <xdr:to>
      <xdr:col>5</xdr:col>
      <xdr:colOff>1676399</xdr:colOff>
      <xdr:row>21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52</xdr:row>
      <xdr:rowOff>171450</xdr:rowOff>
    </xdr:from>
    <xdr:to>
      <xdr:col>5</xdr:col>
      <xdr:colOff>1685924</xdr:colOff>
      <xdr:row>54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50</xdr:row>
      <xdr:rowOff>0</xdr:rowOff>
    </xdr:from>
    <xdr:to>
      <xdr:col>6</xdr:col>
      <xdr:colOff>0</xdr:colOff>
      <xdr:row>51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48</xdr:row>
      <xdr:rowOff>38100</xdr:rowOff>
    </xdr:from>
    <xdr:to>
      <xdr:col>6</xdr:col>
      <xdr:colOff>0</xdr:colOff>
      <xdr:row>49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0</xdr:rowOff>
    </xdr:from>
    <xdr:to>
      <xdr:col>6</xdr:col>
      <xdr:colOff>0</xdr:colOff>
      <xdr:row>48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62</xdr:row>
      <xdr:rowOff>0</xdr:rowOff>
    </xdr:from>
    <xdr:to>
      <xdr:col>2</xdr:col>
      <xdr:colOff>38100</xdr:colOff>
      <xdr:row>63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62</xdr:row>
      <xdr:rowOff>0</xdr:rowOff>
    </xdr:from>
    <xdr:to>
      <xdr:col>2</xdr:col>
      <xdr:colOff>1019175</xdr:colOff>
      <xdr:row>62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62</xdr:row>
      <xdr:rowOff>0</xdr:rowOff>
    </xdr:from>
    <xdr:to>
      <xdr:col>3</xdr:col>
      <xdr:colOff>352425</xdr:colOff>
      <xdr:row>63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62</xdr:row>
      <xdr:rowOff>0</xdr:rowOff>
    </xdr:from>
    <xdr:to>
      <xdr:col>4</xdr:col>
      <xdr:colOff>257175</xdr:colOff>
      <xdr:row>63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62</xdr:row>
      <xdr:rowOff>0</xdr:rowOff>
    </xdr:from>
    <xdr:to>
      <xdr:col>5</xdr:col>
      <xdr:colOff>447675</xdr:colOff>
      <xdr:row>62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62</xdr:row>
      <xdr:rowOff>0</xdr:rowOff>
    </xdr:from>
    <xdr:to>
      <xdr:col>6</xdr:col>
      <xdr:colOff>0</xdr:colOff>
      <xdr:row>62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62</xdr:row>
      <xdr:rowOff>190500</xdr:rowOff>
    </xdr:from>
    <xdr:to>
      <xdr:col>2</xdr:col>
      <xdr:colOff>304800</xdr:colOff>
      <xdr:row>64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62</xdr:row>
      <xdr:rowOff>190500</xdr:rowOff>
    </xdr:from>
    <xdr:to>
      <xdr:col>2</xdr:col>
      <xdr:colOff>1276350</xdr:colOff>
      <xdr:row>64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62</xdr:row>
      <xdr:rowOff>190500</xdr:rowOff>
    </xdr:from>
    <xdr:to>
      <xdr:col>3</xdr:col>
      <xdr:colOff>619125</xdr:colOff>
      <xdr:row>64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62</xdr:row>
      <xdr:rowOff>190500</xdr:rowOff>
    </xdr:from>
    <xdr:to>
      <xdr:col>4</xdr:col>
      <xdr:colOff>523875</xdr:colOff>
      <xdr:row>64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62</xdr:row>
      <xdr:rowOff>190500</xdr:rowOff>
    </xdr:from>
    <xdr:to>
      <xdr:col>5</xdr:col>
      <xdr:colOff>723900</xdr:colOff>
      <xdr:row>64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62</xdr:row>
      <xdr:rowOff>190500</xdr:rowOff>
    </xdr:from>
    <xdr:to>
      <xdr:col>6</xdr:col>
      <xdr:colOff>0</xdr:colOff>
      <xdr:row>64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39</xdr:row>
      <xdr:rowOff>15239</xdr:rowOff>
    </xdr:from>
    <xdr:to>
      <xdr:col>6</xdr:col>
      <xdr:colOff>68580</xdr:colOff>
      <xdr:row>43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SEGUN DIBUJO, EMBALAR CON CARTON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29</xdr:row>
      <xdr:rowOff>200025</xdr:rowOff>
    </xdr:from>
    <xdr:to>
      <xdr:col>6</xdr:col>
      <xdr:colOff>19049</xdr:colOff>
      <xdr:row>31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65</xdr:row>
      <xdr:rowOff>32385</xdr:rowOff>
    </xdr:from>
    <xdr:to>
      <xdr:col>6</xdr:col>
      <xdr:colOff>19050</xdr:colOff>
      <xdr:row>69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44855" y="1097470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DUDAS CONSULTAR, EMBALAR CON CARTON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44</xdr:row>
      <xdr:rowOff>194310</xdr:rowOff>
    </xdr:from>
    <xdr:to>
      <xdr:col>2</xdr:col>
      <xdr:colOff>100723</xdr:colOff>
      <xdr:row>51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topLeftCell="A17" workbookViewId="0">
      <selection activeCell="K14" sqref="K1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2" customWidth="1"/>
    <col min="4" max="5" width="9.109375" customWidth="1"/>
    <col min="6" max="6" width="38.332031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6" t="s">
        <v>16</v>
      </c>
      <c r="C8" s="87"/>
      <c r="D8" s="88" t="s">
        <v>142</v>
      </c>
      <c r="E8" s="1"/>
      <c r="F8" s="89" t="s">
        <v>27</v>
      </c>
      <c r="G8" s="90">
        <v>7135</v>
      </c>
      <c r="H8" s="1"/>
      <c r="I8" s="1"/>
    </row>
    <row r="9" spans="1:17" ht="16.2" thickBot="1" x14ac:dyDescent="0.35">
      <c r="A9" s="1"/>
      <c r="B9" s="1"/>
      <c r="C9" s="1"/>
      <c r="D9" s="7"/>
      <c r="E9" s="1"/>
      <c r="F9" s="1"/>
      <c r="G9" s="1"/>
      <c r="H9" s="1"/>
      <c r="I9" s="1"/>
    </row>
    <row r="10" spans="1:17" ht="16.2" thickBot="1" x14ac:dyDescent="0.35">
      <c r="A10" s="1"/>
      <c r="B10" s="53" t="s">
        <v>130</v>
      </c>
      <c r="C10" s="82" t="s">
        <v>135</v>
      </c>
      <c r="D10" s="54"/>
      <c r="E10" s="54"/>
      <c r="F10" s="55" t="s">
        <v>28</v>
      </c>
      <c r="G10" s="56">
        <v>45630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1" t="s">
        <v>136</v>
      </c>
      <c r="D11" s="59"/>
      <c r="E11" s="59"/>
      <c r="F11" s="59" t="s">
        <v>124</v>
      </c>
      <c r="G11" s="60">
        <v>45631</v>
      </c>
      <c r="H11" s="61"/>
      <c r="I11" s="1"/>
    </row>
    <row r="12" spans="1:17" ht="16.8" x14ac:dyDescent="0.4">
      <c r="A12" s="1"/>
      <c r="B12" s="62" t="s">
        <v>132</v>
      </c>
      <c r="C12" s="102"/>
      <c r="D12" s="42"/>
      <c r="E12" s="42"/>
      <c r="F12" s="42" t="s">
        <v>30</v>
      </c>
      <c r="G12" s="63"/>
      <c r="H12" s="64"/>
      <c r="I12" s="1"/>
    </row>
    <row r="13" spans="1:17" ht="15.6" x14ac:dyDescent="0.3">
      <c r="A13" s="1"/>
      <c r="B13" s="62" t="s">
        <v>133</v>
      </c>
      <c r="C13" t="s">
        <v>137</v>
      </c>
      <c r="D13" s="42"/>
      <c r="E13" s="42"/>
      <c r="F13" s="42" t="s">
        <v>129</v>
      </c>
      <c r="G13" s="63" t="s">
        <v>131</v>
      </c>
      <c r="H13" s="64"/>
      <c r="I13" s="1"/>
    </row>
    <row r="14" spans="1:17" ht="15.6" x14ac:dyDescent="0.3">
      <c r="A14" s="1"/>
      <c r="B14" s="58" t="s">
        <v>17</v>
      </c>
      <c r="C14" s="108" t="s">
        <v>138</v>
      </c>
      <c r="D14" s="65"/>
      <c r="E14" s="59"/>
      <c r="F14" s="59" t="s">
        <v>29</v>
      </c>
      <c r="G14" s="59" t="s">
        <v>134</v>
      </c>
      <c r="H14" s="61"/>
      <c r="I14" s="1"/>
    </row>
    <row r="15" spans="1:17" ht="15.6" x14ac:dyDescent="0.3">
      <c r="A15" s="1"/>
      <c r="B15" s="62" t="s">
        <v>1</v>
      </c>
      <c r="D15" s="42"/>
      <c r="E15" s="42"/>
      <c r="F15" s="66" t="s">
        <v>75</v>
      </c>
      <c r="G15" s="66" t="s">
        <v>127</v>
      </c>
      <c r="H15" s="64"/>
      <c r="I15" s="1"/>
    </row>
    <row r="16" spans="1:17" ht="16.2" thickBot="1" x14ac:dyDescent="0.35">
      <c r="A16" s="1"/>
      <c r="B16" s="67" t="s">
        <v>3</v>
      </c>
      <c r="C16" s="68" t="s">
        <v>139</v>
      </c>
      <c r="D16" s="68"/>
      <c r="E16" s="69"/>
      <c r="F16" s="116" t="s">
        <v>18</v>
      </c>
      <c r="G16" s="116"/>
      <c r="H16" s="117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8" t="s">
        <v>19</v>
      </c>
      <c r="C19" s="119"/>
      <c r="D19" s="119"/>
      <c r="E19" s="119"/>
      <c r="F19" s="119"/>
      <c r="G19" s="119"/>
      <c r="H19" s="120"/>
      <c r="I19" s="1"/>
    </row>
    <row r="20" spans="1:16" ht="15.6" x14ac:dyDescent="0.3">
      <c r="A20" s="1"/>
      <c r="B20" s="110" t="s">
        <v>20</v>
      </c>
      <c r="C20" s="111" t="s">
        <v>21</v>
      </c>
      <c r="D20" s="111" t="s">
        <v>22</v>
      </c>
      <c r="E20" s="111" t="s">
        <v>8</v>
      </c>
      <c r="F20" s="112" t="s">
        <v>23</v>
      </c>
      <c r="G20" s="110" t="s">
        <v>24</v>
      </c>
      <c r="H20" s="112" t="s">
        <v>4</v>
      </c>
      <c r="I20" s="1"/>
    </row>
    <row r="21" spans="1:16" ht="18" customHeight="1" x14ac:dyDescent="0.3">
      <c r="A21" s="1"/>
      <c r="B21" s="113">
        <v>1</v>
      </c>
      <c r="C21" s="113" t="s">
        <v>143</v>
      </c>
      <c r="D21" s="114">
        <v>1470</v>
      </c>
      <c r="E21" s="114">
        <v>550</v>
      </c>
      <c r="F21" s="113" t="s">
        <v>144</v>
      </c>
      <c r="G21" s="115">
        <v>132443</v>
      </c>
      <c r="H21" s="115">
        <f>G21*B21</f>
        <v>132443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13">
        <v>1</v>
      </c>
      <c r="C22" s="113" t="s">
        <v>145</v>
      </c>
      <c r="D22" s="114">
        <v>1750</v>
      </c>
      <c r="E22" s="114">
        <v>1150</v>
      </c>
      <c r="F22" s="113" t="s">
        <v>144</v>
      </c>
      <c r="G22" s="115">
        <v>152182</v>
      </c>
      <c r="H22" s="115">
        <f t="shared" ref="H22:H24" si="0">G22*B22</f>
        <v>152182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13">
        <v>2</v>
      </c>
      <c r="C23" s="113" t="s">
        <v>145</v>
      </c>
      <c r="D23" s="114">
        <v>1400</v>
      </c>
      <c r="E23" s="114">
        <v>750</v>
      </c>
      <c r="F23" s="113" t="s">
        <v>144</v>
      </c>
      <c r="G23" s="115">
        <v>80508</v>
      </c>
      <c r="H23" s="115">
        <f t="shared" si="0"/>
        <v>161016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13">
        <v>1</v>
      </c>
      <c r="C24" s="113" t="s">
        <v>145</v>
      </c>
      <c r="D24" s="114">
        <v>1550</v>
      </c>
      <c r="E24" s="114">
        <v>750</v>
      </c>
      <c r="F24" s="113" t="s">
        <v>144</v>
      </c>
      <c r="G24" s="115">
        <v>89013</v>
      </c>
      <c r="H24" s="115">
        <f t="shared" si="0"/>
        <v>89013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92"/>
      <c r="C25" s="92"/>
      <c r="D25" s="109"/>
      <c r="E25" s="109"/>
      <c r="F25" s="92"/>
      <c r="G25" s="71"/>
      <c r="H25" s="71"/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92"/>
      <c r="C26" s="92"/>
      <c r="D26" s="92"/>
      <c r="E26" s="92"/>
      <c r="F26" s="93"/>
      <c r="G26" s="94"/>
      <c r="H26" s="94"/>
      <c r="I26" s="1"/>
      <c r="K26" s="17"/>
      <c r="L26" s="26"/>
      <c r="M26" s="17"/>
      <c r="N26" s="17"/>
      <c r="O26" s="26"/>
      <c r="P26" s="33"/>
    </row>
    <row r="27" spans="1:16" ht="8.25" customHeight="1" thickBot="1" x14ac:dyDescent="0.35">
      <c r="A27" s="1"/>
      <c r="B27" s="70"/>
      <c r="C27" s="70"/>
      <c r="D27" s="70"/>
      <c r="E27" s="70"/>
      <c r="F27" s="70"/>
      <c r="G27" s="71"/>
      <c r="H27" s="71"/>
      <c r="I27" s="1"/>
    </row>
    <row r="28" spans="1:16" ht="15.6" x14ac:dyDescent="0.3">
      <c r="A28" s="1"/>
      <c r="B28" s="1"/>
      <c r="C28" s="1"/>
      <c r="D28" s="1"/>
      <c r="E28" s="1"/>
      <c r="F28" s="1"/>
      <c r="G28" s="72" t="s">
        <v>5</v>
      </c>
      <c r="H28" s="73">
        <f>SUM(H21:H27)</f>
        <v>534654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74" t="s">
        <v>6</v>
      </c>
      <c r="H29" s="75">
        <f>H28*19%</f>
        <v>101584.26</v>
      </c>
      <c r="I29" s="1"/>
    </row>
    <row r="30" spans="1:16" ht="16.2" thickBot="1" x14ac:dyDescent="0.35">
      <c r="A30" s="1"/>
      <c r="B30" s="1"/>
      <c r="C30" s="1"/>
      <c r="D30" s="1"/>
      <c r="E30" s="1"/>
      <c r="F30" s="1"/>
      <c r="G30" s="76" t="s">
        <v>4</v>
      </c>
      <c r="H30" s="77">
        <f>H28+H29</f>
        <v>636238.26</v>
      </c>
      <c r="I30" s="100"/>
    </row>
    <row r="31" spans="1:16" ht="15.6" x14ac:dyDescent="0.3">
      <c r="A31" s="1"/>
      <c r="B31" s="1"/>
      <c r="C31" s="1"/>
      <c r="D31" s="1"/>
      <c r="E31" s="1"/>
      <c r="F31" s="1"/>
      <c r="G31" s="51"/>
      <c r="H31" s="95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78" t="s">
        <v>123</v>
      </c>
      <c r="C33" s="79"/>
      <c r="D33" s="80"/>
      <c r="E33" s="80"/>
      <c r="F33" s="70"/>
      <c r="G33" s="1"/>
      <c r="H33" s="1"/>
      <c r="I33" s="1"/>
    </row>
    <row r="34" spans="1:9" ht="15.6" x14ac:dyDescent="0.3">
      <c r="A34" s="1"/>
      <c r="B34" s="78" t="s">
        <v>122</v>
      </c>
      <c r="C34" s="79"/>
      <c r="D34" s="80"/>
      <c r="E34" s="80"/>
      <c r="F34" s="70"/>
      <c r="G34" s="1"/>
      <c r="H34" s="1"/>
      <c r="I34" s="1"/>
    </row>
    <row r="35" spans="1:9" ht="15.6" x14ac:dyDescent="0.3">
      <c r="A35" s="1"/>
      <c r="B35" s="1" t="s">
        <v>25</v>
      </c>
      <c r="C35" s="1"/>
      <c r="D35" s="1"/>
      <c r="E35" s="81" t="s">
        <v>26</v>
      </c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</sheetData>
  <sortState xmlns:xlrd2="http://schemas.microsoft.com/office/spreadsheetml/2017/richdata2" ref="B39">
    <sortCondition sortBy="fontColor" ref="B39" dxfId="1"/>
  </sortState>
  <mergeCells count="2">
    <mergeCell ref="F16:H16"/>
    <mergeCell ref="B19:H19"/>
  </mergeCells>
  <phoneticPr fontId="10" type="noConversion"/>
  <hyperlinks>
    <hyperlink ref="E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1" t="s">
        <v>31</v>
      </c>
      <c r="C2" s="121"/>
      <c r="D2" s="121"/>
      <c r="E2" s="18"/>
      <c r="G2" s="121" t="s">
        <v>70</v>
      </c>
      <c r="H2" s="121"/>
      <c r="I2" s="121"/>
      <c r="P2" s="122" t="s">
        <v>58</v>
      </c>
      <c r="Q2" s="122"/>
      <c r="R2" s="122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2" t="s">
        <v>58</v>
      </c>
      <c r="M8" s="122"/>
      <c r="N8" s="122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3"/>
  <sheetViews>
    <sheetView tabSelected="1" zoomScaleNormal="100" workbookViewId="0">
      <selection sqref="A1:F45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3" t="s">
        <v>61</v>
      </c>
      <c r="L3" s="123"/>
      <c r="M3" s="123" t="s">
        <v>14</v>
      </c>
      <c r="N3" s="123"/>
    </row>
    <row r="4" spans="1:14" ht="15.75" customHeight="1" x14ac:dyDescent="0.3">
      <c r="A4" s="1"/>
      <c r="B4" s="1"/>
      <c r="C4" s="39" t="s">
        <v>27</v>
      </c>
      <c r="D4" s="14">
        <f>'4637'!G8</f>
        <v>7135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ESTRUCTURAS VINET SPA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3" t="str">
        <f>'4637'!F11</f>
        <v>FECHA LIMITE :</v>
      </c>
      <c r="D7" s="13">
        <f>'4637'!G11</f>
        <v>45631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4" t="s">
        <v>61</v>
      </c>
      <c r="B10" s="124"/>
      <c r="C10" s="124"/>
      <c r="D10" s="124"/>
      <c r="E10" s="124"/>
      <c r="F10" s="124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20</v>
      </c>
      <c r="E13" s="32">
        <v>20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1" t="s">
        <v>140</v>
      </c>
      <c r="B14" s="25">
        <f t="shared" ref="B14" si="0">I14</f>
        <v>2</v>
      </c>
      <c r="C14" s="25"/>
      <c r="D14" s="25">
        <f>J14+D$13</f>
        <v>1490</v>
      </c>
      <c r="E14" s="35">
        <f>K14+E$13</f>
        <v>570</v>
      </c>
      <c r="F14" s="97" t="str">
        <f t="shared" ref="F14" si="1">C34</f>
        <v>E/R 2 CARAS MDF 36MM</v>
      </c>
      <c r="G14" s="1"/>
      <c r="I14" s="3">
        <v>2</v>
      </c>
      <c r="J14" s="4">
        <f t="shared" ref="J14:K14" si="2">D34</f>
        <v>1470</v>
      </c>
      <c r="K14" s="4">
        <f t="shared" si="2"/>
        <v>550</v>
      </c>
    </row>
    <row r="15" spans="1:14" ht="15.6" x14ac:dyDescent="0.3">
      <c r="A15" s="91" t="s">
        <v>141</v>
      </c>
      <c r="B15" s="25">
        <f t="shared" ref="B15" si="3">I15</f>
        <v>1</v>
      </c>
      <c r="C15" s="25"/>
      <c r="D15" s="25">
        <f t="shared" ref="D15:D16" si="4">J15+D$13</f>
        <v>1770</v>
      </c>
      <c r="E15" s="35">
        <f t="shared" ref="E15:E17" si="5">K15+E$13</f>
        <v>1170</v>
      </c>
      <c r="F15" s="97" t="str">
        <f>C35</f>
        <v>E/R 1 CARA 15MM</v>
      </c>
      <c r="G15" s="1"/>
      <c r="I15" s="3">
        <f>I26</f>
        <v>1</v>
      </c>
      <c r="J15" s="4">
        <f>D35</f>
        <v>1750</v>
      </c>
      <c r="K15" s="4">
        <f>E35</f>
        <v>1150</v>
      </c>
    </row>
    <row r="16" spans="1:14" ht="15.6" x14ac:dyDescent="0.3">
      <c r="B16" s="25">
        <f t="shared" ref="B16" si="6">I16</f>
        <v>2</v>
      </c>
      <c r="C16" s="25"/>
      <c r="D16" s="25">
        <f t="shared" si="4"/>
        <v>1420</v>
      </c>
      <c r="E16" s="35">
        <f t="shared" si="5"/>
        <v>770</v>
      </c>
      <c r="F16" s="97" t="str">
        <f>C36</f>
        <v>E/R 1 CARA 15MM</v>
      </c>
      <c r="G16" s="1"/>
      <c r="I16" s="3">
        <f>I27</f>
        <v>2</v>
      </c>
      <c r="J16" s="4">
        <f>D36</f>
        <v>1400</v>
      </c>
      <c r="K16" s="4">
        <f>E36</f>
        <v>750</v>
      </c>
    </row>
    <row r="17" spans="1:11" ht="15.6" x14ac:dyDescent="0.3">
      <c r="A17" s="91"/>
      <c r="B17" s="25">
        <f t="shared" ref="B17" si="7">I17</f>
        <v>1</v>
      </c>
      <c r="C17" s="25"/>
      <c r="D17" s="25">
        <f t="shared" ref="D17" si="8">J17+D$13</f>
        <v>1570</v>
      </c>
      <c r="E17" s="35">
        <f t="shared" si="5"/>
        <v>770</v>
      </c>
      <c r="F17" s="97" t="str">
        <f>C37</f>
        <v>E/R 1 CARA 15MM</v>
      </c>
      <c r="G17" s="1"/>
      <c r="I17" s="3">
        <f>I28</f>
        <v>1</v>
      </c>
      <c r="J17" s="4">
        <f t="shared" ref="J17:K17" si="9">D37</f>
        <v>1550</v>
      </c>
      <c r="K17" s="4">
        <f t="shared" si="9"/>
        <v>750</v>
      </c>
    </row>
    <row r="18" spans="1:11" ht="15.6" x14ac:dyDescent="0.3">
      <c r="A18" s="91"/>
      <c r="B18" s="6"/>
      <c r="C18" s="6"/>
      <c r="D18" s="6"/>
      <c r="E18" s="107"/>
      <c r="F18" s="99"/>
      <c r="G18" s="1"/>
      <c r="I18" s="85"/>
      <c r="J18" s="2"/>
      <c r="K18" s="2"/>
    </row>
    <row r="19" spans="1:11" ht="15.6" x14ac:dyDescent="0.3">
      <c r="A19" s="91"/>
      <c r="B19" s="6"/>
      <c r="C19" s="6"/>
      <c r="D19" s="6"/>
      <c r="E19" s="107"/>
      <c r="F19" s="99"/>
      <c r="G19" s="1"/>
      <c r="I19" s="85"/>
      <c r="J19" s="2"/>
      <c r="K19" s="2"/>
    </row>
    <row r="20" spans="1:11" ht="6.75" customHeight="1" x14ac:dyDescent="0.3">
      <c r="A20" s="1"/>
      <c r="B20" s="1"/>
      <c r="C20" s="1"/>
      <c r="D20" s="1"/>
      <c r="E20" s="1"/>
      <c r="F20" s="1"/>
      <c r="G20" s="1"/>
    </row>
    <row r="21" spans="1:11" ht="15.6" x14ac:dyDescent="0.3">
      <c r="A21" s="124" t="s">
        <v>14</v>
      </c>
      <c r="B21" s="124"/>
      <c r="C21" s="124"/>
      <c r="D21" s="124"/>
      <c r="E21" s="124"/>
      <c r="F21" s="124"/>
      <c r="G21" s="1"/>
    </row>
    <row r="22" spans="1:11" ht="10.5" customHeight="1" x14ac:dyDescent="0.3">
      <c r="A22" s="1"/>
      <c r="B22" s="1"/>
      <c r="C22" s="12"/>
      <c r="D22" s="1"/>
      <c r="E22" s="1"/>
      <c r="F22" s="1"/>
      <c r="G22" s="1"/>
    </row>
    <row r="23" spans="1:11" ht="15.6" x14ac:dyDescent="0.3">
      <c r="A23" s="1"/>
      <c r="B23" s="1"/>
      <c r="C23" s="1"/>
      <c r="D23" s="51" t="s">
        <v>7</v>
      </c>
      <c r="E23" s="51" t="s">
        <v>8</v>
      </c>
      <c r="F23" s="1"/>
      <c r="G23" s="1"/>
    </row>
    <row r="24" spans="1:11" ht="15.6" x14ac:dyDescent="0.3">
      <c r="A24" s="51" t="s">
        <v>9</v>
      </c>
      <c r="B24" s="36" t="s">
        <v>10</v>
      </c>
      <c r="C24" s="36" t="s">
        <v>11</v>
      </c>
      <c r="D24" s="21">
        <v>20</v>
      </c>
      <c r="E24" s="21">
        <v>20</v>
      </c>
      <c r="F24" s="36" t="s">
        <v>110</v>
      </c>
      <c r="G24" s="1"/>
      <c r="J24" s="5" t="s">
        <v>7</v>
      </c>
      <c r="K24" s="5" t="s">
        <v>8</v>
      </c>
    </row>
    <row r="25" spans="1:11" ht="15.6" x14ac:dyDescent="0.3">
      <c r="A25" s="91"/>
      <c r="B25" s="16">
        <f t="shared" ref="B25" si="10">I25</f>
        <v>1</v>
      </c>
      <c r="C25" s="16"/>
      <c r="D25" s="16">
        <f>J25+D$24</f>
        <v>1490</v>
      </c>
      <c r="E25" s="16">
        <f>K25+E$24</f>
        <v>570</v>
      </c>
      <c r="F25" s="98" t="str">
        <f t="shared" ref="F25" si="11">C34</f>
        <v>E/R 2 CARAS MDF 36MM</v>
      </c>
      <c r="G25" s="1"/>
      <c r="I25" s="3">
        <f t="shared" ref="I25" si="12">B34</f>
        <v>1</v>
      </c>
      <c r="J25" s="4">
        <f>D34</f>
        <v>1470</v>
      </c>
      <c r="K25" s="4">
        <f>E34</f>
        <v>550</v>
      </c>
    </row>
    <row r="26" spans="1:11" ht="15.6" x14ac:dyDescent="0.3">
      <c r="A26" s="106"/>
      <c r="B26" s="16">
        <f t="shared" ref="B26" si="13">I26</f>
        <v>1</v>
      </c>
      <c r="C26" s="16"/>
      <c r="D26" s="16">
        <f t="shared" ref="D26:D27" si="14">J26+D$24</f>
        <v>1770</v>
      </c>
      <c r="E26" s="16">
        <f t="shared" ref="E26:E28" si="15">K26+E$24</f>
        <v>1170</v>
      </c>
      <c r="F26" s="98" t="str">
        <f>C35</f>
        <v>E/R 1 CARA 15MM</v>
      </c>
      <c r="G26" s="1"/>
      <c r="I26" s="3">
        <f>B35</f>
        <v>1</v>
      </c>
      <c r="J26" s="4">
        <f t="shared" ref="J26:K26" si="16">D35</f>
        <v>1750</v>
      </c>
      <c r="K26" s="4">
        <f t="shared" si="16"/>
        <v>1150</v>
      </c>
    </row>
    <row r="27" spans="1:11" ht="15.6" x14ac:dyDescent="0.3">
      <c r="A27" s="106"/>
      <c r="B27" s="16">
        <f t="shared" ref="B27" si="17">I27</f>
        <v>2</v>
      </c>
      <c r="C27" s="16"/>
      <c r="D27" s="16">
        <f t="shared" si="14"/>
        <v>1420</v>
      </c>
      <c r="E27" s="16">
        <f t="shared" si="15"/>
        <v>770</v>
      </c>
      <c r="F27" s="98" t="str">
        <f t="shared" ref="F27:F28" si="18">C36</f>
        <v>E/R 1 CARA 15MM</v>
      </c>
      <c r="G27" s="1"/>
      <c r="I27" s="3">
        <f t="shared" ref="I27:I28" si="19">B36</f>
        <v>2</v>
      </c>
      <c r="J27" s="4">
        <f t="shared" ref="J27" si="20">D36</f>
        <v>1400</v>
      </c>
      <c r="K27" s="4">
        <f t="shared" ref="K27" si="21">E36</f>
        <v>750</v>
      </c>
    </row>
    <row r="28" spans="1:11" ht="15.6" x14ac:dyDescent="0.3">
      <c r="A28" s="106"/>
      <c r="B28" s="16">
        <f t="shared" ref="B28" si="22">I28</f>
        <v>1</v>
      </c>
      <c r="C28" s="16"/>
      <c r="D28" s="16">
        <f t="shared" ref="D28" si="23">J28+D$24</f>
        <v>1570</v>
      </c>
      <c r="E28" s="16">
        <f t="shared" si="15"/>
        <v>770</v>
      </c>
      <c r="F28" s="98" t="str">
        <f t="shared" si="18"/>
        <v>E/R 1 CARA 15MM</v>
      </c>
      <c r="G28" s="1"/>
      <c r="I28" s="3">
        <f t="shared" si="19"/>
        <v>1</v>
      </c>
      <c r="J28" s="4">
        <f t="shared" ref="J28:K28" si="24">D37</f>
        <v>1550</v>
      </c>
      <c r="K28" s="4">
        <f t="shared" si="24"/>
        <v>750</v>
      </c>
    </row>
    <row r="29" spans="1:11" ht="15.6" x14ac:dyDescent="0.3">
      <c r="A29" s="91"/>
      <c r="B29" s="6"/>
      <c r="C29" s="6"/>
      <c r="D29" s="6"/>
      <c r="E29" s="6"/>
      <c r="F29" s="99"/>
      <c r="G29" s="1"/>
      <c r="I29" s="85"/>
      <c r="J29" s="2"/>
      <c r="K29" s="2"/>
    </row>
    <row r="30" spans="1:11" ht="16.2" thickBot="1" x14ac:dyDescent="0.35">
      <c r="A30" s="51"/>
      <c r="B30" s="6"/>
      <c r="C30" s="6"/>
      <c r="D30" s="6"/>
      <c r="E30" s="6"/>
      <c r="F30" s="6"/>
      <c r="G30" s="1"/>
      <c r="I30" s="2"/>
      <c r="J30" s="2"/>
      <c r="K30" s="2"/>
    </row>
    <row r="31" spans="1:11" ht="16.2" thickBot="1" x14ac:dyDescent="0.35">
      <c r="A31" s="51"/>
      <c r="B31" s="22" t="s">
        <v>107</v>
      </c>
      <c r="C31" s="23"/>
      <c r="D31" s="23"/>
      <c r="E31" s="23"/>
      <c r="F31" s="24"/>
      <c r="G31" s="1"/>
      <c r="I31" s="2"/>
      <c r="J31" s="2"/>
      <c r="K31" s="2"/>
    </row>
    <row r="32" spans="1:11" ht="10.5" customHeight="1" x14ac:dyDescent="0.3">
      <c r="A32" s="1"/>
      <c r="B32" s="1"/>
      <c r="C32" s="1"/>
      <c r="D32" s="1"/>
      <c r="E32" s="1"/>
      <c r="F32" s="1"/>
      <c r="G32" s="1"/>
    </row>
    <row r="33" spans="1:7" ht="15.6" x14ac:dyDescent="0.3">
      <c r="A33" s="51" t="s">
        <v>9</v>
      </c>
      <c r="B33" s="84" t="s">
        <v>10</v>
      </c>
      <c r="C33" s="84" t="s">
        <v>110</v>
      </c>
      <c r="D33" s="84" t="s">
        <v>7</v>
      </c>
      <c r="E33" s="84" t="s">
        <v>8</v>
      </c>
      <c r="F33" s="84" t="s">
        <v>23</v>
      </c>
      <c r="G33" s="1"/>
    </row>
    <row r="34" spans="1:7" ht="15.6" x14ac:dyDescent="0.3">
      <c r="A34" s="91"/>
      <c r="B34" s="25">
        <f>'4637'!B21</f>
        <v>1</v>
      </c>
      <c r="C34" s="97" t="str">
        <f>'4637'!C21</f>
        <v>E/R 2 CARAS MDF 36MM</v>
      </c>
      <c r="D34" s="25">
        <f>'4637'!D21</f>
        <v>1470</v>
      </c>
      <c r="E34" s="25">
        <f>'4637'!E21</f>
        <v>550</v>
      </c>
      <c r="F34" s="25" t="str">
        <f>'4637'!F21</f>
        <v>ESSENSA PP-7976 TX</v>
      </c>
      <c r="G34" s="1"/>
    </row>
    <row r="35" spans="1:7" ht="15.6" x14ac:dyDescent="0.3">
      <c r="A35" s="106"/>
      <c r="B35" s="25">
        <f>'4637'!B22</f>
        <v>1</v>
      </c>
      <c r="C35" s="97" t="str">
        <f>'4637'!C22</f>
        <v>E/R 1 CARA 15MM</v>
      </c>
      <c r="D35" s="105">
        <f t="shared" ref="D35:D37" si="25">D59</f>
        <v>1750</v>
      </c>
      <c r="E35" s="25">
        <f>'4637'!E22</f>
        <v>1150</v>
      </c>
      <c r="F35" s="25" t="str">
        <f>'4637'!F22</f>
        <v>ESSENSA PP-7976 TX</v>
      </c>
      <c r="G35" s="1"/>
    </row>
    <row r="36" spans="1:7" ht="15.6" x14ac:dyDescent="0.3">
      <c r="A36" s="106"/>
      <c r="B36" s="25">
        <f>'4637'!B23</f>
        <v>2</v>
      </c>
      <c r="C36" s="97" t="str">
        <f>'4637'!C23</f>
        <v>E/R 1 CARA 15MM</v>
      </c>
      <c r="D36" s="105">
        <f t="shared" si="25"/>
        <v>1400</v>
      </c>
      <c r="E36" s="25">
        <f>'4637'!E23</f>
        <v>750</v>
      </c>
      <c r="F36" s="25" t="str">
        <f>'4637'!F23</f>
        <v>ESSENSA PP-7976 TX</v>
      </c>
      <c r="G36" s="1"/>
    </row>
    <row r="37" spans="1:7" ht="15.6" x14ac:dyDescent="0.3">
      <c r="A37" s="106"/>
      <c r="B37" s="25">
        <f>'4637'!B24</f>
        <v>1</v>
      </c>
      <c r="C37" s="97" t="str">
        <f>'4637'!C24</f>
        <v>E/R 1 CARA 15MM</v>
      </c>
      <c r="D37" s="105">
        <f t="shared" si="25"/>
        <v>1550</v>
      </c>
      <c r="E37" s="25">
        <f>'4637'!E24</f>
        <v>750</v>
      </c>
      <c r="F37" s="25" t="str">
        <f>'4637'!F24</f>
        <v>ESSENSA PP-7976 TX</v>
      </c>
      <c r="G37" s="1"/>
    </row>
    <row r="38" spans="1:7" ht="15.6" x14ac:dyDescent="0.3">
      <c r="A38" s="5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6"/>
      <c r="C45" s="6"/>
      <c r="D45" s="6"/>
      <c r="E45" s="6"/>
      <c r="F45" s="6"/>
      <c r="G45" s="1"/>
    </row>
    <row r="46" spans="1:7" ht="15.6" x14ac:dyDescent="0.3">
      <c r="A46" s="1"/>
      <c r="B46" s="6"/>
      <c r="C46" s="6"/>
      <c r="D46" s="6"/>
      <c r="E46" s="6"/>
      <c r="F46" s="6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"/>
      <c r="B48" s="1"/>
      <c r="C48" s="39" t="s">
        <v>27</v>
      </c>
      <c r="D48" s="14">
        <f>'4637'!G8</f>
        <v>7135</v>
      </c>
      <c r="E48" s="1"/>
      <c r="F48" s="1"/>
      <c r="G48" s="1"/>
    </row>
    <row r="49" spans="1:7" ht="17.25" customHeight="1" x14ac:dyDescent="0.3">
      <c r="A49" s="1"/>
      <c r="B49" s="1"/>
      <c r="C49" s="40" t="s">
        <v>67</v>
      </c>
      <c r="D49" s="41" t="str">
        <f>'4637'!C10</f>
        <v>ESTRUCTURAS VINET SPA</v>
      </c>
      <c r="E49" s="42"/>
      <c r="F49" s="42"/>
      <c r="G49" s="1"/>
    </row>
    <row r="50" spans="1:7" ht="4.5" customHeight="1" x14ac:dyDescent="0.3">
      <c r="A50" s="1"/>
      <c r="B50" s="1"/>
      <c r="C50" s="43"/>
      <c r="D50" s="44"/>
      <c r="E50" s="1"/>
      <c r="F50" s="1"/>
      <c r="G50" s="1"/>
    </row>
    <row r="51" spans="1:7" ht="15.6" x14ac:dyDescent="0.3">
      <c r="A51" s="1"/>
      <c r="B51" s="1"/>
      <c r="C51" s="45" t="str">
        <f>'4637'!F11</f>
        <v>FECHA LIMITE :</v>
      </c>
      <c r="D51" s="13">
        <f>'4637'!G11</f>
        <v>45631</v>
      </c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24" t="s">
        <v>68</v>
      </c>
      <c r="B54" s="124"/>
      <c r="C54" s="124"/>
      <c r="D54" s="124"/>
      <c r="E54" s="124"/>
      <c r="F54" s="124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75" customHeight="1" x14ac:dyDescent="0.3">
      <c r="A56" s="1"/>
      <c r="B56" s="125" t="s">
        <v>69</v>
      </c>
      <c r="C56" s="126"/>
      <c r="D56" s="127"/>
      <c r="E56" s="127"/>
      <c r="F56" s="128"/>
      <c r="G56" s="1"/>
    </row>
    <row r="57" spans="1:7" s="15" customFormat="1" ht="12.75" customHeight="1" x14ac:dyDescent="0.3">
      <c r="A57" s="1"/>
      <c r="B57" s="36" t="s">
        <v>10</v>
      </c>
      <c r="C57" s="46" t="s">
        <v>11</v>
      </c>
      <c r="D57" s="47" t="s">
        <v>7</v>
      </c>
      <c r="E57" s="47" t="s">
        <v>8</v>
      </c>
      <c r="F57" s="48" t="s">
        <v>12</v>
      </c>
      <c r="G57" s="1"/>
    </row>
    <row r="58" spans="1:7" s="15" customFormat="1" ht="15" customHeight="1" x14ac:dyDescent="0.35">
      <c r="A58" s="91" t="s">
        <v>146</v>
      </c>
      <c r="B58" s="38">
        <f>'4637'!B21</f>
        <v>1</v>
      </c>
      <c r="C58" s="96" t="str">
        <f>'4637'!C21</f>
        <v>E/R 2 CARAS MDF 36MM</v>
      </c>
      <c r="D58" s="103">
        <f>'4637'!D21</f>
        <v>1470</v>
      </c>
      <c r="E58" s="103">
        <f>'4637'!E21</f>
        <v>550</v>
      </c>
      <c r="F58" s="38" t="str">
        <f>'4637'!F21</f>
        <v>ESSENSA PP-7976 TX</v>
      </c>
      <c r="G58" s="1"/>
    </row>
    <row r="59" spans="1:7" s="15" customFormat="1" ht="15" customHeight="1" x14ac:dyDescent="0.35">
      <c r="A59" s="91" t="s">
        <v>141</v>
      </c>
      <c r="B59" s="38">
        <f>'4637'!B22</f>
        <v>1</v>
      </c>
      <c r="C59" s="96" t="str">
        <f>'4637'!C22</f>
        <v>E/R 1 CARA 15MM</v>
      </c>
      <c r="D59" s="104">
        <f>'4637'!D22</f>
        <v>1750</v>
      </c>
      <c r="E59" s="103">
        <f>'4637'!E22</f>
        <v>1150</v>
      </c>
      <c r="F59" s="38" t="str">
        <f>'4637'!F22</f>
        <v>ESSENSA PP-7976 TX</v>
      </c>
      <c r="G59" s="1"/>
    </row>
    <row r="60" spans="1:7" s="15" customFormat="1" ht="15" customHeight="1" x14ac:dyDescent="0.35">
      <c r="A60" s="91"/>
      <c r="B60" s="38">
        <f>'4637'!B23</f>
        <v>2</v>
      </c>
      <c r="C60" s="96" t="str">
        <f>'4637'!C23</f>
        <v>E/R 1 CARA 15MM</v>
      </c>
      <c r="D60" s="104">
        <f>'4637'!D23</f>
        <v>1400</v>
      </c>
      <c r="E60" s="103">
        <f>'4637'!E23</f>
        <v>750</v>
      </c>
      <c r="F60" s="38" t="str">
        <f>'4637'!F23</f>
        <v>ESSENSA PP-7976 TX</v>
      </c>
      <c r="G60" s="1"/>
    </row>
    <row r="61" spans="1:7" s="15" customFormat="1" ht="15" customHeight="1" x14ac:dyDescent="0.35">
      <c r="A61" s="91"/>
      <c r="B61" s="38">
        <f>'4637'!B24</f>
        <v>1</v>
      </c>
      <c r="C61" s="96" t="str">
        <f>'4637'!C24</f>
        <v>E/R 1 CARA 15MM</v>
      </c>
      <c r="D61" s="104">
        <f>'4637'!D24</f>
        <v>1550</v>
      </c>
      <c r="E61" s="103">
        <f>'4637'!E24</f>
        <v>750</v>
      </c>
      <c r="F61" s="38" t="str">
        <f>'4637'!F24</f>
        <v>ESSENSA PP-7976 TX</v>
      </c>
      <c r="G61" s="1"/>
    </row>
    <row r="62" spans="1:7" s="15" customFormat="1" ht="15" customHeight="1" x14ac:dyDescent="0.3">
      <c r="A62" s="49"/>
      <c r="B62" s="51"/>
      <c r="C62" s="51"/>
      <c r="D62" s="51"/>
      <c r="E62" s="51"/>
      <c r="F62" s="51"/>
      <c r="G62" s="1"/>
    </row>
    <row r="63" spans="1:7" ht="15.6" x14ac:dyDescent="0.3">
      <c r="A63" s="6"/>
      <c r="B63" s="6"/>
      <c r="C63" s="1"/>
      <c r="D63" s="6"/>
      <c r="E63" s="6"/>
      <c r="F63" s="43"/>
      <c r="G63" s="1"/>
    </row>
    <row r="64" spans="1:7" ht="15.6" x14ac:dyDescent="0.3">
      <c r="A64" s="6"/>
      <c r="B64" s="6"/>
      <c r="C64" s="1"/>
      <c r="D64" s="6"/>
      <c r="E64" s="6"/>
      <c r="F64" s="6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" customHeight="1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6"/>
      <c r="B70" s="50"/>
      <c r="C70" s="1"/>
      <c r="D70" s="1"/>
      <c r="E70" s="1"/>
      <c r="F70" s="1"/>
      <c r="G70" s="1"/>
    </row>
    <row r="71" spans="1:7" ht="15.6" x14ac:dyDescent="0.3">
      <c r="A71" s="1"/>
      <c r="B71" s="1"/>
      <c r="C71" s="1"/>
      <c r="D71" s="1"/>
      <c r="E71" s="1"/>
      <c r="F71" s="1"/>
      <c r="G71" s="1"/>
    </row>
    <row r="72" spans="1:7" x14ac:dyDescent="0.3">
      <c r="B72" s="20"/>
      <c r="C72" s="20"/>
      <c r="D72" s="20"/>
      <c r="E72" s="20"/>
      <c r="F72" s="20"/>
    </row>
    <row r="73" spans="1:7" x14ac:dyDescent="0.3">
      <c r="B73" s="20"/>
      <c r="C73" s="20"/>
      <c r="E73" s="20"/>
      <c r="F73" s="20"/>
    </row>
  </sheetData>
  <mergeCells count="6">
    <mergeCell ref="M3:N3"/>
    <mergeCell ref="A21:F21"/>
    <mergeCell ref="A10:F10"/>
    <mergeCell ref="A54:F54"/>
    <mergeCell ref="B56:F56"/>
    <mergeCell ref="K3:L3"/>
  </mergeCells>
  <pageMargins left="0.70866141732283472" right="0.70866141732283472" top="0.74803149606299213" bottom="0.74803149606299213" header="0.31496062992125984" footer="0.31496062992125984"/>
  <pageSetup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2024-12-04T18:18:18Z</cp:lastPrinted>
  <dcterms:created xsi:type="dcterms:W3CDTF">2013-03-19T12:54:14Z</dcterms:created>
  <dcterms:modified xsi:type="dcterms:W3CDTF">2024-12-04T18:20:10Z</dcterms:modified>
</cp:coreProperties>
</file>