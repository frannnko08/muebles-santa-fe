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CFDEE28F-0EDE-4F32-93E2-E6401738C15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F15" i="3"/>
  <c r="I15" i="3"/>
  <c r="B15" i="3" s="1"/>
  <c r="J15" i="3"/>
  <c r="D15" i="3" s="1"/>
  <c r="K15" i="3"/>
  <c r="I24" i="3"/>
  <c r="B24" i="3" s="1"/>
  <c r="B31" i="3"/>
  <c r="C31" i="3"/>
  <c r="F24" i="3" s="1"/>
  <c r="D31" i="3"/>
  <c r="J24" i="3" s="1"/>
  <c r="E31" i="3"/>
  <c r="K24" i="3" s="1"/>
  <c r="E24" i="3" s="1"/>
  <c r="F31" i="3"/>
  <c r="B53" i="3"/>
  <c r="C53" i="3"/>
  <c r="D53" i="3"/>
  <c r="E53" i="3"/>
  <c r="F53" i="3"/>
  <c r="H22" i="4"/>
  <c r="H21" i="4"/>
  <c r="H25" i="4" l="1"/>
  <c r="B52" i="3"/>
  <c r="C52" i="3"/>
  <c r="D52" i="3"/>
  <c r="E52" i="3"/>
  <c r="F52" i="3"/>
  <c r="B30" i="3"/>
  <c r="C30" i="3"/>
  <c r="F23" i="3" s="1"/>
  <c r="D30" i="3"/>
  <c r="J14" i="3" s="1"/>
  <c r="E30" i="3"/>
  <c r="K14" i="3" s="1"/>
  <c r="E14" i="3" s="1"/>
  <c r="F30" i="3"/>
  <c r="H26" i="4" l="1"/>
  <c r="I23" i="3"/>
  <c r="I14" i="3" s="1"/>
  <c r="F14" i="3"/>
  <c r="K23" i="3"/>
  <c r="E23" i="3" s="1"/>
  <c r="J23" i="3"/>
  <c r="B23" i="3" l="1"/>
  <c r="B14" i="3"/>
  <c r="H27" i="4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<sst xmlns="http://schemas.openxmlformats.org/spreadsheetml/2006/main" count="249" uniqueCount="144">
  <si>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</si>
  <si>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</si>
  <si>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</si>
  <si>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</si>
  <si>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</si>
  <si>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</si>
  <si>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</si>
  <si>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</si>
  <si>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</si>
  <si>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</si>
  <si>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</si>
  <si>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</si>
  <si>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</si>
  <si>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</si>
  <si>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</si>
  <si>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</si>
  <si>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</si>
  <si>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</si>
  <si>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</si>
  <si>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</si>
  <si>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</si>
  <si>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</si>
  <si>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</si>
  <si>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</si>
  <si>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</si>
  <si>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</si>
  <si>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</si>
  <si>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</si>
  <si>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</si>
  <si>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</si>
  <si>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</si>
  <si>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</si>
  <si>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</si>
  <si>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</si>
  <si>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</si>
  <si>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</si>
  <si>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</si>
  <si>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</si>
  <si>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</si>
  <si>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</si>
  <si>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</si>
  <si>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</si>
  <si>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</si>
  <si>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</si>
  <si>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</si>
  <si>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</si>
  <si>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</si>
  <si>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</si>
  <si>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</si>
  <si>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</si>
  <si>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</si>
  <si>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</si>
  <si>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</si>
  <si>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</si>
  <si>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</si>
  <si>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</si>
  <si>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</si>
  <si>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</si>
  <si>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</si>
  <si>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</si>
  <si>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</si>
  <si>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</si>
  <si>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</si>
  <si>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</si>
  <si>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</si>
  <si>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</si>
  <si>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</si>
  <si>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</si>
  <si>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</si>
  <si>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</si>
  <si>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</si>
  <si>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</si>
  <si>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</si>
  <si>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</si>
  <si>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</si>
  <si>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</si>
  <si>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</si>
  <si>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</si>
  <si>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</si>
  <si>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</si>
  <si>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</si>
  <si>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</si>
  <si>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</si>
  <si>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</si>
  <si>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</si>
  <si>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</si>
  <si>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</si>
  <si>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</si>
  <si>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</si>
  <si>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</si>
  <si>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</si>
  <si>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</si>
  <si>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</si>
  <si>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</si>
  <si>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</si>
  <si>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</si>
  <si>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</si>
  <si>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</si>
  <si>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</si>
  <si>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</si>
  <si>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</si>
  <si>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</si>
  <si>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</si>
  <si>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</si>
  <si>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</si>
  <si>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</si>
  <si>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</si>
  <si>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</si>
  <si>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</si>
  <si>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</si>
  <si>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</si>
  <si>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</si>
  <si>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</si>
  <si>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</si>
  <si>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</si>
  <si>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</si>
  <si>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</si>
  <si>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</si>
  <si>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</si>
  <si>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</si>
  <si>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</si>
  <si>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</si>
  <si>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</si>
  <si>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</si>
  <si>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</si>
  <si>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</si>
  <si>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</si>
  <si>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</si>
  <si>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</si>
  <si>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</si>
  <si>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</si>
  <si>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</si>
  <si>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</si>
  <si>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CONTACTO:</t>
  </si>
  <si>
    <t>NO</t>
  </si>
  <si>
    <t>MDF18MM</t>
  </si>
  <si>
    <t>N° 11197</t>
  </si>
  <si>
    <t>MUEBLES ADARAP</t>
  </si>
  <si>
    <t>77.154.719-2</t>
  </si>
  <si>
    <t>EDUARDO PARADA</t>
  </si>
  <si>
    <t>+569 7936 8390</t>
  </si>
  <si>
    <t>SANTIAGO</t>
  </si>
  <si>
    <t>CUB C/R 180°</t>
  </si>
  <si>
    <t>BLANCO MERINO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</si>
</sst>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0" fontId="18" fillId="0" borderId="0" xfId="0" applyFont="1"/>
    <xf numFmtId="0" fontId="18" fillId="3" borderId="0" xfId="0" applyFont="1" applyFill="1"/>
    <xf numFmtId="0" fontId="19" fillId="0" borderId="24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0" fillId="0" borderId="0" xfId="0" quotePrefix="1" applyFont="1"/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6" fillId="3" borderId="0" xfId="2" applyFill="1"/>
    <xf numFmtId="0" fontId="21" fillId="0" borderId="9" xfId="2" applyFont="1" applyFill="1" applyBorder="1" applyAlignment="1">
      <alignment horizontal="left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85725</xdr:rowOff>
    </xdr:from>
    <xdr:to>
      <xdr:col>5</xdr:col>
      <xdr:colOff>1390650</xdr:colOff>
      <xdr:row>28</xdr:row>
      <xdr:rowOff>24765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4825365"/>
          <a:ext cx="56007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900" b="1" i="1"/>
            <a:t>OBSERVACIONES:   ABONO $ 120.000.-</a:t>
          </a:r>
          <a:endParaRPr lang="es-CL" sz="900">
            <a:effectLst/>
          </a:endParaRP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44855" y="109747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194310</xdr:rowOff>
    </xdr:from>
    <xdr:to>
      <xdr:col>2</xdr:col>
      <xdr:colOff>100723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136</v>
      </c>
      <c r="E8" s="1"/>
      <c r="F8" s="89" t="s">
        <v>27</v>
      </c>
      <c r="G8" s="90">
        <v>7137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137</v>
      </c>
      <c r="D10" s="54"/>
      <c r="E10" s="54"/>
      <c r="F10" s="55" t="s">
        <v>28</v>
      </c>
      <c r="G10" s="56">
        <v>45635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1" t="s">
        <v>138</v>
      </c>
      <c r="D11" s="59"/>
      <c r="E11" s="59"/>
      <c r="F11" s="59" t="s">
        <v>124</v>
      </c>
      <c r="G11" s="60">
        <v>45638</v>
      </c>
      <c r="H11" s="61"/>
      <c r="I11" s="1"/>
    </row>
    <row r="12" spans="1:17" ht="16.8" x14ac:dyDescent="0.4">
      <c r="A12" s="1"/>
      <c r="B12" s="62" t="s">
        <v>132</v>
      </c>
      <c r="C12" s="102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133</v>
      </c>
      <c r="C13" t="s">
        <v>139</v>
      </c>
      <c r="D13" s="42"/>
      <c r="E13" s="42"/>
      <c r="F13" s="42" t="s">
        <v>129</v>
      </c>
      <c r="G13" s="63" t="s">
        <v>131</v>
      </c>
      <c r="H13" s="64"/>
      <c r="I13" s="1"/>
    </row>
    <row r="14" spans="1:17" ht="15.6" x14ac:dyDescent="0.3">
      <c r="A14" s="1"/>
      <c r="B14" s="58" t="s">
        <v>17</v>
      </c>
      <c r="C14" s="122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105" t="s">
        <v>140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123" t="s">
        <v>141</v>
      </c>
      <c r="D16" s="68"/>
      <c r="E16" s="69"/>
      <c r="F16" s="109" t="s">
        <v>18</v>
      </c>
      <c r="G16" s="109"/>
      <c r="H16" s="110"/>
      <c r="I16" s="1"/>
    </row>
    <row r="17" spans="1:16" ht="15.6" x14ac:dyDescent="0.3">
      <c r="A17" s="1"/>
      <c r="B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106" t="s">
        <v>20</v>
      </c>
      <c r="C20" s="107" t="s">
        <v>21</v>
      </c>
      <c r="D20" s="107" t="s">
        <v>22</v>
      </c>
      <c r="E20" s="107" t="s">
        <v>8</v>
      </c>
      <c r="F20" s="108" t="s">
        <v>23</v>
      </c>
      <c r="G20" s="106" t="s">
        <v>24</v>
      </c>
      <c r="H20" s="108" t="s">
        <v>4</v>
      </c>
      <c r="I20" s="1"/>
    </row>
    <row r="21" spans="1:16" ht="18" customHeight="1" x14ac:dyDescent="0.3">
      <c r="A21" s="1"/>
      <c r="B21" s="124">
        <v>1</v>
      </c>
      <c r="C21" s="125" t="s">
        <v>142</v>
      </c>
      <c r="D21" s="128">
        <v>2402</v>
      </c>
      <c r="E21" s="128">
        <v>600</v>
      </c>
      <c r="F21" s="125" t="s">
        <v>143</v>
      </c>
      <c r="G21" s="126">
        <v>96420</v>
      </c>
      <c r="H21" s="127">
        <f>G21*B21</f>
        <v>96420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4">
        <v>1</v>
      </c>
      <c r="C22" s="125" t="s">
        <v>37</v>
      </c>
      <c r="D22" s="128">
        <v>1900</v>
      </c>
      <c r="E22" s="128">
        <v>800</v>
      </c>
      <c r="F22" s="125" t="s">
        <v>143</v>
      </c>
      <c r="G22" s="126">
        <v>102367</v>
      </c>
      <c r="H22" s="127">
        <f>G22*B22</f>
        <v>102367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2"/>
      <c r="C23" s="92"/>
      <c r="D23" s="92"/>
      <c r="E23" s="92"/>
      <c r="F23" s="93"/>
      <c r="G23" s="94"/>
      <c r="H23" s="94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0"/>
      <c r="C24" s="70"/>
      <c r="D24" s="70"/>
      <c r="E24" s="70"/>
      <c r="F24" s="70"/>
      <c r="G24" s="71"/>
      <c r="H24" s="71"/>
      <c r="I24" s="1"/>
    </row>
    <row r="25" spans="1:16" ht="15.6" x14ac:dyDescent="0.3">
      <c r="A25" s="1"/>
      <c r="B25" s="1"/>
      <c r="C25" s="1"/>
      <c r="D25" s="1"/>
      <c r="E25" s="1"/>
      <c r="F25" s="1"/>
      <c r="G25" s="72" t="s">
        <v>5</v>
      </c>
      <c r="H25" s="73">
        <f>SUM(H21:H24)</f>
        <v>198787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4" t="s">
        <v>6</v>
      </c>
      <c r="H26" s="75">
        <f>H25*19%</f>
        <v>37769.53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6" t="s">
        <v>4</v>
      </c>
      <c r="H27" s="77">
        <f>H25+H26</f>
        <v>236556.53</v>
      </c>
      <c r="I27" s="100"/>
    </row>
    <row r="28" spans="1:16" ht="15.6" x14ac:dyDescent="0.3">
      <c r="A28" s="1"/>
      <c r="B28" s="1"/>
      <c r="C28" s="1"/>
      <c r="D28" s="1"/>
      <c r="E28" s="1"/>
      <c r="F28" s="1"/>
      <c r="G28" s="51"/>
      <c r="H28" s="95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78" t="s">
        <v>123</v>
      </c>
      <c r="C30" s="79"/>
      <c r="D30" s="80"/>
      <c r="E30" s="80"/>
      <c r="F30" s="70"/>
      <c r="G30" s="1"/>
      <c r="H30" s="1"/>
      <c r="I30" s="1"/>
    </row>
    <row r="31" spans="1:16" ht="15.6" x14ac:dyDescent="0.3">
      <c r="A31" s="1"/>
      <c r="B31" s="78" t="s">
        <v>122</v>
      </c>
      <c r="C31" s="79"/>
      <c r="D31" s="80"/>
      <c r="E31" s="80"/>
      <c r="F31" s="70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1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topLeftCell="A38" zoomScaleNormal="100" workbookViewId="0">
      <selection sqref="A1:F4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39" t="s">
        <v>27</v>
      </c>
      <c r="D4" s="14">
        <f>'4637'!G8</f>
        <v>7137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ADARAP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45638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135</v>
      </c>
      <c r="B14" s="25">
        <f t="shared" ref="B14" si="0">I14</f>
        <v>1</v>
      </c>
      <c r="C14" s="25"/>
      <c r="D14" s="25">
        <v>2440</v>
      </c>
      <c r="E14" s="35">
        <f>K14+E$13</f>
        <v>570</v>
      </c>
      <c r="F14" s="97" t="str">
        <f t="shared" ref="F14" si="1">C30</f>
        <v>CUB C/R 180°</v>
      </c>
      <c r="G14" s="1"/>
      <c r="I14" s="3">
        <f>I23</f>
        <v>1</v>
      </c>
      <c r="J14" s="4">
        <f t="shared" ref="J14:K14" si="2">D30</f>
        <v>2402</v>
      </c>
      <c r="K14" s="4">
        <f t="shared" si="2"/>
        <v>600</v>
      </c>
    </row>
    <row r="15" spans="1:14" ht="15.6" x14ac:dyDescent="0.3">
      <c r="A15" s="91"/>
      <c r="B15" s="25">
        <f t="shared" ref="B15" si="3">I15</f>
        <v>1</v>
      </c>
      <c r="C15" s="25"/>
      <c r="D15" s="25">
        <f>J15+D$13</f>
        <v>1980</v>
      </c>
      <c r="E15" s="35">
        <f>K15</f>
        <v>800</v>
      </c>
      <c r="F15" s="97" t="str">
        <f t="shared" ref="F15" si="4">C31</f>
        <v>CUB MESA 180° 3 LADOS</v>
      </c>
      <c r="G15" s="1"/>
      <c r="I15" s="3">
        <f>I24</f>
        <v>1</v>
      </c>
      <c r="J15" s="4">
        <f t="shared" ref="J15" si="5">D31</f>
        <v>1900</v>
      </c>
      <c r="K15" s="4">
        <f t="shared" ref="K15" si="6">E31</f>
        <v>800</v>
      </c>
    </row>
    <row r="16" spans="1:14" ht="15.6" x14ac:dyDescent="0.3">
      <c r="A16" s="91"/>
      <c r="B16" s="6"/>
      <c r="C16" s="6"/>
      <c r="D16" s="6"/>
      <c r="E16" s="104"/>
      <c r="F16" s="99"/>
      <c r="G16" s="1"/>
      <c r="I16" s="85"/>
      <c r="J16" s="2"/>
      <c r="K16" s="2"/>
    </row>
    <row r="17" spans="1:11" ht="15.6" x14ac:dyDescent="0.3">
      <c r="A17" s="91"/>
      <c r="B17" s="6"/>
      <c r="C17" s="6"/>
      <c r="D17" s="6"/>
      <c r="E17" s="104"/>
      <c r="F17" s="99"/>
      <c r="G17" s="1"/>
      <c r="I17" s="85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7" t="s">
        <v>14</v>
      </c>
      <c r="B19" s="117"/>
      <c r="C19" s="117"/>
      <c r="D19" s="117"/>
      <c r="E19" s="117"/>
      <c r="F19" s="117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6" t="s">
        <v>10</v>
      </c>
      <c r="C22" s="36" t="s">
        <v>11</v>
      </c>
      <c r="D22" s="21">
        <v>40</v>
      </c>
      <c r="E22" s="21">
        <v>160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1"/>
      <c r="B23" s="16">
        <f t="shared" ref="B23" si="7">I23</f>
        <v>1</v>
      </c>
      <c r="C23" s="16"/>
      <c r="D23" s="16">
        <v>2430</v>
      </c>
      <c r="E23" s="16">
        <f>K23+E$22</f>
        <v>760</v>
      </c>
      <c r="F23" s="98" t="str">
        <f t="shared" ref="F23" si="8">C30</f>
        <v>CUB C/R 180°</v>
      </c>
      <c r="G23" s="1"/>
      <c r="I23" s="3">
        <f t="shared" ref="I23" si="9">B30</f>
        <v>1</v>
      </c>
      <c r="J23" s="4">
        <f>D30</f>
        <v>2402</v>
      </c>
      <c r="K23" s="4">
        <f>E30</f>
        <v>600</v>
      </c>
    </row>
    <row r="24" spans="1:11" ht="15.6" x14ac:dyDescent="0.3">
      <c r="A24" s="91"/>
      <c r="B24" s="16">
        <f t="shared" ref="B24" si="10">I24</f>
        <v>1</v>
      </c>
      <c r="C24" s="16"/>
      <c r="D24" s="16">
        <v>1950</v>
      </c>
      <c r="E24" s="16">
        <f>K24+E$22</f>
        <v>960</v>
      </c>
      <c r="F24" s="98" t="str">
        <f t="shared" ref="F24" si="11">C31</f>
        <v>CUB MESA 180° 3 LADOS</v>
      </c>
      <c r="G24" s="1"/>
      <c r="I24" s="3">
        <f t="shared" ref="I24" si="12">B31</f>
        <v>1</v>
      </c>
      <c r="J24" s="4">
        <f>D31</f>
        <v>1900</v>
      </c>
      <c r="K24" s="4">
        <f>E31</f>
        <v>800</v>
      </c>
    </row>
    <row r="25" spans="1:11" ht="15.6" x14ac:dyDescent="0.3">
      <c r="A25" s="91"/>
      <c r="B25" s="6"/>
      <c r="C25" s="6"/>
      <c r="D25" s="6"/>
      <c r="E25" s="6"/>
      <c r="F25" s="99"/>
      <c r="G25" s="1"/>
      <c r="I25" s="85"/>
      <c r="J25" s="2"/>
      <c r="K25" s="2"/>
    </row>
    <row r="26" spans="1:11" ht="16.2" thickBot="1" x14ac:dyDescent="0.35">
      <c r="A26" s="51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1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1" t="s">
        <v>9</v>
      </c>
      <c r="B29" s="84" t="s">
        <v>10</v>
      </c>
      <c r="C29" s="84" t="s">
        <v>110</v>
      </c>
      <c r="D29" s="84" t="s">
        <v>7</v>
      </c>
      <c r="E29" s="84" t="s">
        <v>8</v>
      </c>
      <c r="F29" s="84" t="s">
        <v>23</v>
      </c>
      <c r="G29" s="1"/>
    </row>
    <row r="30" spans="1:11" ht="15.6" x14ac:dyDescent="0.3">
      <c r="A30" s="91" t="s">
        <v>135</v>
      </c>
      <c r="B30" s="25">
        <f>'4637'!B21</f>
        <v>1</v>
      </c>
      <c r="C30" s="97" t="str">
        <f>'4637'!C21</f>
        <v>CUB C/R 180°</v>
      </c>
      <c r="D30" s="25">
        <f>'4637'!D21</f>
        <v>2402</v>
      </c>
      <c r="E30" s="25">
        <f>'4637'!E21</f>
        <v>600</v>
      </c>
      <c r="F30" s="25" t="str">
        <f>'4637'!F21</f>
        <v>BLANCO MERINO 22191 SF</v>
      </c>
      <c r="G30" s="1"/>
    </row>
    <row r="31" spans="1:11" ht="15.6" x14ac:dyDescent="0.3">
      <c r="A31" s="91"/>
      <c r="B31" s="25">
        <f>'4637'!B22</f>
        <v>1</v>
      </c>
      <c r="C31" s="97" t="str">
        <f>'4637'!C22</f>
        <v>CUB MESA 180° 3 LADOS</v>
      </c>
      <c r="D31" s="25">
        <f>'4637'!D22</f>
        <v>1900</v>
      </c>
      <c r="E31" s="25">
        <f>'4637'!E22</f>
        <v>800</v>
      </c>
      <c r="F31" s="25" t="str">
        <f>'4637'!F22</f>
        <v>BLANCO MERINO 22191 SF</v>
      </c>
      <c r="G31" s="1"/>
    </row>
    <row r="32" spans="1:11" ht="15.6" x14ac:dyDescent="0.3">
      <c r="A32" s="5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39" t="s">
        <v>27</v>
      </c>
      <c r="D42" s="14">
        <f>'4637'!G8</f>
        <v>7137</v>
      </c>
      <c r="E42" s="1"/>
      <c r="F42" s="1"/>
      <c r="G42" s="1"/>
    </row>
    <row r="43" spans="1:7" ht="17.25" customHeight="1" x14ac:dyDescent="0.3">
      <c r="A43" s="1"/>
      <c r="B43" s="1"/>
      <c r="C43" s="40" t="s">
        <v>67</v>
      </c>
      <c r="D43" s="41" t="str">
        <f>'4637'!C10</f>
        <v>MUEBLES ADARAP</v>
      </c>
      <c r="E43" s="42"/>
      <c r="F43" s="42"/>
      <c r="G43" s="1"/>
    </row>
    <row r="44" spans="1:7" ht="4.5" customHeight="1" x14ac:dyDescent="0.3">
      <c r="A44" s="1"/>
      <c r="B44" s="1"/>
      <c r="C44" s="43"/>
      <c r="D44" s="44"/>
      <c r="E44" s="1"/>
      <c r="F44" s="1"/>
      <c r="G44" s="1"/>
    </row>
    <row r="45" spans="1:7" ht="15.6" x14ac:dyDescent="0.3">
      <c r="A45" s="1"/>
      <c r="B45" s="1"/>
      <c r="C45" s="45" t="str">
        <f>'4637'!F11</f>
        <v>FECHA LIMITE :</v>
      </c>
      <c r="D45" s="13">
        <f>'4637'!G11</f>
        <v>45638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17" t="s">
        <v>68</v>
      </c>
      <c r="B48" s="117"/>
      <c r="C48" s="117"/>
      <c r="D48" s="117"/>
      <c r="E48" s="117"/>
      <c r="F48" s="117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18" t="s">
        <v>69</v>
      </c>
      <c r="C50" s="119"/>
      <c r="D50" s="120"/>
      <c r="E50" s="120"/>
      <c r="F50" s="121"/>
      <c r="G50" s="1"/>
    </row>
    <row r="51" spans="1:7" s="15" customFormat="1" ht="12.75" customHeight="1" x14ac:dyDescent="0.3">
      <c r="A51" s="1"/>
      <c r="B51" s="36" t="s">
        <v>10</v>
      </c>
      <c r="C51" s="46" t="s">
        <v>11</v>
      </c>
      <c r="D51" s="47" t="s">
        <v>7</v>
      </c>
      <c r="E51" s="47" t="s">
        <v>8</v>
      </c>
      <c r="F51" s="48" t="s">
        <v>12</v>
      </c>
      <c r="G51" s="1"/>
    </row>
    <row r="52" spans="1:7" s="15" customFormat="1" ht="15" customHeight="1" x14ac:dyDescent="0.35">
      <c r="A52" s="91" t="s">
        <v>135</v>
      </c>
      <c r="B52" s="38">
        <f>'4637'!B21</f>
        <v>1</v>
      </c>
      <c r="C52" s="96" t="str">
        <f>'4637'!C21</f>
        <v>CUB C/R 180°</v>
      </c>
      <c r="D52" s="103">
        <f>'4637'!D21</f>
        <v>2402</v>
      </c>
      <c r="E52" s="103">
        <f>'4637'!E21</f>
        <v>600</v>
      </c>
      <c r="F52" s="38" t="str">
        <f>'4637'!F21</f>
        <v>BLANCO MERINO 22191 SF</v>
      </c>
      <c r="G52" s="1"/>
    </row>
    <row r="53" spans="1:7" s="15" customFormat="1" ht="15" customHeight="1" x14ac:dyDescent="0.35">
      <c r="A53" s="91"/>
      <c r="B53" s="38">
        <f>'4637'!B22</f>
        <v>1</v>
      </c>
      <c r="C53" s="96" t="str">
        <f>'4637'!C22</f>
        <v>CUB MESA 180° 3 LADOS</v>
      </c>
      <c r="D53" s="103">
        <f>'4637'!D22</f>
        <v>1900</v>
      </c>
      <c r="E53" s="103">
        <f>'4637'!E22</f>
        <v>800</v>
      </c>
      <c r="F53" s="38" t="str">
        <f>'4637'!F22</f>
        <v>BLANCO MERINO 22191 SF</v>
      </c>
      <c r="G53" s="1"/>
    </row>
    <row r="54" spans="1:7" s="15" customFormat="1" ht="15" customHeight="1" x14ac:dyDescent="0.35">
      <c r="A54" s="91"/>
      <c r="B54" s="129"/>
      <c r="C54" s="130"/>
      <c r="D54" s="131"/>
      <c r="E54" s="131"/>
      <c r="F54" s="129"/>
      <c r="G54" s="1"/>
    </row>
    <row r="55" spans="1:7" s="15" customFormat="1" ht="15" customHeight="1" x14ac:dyDescent="0.3">
      <c r="A55" s="49"/>
      <c r="B55" s="51"/>
      <c r="C55" s="51"/>
      <c r="D55" s="51"/>
      <c r="E55" s="51"/>
      <c r="F55" s="51"/>
      <c r="G55" s="1"/>
    </row>
    <row r="56" spans="1:7" ht="15.6" x14ac:dyDescent="0.3">
      <c r="A56" s="6"/>
      <c r="B56" s="6"/>
      <c r="C56" s="1"/>
      <c r="D56" s="6"/>
      <c r="E56" s="6"/>
      <c r="F56" s="43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0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8:F48"/>
    <mergeCell ref="B50:F50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2024-12-09T21:49:07Z</cp:lastPrinted>
  <dcterms:created xsi:type="dcterms:W3CDTF">2013-03-19T12:54:14Z</dcterms:created>
  <dcterms:modified xsi:type="dcterms:W3CDTF">2024-12-09T21:49:48Z</dcterms:modified>
</cp:coreProperties>
</file>