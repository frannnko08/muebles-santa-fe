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2 DICIEMBRE 2024\"/>
    </mc:Choice>
  </mc:AlternateContent>
  <xr:revisionPtr revIDLastSave="0" documentId="13_ncr:1_{395C4DDF-556B-434A-BB41-E6E5E3A5C2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5" i="4" l="1"/>
  <c r="B49" i="3"/>
  <c r="C49" i="3"/>
  <c r="D49" i="3"/>
  <c r="E49" i="3"/>
  <c r="F49" i="3"/>
  <c r="B28" i="3"/>
  <c r="C28" i="3"/>
  <c r="F22" i="3" s="1"/>
  <c r="D28" i="3"/>
  <c r="J14" i="3" s="1"/>
  <c r="D14" i="3" s="1"/>
  <c r="E28" i="3"/>
  <c r="K14" i="3" s="1"/>
  <c r="E14" i="3" s="1"/>
  <c r="F28" i="3"/>
  <c r="H26" i="4" l="1"/>
  <c r="I22" i="3"/>
  <c r="F14" i="3"/>
  <c r="K22" i="3"/>
  <c r="E22" i="3" s="1"/>
  <c r="J22" i="3"/>
  <c r="D22" i="3" s="1"/>
  <c r="B22" i="3" l="1"/>
  <c r="I14" i="3"/>
  <c r="B14" i="3" s="1"/>
  <c r="H27" i="4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<sst xmlns="http://schemas.openxmlformats.org/spreadsheetml/2006/main" count="246" uniqueCount="144">
  <si>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</si>
  <si>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</si>
  <si>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</si>
  <si>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</si>
  <si>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</si>
  <si>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</si>
  <si>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</si>
  <si>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</si>
  <si>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</si>
  <si>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</si>
  <si>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</si>
  <si>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</si>
  <si>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</si>
  <si>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</si>
  <si>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</si>
  <si>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</si>
  <si>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</si>
  <si>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</si>
  <si>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</si>
  <si>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</si>
  <si>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</si>
  <si>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</si>
  <si>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</si>
  <si>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</si>
  <si>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</si>
  <si>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</si>
  <si>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</si>
  <si>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</si>
  <si>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</si>
  <si>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</si>
  <si>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</si>
  <si>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</si>
  <si>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</si>
  <si>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</si>
  <si>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</si>
  <si>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</si>
  <si>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</si>
  <si>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</si>
  <si>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</si>
  <si>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</si>
  <si>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</si>
  <si>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</si>
  <si>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</si>
  <si>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</si>
  <si>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</si>
  <si>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</si>
  <si>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</si>
  <si>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</si>
  <si>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</si>
  <si>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</si>
  <si>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</si>
  <si>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</si>
  <si>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</si>
  <si>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</si>
  <si>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</si>
  <si>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</si>
  <si>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</si>
  <si>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</si>
  <si>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</si>
  <si>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</si>
  <si>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</si>
  <si>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</si>
  <si>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</si>
  <si>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</si>
  <si>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</si>
  <si>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</si>
  <si>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</si>
  <si>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</si>
  <si>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</si>
  <si>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</si>
  <si>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</si>
  <si>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</si>
  <si>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</si>
  <si>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</si>
  <si>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</si>
  <si>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</si>
  <si>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</si>
  <si>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</si>
  <si>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</si>
  <si>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</si>
  <si>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</si>
  <si>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</si>
  <si>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</si>
  <si>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</si>
  <si>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</si>
  <si>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</si>
  <si>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</si>
  <si>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</si>
  <si>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</si>
  <si>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</si>
  <si>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</si>
  <si>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</si>
  <si>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</si>
  <si>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</si>
  <si>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</si>
  <si>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</si>
  <si>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</si>
  <si>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</si>
  <si>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</si>
  <si>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</si>
  <si>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</si>
  <si>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</si>
  <si>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</si>
  <si>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</si>
  <si>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</si>
  <si>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</si>
  <si>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</si>
  <si>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</si>
  <si>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</si>
  <si>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</si>
  <si>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</si>
  <si>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</si>
  <si>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</si>
  <si>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</si>
  <si>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</si>
  <si>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</si>
  <si>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</si>
  <si>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</si>
  <si>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</si>
  <si>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</si>
  <si>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</si>
  <si>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</si>
  <si>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</si>
  <si>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</si>
  <si>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</si>
  <si>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</si>
  <si>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</si>
  <si>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</si>
  <si>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</si>
  <si>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</si>
  <si>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</si>
  <si>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</si>
  <si>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</si>
  <si>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</si>
  <si>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</si>
  <si>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</si>
  <si>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</si>
  <si>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NO</t>
  </si>
  <si>
    <t>DEL CARPIO</t>
  </si>
  <si>
    <t>CLAUDIA YAÑEZ</t>
  </si>
  <si>
    <t>+569 6677 4147</t>
  </si>
  <si>
    <t>ENCHAPE RECTO 1 CARA</t>
  </si>
  <si>
    <t>N° 11199</t>
  </si>
  <si>
    <t>BLANCO OPACO MERINO 22191 SFR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</si>
</sst>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4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3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6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8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7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66" fontId="3" fillId="0" borderId="0" xfId="0" applyNumberFormat="1" applyFont="1"/>
    <xf numFmtId="1" fontId="15" fillId="0" borderId="0" xfId="0" applyNumberFormat="1" applyFont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7" fillId="0" borderId="0" xfId="0" applyFont="1" applyAlignment="1">
      <alignment horizontal="center"/>
    </xf>
    <xf numFmtId="166" fontId="3" fillId="0" borderId="2" xfId="1" applyNumberFormat="1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29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9" fillId="0" borderId="24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20" fillId="0" borderId="0" xfId="0" quotePrefix="1" applyFont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5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$ 39.966.-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CORTADAS A LA MEDIDA, ENCHAPAR CON TAPACANTO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PVC 0,4MM, SÓLO LOS ALTOS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CORTADAS A LA MEDIDA, ENCHAPAR CON TAPACANTO PVC 0,4MM SÓLO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LOS ALTOS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35</xdr:row>
      <xdr:rowOff>194310</xdr:rowOff>
    </xdr:from>
    <xdr:to>
      <xdr:col>2</xdr:col>
      <xdr:colOff>100723</xdr:colOff>
      <xdr:row>42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5" workbookViewId="0">
      <selection activeCell="K19" sqref="K1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2" customWidth="1"/>
    <col min="4" max="5" width="9.109375" customWidth="1"/>
    <col min="6" max="6" width="38.332031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6" t="s">
        <v>16</v>
      </c>
      <c r="C8" s="87"/>
      <c r="D8" s="88" t="s">
        <v>142</v>
      </c>
      <c r="E8" s="1"/>
      <c r="F8" s="89" t="s">
        <v>27</v>
      </c>
      <c r="G8" s="90">
        <v>7138</v>
      </c>
      <c r="H8" s="1"/>
      <c r="I8" s="1"/>
    </row>
    <row r="9" spans="1:17" ht="16.2" thickBot="1" x14ac:dyDescent="0.35">
      <c r="A9" s="1"/>
      <c r="B9" s="1"/>
      <c r="C9" s="1"/>
      <c r="D9" s="7"/>
      <c r="E9" s="1"/>
      <c r="F9" s="1"/>
      <c r="G9" s="1"/>
      <c r="H9" s="1"/>
      <c r="I9" s="1"/>
    </row>
    <row r="10" spans="1:17" ht="16.2" thickBot="1" x14ac:dyDescent="0.35">
      <c r="A10" s="1"/>
      <c r="B10" s="53" t="s">
        <v>130</v>
      </c>
      <c r="C10" s="82" t="s">
        <v>138</v>
      </c>
      <c r="D10" s="54"/>
      <c r="E10" s="54"/>
      <c r="F10" s="55" t="s">
        <v>28</v>
      </c>
      <c r="G10" s="56">
        <v>45635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4"/>
      <c r="D11" s="59"/>
      <c r="E11" s="59"/>
      <c r="F11" s="59" t="s">
        <v>124</v>
      </c>
      <c r="G11" s="60">
        <v>45637</v>
      </c>
      <c r="H11" s="61"/>
      <c r="I11" s="1"/>
    </row>
    <row r="12" spans="1:17" ht="16.8" x14ac:dyDescent="0.4">
      <c r="A12" s="1"/>
      <c r="B12" s="62" t="s">
        <v>133</v>
      </c>
      <c r="C12" s="105"/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135</v>
      </c>
      <c r="C13" t="s">
        <v>139</v>
      </c>
      <c r="D13" s="42"/>
      <c r="E13" s="42"/>
      <c r="F13" s="42" t="s">
        <v>129</v>
      </c>
      <c r="G13" s="63" t="s">
        <v>132</v>
      </c>
      <c r="H13" s="64"/>
      <c r="I13" s="1"/>
    </row>
    <row r="14" spans="1:17" ht="15.6" x14ac:dyDescent="0.3">
      <c r="A14" s="1"/>
      <c r="B14" s="58" t="s">
        <v>17</v>
      </c>
      <c r="C14" s="114" t="s">
        <v>140</v>
      </c>
      <c r="D14" s="65"/>
      <c r="E14" s="59"/>
      <c r="F14" s="59" t="s">
        <v>29</v>
      </c>
      <c r="G14" s="59" t="s">
        <v>137</v>
      </c>
      <c r="H14" s="61"/>
      <c r="I14" s="1"/>
    </row>
    <row r="15" spans="1:17" ht="15.6" x14ac:dyDescent="0.3">
      <c r="A15" s="1"/>
      <c r="B15" s="62" t="s">
        <v>1</v>
      </c>
      <c r="D15" s="42"/>
      <c r="E15" s="42"/>
      <c r="F15" s="66" t="s">
        <v>75</v>
      </c>
      <c r="G15" s="66" t="s">
        <v>127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134</v>
      </c>
      <c r="D16" s="68"/>
      <c r="E16" s="69"/>
      <c r="F16" s="115" t="s">
        <v>18</v>
      </c>
      <c r="G16" s="115"/>
      <c r="H16" s="116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7" t="s">
        <v>19</v>
      </c>
      <c r="C19" s="118"/>
      <c r="D19" s="118"/>
      <c r="E19" s="118"/>
      <c r="F19" s="118"/>
      <c r="G19" s="118"/>
      <c r="H19" s="119"/>
      <c r="I19" s="1"/>
    </row>
    <row r="20" spans="1:16" ht="15.6" x14ac:dyDescent="0.3">
      <c r="A20" s="1"/>
      <c r="B20" s="108" t="s">
        <v>20</v>
      </c>
      <c r="C20" s="109" t="s">
        <v>21</v>
      </c>
      <c r="D20" s="109" t="s">
        <v>22</v>
      </c>
      <c r="E20" s="109" t="s">
        <v>8</v>
      </c>
      <c r="F20" s="110" t="s">
        <v>23</v>
      </c>
      <c r="G20" s="108" t="s">
        <v>24</v>
      </c>
      <c r="H20" s="110" t="s">
        <v>4</v>
      </c>
      <c r="I20" s="1"/>
    </row>
    <row r="21" spans="1:16" ht="18" customHeight="1" x14ac:dyDescent="0.3">
      <c r="A21" s="1"/>
      <c r="B21" s="99">
        <v>2</v>
      </c>
      <c r="C21" s="99" t="s">
        <v>141</v>
      </c>
      <c r="D21" s="111">
        <v>885</v>
      </c>
      <c r="E21" s="111">
        <v>600</v>
      </c>
      <c r="F21" s="99" t="s">
        <v>143</v>
      </c>
      <c r="G21" s="107">
        <v>31782</v>
      </c>
      <c r="H21" s="100">
        <f>G21*B21</f>
        <v>63564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2"/>
      <c r="C22" s="92"/>
      <c r="D22" s="103"/>
      <c r="E22" s="103"/>
      <c r="F22" s="92"/>
      <c r="G22" s="71"/>
      <c r="H22" s="94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2"/>
      <c r="C23" s="92"/>
      <c r="D23" s="92"/>
      <c r="E23" s="92"/>
      <c r="F23" s="93"/>
      <c r="G23" s="94"/>
      <c r="H23" s="94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0"/>
      <c r="C24" s="70"/>
      <c r="D24" s="70"/>
      <c r="E24" s="70"/>
      <c r="F24" s="70"/>
      <c r="G24" s="71"/>
      <c r="H24" s="71"/>
      <c r="I24" s="1"/>
    </row>
    <row r="25" spans="1:16" ht="15.6" x14ac:dyDescent="0.3">
      <c r="A25" s="1"/>
      <c r="B25" s="1"/>
      <c r="C25" s="1"/>
      <c r="D25" s="1"/>
      <c r="E25" s="1"/>
      <c r="F25" s="1"/>
      <c r="G25" s="72" t="s">
        <v>5</v>
      </c>
      <c r="H25" s="73">
        <f>SUM(H21:H24)</f>
        <v>63564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4" t="s">
        <v>6</v>
      </c>
      <c r="H26" s="75">
        <f>H25*19%</f>
        <v>12077.16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6" t="s">
        <v>4</v>
      </c>
      <c r="H27" s="77">
        <f>H25+H26</f>
        <v>75641.16</v>
      </c>
      <c r="I27" s="102"/>
    </row>
    <row r="28" spans="1:16" ht="15.6" x14ac:dyDescent="0.3">
      <c r="A28" s="1"/>
      <c r="B28" s="1"/>
      <c r="C28" s="1"/>
      <c r="D28" s="1"/>
      <c r="E28" s="1"/>
      <c r="F28" s="1"/>
      <c r="G28" s="51"/>
      <c r="H28" s="95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78" t="s">
        <v>123</v>
      </c>
      <c r="C30" s="79"/>
      <c r="D30" s="80"/>
      <c r="E30" s="80"/>
      <c r="F30" s="70"/>
      <c r="G30" s="1"/>
      <c r="H30" s="1"/>
      <c r="I30" s="1"/>
    </row>
    <row r="31" spans="1:16" ht="15.6" x14ac:dyDescent="0.3">
      <c r="A31" s="1"/>
      <c r="B31" s="78" t="s">
        <v>122</v>
      </c>
      <c r="C31" s="79"/>
      <c r="D31" s="80"/>
      <c r="E31" s="80"/>
      <c r="F31" s="70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1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0" t="s">
        <v>31</v>
      </c>
      <c r="C2" s="120"/>
      <c r="D2" s="120"/>
      <c r="E2" s="18"/>
      <c r="G2" s="120" t="s">
        <v>70</v>
      </c>
      <c r="H2" s="120"/>
      <c r="I2" s="120"/>
      <c r="P2" s="121" t="s">
        <v>58</v>
      </c>
      <c r="Q2" s="121"/>
      <c r="R2" s="121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1" t="s">
        <v>58</v>
      </c>
      <c r="M8" s="121"/>
      <c r="N8" s="121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zoomScaleNormal="100" workbookViewId="0">
      <selection sqref="A1:F35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2" t="s">
        <v>61</v>
      </c>
      <c r="L3" s="122"/>
      <c r="M3" s="122" t="s">
        <v>14</v>
      </c>
      <c r="N3" s="122"/>
    </row>
    <row r="4" spans="1:14" ht="15.75" customHeight="1" x14ac:dyDescent="0.3">
      <c r="A4" s="1"/>
      <c r="B4" s="1"/>
      <c r="C4" s="39" t="s">
        <v>27</v>
      </c>
      <c r="D4" s="14">
        <f>'4637'!G8</f>
        <v>7138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DEL CARPIO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3" t="str">
        <f>'4637'!F11</f>
        <v>FECHA LIMITE :</v>
      </c>
      <c r="D7" s="13">
        <f>'4637'!G11</f>
        <v>45637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3" t="s">
        <v>61</v>
      </c>
      <c r="B10" s="123"/>
      <c r="C10" s="123"/>
      <c r="D10" s="123"/>
      <c r="E10" s="123"/>
      <c r="F10" s="123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20</v>
      </c>
      <c r="E13" s="32">
        <v>20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1" t="s">
        <v>131</v>
      </c>
      <c r="B14" s="25">
        <f t="shared" ref="B14" si="0">I14</f>
        <v>2</v>
      </c>
      <c r="C14" s="25"/>
      <c r="D14" s="25">
        <f>J14+D$13</f>
        <v>905</v>
      </c>
      <c r="E14" s="35">
        <f>K14+E$13</f>
        <v>620</v>
      </c>
      <c r="F14" s="97" t="str">
        <f t="shared" ref="F14" si="1">C28</f>
        <v>ENCHAPE RECTO 1 CARA</v>
      </c>
      <c r="G14" s="1"/>
      <c r="I14" s="3">
        <f>I22</f>
        <v>2</v>
      </c>
      <c r="J14" s="4">
        <f t="shared" ref="J14:K14" si="2">D28</f>
        <v>885</v>
      </c>
      <c r="K14" s="4">
        <f t="shared" si="2"/>
        <v>600</v>
      </c>
    </row>
    <row r="15" spans="1:14" ht="15.6" x14ac:dyDescent="0.3">
      <c r="A15" s="91"/>
      <c r="B15" s="6"/>
      <c r="C15" s="6"/>
      <c r="D15" s="6"/>
      <c r="E15" s="113"/>
      <c r="F15" s="101"/>
      <c r="G15" s="1"/>
      <c r="I15" s="85"/>
      <c r="J15" s="2"/>
      <c r="K15" s="2"/>
    </row>
    <row r="16" spans="1:14" ht="15.6" x14ac:dyDescent="0.3">
      <c r="A16" s="91"/>
      <c r="B16" s="6"/>
      <c r="C16" s="6"/>
      <c r="D16" s="6"/>
      <c r="E16" s="113"/>
      <c r="F16" s="101"/>
      <c r="G16" s="1"/>
      <c r="I16" s="85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3" t="s">
        <v>14</v>
      </c>
      <c r="B18" s="123"/>
      <c r="C18" s="123"/>
      <c r="D18" s="123"/>
      <c r="E18" s="123"/>
      <c r="F18" s="123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1" t="s">
        <v>7</v>
      </c>
      <c r="E20" s="51" t="s">
        <v>8</v>
      </c>
      <c r="F20" s="1"/>
      <c r="G20" s="1"/>
    </row>
    <row r="21" spans="1:11" ht="15.6" x14ac:dyDescent="0.3">
      <c r="A21" s="51" t="s">
        <v>9</v>
      </c>
      <c r="B21" s="36" t="s">
        <v>10</v>
      </c>
      <c r="C21" s="36" t="s">
        <v>11</v>
      </c>
      <c r="D21" s="21">
        <v>40</v>
      </c>
      <c r="E21" s="21">
        <v>90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1" t="s">
        <v>131</v>
      </c>
      <c r="B22" s="16">
        <f t="shared" ref="B22" si="3">I22</f>
        <v>2</v>
      </c>
      <c r="C22" s="16"/>
      <c r="D22" s="16">
        <f>J22+20</f>
        <v>905</v>
      </c>
      <c r="E22" s="16">
        <f>K22+20</f>
        <v>620</v>
      </c>
      <c r="F22" s="98" t="str">
        <f t="shared" ref="F22" si="4">C28</f>
        <v>ENCHAPE RECTO 1 CARA</v>
      </c>
      <c r="G22" s="1"/>
      <c r="I22" s="3">
        <f t="shared" ref="I22" si="5">B28</f>
        <v>2</v>
      </c>
      <c r="J22" s="4">
        <f>D28</f>
        <v>885</v>
      </c>
      <c r="K22" s="4">
        <f>E28</f>
        <v>600</v>
      </c>
    </row>
    <row r="23" spans="1:11" ht="15.6" x14ac:dyDescent="0.3">
      <c r="A23" s="91"/>
      <c r="B23" s="6"/>
      <c r="C23" s="6"/>
      <c r="D23" s="6"/>
      <c r="E23" s="6"/>
      <c r="F23" s="101"/>
      <c r="G23" s="1"/>
      <c r="I23" s="85"/>
      <c r="J23" s="2"/>
      <c r="K23" s="2"/>
    </row>
    <row r="24" spans="1:11" ht="16.2" thickBot="1" x14ac:dyDescent="0.35">
      <c r="A24" s="51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1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1" t="s">
        <v>9</v>
      </c>
      <c r="B27" s="84" t="s">
        <v>10</v>
      </c>
      <c r="C27" s="84" t="s">
        <v>110</v>
      </c>
      <c r="D27" s="84" t="s">
        <v>7</v>
      </c>
      <c r="E27" s="84" t="s">
        <v>8</v>
      </c>
      <c r="F27" s="84" t="s">
        <v>23</v>
      </c>
      <c r="G27" s="1"/>
    </row>
    <row r="28" spans="1:11" ht="15.6" x14ac:dyDescent="0.3">
      <c r="A28" s="91" t="s">
        <v>136</v>
      </c>
      <c r="B28" s="25">
        <f>'4637'!B21</f>
        <v>2</v>
      </c>
      <c r="C28" s="97" t="str">
        <f>'4637'!C21</f>
        <v>ENCHAPE RECTO 1 CARA</v>
      </c>
      <c r="D28" s="25">
        <f>'4637'!D21</f>
        <v>885</v>
      </c>
      <c r="E28" s="25">
        <f>'4637'!E21</f>
        <v>600</v>
      </c>
      <c r="F28" s="25" t="str">
        <f>'4637'!F21</f>
        <v>BLANCO OPACO MERINO 22191 SFR</v>
      </c>
      <c r="G28" s="1"/>
    </row>
    <row r="29" spans="1:11" ht="15.6" x14ac:dyDescent="0.3">
      <c r="A29" s="5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39" t="s">
        <v>27</v>
      </c>
      <c r="D39" s="14">
        <f>'4637'!G8</f>
        <v>7138</v>
      </c>
      <c r="E39" s="1"/>
      <c r="F39" s="1"/>
      <c r="G39" s="1"/>
    </row>
    <row r="40" spans="1:7" ht="17.25" customHeight="1" x14ac:dyDescent="0.3">
      <c r="A40" s="1"/>
      <c r="B40" s="1"/>
      <c r="C40" s="40" t="s">
        <v>67</v>
      </c>
      <c r="D40" s="41" t="str">
        <f>'4637'!C10</f>
        <v>DEL CARPIO</v>
      </c>
      <c r="E40" s="42"/>
      <c r="F40" s="42"/>
      <c r="G40" s="1"/>
    </row>
    <row r="41" spans="1:7" ht="4.5" customHeight="1" x14ac:dyDescent="0.3">
      <c r="A41" s="1"/>
      <c r="B41" s="1"/>
      <c r="C41" s="43"/>
      <c r="D41" s="44"/>
      <c r="E41" s="1"/>
      <c r="F41" s="1"/>
      <c r="G41" s="1"/>
    </row>
    <row r="42" spans="1:7" ht="15.6" x14ac:dyDescent="0.3">
      <c r="A42" s="1"/>
      <c r="B42" s="1"/>
      <c r="C42" s="45" t="str">
        <f>'4637'!F11</f>
        <v>FECHA LIMITE :</v>
      </c>
      <c r="D42" s="13">
        <f>'4637'!G11</f>
        <v>45637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3" t="s">
        <v>68</v>
      </c>
      <c r="B45" s="123"/>
      <c r="C45" s="123"/>
      <c r="D45" s="123"/>
      <c r="E45" s="123"/>
      <c r="F45" s="123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4" t="s">
        <v>69</v>
      </c>
      <c r="C47" s="125"/>
      <c r="D47" s="126"/>
      <c r="E47" s="126"/>
      <c r="F47" s="127"/>
      <c r="G47" s="1"/>
    </row>
    <row r="48" spans="1:7" s="15" customFormat="1" ht="12.75" customHeight="1" x14ac:dyDescent="0.3">
      <c r="A48" s="1"/>
      <c r="B48" s="36" t="s">
        <v>10</v>
      </c>
      <c r="C48" s="46" t="s">
        <v>11</v>
      </c>
      <c r="D48" s="47" t="s">
        <v>7</v>
      </c>
      <c r="E48" s="47" t="s">
        <v>8</v>
      </c>
      <c r="F48" s="48" t="s">
        <v>12</v>
      </c>
      <c r="G48" s="1"/>
    </row>
    <row r="49" spans="1:7" s="15" customFormat="1" ht="15" customHeight="1" x14ac:dyDescent="0.35">
      <c r="A49" s="91"/>
      <c r="B49" s="38">
        <f>'4637'!B21</f>
        <v>2</v>
      </c>
      <c r="C49" s="96" t="str">
        <f>'4637'!C21</f>
        <v>ENCHAPE RECTO 1 CARA</v>
      </c>
      <c r="D49" s="112">
        <f>'4637'!D21</f>
        <v>885</v>
      </c>
      <c r="E49" s="112">
        <f>'4637'!E21</f>
        <v>600</v>
      </c>
      <c r="F49" s="38" t="str">
        <f>'4637'!F21</f>
        <v>BLANCO OPACO MERINO 22191 SFR</v>
      </c>
      <c r="G49" s="1"/>
    </row>
    <row r="50" spans="1:7" s="15" customFormat="1" ht="15" customHeight="1" x14ac:dyDescent="0.3">
      <c r="A50" s="91"/>
      <c r="B50" s="51"/>
      <c r="C50" s="106"/>
      <c r="D50" s="51"/>
      <c r="E50" s="51"/>
      <c r="F50" s="51"/>
      <c r="G50" s="1"/>
    </row>
    <row r="51" spans="1:7" s="15" customFormat="1" ht="15" customHeight="1" x14ac:dyDescent="0.3">
      <c r="A51" s="49"/>
      <c r="B51" s="51"/>
      <c r="C51" s="51"/>
      <c r="D51" s="51"/>
      <c r="E51" s="51"/>
      <c r="F51" s="51"/>
      <c r="G51" s="1"/>
    </row>
    <row r="52" spans="1:7" ht="15.6" x14ac:dyDescent="0.3">
      <c r="A52" s="6"/>
      <c r="B52" s="6"/>
      <c r="C52" s="1"/>
      <c r="D52" s="6"/>
      <c r="E52" s="6"/>
      <c r="F52" s="43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0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2024-12-09T21:38:42Z</cp:lastPrinted>
  <dcterms:created xsi:type="dcterms:W3CDTF">2013-03-19T12:54:14Z</dcterms:created>
  <dcterms:modified xsi:type="dcterms:W3CDTF">2024-12-09T21:38:46Z</dcterms:modified>
</cp:coreProperties>
</file>