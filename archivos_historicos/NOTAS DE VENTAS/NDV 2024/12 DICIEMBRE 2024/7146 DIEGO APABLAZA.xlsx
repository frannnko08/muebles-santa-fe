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NDV 2024\12 DICIEMBRE 2024\"/>
    </mc:Choice>
  </mc:AlternateContent>
  <xr:revisionPtr revIDLastSave="0" documentId="13_ncr:1_{5F4DE23B-14C6-41E3-B0CA-D47F96BCA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15" i="3"/>
  <c r="B52" i="3"/>
  <c r="C52" i="3"/>
  <c r="D52" i="3"/>
  <c r="E52" i="3"/>
  <c r="F52" i="3"/>
  <c r="I23" i="3"/>
  <c r="J23" i="3"/>
  <c r="D23" i="3" s="1"/>
  <c r="K23" i="3"/>
  <c r="I15" i="3"/>
  <c r="J15" i="3"/>
  <c r="K15" i="3"/>
  <c r="B30" i="3"/>
  <c r="C30" i="3"/>
  <c r="D30" i="3"/>
  <c r="E30" i="3"/>
  <c r="F30" i="3"/>
  <c r="B23" i="3"/>
  <c r="E23" i="3"/>
  <c r="B15" i="3"/>
  <c r="D15" i="3"/>
  <c r="E15" i="3"/>
  <c r="H22" i="4"/>
  <c r="H25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J22" i="3" l="1"/>
  <c r="D22" i="3" s="1"/>
  <c r="K14" i="3"/>
  <c r="E14" i="3" s="1"/>
  <c r="B22" i="3"/>
  <c r="I14" i="3"/>
  <c r="B14" i="3" s="1"/>
  <c r="F22" i="3"/>
  <c r="H26" i="4" l="1"/>
  <c r="N5" i="3" l="1"/>
  <c r="M5" i="3" l="1"/>
  <c r="L5" i="3"/>
  <c r="K5" i="3"/>
  <c r="C44" i="3" l="1"/>
  <c r="C7" i="3"/>
  <c r="D42" i="3"/>
  <c r="D5" i="3"/>
  <c r="D44" i="3"/>
  <c r="D7" i="3"/>
  <c r="D41" i="3"/>
  <c r="D4" i="3"/>
  <c r="A39" i="3"/>
  <c r="A39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<sst xmlns="http://schemas.openxmlformats.org/spreadsheetml/2006/main" count="246" uniqueCount="142">
  <si>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</si>
  <si>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</si>
  <si>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</si>
  <si>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</si>
  <si>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</si>
  <si>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</si>
  <si>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</si>
  <si>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</si>
  <si>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</si>
  <si>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</si>
  <si>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</si>
  <si>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</si>
  <si>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</si>
  <si>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</si>
  <si>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</si>
  <si>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</si>
  <si>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</si>
  <si>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</si>
  <si>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</si>
  <si>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</si>
  <si>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</si>
  <si>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</si>
  <si>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</si>
  <si>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</si>
  <si>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</si>
  <si>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</si>
  <si>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</si>
  <si>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</si>
  <si>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</si>
  <si>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</si>
  <si>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</si>
  <si>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</si>
  <si>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</si>
  <si>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</si>
  <si>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</si>
  <si>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</si>
  <si>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</si>
  <si>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</si>
  <si>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</si>
  <si>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</si>
  <si>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</si>
  <si>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</si>
  <si>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</si>
  <si>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</si>
  <si>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</si>
  <si>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</si>
  <si>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</si>
  <si>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</si>
  <si>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</si>
  <si>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</si>
  <si>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</si>
  <si>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</si>
  <si>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</si>
  <si>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</si>
  <si>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</si>
  <si>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</si>
  <si>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</si>
  <si>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</si>
  <si>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</si>
  <si>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</si>
  <si>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</si>
  <si>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</si>
  <si>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</si>
  <si>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</si>
  <si>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</si>
  <si>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</si>
  <si>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</si>
  <si>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</si>
  <si>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</si>
  <si>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</si>
  <si>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</si>
  <si>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</si>
  <si>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</si>
  <si>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</si>
  <si>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</si>
  <si>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</si>
  <si>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</si>
  <si>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</si>
  <si>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</si>
  <si>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</si>
  <si>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</si>
  <si>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</si>
  <si>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</si>
  <si>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</si>
  <si>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</si>
  <si>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</si>
  <si>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</si>
  <si>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</si>
  <si>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</si>
  <si>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</si>
  <si>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</si>
  <si>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</si>
  <si>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</si>
  <si>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</si>
  <si>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</si>
  <si>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</si>
  <si>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</si>
  <si>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</si>
  <si>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</si>
  <si>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</si>
  <si>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</si>
  <si>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</si>
  <si>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</si>
  <si>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</si>
  <si>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</si>
  <si>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</si>
  <si>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</si>
  <si>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</si>
  <si>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</si>
  <si>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</si>
  <si>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</si>
  <si>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</si>
  <si>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</si>
  <si>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</si>
  <si>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</si>
  <si>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</si>
  <si>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</si>
  <si>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</si>
  <si>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</si>
  <si>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</si>
  <si>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</si>
  <si>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</si>
  <si>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</si>
  <si>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</si>
  <si>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</si>
  <si>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</si>
  <si>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</si>
  <si>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</si>
  <si>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</si>
  <si>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</si>
  <si>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</si>
  <si>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</si>
  <si>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</si>
  <si>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</si>
  <si>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</si>
  <si>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</si>
  <si>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</si>
  <si>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CUB C/R FRENTE 90° R8</t>
  </si>
  <si>
    <t>WHITE MARBLE BR</t>
  </si>
  <si>
    <t>N° 11215</t>
  </si>
  <si>
    <t>DIEGO APABLAZA</t>
  </si>
  <si>
    <t>+569 5104 8364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</si>
</sst>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3" fillId="4" borderId="0" xfId="0" applyFont="1" applyFill="1"/>
    <xf numFmtId="0" fontId="18" fillId="3" borderId="0" xfId="0" applyFont="1" applyFill="1"/>
    <xf numFmtId="0" fontId="3" fillId="3" borderId="0" xfId="0" applyFont="1" applyFill="1" applyAlignment="1">
      <alignment horizontal="left"/>
    </xf>
    <xf numFmtId="0" fontId="19" fillId="0" borderId="0" xfId="0" quotePrefix="1" applyFont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18" fillId="3" borderId="9" xfId="0" applyFont="1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42" fontId="15" fillId="0" borderId="30" xfId="3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8634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 $70.000</a:t>
          </a:r>
        </a:p>
        <a:p>
          <a:pPr algn="l"/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5</xdr:row>
      <xdr:rowOff>47625</xdr:rowOff>
    </xdr:from>
    <xdr:to>
      <xdr:col>6</xdr:col>
      <xdr:colOff>0</xdr:colOff>
      <xdr:row>6</xdr:row>
      <xdr:rowOff>182880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66900" y="1076325"/>
          <a:ext cx="6804660" cy="1885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38100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4384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15240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3241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2392680</xdr:colOff>
      <xdr:row>47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60679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929640</xdr:colOff>
      <xdr:row>32</xdr:row>
      <xdr:rowOff>15239</xdr:rowOff>
    </xdr:from>
    <xdr:to>
      <xdr:col>6</xdr:col>
      <xdr:colOff>15240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29640" y="6004559"/>
          <a:ext cx="775716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 VAN CORTADAS A LA MEDIDA 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182880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0586085"/>
          <a:ext cx="7717155" cy="9353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CUBIERTAS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CORTADAS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7620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76425" y="1308735"/>
          <a:ext cx="6795135" cy="1771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workbookViewId="0">
      <selection activeCell="K25" sqref="K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139</v>
      </c>
      <c r="E8" s="1"/>
      <c r="F8" s="90" t="s">
        <v>27</v>
      </c>
      <c r="G8" s="91">
        <v>7146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2" t="s">
        <v>140</v>
      </c>
      <c r="D10" s="55"/>
      <c r="E10" s="55"/>
      <c r="F10" s="56" t="s">
        <v>28</v>
      </c>
      <c r="G10" s="57">
        <v>45653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0"/>
      <c r="D11" s="101"/>
      <c r="E11" s="101"/>
      <c r="F11" s="101" t="s">
        <v>124</v>
      </c>
      <c r="G11" s="60">
        <v>45660</v>
      </c>
      <c r="H11" s="61"/>
      <c r="I11" s="1"/>
    </row>
    <row r="12" spans="1:17" ht="16.8" x14ac:dyDescent="0.4">
      <c r="A12" s="1"/>
      <c r="B12" s="62" t="s">
        <v>132</v>
      </c>
      <c r="C12" s="102"/>
      <c r="D12" s="43"/>
      <c r="E12" s="43"/>
      <c r="F12" s="43" t="s">
        <v>30</v>
      </c>
      <c r="G12" s="103"/>
      <c r="H12" s="63"/>
      <c r="I12" s="1"/>
    </row>
    <row r="13" spans="1:17" ht="15.6" x14ac:dyDescent="0.3">
      <c r="A13" s="1"/>
      <c r="B13" s="62" t="s">
        <v>134</v>
      </c>
      <c r="D13" s="43"/>
      <c r="E13" s="43"/>
      <c r="F13" s="43" t="s">
        <v>128</v>
      </c>
      <c r="G13" s="103" t="s">
        <v>131</v>
      </c>
      <c r="H13" s="63"/>
      <c r="I13" s="1"/>
    </row>
    <row r="14" spans="1:17" ht="15.6" x14ac:dyDescent="0.3">
      <c r="A14" s="1"/>
      <c r="B14" s="59" t="s">
        <v>17</v>
      </c>
      <c r="C14" s="104" t="s">
        <v>141</v>
      </c>
      <c r="D14" s="105"/>
      <c r="E14" s="101"/>
      <c r="F14" s="101" t="s">
        <v>29</v>
      </c>
      <c r="G14" s="101" t="s">
        <v>136</v>
      </c>
      <c r="H14" s="61"/>
      <c r="I14" s="1"/>
    </row>
    <row r="15" spans="1:17" ht="15.6" x14ac:dyDescent="0.3">
      <c r="A15" s="1"/>
      <c r="B15" s="62" t="s">
        <v>1</v>
      </c>
      <c r="D15" s="43"/>
      <c r="E15" s="43"/>
      <c r="F15" s="106" t="s">
        <v>75</v>
      </c>
      <c r="G15" s="106"/>
      <c r="H15" s="63"/>
      <c r="I15" s="1"/>
    </row>
    <row r="16" spans="1:17" ht="17.399999999999999" thickBot="1" x14ac:dyDescent="0.45">
      <c r="A16" s="1"/>
      <c r="B16" s="64" t="s">
        <v>3</v>
      </c>
      <c r="C16" s="107" t="s">
        <v>133</v>
      </c>
      <c r="D16" s="65"/>
      <c r="E16" s="66"/>
      <c r="F16" s="108" t="s">
        <v>18</v>
      </c>
      <c r="G16" s="108"/>
      <c r="H16" s="109"/>
      <c r="I16" s="1"/>
    </row>
    <row r="17" spans="1:16" ht="15.6" x14ac:dyDescent="0.3">
      <c r="A17" s="1"/>
      <c r="B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6.2" thickBot="1" x14ac:dyDescent="0.35">
      <c r="A20" s="1"/>
      <c r="B20" s="67" t="s">
        <v>20</v>
      </c>
      <c r="C20" s="68" t="s">
        <v>21</v>
      </c>
      <c r="D20" s="68" t="s">
        <v>22</v>
      </c>
      <c r="E20" s="68" t="s">
        <v>8</v>
      </c>
      <c r="F20" s="69" t="s">
        <v>23</v>
      </c>
      <c r="G20" s="67" t="s">
        <v>24</v>
      </c>
      <c r="H20" s="69" t="s">
        <v>4</v>
      </c>
      <c r="I20" s="1"/>
    </row>
    <row r="21" spans="1:16" ht="18" customHeight="1" x14ac:dyDescent="0.3">
      <c r="A21" s="1"/>
      <c r="B21" s="121">
        <v>1</v>
      </c>
      <c r="C21" s="122" t="s">
        <v>137</v>
      </c>
      <c r="D21" s="123">
        <v>2500</v>
      </c>
      <c r="E21" s="123">
        <v>500</v>
      </c>
      <c r="F21" s="122" t="s">
        <v>138</v>
      </c>
      <c r="G21" s="124">
        <v>74000</v>
      </c>
      <c r="H21" s="125">
        <v>74000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6">
        <v>1</v>
      </c>
      <c r="C22" s="127" t="s">
        <v>137</v>
      </c>
      <c r="D22" s="128">
        <v>1000</v>
      </c>
      <c r="E22" s="128">
        <v>500</v>
      </c>
      <c r="F22" s="127" t="s">
        <v>138</v>
      </c>
      <c r="G22" s="129">
        <v>35793</v>
      </c>
      <c r="H22" s="130">
        <f>H25-H21</f>
        <v>35793.277310924372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3"/>
      <c r="C23" s="93"/>
      <c r="D23" s="93"/>
      <c r="E23" s="93"/>
      <c r="F23" s="94"/>
      <c r="G23" s="95"/>
      <c r="H23" s="9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0"/>
      <c r="C24" s="70"/>
      <c r="D24" s="70"/>
      <c r="E24" s="70"/>
      <c r="F24" s="70"/>
      <c r="G24" s="71"/>
      <c r="H24" s="71"/>
      <c r="I24" s="1"/>
    </row>
    <row r="25" spans="1:16" ht="15.6" x14ac:dyDescent="0.3">
      <c r="A25" s="1"/>
      <c r="B25" s="1"/>
      <c r="C25" s="1"/>
      <c r="D25" s="1"/>
      <c r="E25" s="1"/>
      <c r="F25" s="1"/>
      <c r="G25" s="72" t="s">
        <v>5</v>
      </c>
      <c r="H25" s="73">
        <f>H27/1.19</f>
        <v>109793.27731092437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4" t="s">
        <v>6</v>
      </c>
      <c r="H26" s="75">
        <f>H25*19%</f>
        <v>20860.722689075632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6" t="s">
        <v>4</v>
      </c>
      <c r="H27" s="77">
        <v>130654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0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0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39" zoomScaleNormal="100" workbookViewId="0">
      <selection activeCell="A40" sqref="A39:G6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7146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DIEGO APABLAZA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45660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130</v>
      </c>
      <c r="B14" s="25">
        <f t="shared" ref="B14" si="0">I14</f>
        <v>1</v>
      </c>
      <c r="C14" s="25"/>
      <c r="D14" s="25">
        <f t="shared" ref="D14" si="1">J14+D$13</f>
        <v>2550</v>
      </c>
      <c r="E14" s="35">
        <f t="shared" ref="E14" si="2">K14+E$13</f>
        <v>470</v>
      </c>
      <c r="F14" s="98" t="str">
        <f>C29</f>
        <v>CUB C/R FRENTE 90° R8</v>
      </c>
      <c r="G14" s="1"/>
      <c r="I14" s="3">
        <f>I22</f>
        <v>1</v>
      </c>
      <c r="J14" s="4">
        <f>D29</f>
        <v>2500</v>
      </c>
      <c r="K14" s="4">
        <f>E29</f>
        <v>500</v>
      </c>
    </row>
    <row r="15" spans="1:14" ht="15.6" x14ac:dyDescent="0.3">
      <c r="A15" s="92"/>
      <c r="B15" s="25">
        <f t="shared" ref="B15" si="3">I15</f>
        <v>1</v>
      </c>
      <c r="C15" s="25"/>
      <c r="D15" s="25">
        <f t="shared" ref="D15" si="4">J15+D$13</f>
        <v>1050</v>
      </c>
      <c r="E15" s="35">
        <f t="shared" ref="E15" si="5">K15+E$13</f>
        <v>470</v>
      </c>
      <c r="F15" s="98" t="str">
        <f>C30</f>
        <v>CUB C/R FRENTE 90° R8</v>
      </c>
      <c r="G15" s="1"/>
      <c r="I15" s="3">
        <f>I23</f>
        <v>1</v>
      </c>
      <c r="J15" s="4">
        <f>D30</f>
        <v>1000</v>
      </c>
      <c r="K15" s="4">
        <f>E30</f>
        <v>500</v>
      </c>
    </row>
    <row r="16" spans="1:14" ht="15.6" x14ac:dyDescent="0.3">
      <c r="A16" s="52"/>
      <c r="B16" s="6"/>
      <c r="C16" s="6"/>
      <c r="D16" s="6"/>
      <c r="E16" s="85"/>
      <c r="F16" s="6"/>
      <c r="G16" s="1"/>
      <c r="I16" s="86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6" t="s">
        <v>14</v>
      </c>
      <c r="B18" s="116"/>
      <c r="C18" s="116"/>
      <c r="D18" s="116"/>
      <c r="E18" s="116"/>
      <c r="F18" s="11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 t="s">
        <v>130</v>
      </c>
      <c r="B22" s="16">
        <f t="shared" ref="B22" si="6">I22</f>
        <v>1</v>
      </c>
      <c r="C22" s="16"/>
      <c r="D22" s="16">
        <f>J22+D$21</f>
        <v>2540</v>
      </c>
      <c r="E22" s="16">
        <f>K22+E$21</f>
        <v>630</v>
      </c>
      <c r="F22" s="99" t="str">
        <f>C29</f>
        <v>CUB C/R FRENTE 90° R8</v>
      </c>
      <c r="G22" s="1"/>
      <c r="I22" s="3">
        <f>B29</f>
        <v>1</v>
      </c>
      <c r="J22" s="4">
        <f t="shared" ref="J22:K22" si="7">D29</f>
        <v>2500</v>
      </c>
      <c r="K22" s="4">
        <f t="shared" si="7"/>
        <v>500</v>
      </c>
    </row>
    <row r="23" spans="1:11" ht="15.6" x14ac:dyDescent="0.3">
      <c r="A23" s="92"/>
      <c r="B23" s="16">
        <f t="shared" ref="B23" si="8">I23</f>
        <v>1</v>
      </c>
      <c r="C23" s="16"/>
      <c r="D23" s="16">
        <f>J23+D$21</f>
        <v>1040</v>
      </c>
      <c r="E23" s="16">
        <f>K23+E$21</f>
        <v>630</v>
      </c>
      <c r="F23" s="99" t="str">
        <f>C30</f>
        <v>CUB C/R FRENTE 90° R8</v>
      </c>
      <c r="G23" s="1"/>
      <c r="I23" s="3">
        <f>B30</f>
        <v>1</v>
      </c>
      <c r="J23" s="4">
        <f t="shared" ref="J23" si="9">D30</f>
        <v>1000</v>
      </c>
      <c r="K23" s="4">
        <f t="shared" ref="K23" si="10">E30</f>
        <v>500</v>
      </c>
    </row>
    <row r="24" spans="1:11" ht="15.6" x14ac:dyDescent="0.3">
      <c r="A24" s="92"/>
      <c r="B24" s="6"/>
      <c r="C24" s="6"/>
      <c r="D24" s="6"/>
      <c r="E24" s="6"/>
      <c r="F24" s="6"/>
      <c r="G24" s="1"/>
      <c r="I24" s="86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4" t="s">
        <v>10</v>
      </c>
      <c r="C28" s="84" t="s">
        <v>110</v>
      </c>
      <c r="D28" s="84" t="s">
        <v>7</v>
      </c>
      <c r="E28" s="84" t="s">
        <v>8</v>
      </c>
      <c r="F28" s="84" t="s">
        <v>23</v>
      </c>
      <c r="G28" s="1"/>
    </row>
    <row r="29" spans="1:11" ht="15.6" x14ac:dyDescent="0.3">
      <c r="A29" s="92" t="s">
        <v>135</v>
      </c>
      <c r="B29" s="25">
        <f>'4637'!B21</f>
        <v>1</v>
      </c>
      <c r="C29" s="98" t="str">
        <f>'4637'!C21</f>
        <v>CUB C/R FRENTE 90° R8</v>
      </c>
      <c r="D29" s="25">
        <f>'4637'!D21</f>
        <v>2500</v>
      </c>
      <c r="E29" s="25">
        <f>'4637'!E21</f>
        <v>500</v>
      </c>
      <c r="F29" s="25" t="str">
        <f>'4637'!F21</f>
        <v>WHITE MARBLE BR</v>
      </c>
      <c r="G29" s="1"/>
    </row>
    <row r="30" spans="1:11" ht="15.6" x14ac:dyDescent="0.3">
      <c r="A30" s="92"/>
      <c r="B30" s="25">
        <f>'4637'!B22</f>
        <v>1</v>
      </c>
      <c r="C30" s="98" t="str">
        <f>'4637'!C22</f>
        <v>CUB C/R FRENTE 90° R8</v>
      </c>
      <c r="D30" s="25">
        <f>'4637'!D22</f>
        <v>1000</v>
      </c>
      <c r="E30" s="25">
        <f>'4637'!E22</f>
        <v>500</v>
      </c>
      <c r="F30" s="25" t="str">
        <f>'4637'!F22</f>
        <v>WHITE MARBLE BR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 cm="1">
        <f t="array" aca="1" ref="A39" ca="1">A39:G63</f>
        <v>0</v>
      </c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7146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DIEGO APABLAZA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45660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6" t="s">
        <v>68</v>
      </c>
      <c r="B47" s="116"/>
      <c r="C47" s="116"/>
      <c r="D47" s="116"/>
      <c r="E47" s="116"/>
      <c r="F47" s="11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7" t="s">
        <v>69</v>
      </c>
      <c r="C49" s="118"/>
      <c r="D49" s="119"/>
      <c r="E49" s="119"/>
      <c r="F49" s="120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2"/>
      <c r="B51" s="38">
        <f>'4637'!B21</f>
        <v>1</v>
      </c>
      <c r="C51" s="97" t="str">
        <f>'4637'!C21</f>
        <v>CUB C/R FRENTE 90° R8</v>
      </c>
      <c r="D51" s="39">
        <f>'4637'!D21</f>
        <v>2500</v>
      </c>
      <c r="E51" s="39">
        <f>'4637'!E21</f>
        <v>500</v>
      </c>
      <c r="F51" s="38" t="str">
        <f>'4637'!F21</f>
        <v>WHITE MARBLE BR</v>
      </c>
      <c r="G51" s="1"/>
    </row>
    <row r="52" spans="1:7" s="15" customFormat="1" ht="15" customHeight="1" x14ac:dyDescent="0.3">
      <c r="A52" s="92"/>
      <c r="B52" s="38">
        <f>'4637'!B22</f>
        <v>1</v>
      </c>
      <c r="C52" s="97" t="str">
        <f>'4637'!C22</f>
        <v>CUB C/R FRENTE 90° R8</v>
      </c>
      <c r="D52" s="39">
        <f>'4637'!D22</f>
        <v>1000</v>
      </c>
      <c r="E52" s="39">
        <f>'4637'!E22</f>
        <v>500</v>
      </c>
      <c r="F52" s="38" t="str">
        <f>'4637'!F22</f>
        <v>WHITE MARBLE BR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2024-12-27T13:35:10Z</cp:lastPrinted>
  <dcterms:created xsi:type="dcterms:W3CDTF">2013-03-19T12:54:14Z</dcterms:created>
  <dcterms:modified xsi:type="dcterms:W3CDTF">2024-12-27T13:38:56Z</dcterms:modified>
</cp:coreProperties>
</file>