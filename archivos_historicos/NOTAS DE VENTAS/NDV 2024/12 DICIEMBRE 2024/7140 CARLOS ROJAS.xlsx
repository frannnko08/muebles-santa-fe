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516FEBB5-1A5D-47AD-9D5C-8E42B88C5B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<sst xmlns="http://schemas.openxmlformats.org/spreadsheetml/2006/main" count="246" uniqueCount="144">
  <si>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</si>
  <si>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</si>
  <si>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</si>
  <si>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</si>
  <si>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</si>
  <si>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</si>
  <si>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</si>
  <si>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</si>
  <si>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</si>
  <si>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</si>
  <si>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</si>
  <si>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</si>
  <si>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</si>
  <si>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</si>
  <si>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</si>
  <si>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</si>
  <si>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</si>
  <si>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</si>
  <si>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</si>
  <si>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</si>
  <si>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</si>
  <si>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</si>
  <si>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</si>
  <si>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</si>
  <si>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</si>
  <si>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</si>
  <si>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</si>
  <si>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</si>
  <si>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</si>
  <si>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</si>
  <si>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</si>
  <si>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</si>
  <si>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</si>
  <si>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</si>
  <si>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</si>
  <si>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</si>
  <si>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</si>
  <si>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</si>
  <si>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</si>
  <si>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</si>
  <si>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</si>
  <si>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</si>
  <si>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</si>
  <si>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</si>
  <si>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</si>
  <si>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</si>
  <si>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</si>
  <si>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</si>
  <si>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</si>
  <si>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</si>
  <si>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</si>
  <si>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</si>
  <si>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</si>
  <si>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</si>
  <si>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</si>
  <si>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</si>
  <si>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</si>
  <si>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</si>
  <si>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</si>
  <si>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</si>
  <si>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</si>
  <si>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</si>
  <si>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</si>
  <si>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</si>
  <si>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</si>
  <si>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</si>
  <si>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</si>
  <si>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</si>
  <si>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</si>
  <si>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</si>
  <si>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</si>
  <si>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</si>
  <si>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</si>
  <si>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</si>
  <si>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</si>
  <si>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</si>
  <si>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</si>
  <si>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</si>
  <si>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</si>
  <si>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</si>
  <si>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</si>
  <si>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</si>
  <si>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</si>
  <si>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</si>
  <si>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</si>
  <si>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</si>
  <si>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</si>
  <si>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</si>
  <si>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</si>
  <si>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</si>
  <si>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</si>
  <si>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</si>
  <si>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</si>
  <si>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</si>
  <si>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</si>
  <si>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</si>
  <si>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</si>
  <si>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</si>
  <si>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</si>
  <si>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</si>
  <si>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</si>
  <si>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</si>
  <si>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</si>
  <si>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</si>
  <si>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</si>
  <si>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</si>
  <si>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</si>
  <si>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</si>
  <si>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</si>
  <si>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</si>
  <si>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</si>
  <si>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</si>
  <si>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</si>
  <si>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</si>
  <si>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</si>
  <si>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</si>
  <si>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</si>
  <si>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</si>
  <si>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</si>
  <si>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</si>
  <si>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</si>
  <si>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</si>
  <si>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</si>
  <si>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</si>
  <si>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</si>
  <si>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</si>
  <si>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</si>
  <si>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</si>
  <si>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</si>
  <si>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</si>
  <si>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</si>
  <si>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</si>
  <si>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</si>
  <si>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</si>
  <si>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</si>
  <si>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</si>
  <si>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</si>
  <si>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</si>
  <si>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N° 11024</t>
  </si>
  <si>
    <t>CARLOS ROJAS</t>
  </si>
  <si>
    <t>+569 6833 9286</t>
  </si>
  <si>
    <t>BLANCO BRILLO</t>
  </si>
  <si>
    <t>CUB C/R 180°</t>
  </si>
  <si>
    <t>RESPALDO DE 53MM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</si>
</sst>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$ 35.000.-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OJO RESPALDO CORTAR A 53MM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RESPALDO 53MM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677799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D21" sqref="D21:E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138</v>
      </c>
      <c r="E8" s="1"/>
      <c r="F8" s="89" t="s">
        <v>27</v>
      </c>
      <c r="G8" s="90">
        <v>7140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139</v>
      </c>
      <c r="D10" s="54"/>
      <c r="E10" s="54"/>
      <c r="F10" s="55" t="s">
        <v>28</v>
      </c>
      <c r="G10" s="56">
        <v>45642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4"/>
      <c r="D11" s="59"/>
      <c r="E11" s="59"/>
      <c r="F11" s="59" t="s">
        <v>124</v>
      </c>
      <c r="G11" s="60"/>
      <c r="H11" s="61"/>
      <c r="I11" s="1"/>
    </row>
    <row r="12" spans="1:17" ht="16.8" x14ac:dyDescent="0.4">
      <c r="A12" s="1"/>
      <c r="B12" s="62" t="s">
        <v>133</v>
      </c>
      <c r="C12" s="105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135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14" t="s">
        <v>140</v>
      </c>
      <c r="D14" s="65"/>
      <c r="E14" s="59"/>
      <c r="F14" s="59" t="s">
        <v>29</v>
      </c>
      <c r="G14" s="59" t="s">
        <v>137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134</v>
      </c>
      <c r="D16" s="68"/>
      <c r="E16" s="69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108" t="s">
        <v>20</v>
      </c>
      <c r="C20" s="109" t="s">
        <v>21</v>
      </c>
      <c r="D20" s="109" t="s">
        <v>22</v>
      </c>
      <c r="E20" s="109" t="s">
        <v>8</v>
      </c>
      <c r="F20" s="110" t="s">
        <v>23</v>
      </c>
      <c r="G20" s="108" t="s">
        <v>24</v>
      </c>
      <c r="H20" s="110" t="s">
        <v>4</v>
      </c>
      <c r="I20" s="1"/>
    </row>
    <row r="21" spans="1:16" ht="18" customHeight="1" x14ac:dyDescent="0.3">
      <c r="A21" s="1"/>
      <c r="B21" s="99">
        <v>1</v>
      </c>
      <c r="C21" s="99" t="s">
        <v>142</v>
      </c>
      <c r="D21" s="111">
        <v>1250</v>
      </c>
      <c r="E21" s="111">
        <v>605</v>
      </c>
      <c r="F21" s="99" t="s">
        <v>141</v>
      </c>
      <c r="G21" s="107">
        <v>54113</v>
      </c>
      <c r="H21" s="100">
        <f>G21*B21</f>
        <v>54113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2"/>
      <c r="C22" s="92"/>
      <c r="D22" s="103"/>
      <c r="E22" s="103"/>
      <c r="F22" s="92"/>
      <c r="G22" s="71"/>
      <c r="H22" s="94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/>
      <c r="C23" s="92"/>
      <c r="D23" s="92"/>
      <c r="E23" s="92"/>
      <c r="F23" s="93"/>
      <c r="G23" s="94"/>
      <c r="H23" s="94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0"/>
      <c r="C24" s="70"/>
      <c r="D24" s="70"/>
      <c r="E24" s="70"/>
      <c r="F24" s="70"/>
      <c r="G24" s="71"/>
      <c r="H24" s="71"/>
      <c r="I24" s="1"/>
    </row>
    <row r="25" spans="1:16" ht="15.6" x14ac:dyDescent="0.3">
      <c r="A25" s="1"/>
      <c r="B25" s="1"/>
      <c r="C25" s="1"/>
      <c r="D25" s="1"/>
      <c r="E25" s="1"/>
      <c r="F25" s="1"/>
      <c r="G25" s="72" t="s">
        <v>5</v>
      </c>
      <c r="H25" s="73">
        <f>SUM(H21:H24)</f>
        <v>54113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6</v>
      </c>
      <c r="H26" s="75">
        <f>H25*19%</f>
        <v>10281.469999999999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6" t="s">
        <v>4</v>
      </c>
      <c r="H27" s="77">
        <f>H25+H26</f>
        <v>64394.47</v>
      </c>
      <c r="I27" s="102"/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8" t="s">
        <v>123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78" t="s">
        <v>122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1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39" t="s">
        <v>27</v>
      </c>
      <c r="D4" s="14">
        <f>'4637'!G8</f>
        <v>7140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CARLOS ROJAS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1</v>
      </c>
      <c r="C14" s="25" t="s">
        <v>143</v>
      </c>
      <c r="D14" s="25">
        <f>J14+D$13</f>
        <v>1330</v>
      </c>
      <c r="E14" s="35">
        <f>K14+E$13</f>
        <v>575</v>
      </c>
      <c r="F14" s="97" t="str">
        <f t="shared" ref="F14" si="1">C28</f>
        <v>CUB C/R 180°</v>
      </c>
      <c r="G14" s="1"/>
      <c r="I14" s="3">
        <f>I22</f>
        <v>1</v>
      </c>
      <c r="J14" s="4">
        <f t="shared" ref="J14:K14" si="2">D28</f>
        <v>1250</v>
      </c>
      <c r="K14" s="4">
        <f t="shared" si="2"/>
        <v>605</v>
      </c>
    </row>
    <row r="15" spans="1:14" ht="15.6" x14ac:dyDescent="0.3">
      <c r="A15" s="91"/>
      <c r="B15" s="6"/>
      <c r="C15" s="6"/>
      <c r="D15" s="6"/>
      <c r="E15" s="113"/>
      <c r="F15" s="101"/>
      <c r="G15" s="1"/>
      <c r="I15" s="85"/>
      <c r="J15" s="2"/>
      <c r="K15" s="2"/>
    </row>
    <row r="16" spans="1:14" ht="15.6" x14ac:dyDescent="0.3">
      <c r="A16" s="91"/>
      <c r="B16" s="6"/>
      <c r="C16" s="6"/>
      <c r="D16" s="6"/>
      <c r="E16" s="113"/>
      <c r="F16" s="101"/>
      <c r="G16" s="1"/>
      <c r="I16" s="85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1" t="s">
        <v>131</v>
      </c>
      <c r="B22" s="16">
        <f t="shared" ref="B22" si="3">I22</f>
        <v>1</v>
      </c>
      <c r="C22" s="16"/>
      <c r="D22" s="16">
        <f>J22+20</f>
        <v>1270</v>
      </c>
      <c r="E22" s="16">
        <f>K22+E21</f>
        <v>765</v>
      </c>
      <c r="F22" s="98" t="str">
        <f t="shared" ref="F22" si="4">C28</f>
        <v>CUB C/R 180°</v>
      </c>
      <c r="G22" s="1"/>
      <c r="I22" s="3">
        <f t="shared" ref="I22" si="5">B28</f>
        <v>1</v>
      </c>
      <c r="J22" s="4">
        <f>D28</f>
        <v>1250</v>
      </c>
      <c r="K22" s="4">
        <f>E28</f>
        <v>605</v>
      </c>
    </row>
    <row r="23" spans="1:11" ht="15.6" x14ac:dyDescent="0.3">
      <c r="A23" s="91"/>
      <c r="B23" s="6"/>
      <c r="C23" s="6"/>
      <c r="D23" s="6"/>
      <c r="E23" s="6"/>
      <c r="F23" s="101"/>
      <c r="G23" s="1"/>
      <c r="I23" s="85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4" t="s">
        <v>10</v>
      </c>
      <c r="C27" s="84" t="s">
        <v>110</v>
      </c>
      <c r="D27" s="84" t="s">
        <v>7</v>
      </c>
      <c r="E27" s="84" t="s">
        <v>8</v>
      </c>
      <c r="F27" s="84" t="s">
        <v>23</v>
      </c>
      <c r="G27" s="1"/>
    </row>
    <row r="28" spans="1:11" ht="15.6" x14ac:dyDescent="0.3">
      <c r="A28" s="91" t="s">
        <v>136</v>
      </c>
      <c r="B28" s="25">
        <f>'4637'!B21</f>
        <v>1</v>
      </c>
      <c r="C28" s="97" t="str">
        <f>'4637'!C21</f>
        <v>CUB C/R 180°</v>
      </c>
      <c r="D28" s="25">
        <f>'4637'!D21</f>
        <v>1250</v>
      </c>
      <c r="E28" s="25">
        <f>'4637'!E21</f>
        <v>605</v>
      </c>
      <c r="F28" s="25" t="str">
        <f>'4637'!F21</f>
        <v>BLANCO BRILLO</v>
      </c>
      <c r="G28" s="1"/>
    </row>
    <row r="29" spans="1:11" ht="15.6" x14ac:dyDescent="0.3">
      <c r="A29" s="5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'4637'!G8</f>
        <v>7140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'4637'!C10</f>
        <v>CARLOS ROJAS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68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69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5">
      <c r="A49" s="91"/>
      <c r="B49" s="38">
        <f>'4637'!B21</f>
        <v>1</v>
      </c>
      <c r="C49" s="96" t="str">
        <f>'4637'!C21</f>
        <v>CUB C/R 180°</v>
      </c>
      <c r="D49" s="112">
        <f>'4637'!D21</f>
        <v>1250</v>
      </c>
      <c r="E49" s="112">
        <f>'4637'!E21</f>
        <v>605</v>
      </c>
      <c r="F49" s="38" t="str">
        <f>'4637'!F21</f>
        <v>BLANCO BRILLO</v>
      </c>
      <c r="G49" s="1"/>
    </row>
    <row r="50" spans="1:7" s="15" customFormat="1" ht="15" customHeight="1" x14ac:dyDescent="0.3">
      <c r="A50" s="91"/>
      <c r="B50" s="51"/>
      <c r="C50" s="106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2024-12-16T13:04:09Z</cp:lastPrinted>
  <dcterms:created xsi:type="dcterms:W3CDTF">2013-03-19T12:54:14Z</dcterms:created>
  <dcterms:modified xsi:type="dcterms:W3CDTF">2024-12-16T13:06:07Z</dcterms:modified>
</cp:coreProperties>
</file>