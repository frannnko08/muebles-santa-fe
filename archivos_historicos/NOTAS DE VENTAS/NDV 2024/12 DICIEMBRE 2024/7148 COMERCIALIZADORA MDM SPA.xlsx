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2 DICIEMBRE 2024\"/>
    </mc:Choice>
  </mc:AlternateContent>
  <xr:revisionPtr revIDLastSave="0" documentId="13_ncr:1_{D82A469D-9530-4C2B-BAFB-F8E85F5497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'4637'!$A$1:$H$38</definedName>
    <definedName name="_xlnm.Print_Area" localSheetId="2">CUBIERTA!$A$2:$G$57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3" l="1"/>
  <c r="J18" i="3"/>
  <c r="C18" i="3" s="1"/>
  <c r="K18" i="3"/>
  <c r="E18" i="3" s="1"/>
  <c r="L18" i="3"/>
  <c r="G19" i="3"/>
  <c r="J19" i="3"/>
  <c r="C19" i="3" s="1"/>
  <c r="K19" i="3"/>
  <c r="E19" i="3" s="1"/>
  <c r="L19" i="3"/>
  <c r="G20" i="3"/>
  <c r="J20" i="3"/>
  <c r="C20" i="3" s="1"/>
  <c r="K20" i="3"/>
  <c r="E20" i="3" s="1"/>
  <c r="L20" i="3"/>
  <c r="G22" i="3"/>
  <c r="G23" i="3"/>
  <c r="F37" i="3"/>
  <c r="C35" i="3"/>
  <c r="C36" i="3"/>
  <c r="C37" i="3"/>
  <c r="C46" i="3"/>
  <c r="J32" i="3" s="1"/>
  <c r="C32" i="3" s="1"/>
  <c r="D46" i="3"/>
  <c r="G32" i="3" s="1"/>
  <c r="G15" i="3" s="1"/>
  <c r="E46" i="3"/>
  <c r="K32" i="3" s="1"/>
  <c r="K15" i="3" s="1"/>
  <c r="E15" i="3" s="1"/>
  <c r="F46" i="3"/>
  <c r="L32" i="3" s="1"/>
  <c r="F32" i="3" s="1"/>
  <c r="C47" i="3"/>
  <c r="J33" i="3" s="1"/>
  <c r="C33" i="3" s="1"/>
  <c r="D47" i="3"/>
  <c r="G33" i="3" s="1"/>
  <c r="G16" i="3" s="1"/>
  <c r="E47" i="3"/>
  <c r="K33" i="3" s="1"/>
  <c r="K16" i="3" s="1"/>
  <c r="E16" i="3" s="1"/>
  <c r="F47" i="3"/>
  <c r="L33" i="3" s="1"/>
  <c r="F33" i="3" s="1"/>
  <c r="C48" i="3"/>
  <c r="J34" i="3" s="1"/>
  <c r="C34" i="3" s="1"/>
  <c r="D48" i="3"/>
  <c r="G34" i="3" s="1"/>
  <c r="G17" i="3" s="1"/>
  <c r="E48" i="3"/>
  <c r="K34" i="3" s="1"/>
  <c r="K17" i="3" s="1"/>
  <c r="E17" i="3" s="1"/>
  <c r="F48" i="3"/>
  <c r="L34" i="3" s="1"/>
  <c r="F34" i="3" s="1"/>
  <c r="C49" i="3"/>
  <c r="J38" i="3" s="1"/>
  <c r="C38" i="3" s="1"/>
  <c r="D49" i="3"/>
  <c r="E49" i="3"/>
  <c r="K38" i="3" s="1"/>
  <c r="E38" i="3" s="1"/>
  <c r="F49" i="3"/>
  <c r="L38" i="3" s="1"/>
  <c r="F38" i="3" s="1"/>
  <c r="C50" i="3"/>
  <c r="J39" i="3" s="1"/>
  <c r="C39" i="3" s="1"/>
  <c r="D50" i="3"/>
  <c r="E50" i="3"/>
  <c r="K39" i="3" s="1"/>
  <c r="E39" i="3" s="1"/>
  <c r="F50" i="3"/>
  <c r="L39" i="3" s="1"/>
  <c r="F39" i="3" s="1"/>
  <c r="C72" i="3"/>
  <c r="D72" i="3"/>
  <c r="E72" i="3"/>
  <c r="F72" i="3"/>
  <c r="G72" i="3"/>
  <c r="G46" i="3" s="1"/>
  <c r="C73" i="3"/>
  <c r="D73" i="3"/>
  <c r="E73" i="3"/>
  <c r="F73" i="3"/>
  <c r="G73" i="3"/>
  <c r="G47" i="3" s="1"/>
  <c r="C74" i="3"/>
  <c r="D74" i="3"/>
  <c r="E74" i="3"/>
  <c r="F74" i="3"/>
  <c r="G74" i="3"/>
  <c r="G48" i="3" s="1"/>
  <c r="C75" i="3"/>
  <c r="D75" i="3"/>
  <c r="E75" i="3"/>
  <c r="F75" i="3"/>
  <c r="G75" i="3"/>
  <c r="G49" i="3" s="1"/>
  <c r="C76" i="3"/>
  <c r="D76" i="3"/>
  <c r="E76" i="3"/>
  <c r="F76" i="3"/>
  <c r="G76" i="3"/>
  <c r="G50" i="3" s="1"/>
  <c r="H27" i="4"/>
  <c r="H26" i="4"/>
  <c r="H25" i="4"/>
  <c r="H24" i="4"/>
  <c r="H23" i="4"/>
  <c r="H22" i="4"/>
  <c r="J23" i="3" l="1"/>
  <c r="C23" i="3" s="1"/>
  <c r="L17" i="3"/>
  <c r="F17" i="3" s="1"/>
  <c r="L16" i="3"/>
  <c r="F16" i="3" s="1"/>
  <c r="J22" i="3"/>
  <c r="C22" i="3" s="1"/>
  <c r="L15" i="3"/>
  <c r="F15" i="3" s="1"/>
  <c r="K23" i="3"/>
  <c r="E23" i="3" s="1"/>
  <c r="J17" i="3"/>
  <c r="C17" i="3" s="1"/>
  <c r="J16" i="3"/>
  <c r="C16" i="3" s="1"/>
  <c r="J15" i="3"/>
  <c r="C15" i="3" s="1"/>
  <c r="K22" i="3"/>
  <c r="E22" i="3" s="1"/>
  <c r="L23" i="3"/>
  <c r="L22" i="3"/>
  <c r="G71" i="3" l="1"/>
  <c r="G45" i="3" s="1"/>
  <c r="L22" i="4" l="1"/>
  <c r="H30" i="4" l="1"/>
  <c r="H31" i="4" s="1"/>
  <c r="H32" i="4" l="1"/>
  <c r="F45" i="3"/>
  <c r="L31" i="3" s="1"/>
  <c r="F31" i="3" s="1"/>
  <c r="E45" i="3"/>
  <c r="K31" i="3" s="1"/>
  <c r="D45" i="3"/>
  <c r="G31" i="3" s="1"/>
  <c r="G14" i="3" s="1"/>
  <c r="C45" i="3"/>
  <c r="F71" i="3"/>
  <c r="E71" i="3"/>
  <c r="D71" i="3"/>
  <c r="C71" i="3"/>
  <c r="J31" i="3" l="1"/>
  <c r="J14" i="3" s="1"/>
  <c r="C14" i="3" s="1"/>
  <c r="K14" i="3"/>
  <c r="E14" i="3" s="1"/>
  <c r="E31" i="3"/>
  <c r="L14" i="3"/>
  <c r="F14" i="3" s="1"/>
  <c r="O5" i="3"/>
  <c r="C31" i="3" l="1"/>
  <c r="N5" i="3"/>
  <c r="M5" i="3"/>
  <c r="L5" i="3"/>
  <c r="D64" i="3" l="1"/>
  <c r="D7" i="3"/>
  <c r="E62" i="3"/>
  <c r="E5" i="3"/>
  <c r="E64" i="3"/>
  <c r="E7" i="3"/>
  <c r="E61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3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<sst xmlns="http://schemas.openxmlformats.org/spreadsheetml/2006/main" count="276" uniqueCount="152">
  <si>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</si>
  <si>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</si>
  <si>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</si>
  <si>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</si>
  <si>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</si>
  <si>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</si>
  <si>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</si>
  <si>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</si>
  <si>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</si>
  <si>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</si>
  <si>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</si>
  <si>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</si>
  <si>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</si>
  <si>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</si>
  <si>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</si>
  <si>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</si>
  <si>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</si>
  <si>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</si>
  <si>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</si>
  <si>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</si>
  <si>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</si>
  <si>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</si>
  <si>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</si>
  <si>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</si>
  <si>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</si>
  <si>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</si>
  <si>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</si>
  <si>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</si>
  <si>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</si>
  <si>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</si>
  <si>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</si>
  <si>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</si>
  <si>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</si>
  <si>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</si>
  <si>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</si>
  <si>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</si>
  <si>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</si>
  <si>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</si>
  <si>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</si>
  <si>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</si>
  <si>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</si>
  <si>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</si>
  <si>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</si>
  <si>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</si>
  <si>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</si>
  <si>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</si>
  <si>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</si>
  <si>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</si>
  <si>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</si>
  <si>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</si>
  <si>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</si>
  <si>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</si>
  <si>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</si>
  <si>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</si>
  <si>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</si>
  <si>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</si>
  <si>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</si>
  <si>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</si>
  <si>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</si>
  <si>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</si>
  <si>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</si>
  <si>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</si>
  <si>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</si>
  <si>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</si>
  <si>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</si>
  <si>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</si>
  <si>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</si>
  <si>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</si>
  <si>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</si>
  <si>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</si>
  <si>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</si>
  <si>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</si>
  <si>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</si>
  <si>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</si>
  <si>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</si>
  <si>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</si>
  <si>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</si>
  <si>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</si>
  <si>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</si>
  <si>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</si>
  <si>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</si>
  <si>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</si>
  <si>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</si>
  <si>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</si>
  <si>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</si>
  <si>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</si>
  <si>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</si>
  <si>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</si>
  <si>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</si>
  <si>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</si>
  <si>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</si>
  <si>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</si>
  <si>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</si>
  <si>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</si>
  <si>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</si>
  <si>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</si>
  <si>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</si>
  <si>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</si>
  <si>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</si>
  <si>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</si>
  <si>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</si>
  <si>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</si>
  <si>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</si>
  <si>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</si>
  <si>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</si>
  <si>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</si>
  <si>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</si>
  <si>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</si>
  <si>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</si>
  <si>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</si>
  <si>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</si>
  <si>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</si>
  <si>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</si>
  <si>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</si>
  <si>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</si>
  <si>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</si>
  <si>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</si>
  <si>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</si>
  <si>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</si>
  <si>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</si>
  <si>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</si>
  <si>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</si>
  <si>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</si>
  <si>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</si>
  <si>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</si>
  <si>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</si>
  <si>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</si>
  <si>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</si>
  <si>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</si>
  <si>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</si>
  <si>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</si>
  <si>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</si>
  <si>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</si>
  <si>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</si>
  <si>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</si>
  <si>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</si>
  <si>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</si>
  <si>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162x132</t>
  </si>
  <si>
    <t>SANTIAGO</t>
  </si>
  <si>
    <t>COMERCIALIZADORA MDM SPA</t>
  </si>
  <si>
    <t>DANIELA MORA</t>
  </si>
  <si>
    <t>+569 85526125</t>
  </si>
  <si>
    <t>LAS DALIAS 2798-D MACUL</t>
  </si>
  <si>
    <t>MELAMIL 18MM</t>
  </si>
  <si>
    <t>SI</t>
  </si>
  <si>
    <t>N° 11221</t>
  </si>
  <si>
    <t>CUB S/R 180°</t>
  </si>
  <si>
    <t>BLANCO 22191 OPACO MERINO</t>
  </si>
  <si>
    <t>77.368.506-1</t>
  </si>
  <si>
    <t>MDF 18MM</t>
  </si>
  <si>
    <t>E/R 1 CARA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</si>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</sst>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0" borderId="0" xfId="0" applyFont="1" applyBorder="1" applyAlignment="1">
      <alignment horizontal="center" vertical="center"/>
    </xf>
    <xf numFmtId="1" fontId="17" fillId="0" borderId="0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7" fillId="0" borderId="2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4" xfId="0" applyFont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30</xdr:row>
      <xdr:rowOff>0</xdr:rowOff>
    </xdr:from>
    <xdr:to>
      <xdr:col>5</xdr:col>
      <xdr:colOff>1522096</xdr:colOff>
      <xdr:row>33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ABONO $ 443.881.-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25</xdr:row>
      <xdr:rowOff>60960</xdr:rowOff>
    </xdr:from>
    <xdr:to>
      <xdr:col>6</xdr:col>
      <xdr:colOff>2240279</xdr:colOff>
      <xdr:row>27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65</xdr:row>
      <xdr:rowOff>171450</xdr:rowOff>
    </xdr:from>
    <xdr:to>
      <xdr:col>6</xdr:col>
      <xdr:colOff>1685924</xdr:colOff>
      <xdr:row>67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63</xdr:row>
      <xdr:rowOff>0</xdr:rowOff>
    </xdr:from>
    <xdr:to>
      <xdr:col>7</xdr:col>
      <xdr:colOff>0</xdr:colOff>
      <xdr:row>64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61</xdr:row>
      <xdr:rowOff>38100</xdr:rowOff>
    </xdr:from>
    <xdr:to>
      <xdr:col>7</xdr:col>
      <xdr:colOff>0</xdr:colOff>
      <xdr:row>62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60</xdr:row>
      <xdr:rowOff>0</xdr:rowOff>
    </xdr:from>
    <xdr:to>
      <xdr:col>7</xdr:col>
      <xdr:colOff>0</xdr:colOff>
      <xdr:row>61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78</xdr:row>
      <xdr:rowOff>0</xdr:rowOff>
    </xdr:from>
    <xdr:to>
      <xdr:col>3</xdr:col>
      <xdr:colOff>38100</xdr:colOff>
      <xdr:row>79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78</xdr:row>
      <xdr:rowOff>0</xdr:rowOff>
    </xdr:from>
    <xdr:to>
      <xdr:col>3</xdr:col>
      <xdr:colOff>1019175</xdr:colOff>
      <xdr:row>79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78</xdr:row>
      <xdr:rowOff>0</xdr:rowOff>
    </xdr:from>
    <xdr:to>
      <xdr:col>4</xdr:col>
      <xdr:colOff>352425</xdr:colOff>
      <xdr:row>79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78</xdr:row>
      <xdr:rowOff>0</xdr:rowOff>
    </xdr:from>
    <xdr:to>
      <xdr:col>5</xdr:col>
      <xdr:colOff>257175</xdr:colOff>
      <xdr:row>79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78</xdr:row>
      <xdr:rowOff>0</xdr:rowOff>
    </xdr:from>
    <xdr:to>
      <xdr:col>6</xdr:col>
      <xdr:colOff>447675</xdr:colOff>
      <xdr:row>79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78</xdr:row>
      <xdr:rowOff>0</xdr:rowOff>
    </xdr:from>
    <xdr:to>
      <xdr:col>7</xdr:col>
      <xdr:colOff>0</xdr:colOff>
      <xdr:row>79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79</xdr:row>
      <xdr:rowOff>0</xdr:rowOff>
    </xdr:from>
    <xdr:to>
      <xdr:col>3</xdr:col>
      <xdr:colOff>304800</xdr:colOff>
      <xdr:row>80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79</xdr:row>
      <xdr:rowOff>0</xdr:rowOff>
    </xdr:from>
    <xdr:to>
      <xdr:col>3</xdr:col>
      <xdr:colOff>1276350</xdr:colOff>
      <xdr:row>80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79</xdr:row>
      <xdr:rowOff>0</xdr:rowOff>
    </xdr:from>
    <xdr:to>
      <xdr:col>4</xdr:col>
      <xdr:colOff>619125</xdr:colOff>
      <xdr:row>80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79</xdr:row>
      <xdr:rowOff>0</xdr:rowOff>
    </xdr:from>
    <xdr:to>
      <xdr:col>5</xdr:col>
      <xdr:colOff>523875</xdr:colOff>
      <xdr:row>80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79</xdr:row>
      <xdr:rowOff>0</xdr:rowOff>
    </xdr:from>
    <xdr:to>
      <xdr:col>6</xdr:col>
      <xdr:colOff>723900</xdr:colOff>
      <xdr:row>80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79</xdr:row>
      <xdr:rowOff>0</xdr:rowOff>
    </xdr:from>
    <xdr:to>
      <xdr:col>7</xdr:col>
      <xdr:colOff>0</xdr:colOff>
      <xdr:row>80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52</xdr:row>
      <xdr:rowOff>15238</xdr:rowOff>
    </xdr:from>
    <xdr:to>
      <xdr:col>7</xdr:col>
      <xdr:colOff>68580</xdr:colOff>
      <xdr:row>56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CORTADAS A LA MEDIDA Y ENCHAPADAS CON TAPACANTO PVC 0,4MM, CUBIERTA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MESA 2 LADOS CORTADA A LA MEDIDA Y ENCHAPADA SIN REGRUESO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41</xdr:row>
      <xdr:rowOff>1905</xdr:rowOff>
    </xdr:from>
    <xdr:to>
      <xdr:col>7</xdr:col>
      <xdr:colOff>19049</xdr:colOff>
      <xdr:row>42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81</xdr:row>
      <xdr:rowOff>32385</xdr:rowOff>
    </xdr:from>
    <xdr:to>
      <xdr:col>7</xdr:col>
      <xdr:colOff>19050</xdr:colOff>
      <xdr:row>86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CORTADAS A LA MEDIDA Y ENCHAPADAS CON TAPACANTO PVC 0,4MM,  CUBIERTA MESA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2L CORTADA A LA MEDIDA Y ENCHAPADA SIN REGRUESO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59</xdr:row>
      <xdr:rowOff>175260</xdr:rowOff>
    </xdr:from>
    <xdr:to>
      <xdr:col>2</xdr:col>
      <xdr:colOff>433184</xdr:colOff>
      <xdr:row>65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9"/>
  <sheetViews>
    <sheetView workbookViewId="0">
      <selection activeCell="C14" sqref="C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145</v>
      </c>
      <c r="E8" s="1"/>
      <c r="F8" s="85" t="s">
        <v>27</v>
      </c>
      <c r="G8" s="86">
        <v>7148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139</v>
      </c>
      <c r="D10" s="49"/>
      <c r="E10" s="49"/>
      <c r="F10" s="50" t="s">
        <v>28</v>
      </c>
      <c r="G10" s="51">
        <v>45649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 t="s">
        <v>148</v>
      </c>
      <c r="D11" s="54"/>
      <c r="E11" s="54"/>
      <c r="F11" s="54" t="s">
        <v>125</v>
      </c>
      <c r="G11" s="55">
        <v>45660</v>
      </c>
      <c r="H11" s="56"/>
      <c r="I11" s="1"/>
    </row>
    <row r="12" spans="1:17" ht="16.8" x14ac:dyDescent="0.4">
      <c r="A12" s="1"/>
      <c r="B12" s="53" t="s">
        <v>132</v>
      </c>
      <c r="C12" s="95"/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t="s">
        <v>140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2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3" t="s">
        <v>141</v>
      </c>
      <c r="D15" s="60"/>
      <c r="E15" s="54"/>
      <c r="F15" s="54" t="s">
        <v>29</v>
      </c>
      <c r="G15" s="54" t="s">
        <v>144</v>
      </c>
      <c r="H15" s="56"/>
      <c r="I15" s="1"/>
    </row>
    <row r="16" spans="1:17" ht="16.8" x14ac:dyDescent="0.4">
      <c r="A16" s="1"/>
      <c r="B16" s="100" t="s">
        <v>1</v>
      </c>
      <c r="C16" s="95" t="s">
        <v>142</v>
      </c>
      <c r="D16" s="38"/>
      <c r="E16" s="38"/>
      <c r="F16" s="61" t="s">
        <v>75</v>
      </c>
      <c r="G16" s="90" t="s">
        <v>136</v>
      </c>
      <c r="H16" s="59"/>
      <c r="I16" s="1"/>
    </row>
    <row r="17" spans="1:19" ht="16.2" thickBot="1" x14ac:dyDescent="0.35">
      <c r="A17" s="1"/>
      <c r="B17" s="62" t="s">
        <v>3</v>
      </c>
      <c r="C17" s="104" t="s">
        <v>138</v>
      </c>
      <c r="D17" s="63"/>
      <c r="E17" s="64"/>
      <c r="F17" s="113" t="s">
        <v>18</v>
      </c>
      <c r="G17" s="113"/>
      <c r="H17" s="114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15" t="s">
        <v>19</v>
      </c>
      <c r="C20" s="116"/>
      <c r="D20" s="116"/>
      <c r="E20" s="116"/>
      <c r="F20" s="116"/>
      <c r="G20" s="116"/>
      <c r="H20" s="117"/>
      <c r="I20" s="1"/>
    </row>
    <row r="21" spans="1:19" ht="15.6" x14ac:dyDescent="0.3">
      <c r="A21" s="1"/>
      <c r="B21" s="65" t="s">
        <v>20</v>
      </c>
      <c r="C21" s="105" t="s">
        <v>21</v>
      </c>
      <c r="D21" s="105" t="s">
        <v>22</v>
      </c>
      <c r="E21" s="105" t="s">
        <v>8</v>
      </c>
      <c r="F21" s="106" t="s">
        <v>23</v>
      </c>
      <c r="G21" s="107" t="s">
        <v>24</v>
      </c>
      <c r="H21" s="106" t="s">
        <v>4</v>
      </c>
      <c r="I21" s="1"/>
      <c r="L21">
        <v>45000</v>
      </c>
    </row>
    <row r="22" spans="1:19" ht="18" customHeight="1" x14ac:dyDescent="0.3">
      <c r="A22" s="1"/>
      <c r="B22" s="111">
        <v>1</v>
      </c>
      <c r="C22" s="111" t="s">
        <v>36</v>
      </c>
      <c r="D22" s="129">
        <v>600</v>
      </c>
      <c r="E22" s="129">
        <v>400</v>
      </c>
      <c r="F22" s="111" t="s">
        <v>147</v>
      </c>
      <c r="G22" s="112">
        <v>37486</v>
      </c>
      <c r="H22" s="128">
        <f t="shared" ref="H22:H27" si="0">G22*B22</f>
        <v>37486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11">
        <v>1</v>
      </c>
      <c r="C23" s="111" t="s">
        <v>146</v>
      </c>
      <c r="D23" s="129">
        <v>2650</v>
      </c>
      <c r="E23" s="129">
        <v>800</v>
      </c>
      <c r="F23" s="111" t="s">
        <v>147</v>
      </c>
      <c r="G23" s="112">
        <v>239990</v>
      </c>
      <c r="H23" s="128">
        <f t="shared" si="0"/>
        <v>239990</v>
      </c>
      <c r="K23" s="16"/>
      <c r="L23" s="24"/>
      <c r="M23" s="16"/>
      <c r="N23" s="16"/>
      <c r="O23" s="24"/>
      <c r="P23" s="31"/>
    </row>
    <row r="24" spans="1:19" ht="18" customHeight="1" x14ac:dyDescent="0.3">
      <c r="A24" s="1"/>
      <c r="B24" s="111">
        <v>1</v>
      </c>
      <c r="C24" s="111" t="s">
        <v>146</v>
      </c>
      <c r="D24" s="129">
        <v>1550</v>
      </c>
      <c r="E24" s="129">
        <v>400</v>
      </c>
      <c r="F24" s="111" t="s">
        <v>147</v>
      </c>
      <c r="G24" s="112">
        <v>97544</v>
      </c>
      <c r="H24" s="128">
        <f t="shared" si="0"/>
        <v>97544</v>
      </c>
      <c r="K24" s="16"/>
      <c r="L24" s="24"/>
      <c r="M24" s="16"/>
      <c r="N24" s="16"/>
      <c r="O24" s="24"/>
      <c r="P24" s="31"/>
    </row>
    <row r="25" spans="1:19" ht="18" customHeight="1" x14ac:dyDescent="0.3">
      <c r="A25" s="1"/>
      <c r="B25" s="111">
        <v>1</v>
      </c>
      <c r="C25" s="111" t="s">
        <v>146</v>
      </c>
      <c r="D25" s="129">
        <v>2000</v>
      </c>
      <c r="E25" s="129">
        <v>550</v>
      </c>
      <c r="F25" s="111" t="s">
        <v>147</v>
      </c>
      <c r="G25" s="112">
        <v>196143</v>
      </c>
      <c r="H25" s="128">
        <f t="shared" si="0"/>
        <v>196143</v>
      </c>
      <c r="K25" s="16"/>
      <c r="L25" s="24"/>
      <c r="M25" s="16"/>
      <c r="N25" s="16"/>
      <c r="O25" s="24"/>
      <c r="P25" s="31"/>
    </row>
    <row r="26" spans="1:19" ht="18" customHeight="1" x14ac:dyDescent="0.3">
      <c r="A26" s="1"/>
      <c r="B26" s="111">
        <v>4</v>
      </c>
      <c r="C26" s="111" t="s">
        <v>63</v>
      </c>
      <c r="D26" s="129">
        <v>520</v>
      </c>
      <c r="E26" s="129">
        <v>348</v>
      </c>
      <c r="F26" s="111" t="s">
        <v>147</v>
      </c>
      <c r="G26" s="112">
        <v>23180</v>
      </c>
      <c r="H26" s="128">
        <f t="shared" si="0"/>
        <v>92720</v>
      </c>
      <c r="K26" s="16"/>
      <c r="L26" s="24"/>
      <c r="M26" s="16"/>
      <c r="N26" s="16"/>
      <c r="O26" s="24"/>
      <c r="P26" s="31"/>
    </row>
    <row r="27" spans="1:19" ht="18" customHeight="1" x14ac:dyDescent="0.3">
      <c r="A27" s="1"/>
      <c r="B27" s="111">
        <v>4</v>
      </c>
      <c r="C27" s="111" t="s">
        <v>63</v>
      </c>
      <c r="D27" s="129">
        <v>700</v>
      </c>
      <c r="E27" s="129">
        <v>348</v>
      </c>
      <c r="F27" s="111" t="s">
        <v>147</v>
      </c>
      <c r="G27" s="112">
        <v>29553</v>
      </c>
      <c r="H27" s="128">
        <f t="shared" si="0"/>
        <v>118212</v>
      </c>
      <c r="K27" s="16"/>
      <c r="L27" s="24"/>
      <c r="M27" s="16"/>
      <c r="N27" s="16"/>
      <c r="O27" s="24"/>
      <c r="P27" s="31"/>
    </row>
    <row r="28" spans="1:19" ht="18" customHeight="1" x14ac:dyDescent="0.3">
      <c r="A28" s="1"/>
      <c r="B28" s="126"/>
      <c r="C28" s="126"/>
      <c r="D28" s="127"/>
      <c r="E28" s="127"/>
      <c r="F28" s="126"/>
      <c r="G28" s="88"/>
      <c r="H28" s="88"/>
      <c r="K28" s="16"/>
      <c r="L28" s="24"/>
      <c r="M28" s="16"/>
      <c r="N28" s="16"/>
      <c r="O28" s="24"/>
      <c r="P28" s="31"/>
    </row>
    <row r="29" spans="1:19" ht="18" customHeight="1" thickBot="1" x14ac:dyDescent="0.35">
      <c r="A29" s="1"/>
      <c r="B29" s="108"/>
      <c r="C29" s="109"/>
      <c r="D29" s="110"/>
      <c r="E29" s="110"/>
      <c r="F29" s="108"/>
      <c r="G29" s="88"/>
      <c r="H29" s="88"/>
      <c r="K29" s="16"/>
      <c r="L29" s="24"/>
      <c r="M29" s="16"/>
      <c r="N29" s="16"/>
      <c r="O29" s="24"/>
      <c r="P29" s="31"/>
    </row>
    <row r="30" spans="1:19" ht="15.6" x14ac:dyDescent="0.3">
      <c r="A30" s="1"/>
      <c r="B30" s="66"/>
      <c r="C30" s="66"/>
      <c r="D30" s="66"/>
      <c r="E30" s="66"/>
      <c r="F30" s="66"/>
      <c r="G30" s="67" t="s">
        <v>5</v>
      </c>
      <c r="H30" s="68">
        <f>SUM(H22:H29)</f>
        <v>782095</v>
      </c>
      <c r="I30" s="1"/>
      <c r="L30" s="2"/>
      <c r="O30" s="2"/>
      <c r="P30">
        <v>2940</v>
      </c>
      <c r="Q30">
        <v>600</v>
      </c>
      <c r="S30" t="s">
        <v>137</v>
      </c>
    </row>
    <row r="31" spans="1:19" ht="15.6" x14ac:dyDescent="0.3">
      <c r="A31" s="1"/>
      <c r="B31" s="1"/>
      <c r="C31" s="1"/>
      <c r="D31" s="1"/>
      <c r="E31" s="1"/>
      <c r="F31" s="1"/>
      <c r="G31" s="69" t="s">
        <v>6</v>
      </c>
      <c r="H31" s="70">
        <f>H30*19%</f>
        <v>148598.04999999999</v>
      </c>
      <c r="I31" s="1"/>
      <c r="L31" s="2"/>
      <c r="O31" s="24"/>
      <c r="P31" s="31">
        <v>1890</v>
      </c>
      <c r="Q31">
        <v>600</v>
      </c>
    </row>
    <row r="32" spans="1:19" ht="16.2" thickBot="1" x14ac:dyDescent="0.35">
      <c r="A32" s="1"/>
      <c r="B32" s="1"/>
      <c r="C32" s="1"/>
      <c r="D32" s="1"/>
      <c r="E32" s="1"/>
      <c r="F32" s="1"/>
      <c r="G32" s="71" t="s">
        <v>4</v>
      </c>
      <c r="H32" s="72">
        <f>H30+H31</f>
        <v>930693.05</v>
      </c>
      <c r="I32" s="1"/>
      <c r="L32" s="2"/>
    </row>
    <row r="33" spans="1:12" ht="15.6" x14ac:dyDescent="0.3">
      <c r="A33" s="1"/>
      <c r="B33" s="1"/>
      <c r="C33" s="1"/>
      <c r="D33" s="1"/>
      <c r="E33" s="1"/>
      <c r="F33" s="1"/>
      <c r="I33" s="1"/>
      <c r="L33" s="2"/>
    </row>
    <row r="34" spans="1:12" ht="15.6" x14ac:dyDescent="0.3">
      <c r="A34" s="1"/>
      <c r="B34" s="1"/>
      <c r="C34" s="1"/>
      <c r="D34" s="1"/>
      <c r="E34" s="1"/>
      <c r="F34" s="1"/>
      <c r="H34" s="31"/>
      <c r="I34" s="1"/>
    </row>
    <row r="35" spans="1:12" ht="15.6" x14ac:dyDescent="0.3">
      <c r="A35" s="1"/>
      <c r="B35" s="73" t="s">
        <v>124</v>
      </c>
      <c r="C35" s="74"/>
      <c r="D35" s="75"/>
      <c r="E35" s="75"/>
      <c r="F35" s="66"/>
      <c r="I35" s="1"/>
    </row>
    <row r="36" spans="1:12" ht="15.6" x14ac:dyDescent="0.3">
      <c r="A36" s="1"/>
      <c r="B36" s="73" t="s">
        <v>123</v>
      </c>
      <c r="C36" s="74"/>
      <c r="D36" s="75"/>
      <c r="E36" s="75"/>
      <c r="F36" s="66"/>
      <c r="G36" s="1"/>
      <c r="H36" s="1"/>
      <c r="I36" s="1"/>
    </row>
    <row r="37" spans="1:12" ht="15.6" x14ac:dyDescent="0.3">
      <c r="A37" s="1"/>
      <c r="B37" s="1" t="s">
        <v>25</v>
      </c>
      <c r="C37" s="1"/>
      <c r="D37" s="1"/>
      <c r="E37" s="76" t="s">
        <v>26</v>
      </c>
      <c r="F37" s="1"/>
      <c r="G37" s="1"/>
      <c r="H37" s="1"/>
      <c r="I37" s="1"/>
    </row>
    <row r="38" spans="1:12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12" ht="15.6" x14ac:dyDescent="0.3">
      <c r="A39" s="1"/>
      <c r="B39" s="1"/>
      <c r="C39" s="1"/>
      <c r="D39" s="1"/>
      <c r="E39" s="1"/>
      <c r="F39" s="1"/>
      <c r="G39" s="1"/>
      <c r="H39" s="1"/>
      <c r="I39" s="1"/>
    </row>
  </sheetData>
  <sortState xmlns:xlrd2="http://schemas.microsoft.com/office/spreadsheetml/2017/richdata2" ref="B41">
    <sortCondition sortBy="fontColor" ref="B41" dxfId="0"/>
  </sortState>
  <mergeCells count="2">
    <mergeCell ref="F17:H17"/>
    <mergeCell ref="B20:H20"/>
  </mergeCells>
  <phoneticPr fontId="10" type="noConversion"/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7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9"/>
  <sheetViews>
    <sheetView tabSelected="1" zoomScaleNormal="100" workbookViewId="0">
      <selection activeCell="A2" sqref="A2:G57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0" t="s">
        <v>61</v>
      </c>
      <c r="M3" s="120"/>
      <c r="N3" s="120" t="s">
        <v>14</v>
      </c>
      <c r="O3" s="120"/>
    </row>
    <row r="4" spans="1:15" ht="15.75" customHeight="1" x14ac:dyDescent="0.3">
      <c r="B4" s="1"/>
      <c r="C4" s="1"/>
      <c r="D4" s="35" t="s">
        <v>27</v>
      </c>
      <c r="E4" s="14">
        <f>'4637'!G8</f>
        <v>7148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COMERCIALIZADORA MDM SPA</v>
      </c>
      <c r="F5" s="38"/>
      <c r="G5" s="38"/>
      <c r="H5" s="1"/>
      <c r="L5">
        <f>LOOKUP(G14,REGLAS!$I$4:$I$37,REGLAS!$G$4:$G$37)+K14</f>
        <v>650</v>
      </c>
      <c r="M5">
        <f>LOOKUP(G14,REGLAS!$I$4:$I$37,REGLAS!$H$4:$H$37)+L14</f>
        <v>400</v>
      </c>
      <c r="N5" t="e">
        <f>LOOKUP(G31,REGLAS!$D$4:$D$37,REGLAS!$B$4:$B$37)+#REF!</f>
        <v>#REF!</v>
      </c>
      <c r="O5">
        <f>LOOKUP(G31,REGLAS!$D$4:$D$37,REGLAS!$C$4:$C$37)+K31</f>
        <v>750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45660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1" t="s">
        <v>61</v>
      </c>
      <c r="C10" s="121"/>
      <c r="D10" s="121"/>
      <c r="E10" s="121"/>
      <c r="F10" s="121"/>
      <c r="G10" s="121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80</v>
      </c>
      <c r="F13" s="30"/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1">
        <v>1</v>
      </c>
      <c r="B14" t="s">
        <v>151</v>
      </c>
      <c r="C14" s="93">
        <f t="shared" ref="C14" si="0">J14</f>
        <v>1</v>
      </c>
      <c r="D14" s="94"/>
      <c r="E14" s="93">
        <f>K14+E$13</f>
        <v>680</v>
      </c>
      <c r="F14" s="93">
        <f>L14+F$13</f>
        <v>400</v>
      </c>
      <c r="G14" s="93" t="str">
        <f>G31</f>
        <v>CUB MESA 180° 2 LADOS</v>
      </c>
      <c r="H14" s="1"/>
      <c r="J14" s="3">
        <f>J31</f>
        <v>1</v>
      </c>
      <c r="K14" s="4">
        <f>K31</f>
        <v>600</v>
      </c>
      <c r="L14" s="4">
        <f>L31</f>
        <v>400</v>
      </c>
    </row>
    <row r="15" spans="1:15" ht="18" x14ac:dyDescent="0.35">
      <c r="A15" s="101">
        <v>2</v>
      </c>
      <c r="B15" s="15"/>
      <c r="C15" s="93">
        <f t="shared" ref="C15:C23" si="1">J15</f>
        <v>1</v>
      </c>
      <c r="D15" s="94"/>
      <c r="E15" s="93">
        <f t="shared" ref="E15:E23" si="2">K15+E$13</f>
        <v>2730</v>
      </c>
      <c r="F15" s="93">
        <f t="shared" ref="F15:F23" si="3">L15+F$13</f>
        <v>800</v>
      </c>
      <c r="G15" s="93" t="str">
        <f>G32</f>
        <v>CUB S/R 180°</v>
      </c>
      <c r="H15" s="1"/>
      <c r="J15" s="3">
        <f t="shared" ref="J15:L15" si="4">J32</f>
        <v>1</v>
      </c>
      <c r="K15" s="4">
        <f t="shared" si="4"/>
        <v>2650</v>
      </c>
      <c r="L15" s="4">
        <f t="shared" si="4"/>
        <v>800</v>
      </c>
    </row>
    <row r="16" spans="1:15" ht="18" x14ac:dyDescent="0.35">
      <c r="A16" s="101">
        <v>3</v>
      </c>
      <c r="B16" s="15"/>
      <c r="C16" s="93">
        <f t="shared" si="1"/>
        <v>1</v>
      </c>
      <c r="D16" s="94"/>
      <c r="E16" s="93">
        <f t="shared" si="2"/>
        <v>1630</v>
      </c>
      <c r="F16" s="93">
        <f t="shared" si="3"/>
        <v>400</v>
      </c>
      <c r="G16" s="93" t="str">
        <f>G33</f>
        <v>CUB S/R 180°</v>
      </c>
      <c r="H16" s="1"/>
      <c r="J16" s="3">
        <f t="shared" ref="J16:L16" si="5">J33</f>
        <v>1</v>
      </c>
      <c r="K16" s="4">
        <f t="shared" si="5"/>
        <v>1550</v>
      </c>
      <c r="L16" s="4">
        <f t="shared" si="5"/>
        <v>400</v>
      </c>
    </row>
    <row r="17" spans="1:12" ht="18" x14ac:dyDescent="0.35">
      <c r="A17" s="101">
        <v>4</v>
      </c>
      <c r="B17" s="15"/>
      <c r="C17" s="93">
        <f t="shared" si="1"/>
        <v>1</v>
      </c>
      <c r="D17" s="94"/>
      <c r="E17" s="93">
        <f t="shared" si="2"/>
        <v>2080</v>
      </c>
      <c r="F17" s="93">
        <f t="shared" si="3"/>
        <v>550</v>
      </c>
      <c r="G17" s="93" t="str">
        <f>G34</f>
        <v>CUB S/R 180°</v>
      </c>
      <c r="H17" s="1"/>
      <c r="J17" s="3">
        <f t="shared" ref="J17:L17" si="6">J34</f>
        <v>1</v>
      </c>
      <c r="K17" s="4">
        <f t="shared" si="6"/>
        <v>2000</v>
      </c>
      <c r="L17" s="4">
        <f t="shared" si="6"/>
        <v>550</v>
      </c>
    </row>
    <row r="18" spans="1:12" ht="18" x14ac:dyDescent="0.35">
      <c r="A18" s="101">
        <v>2</v>
      </c>
      <c r="B18" s="15"/>
      <c r="C18" s="93">
        <f t="shared" si="1"/>
        <v>1</v>
      </c>
      <c r="D18" s="94"/>
      <c r="E18" s="93">
        <f t="shared" si="2"/>
        <v>2730</v>
      </c>
      <c r="F18" s="93">
        <v>760</v>
      </c>
      <c r="G18" s="93" t="str">
        <f>G35</f>
        <v>E/R 1 CARA</v>
      </c>
      <c r="H18" s="1"/>
      <c r="J18" s="3">
        <f t="shared" ref="J18:L18" si="7">J35</f>
        <v>1</v>
      </c>
      <c r="K18" s="4">
        <f t="shared" si="7"/>
        <v>2650</v>
      </c>
      <c r="L18" s="4">
        <f t="shared" si="7"/>
        <v>760</v>
      </c>
    </row>
    <row r="19" spans="1:12" ht="18" x14ac:dyDescent="0.35">
      <c r="A19" s="101">
        <v>3</v>
      </c>
      <c r="B19" s="15"/>
      <c r="C19" s="93">
        <f t="shared" si="1"/>
        <v>1</v>
      </c>
      <c r="D19" s="94"/>
      <c r="E19" s="93">
        <f t="shared" si="2"/>
        <v>1630</v>
      </c>
      <c r="F19" s="93">
        <v>360</v>
      </c>
      <c r="G19" s="93" t="str">
        <f>G36</f>
        <v>E/R 1 CARA</v>
      </c>
      <c r="H19" s="1"/>
      <c r="J19" s="3">
        <f t="shared" ref="J19:L19" si="8">J36</f>
        <v>1</v>
      </c>
      <c r="K19" s="4">
        <f t="shared" si="8"/>
        <v>1550</v>
      </c>
      <c r="L19" s="4">
        <f t="shared" si="8"/>
        <v>360</v>
      </c>
    </row>
    <row r="20" spans="1:12" ht="18" x14ac:dyDescent="0.35">
      <c r="A20" s="101">
        <v>4</v>
      </c>
      <c r="B20" s="15"/>
      <c r="C20" s="93">
        <f t="shared" si="1"/>
        <v>1</v>
      </c>
      <c r="D20" s="94"/>
      <c r="E20" s="93">
        <f t="shared" si="2"/>
        <v>2080</v>
      </c>
      <c r="F20" s="93">
        <v>510</v>
      </c>
      <c r="G20" s="93" t="str">
        <f>G37</f>
        <v>E/R 1 CARA</v>
      </c>
      <c r="H20" s="1"/>
      <c r="J20" s="3">
        <f t="shared" ref="J20:L20" si="9">J37</f>
        <v>1</v>
      </c>
      <c r="K20" s="4">
        <f t="shared" si="9"/>
        <v>2000</v>
      </c>
      <c r="L20" s="4">
        <f t="shared" si="9"/>
        <v>510</v>
      </c>
    </row>
    <row r="21" spans="1:12" ht="18" x14ac:dyDescent="0.35">
      <c r="A21" s="101"/>
      <c r="B21" s="46" t="s">
        <v>9</v>
      </c>
      <c r="C21" s="34" t="s">
        <v>10</v>
      </c>
      <c r="D21" s="34" t="s">
        <v>11</v>
      </c>
      <c r="E21" s="30">
        <v>50</v>
      </c>
      <c r="F21" s="30">
        <v>-2</v>
      </c>
      <c r="G21" s="34" t="s">
        <v>110</v>
      </c>
      <c r="H21" s="1"/>
      <c r="J21" s="3"/>
      <c r="K21" s="4"/>
      <c r="L21" s="4"/>
    </row>
    <row r="22" spans="1:12" ht="18" x14ac:dyDescent="0.35">
      <c r="A22" s="101">
        <v>5</v>
      </c>
      <c r="B22" s="15" t="s">
        <v>143</v>
      </c>
      <c r="C22" s="93">
        <f t="shared" si="1"/>
        <v>4</v>
      </c>
      <c r="D22" s="94"/>
      <c r="E22" s="93">
        <f t="shared" si="2"/>
        <v>600</v>
      </c>
      <c r="F22" s="93">
        <v>346</v>
      </c>
      <c r="G22" s="93" t="str">
        <f>G38</f>
        <v>PR6</v>
      </c>
      <c r="H22" s="1"/>
      <c r="J22" s="3">
        <f t="shared" ref="J22:L22" si="10">J38</f>
        <v>4</v>
      </c>
      <c r="K22" s="4">
        <f t="shared" si="10"/>
        <v>520</v>
      </c>
      <c r="L22" s="4">
        <f t="shared" si="10"/>
        <v>348</v>
      </c>
    </row>
    <row r="23" spans="1:12" ht="18" x14ac:dyDescent="0.35">
      <c r="A23" s="101">
        <v>6</v>
      </c>
      <c r="B23" s="15"/>
      <c r="C23" s="93">
        <f t="shared" si="1"/>
        <v>4</v>
      </c>
      <c r="D23" s="94"/>
      <c r="E23" s="93">
        <f t="shared" si="2"/>
        <v>780</v>
      </c>
      <c r="F23" s="93">
        <v>346</v>
      </c>
      <c r="G23" s="93" t="str">
        <f>G39</f>
        <v>PR6</v>
      </c>
      <c r="H23" s="1"/>
      <c r="J23" s="3">
        <f t="shared" ref="J23:L23" si="11">J39</f>
        <v>4</v>
      </c>
      <c r="K23" s="4">
        <f t="shared" si="11"/>
        <v>700</v>
      </c>
      <c r="L23" s="4">
        <f t="shared" si="11"/>
        <v>348</v>
      </c>
    </row>
    <row r="24" spans="1:12" ht="15.6" x14ac:dyDescent="0.3">
      <c r="B24" s="87"/>
      <c r="C24" s="6"/>
      <c r="D24" s="6"/>
      <c r="E24" s="6"/>
      <c r="F24" s="6"/>
      <c r="G24" s="6"/>
      <c r="H24" s="1"/>
      <c r="J24" s="81"/>
      <c r="K24" s="2"/>
      <c r="L24" s="2"/>
    </row>
    <row r="25" spans="1:12" ht="15.6" x14ac:dyDescent="0.3">
      <c r="B25" s="46"/>
      <c r="C25" s="6"/>
      <c r="D25" s="6"/>
      <c r="E25" s="6"/>
      <c r="F25" s="80"/>
      <c r="G25" s="6"/>
      <c r="H25" s="1"/>
      <c r="J25" s="2"/>
      <c r="K25" s="2"/>
      <c r="L25" s="2"/>
    </row>
    <row r="26" spans="1:12" ht="6.75" customHeight="1" x14ac:dyDescent="0.3">
      <c r="B26" s="1"/>
      <c r="C26" s="1"/>
      <c r="D26" s="1"/>
      <c r="E26" s="1"/>
      <c r="F26" s="1"/>
      <c r="G26" s="1"/>
      <c r="H26" s="1"/>
    </row>
    <row r="27" spans="1:12" ht="15.6" x14ac:dyDescent="0.3">
      <c r="B27" s="121" t="s">
        <v>14</v>
      </c>
      <c r="C27" s="121"/>
      <c r="D27" s="121"/>
      <c r="E27" s="121"/>
      <c r="F27" s="121"/>
      <c r="G27" s="121"/>
      <c r="H27" s="1"/>
    </row>
    <row r="28" spans="1:12" ht="10.5" customHeight="1" x14ac:dyDescent="0.3">
      <c r="B28" s="1"/>
      <c r="C28" s="1"/>
      <c r="D28" s="12"/>
      <c r="E28" s="1"/>
      <c r="F28" s="1"/>
      <c r="G28" s="1"/>
      <c r="H28" s="1"/>
    </row>
    <row r="29" spans="1:12" ht="15.6" x14ac:dyDescent="0.3">
      <c r="B29" s="1"/>
      <c r="C29" s="1"/>
      <c r="D29" s="1"/>
      <c r="E29" s="46" t="s">
        <v>7</v>
      </c>
      <c r="F29" s="46" t="s">
        <v>8</v>
      </c>
      <c r="G29" s="1"/>
      <c r="H29" s="1"/>
    </row>
    <row r="30" spans="1:12" ht="15.6" x14ac:dyDescent="0.3">
      <c r="B30" s="46" t="s">
        <v>9</v>
      </c>
      <c r="C30" s="33" t="s">
        <v>10</v>
      </c>
      <c r="D30" s="33" t="s">
        <v>11</v>
      </c>
      <c r="E30" s="20">
        <v>40</v>
      </c>
      <c r="F30" s="20">
        <v>90</v>
      </c>
      <c r="G30" s="33" t="s">
        <v>110</v>
      </c>
      <c r="H30" s="1"/>
      <c r="K30" s="5" t="s">
        <v>7</v>
      </c>
      <c r="L30" s="5" t="s">
        <v>8</v>
      </c>
    </row>
    <row r="31" spans="1:12" ht="18" x14ac:dyDescent="0.35">
      <c r="A31" s="101">
        <v>1</v>
      </c>
      <c r="B31" t="s">
        <v>149</v>
      </c>
      <c r="C31" s="94">
        <f>J31</f>
        <v>1</v>
      </c>
      <c r="D31" s="94"/>
      <c r="E31" s="94">
        <f>K31+E$30</f>
        <v>640</v>
      </c>
      <c r="F31" s="94">
        <f>L31+160</f>
        <v>560</v>
      </c>
      <c r="G31" s="94" t="str">
        <f>D45</f>
        <v>CUB MESA 180° 2 LADOS</v>
      </c>
      <c r="H31" s="1"/>
      <c r="J31" s="3">
        <f>C45</f>
        <v>1</v>
      </c>
      <c r="K31" s="4">
        <f>E45</f>
        <v>600</v>
      </c>
      <c r="L31" s="4">
        <f>F45</f>
        <v>400</v>
      </c>
    </row>
    <row r="32" spans="1:12" ht="18" x14ac:dyDescent="0.35">
      <c r="A32" s="101">
        <v>2</v>
      </c>
      <c r="B32" s="15"/>
      <c r="C32" s="94">
        <f t="shared" ref="C32:C34" si="12">J32</f>
        <v>1</v>
      </c>
      <c r="D32" s="94"/>
      <c r="E32" s="94">
        <v>2690</v>
      </c>
      <c r="F32" s="94">
        <f>L32+60</f>
        <v>860</v>
      </c>
      <c r="G32" s="94" t="str">
        <f t="shared" ref="G32:G34" si="13">D46</f>
        <v>CUB S/R 180°</v>
      </c>
      <c r="H32" s="1"/>
      <c r="J32" s="3">
        <f t="shared" ref="J32:J34" si="14">C46</f>
        <v>1</v>
      </c>
      <c r="K32" s="4">
        <f t="shared" ref="K32:L32" si="15">E46</f>
        <v>2650</v>
      </c>
      <c r="L32" s="4">
        <f t="shared" si="15"/>
        <v>800</v>
      </c>
    </row>
    <row r="33" spans="1:12" ht="18" x14ac:dyDescent="0.35">
      <c r="A33" s="101">
        <v>3</v>
      </c>
      <c r="B33" s="15"/>
      <c r="C33" s="94">
        <f t="shared" si="12"/>
        <v>1</v>
      </c>
      <c r="D33" s="94"/>
      <c r="E33" s="94">
        <v>1590</v>
      </c>
      <c r="F33" s="94">
        <f>L33+60</f>
        <v>460</v>
      </c>
      <c r="G33" s="94" t="str">
        <f t="shared" si="13"/>
        <v>CUB S/R 180°</v>
      </c>
      <c r="H33" s="1"/>
      <c r="J33" s="3">
        <f t="shared" si="14"/>
        <v>1</v>
      </c>
      <c r="K33" s="4">
        <f t="shared" ref="K33:L33" si="16">E47</f>
        <v>1550</v>
      </c>
      <c r="L33" s="4">
        <f t="shared" si="16"/>
        <v>400</v>
      </c>
    </row>
    <row r="34" spans="1:12" ht="18" x14ac:dyDescent="0.35">
      <c r="A34" s="101">
        <v>4</v>
      </c>
      <c r="B34" s="15"/>
      <c r="C34" s="94">
        <f t="shared" si="12"/>
        <v>1</v>
      </c>
      <c r="D34" s="94"/>
      <c r="E34" s="94">
        <v>2040</v>
      </c>
      <c r="F34" s="94">
        <f>L34+60</f>
        <v>610</v>
      </c>
      <c r="G34" s="136" t="str">
        <f t="shared" si="13"/>
        <v>CUB S/R 180°</v>
      </c>
      <c r="H34" s="1"/>
      <c r="J34" s="3">
        <f t="shared" si="14"/>
        <v>1</v>
      </c>
      <c r="K34" s="4">
        <f t="shared" ref="K34:L34" si="17">E48</f>
        <v>2000</v>
      </c>
      <c r="L34" s="4">
        <f t="shared" si="17"/>
        <v>550</v>
      </c>
    </row>
    <row r="35" spans="1:12" ht="18" x14ac:dyDescent="0.35">
      <c r="A35" s="101">
        <v>2</v>
      </c>
      <c r="B35" s="15"/>
      <c r="C35" s="94">
        <f t="shared" ref="C35:C39" si="18">J35</f>
        <v>1</v>
      </c>
      <c r="D35" s="94"/>
      <c r="E35" s="94">
        <v>2730</v>
      </c>
      <c r="F35" s="135">
        <v>780</v>
      </c>
      <c r="G35" s="93" t="s">
        <v>150</v>
      </c>
      <c r="H35" s="1"/>
      <c r="J35" s="3">
        <v>1</v>
      </c>
      <c r="K35" s="4">
        <v>2650</v>
      </c>
      <c r="L35" s="4">
        <v>760</v>
      </c>
    </row>
    <row r="36" spans="1:12" ht="18" x14ac:dyDescent="0.35">
      <c r="A36" s="101">
        <v>3</v>
      </c>
      <c r="B36" s="15"/>
      <c r="C36" s="94">
        <f t="shared" si="18"/>
        <v>1</v>
      </c>
      <c r="D36" s="94"/>
      <c r="E36" s="94">
        <v>1630</v>
      </c>
      <c r="F36" s="135">
        <v>380</v>
      </c>
      <c r="G36" s="93" t="s">
        <v>150</v>
      </c>
      <c r="H36" s="1"/>
      <c r="J36" s="3">
        <v>1</v>
      </c>
      <c r="K36" s="4">
        <v>1550</v>
      </c>
      <c r="L36" s="4">
        <v>360</v>
      </c>
    </row>
    <row r="37" spans="1:12" ht="18" x14ac:dyDescent="0.35">
      <c r="A37" s="101">
        <v>4</v>
      </c>
      <c r="B37" s="15"/>
      <c r="C37" s="94">
        <f t="shared" si="18"/>
        <v>1</v>
      </c>
      <c r="D37" s="94"/>
      <c r="E37" s="94">
        <v>2080</v>
      </c>
      <c r="F37" s="135">
        <f>L37+20</f>
        <v>530</v>
      </c>
      <c r="G37" s="93" t="s">
        <v>150</v>
      </c>
      <c r="H37" s="1"/>
      <c r="J37" s="134">
        <v>1</v>
      </c>
      <c r="K37" s="4">
        <v>2000</v>
      </c>
      <c r="L37" s="4">
        <v>510</v>
      </c>
    </row>
    <row r="38" spans="1:12" ht="18" x14ac:dyDescent="0.35">
      <c r="A38" s="101">
        <v>5</v>
      </c>
      <c r="B38" s="15" t="s">
        <v>143</v>
      </c>
      <c r="C38" s="94">
        <f t="shared" si="18"/>
        <v>4</v>
      </c>
      <c r="D38" s="94"/>
      <c r="E38" s="94">
        <f>K38+E$30</f>
        <v>560</v>
      </c>
      <c r="F38" s="135">
        <f>L38+F$30</f>
        <v>438</v>
      </c>
      <c r="G38" s="93" t="s">
        <v>63</v>
      </c>
      <c r="H38" s="1"/>
      <c r="J38" s="3">
        <f>C49</f>
        <v>4</v>
      </c>
      <c r="K38" s="4">
        <f>E49</f>
        <v>520</v>
      </c>
      <c r="L38" s="4">
        <f>F49</f>
        <v>348</v>
      </c>
    </row>
    <row r="39" spans="1:12" ht="18" x14ac:dyDescent="0.35">
      <c r="A39" s="101">
        <v>6</v>
      </c>
      <c r="B39" s="15"/>
      <c r="C39" s="94">
        <f t="shared" si="18"/>
        <v>4</v>
      </c>
      <c r="D39" s="94"/>
      <c r="E39" s="94">
        <f>K39+E$30</f>
        <v>740</v>
      </c>
      <c r="F39" s="135">
        <f>L39+F$30</f>
        <v>438</v>
      </c>
      <c r="G39" s="93" t="s">
        <v>63</v>
      </c>
      <c r="H39" s="1"/>
      <c r="J39" s="3">
        <f>C50</f>
        <v>4</v>
      </c>
      <c r="K39" s="4">
        <f>E50</f>
        <v>700</v>
      </c>
      <c r="L39" s="4">
        <f>F50</f>
        <v>348</v>
      </c>
    </row>
    <row r="40" spans="1:12" ht="15.6" x14ac:dyDescent="0.3">
      <c r="B40" s="87"/>
      <c r="C40" s="6"/>
      <c r="D40" s="6"/>
      <c r="E40" s="6"/>
      <c r="F40" s="6"/>
      <c r="G40" s="6"/>
      <c r="H40" s="1"/>
      <c r="J40" s="81"/>
      <c r="K40" s="2"/>
      <c r="L40" s="2"/>
    </row>
    <row r="41" spans="1:12" ht="16.2" thickBot="1" x14ac:dyDescent="0.35">
      <c r="B41" s="46"/>
      <c r="C41" s="6"/>
      <c r="D41" s="6"/>
      <c r="E41" s="6"/>
      <c r="F41" s="6"/>
      <c r="G41" s="6"/>
      <c r="H41" s="1"/>
      <c r="J41" s="2"/>
      <c r="K41" s="2"/>
      <c r="L41" s="2"/>
    </row>
    <row r="42" spans="1:12" ht="16.2" thickBot="1" x14ac:dyDescent="0.35">
      <c r="B42" s="46"/>
      <c r="C42" s="21" t="s">
        <v>107</v>
      </c>
      <c r="D42" s="22"/>
      <c r="E42" s="22"/>
      <c r="F42" s="22"/>
      <c r="G42" s="23"/>
      <c r="H42" s="1"/>
      <c r="J42" s="2"/>
      <c r="K42" s="2"/>
      <c r="L42" s="2"/>
    </row>
    <row r="43" spans="1:12" ht="10.5" customHeight="1" x14ac:dyDescent="0.3">
      <c r="B43" s="1"/>
      <c r="C43" s="1"/>
      <c r="D43" s="1"/>
      <c r="E43" s="1"/>
      <c r="F43" s="1"/>
      <c r="G43" s="1"/>
      <c r="H43" s="1"/>
    </row>
    <row r="44" spans="1:12" ht="15.6" x14ac:dyDescent="0.3">
      <c r="B44" s="46" t="s">
        <v>9</v>
      </c>
      <c r="C44" s="79" t="s">
        <v>10</v>
      </c>
      <c r="D44" s="79" t="s">
        <v>110</v>
      </c>
      <c r="E44" s="79" t="s">
        <v>7</v>
      </c>
      <c r="F44" s="79" t="s">
        <v>8</v>
      </c>
      <c r="G44" s="79" t="s">
        <v>23</v>
      </c>
      <c r="H44" s="1"/>
    </row>
    <row r="45" spans="1:12" ht="18" x14ac:dyDescent="0.35">
      <c r="A45" s="101">
        <v>1</v>
      </c>
      <c r="B45" s="133" t="s">
        <v>149</v>
      </c>
      <c r="C45" s="93">
        <f>'4637'!B22</f>
        <v>1</v>
      </c>
      <c r="D45" s="93" t="str">
        <f>'4637'!C22</f>
        <v>CUB MESA 180° 2 LADOS</v>
      </c>
      <c r="E45" s="93">
        <f>'4637'!D22</f>
        <v>600</v>
      </c>
      <c r="F45" s="93">
        <f>'4637'!E22</f>
        <v>400</v>
      </c>
      <c r="G45" s="98" t="str">
        <f>G71</f>
        <v>BLANCO 22191 OPACO MERINO</v>
      </c>
      <c r="H45" s="1"/>
    </row>
    <row r="46" spans="1:12" ht="18" x14ac:dyDescent="0.35">
      <c r="A46" s="101">
        <v>2</v>
      </c>
      <c r="B46" s="15"/>
      <c r="C46" s="93">
        <f>'4637'!B23</f>
        <v>1</v>
      </c>
      <c r="D46" s="93" t="str">
        <f>'4637'!C23</f>
        <v>CUB S/R 180°</v>
      </c>
      <c r="E46" s="93">
        <f>'4637'!D23</f>
        <v>2650</v>
      </c>
      <c r="F46" s="93">
        <f>'4637'!E23</f>
        <v>800</v>
      </c>
      <c r="G46" s="98" t="str">
        <f>G72</f>
        <v>BLANCO 22191 OPACO MERINO</v>
      </c>
      <c r="H46" s="1"/>
    </row>
    <row r="47" spans="1:12" ht="18" x14ac:dyDescent="0.35">
      <c r="A47" s="101">
        <v>3</v>
      </c>
      <c r="B47" s="15"/>
      <c r="C47" s="93">
        <f>'4637'!B24</f>
        <v>1</v>
      </c>
      <c r="D47" s="93" t="str">
        <f>'4637'!C24</f>
        <v>CUB S/R 180°</v>
      </c>
      <c r="E47" s="93">
        <f>'4637'!D24</f>
        <v>1550</v>
      </c>
      <c r="F47" s="93">
        <f>'4637'!E24</f>
        <v>400</v>
      </c>
      <c r="G47" s="98" t="str">
        <f>G73</f>
        <v>BLANCO 22191 OPACO MERINO</v>
      </c>
      <c r="H47" s="1"/>
    </row>
    <row r="48" spans="1:12" ht="18" x14ac:dyDescent="0.35">
      <c r="A48" s="101">
        <v>4</v>
      </c>
      <c r="B48" s="15"/>
      <c r="C48" s="93">
        <f>'4637'!B25</f>
        <v>1</v>
      </c>
      <c r="D48" s="93" t="str">
        <f>'4637'!C25</f>
        <v>CUB S/R 180°</v>
      </c>
      <c r="E48" s="93">
        <f>'4637'!D25</f>
        <v>2000</v>
      </c>
      <c r="F48" s="93">
        <f>'4637'!E25</f>
        <v>550</v>
      </c>
      <c r="G48" s="98" t="str">
        <f>G74</f>
        <v>BLANCO 22191 OPACO MERINO</v>
      </c>
      <c r="H48" s="1"/>
    </row>
    <row r="49" spans="1:8" ht="18" x14ac:dyDescent="0.35">
      <c r="A49" s="101">
        <v>5</v>
      </c>
      <c r="B49" s="15" t="s">
        <v>143</v>
      </c>
      <c r="C49" s="93">
        <f>'4637'!B26</f>
        <v>4</v>
      </c>
      <c r="D49" s="93" t="str">
        <f>'4637'!C26</f>
        <v>PR6</v>
      </c>
      <c r="E49" s="93">
        <f>'4637'!D26</f>
        <v>520</v>
      </c>
      <c r="F49" s="93">
        <f>'4637'!E26</f>
        <v>348</v>
      </c>
      <c r="G49" s="98" t="str">
        <f>G75</f>
        <v>BLANCO 22191 OPACO MERINO</v>
      </c>
      <c r="H49" s="1"/>
    </row>
    <row r="50" spans="1:8" ht="18" x14ac:dyDescent="0.35">
      <c r="A50" s="101">
        <v>6</v>
      </c>
      <c r="B50" s="15"/>
      <c r="C50" s="93">
        <f>'4637'!B27</f>
        <v>4</v>
      </c>
      <c r="D50" s="93" t="str">
        <f>'4637'!C27</f>
        <v>PR6</v>
      </c>
      <c r="E50" s="93">
        <f>'4637'!D27</f>
        <v>700</v>
      </c>
      <c r="F50" s="93">
        <f>'4637'!E27</f>
        <v>348</v>
      </c>
      <c r="G50" s="98" t="str">
        <f>G76</f>
        <v>BLANCO 22191 OPACO MERINO</v>
      </c>
      <c r="H50" s="1"/>
    </row>
    <row r="51" spans="1:8" ht="15.6" x14ac:dyDescent="0.3">
      <c r="B51" s="87"/>
      <c r="C51" s="6"/>
      <c r="D51" s="6"/>
      <c r="E51" s="6"/>
      <c r="F51" s="6"/>
      <c r="G51" s="6"/>
      <c r="H51" s="1"/>
    </row>
    <row r="52" spans="1:8" ht="15.6" x14ac:dyDescent="0.3">
      <c r="B52" s="1"/>
      <c r="C52" s="6"/>
      <c r="D52" s="6"/>
      <c r="E52" s="6"/>
      <c r="F52" s="6"/>
      <c r="G52" s="6"/>
      <c r="H52" s="1"/>
    </row>
    <row r="53" spans="1:8" ht="15.6" x14ac:dyDescent="0.3">
      <c r="B53" s="1"/>
      <c r="C53" s="6"/>
      <c r="D53" s="6"/>
      <c r="E53" s="6"/>
      <c r="F53" s="6"/>
      <c r="G53" s="6"/>
      <c r="H53" s="1"/>
    </row>
    <row r="54" spans="1:8" ht="15.6" x14ac:dyDescent="0.3">
      <c r="B54" s="1"/>
      <c r="C54" s="6"/>
      <c r="D54" s="6"/>
      <c r="E54" s="6"/>
      <c r="F54" s="6"/>
      <c r="G54" s="6"/>
      <c r="H54" s="1"/>
    </row>
    <row r="55" spans="1:8" ht="15.6" x14ac:dyDescent="0.3">
      <c r="B55" s="1"/>
      <c r="C55" s="6"/>
      <c r="D55" s="6"/>
      <c r="E55" s="6"/>
      <c r="F55" s="6"/>
      <c r="G55" s="6"/>
      <c r="H55" s="1"/>
    </row>
    <row r="56" spans="1:8" ht="15.6" x14ac:dyDescent="0.3">
      <c r="B56" s="1"/>
      <c r="C56" s="6"/>
      <c r="D56" s="6"/>
      <c r="E56" s="6"/>
      <c r="F56" s="6"/>
      <c r="G56" s="6"/>
      <c r="H56" s="1"/>
    </row>
    <row r="57" spans="1:8" ht="15.6" x14ac:dyDescent="0.3">
      <c r="B57" s="1"/>
      <c r="C57" s="6"/>
      <c r="D57" s="6"/>
      <c r="E57" s="6"/>
      <c r="F57" s="6"/>
      <c r="G57" s="6"/>
      <c r="H57" s="1"/>
    </row>
    <row r="58" spans="1:8" ht="15.6" x14ac:dyDescent="0.3">
      <c r="B58" s="1"/>
      <c r="C58" s="6"/>
      <c r="D58" s="6"/>
      <c r="E58" s="6"/>
      <c r="F58" s="6"/>
      <c r="G58" s="6"/>
      <c r="H58" s="1"/>
    </row>
    <row r="59" spans="1:8" ht="15.6" x14ac:dyDescent="0.3">
      <c r="B59" s="1"/>
      <c r="C59" s="6"/>
      <c r="D59" s="6"/>
      <c r="E59" s="6"/>
      <c r="F59" s="6"/>
      <c r="G59" s="6"/>
      <c r="H59" s="1"/>
    </row>
    <row r="60" spans="1:8" ht="15.6" x14ac:dyDescent="0.3">
      <c r="B60" s="1"/>
      <c r="C60" s="1"/>
      <c r="D60" s="1"/>
      <c r="E60" s="1"/>
      <c r="F60" s="1"/>
      <c r="G60" s="1"/>
      <c r="H60" s="1"/>
    </row>
    <row r="61" spans="1:8" ht="15.6" x14ac:dyDescent="0.3">
      <c r="B61" s="1"/>
      <c r="C61" s="1"/>
      <c r="D61" s="35" t="s">
        <v>27</v>
      </c>
      <c r="E61" s="14">
        <f>'4637'!G8</f>
        <v>7148</v>
      </c>
      <c r="F61" s="1"/>
      <c r="G61" s="1"/>
      <c r="H61" s="1"/>
    </row>
    <row r="62" spans="1:8" ht="17.25" customHeight="1" x14ac:dyDescent="0.3">
      <c r="B62" s="1"/>
      <c r="C62" s="1"/>
      <c r="D62" s="36" t="s">
        <v>67</v>
      </c>
      <c r="E62" s="37" t="str">
        <f>'4637'!C10</f>
        <v>COMERCIALIZADORA MDM SPA</v>
      </c>
      <c r="F62" s="38"/>
      <c r="G62" s="38"/>
      <c r="H62" s="1"/>
    </row>
    <row r="63" spans="1:8" ht="4.5" customHeight="1" x14ac:dyDescent="0.3">
      <c r="B63" s="1"/>
      <c r="C63" s="1"/>
      <c r="D63" s="39"/>
      <c r="E63" s="40"/>
      <c r="F63" s="1"/>
      <c r="G63" s="1"/>
      <c r="H63" s="1"/>
    </row>
    <row r="64" spans="1:8" ht="15.6" x14ac:dyDescent="0.3">
      <c r="B64" s="1"/>
      <c r="C64" s="1"/>
      <c r="D64" s="41" t="str">
        <f>'4637'!F11</f>
        <v>FECHA LIMITE :</v>
      </c>
      <c r="E64" s="13">
        <f>'4637'!G11</f>
        <v>45660</v>
      </c>
      <c r="F64" s="1"/>
      <c r="G64" s="1" t="s">
        <v>134</v>
      </c>
      <c r="H64" s="1"/>
    </row>
    <row r="65" spans="2:8" ht="15.6" x14ac:dyDescent="0.3">
      <c r="B65" s="1"/>
      <c r="C65" s="1"/>
      <c r="D65" s="1"/>
      <c r="E65" s="1"/>
      <c r="F65" s="1"/>
      <c r="G65" s="1"/>
      <c r="H65" s="1"/>
    </row>
    <row r="66" spans="2:8" ht="15.6" x14ac:dyDescent="0.3">
      <c r="B66" s="1"/>
      <c r="C66" s="1"/>
      <c r="D66" s="1"/>
      <c r="E66" s="1"/>
      <c r="F66" s="1"/>
      <c r="G66" s="1"/>
      <c r="H66" s="1"/>
    </row>
    <row r="67" spans="2:8" ht="15.6" x14ac:dyDescent="0.3">
      <c r="B67" s="121" t="s">
        <v>68</v>
      </c>
      <c r="C67" s="121"/>
      <c r="D67" s="121"/>
      <c r="E67" s="121"/>
      <c r="F67" s="121"/>
      <c r="G67" s="121"/>
      <c r="H67" s="1"/>
    </row>
    <row r="68" spans="2:8" ht="15.6" x14ac:dyDescent="0.3">
      <c r="B68" s="1"/>
      <c r="C68" s="1"/>
      <c r="D68" s="1"/>
      <c r="E68" s="1"/>
      <c r="F68" s="1"/>
      <c r="G68" s="1"/>
      <c r="H68" s="1"/>
    </row>
    <row r="69" spans="2:8" ht="15.75" customHeight="1" x14ac:dyDescent="0.3">
      <c r="B69" s="1"/>
      <c r="C69" s="122" t="s">
        <v>69</v>
      </c>
      <c r="D69" s="123"/>
      <c r="E69" s="124"/>
      <c r="F69" s="124"/>
      <c r="G69" s="125"/>
      <c r="H69" s="1"/>
    </row>
    <row r="70" spans="2:8" s="15" customFormat="1" ht="12.75" customHeight="1" x14ac:dyDescent="0.3">
      <c r="B70" s="1"/>
      <c r="C70" s="33" t="s">
        <v>10</v>
      </c>
      <c r="D70" s="42" t="s">
        <v>11</v>
      </c>
      <c r="E70" s="43" t="s">
        <v>7</v>
      </c>
      <c r="F70" s="43" t="s">
        <v>8</v>
      </c>
      <c r="G70" s="97" t="s">
        <v>12</v>
      </c>
      <c r="H70" s="1"/>
    </row>
    <row r="71" spans="2:8" s="15" customFormat="1" ht="15" customHeight="1" x14ac:dyDescent="0.35">
      <c r="B71" s="132" t="s">
        <v>149</v>
      </c>
      <c r="C71" s="91">
        <f>'4637'!B22</f>
        <v>1</v>
      </c>
      <c r="D71" s="92" t="str">
        <f>'4637'!C22</f>
        <v>CUB MESA 180° 2 LADOS</v>
      </c>
      <c r="E71" s="92">
        <f>'4637'!D22</f>
        <v>600</v>
      </c>
      <c r="F71" s="96">
        <f>'4637'!E22</f>
        <v>400</v>
      </c>
      <c r="G71" s="99" t="str">
        <f>'4637'!F22</f>
        <v>BLANCO 22191 OPACO MERINO</v>
      </c>
      <c r="H71" s="1"/>
    </row>
    <row r="72" spans="2:8" s="15" customFormat="1" ht="15" customHeight="1" x14ac:dyDescent="0.35">
      <c r="C72" s="91">
        <f>'4637'!B23</f>
        <v>1</v>
      </c>
      <c r="D72" s="92" t="str">
        <f>'4637'!C23</f>
        <v>CUB S/R 180°</v>
      </c>
      <c r="E72" s="92">
        <f>'4637'!D23</f>
        <v>2650</v>
      </c>
      <c r="F72" s="96">
        <f>'4637'!E23</f>
        <v>800</v>
      </c>
      <c r="G72" s="99" t="str">
        <f>'4637'!F23</f>
        <v>BLANCO 22191 OPACO MERINO</v>
      </c>
      <c r="H72" s="1"/>
    </row>
    <row r="73" spans="2:8" s="15" customFormat="1" ht="15" customHeight="1" x14ac:dyDescent="0.35">
      <c r="C73" s="91">
        <f>'4637'!B24</f>
        <v>1</v>
      </c>
      <c r="D73" s="92" t="str">
        <f>'4637'!C24</f>
        <v>CUB S/R 180°</v>
      </c>
      <c r="E73" s="92">
        <f>'4637'!D24</f>
        <v>1550</v>
      </c>
      <c r="F73" s="96">
        <f>'4637'!E24</f>
        <v>400</v>
      </c>
      <c r="G73" s="99" t="str">
        <f>'4637'!F24</f>
        <v>BLANCO 22191 OPACO MERINO</v>
      </c>
      <c r="H73" s="1"/>
    </row>
    <row r="74" spans="2:8" s="15" customFormat="1" ht="15" customHeight="1" x14ac:dyDescent="0.35">
      <c r="C74" s="91">
        <f>'4637'!B25</f>
        <v>1</v>
      </c>
      <c r="D74" s="92" t="str">
        <f>'4637'!C25</f>
        <v>CUB S/R 180°</v>
      </c>
      <c r="E74" s="92">
        <f>'4637'!D25</f>
        <v>2000</v>
      </c>
      <c r="F74" s="96">
        <f>'4637'!E25</f>
        <v>550</v>
      </c>
      <c r="G74" s="99" t="str">
        <f>'4637'!F25</f>
        <v>BLANCO 22191 OPACO MERINO</v>
      </c>
      <c r="H74" s="1"/>
    </row>
    <row r="75" spans="2:8" s="15" customFormat="1" ht="15" customHeight="1" x14ac:dyDescent="0.35">
      <c r="B75" s="132" t="s">
        <v>143</v>
      </c>
      <c r="C75" s="91">
        <f>'4637'!B26</f>
        <v>4</v>
      </c>
      <c r="D75" s="92" t="str">
        <f>'4637'!C26</f>
        <v>PR6</v>
      </c>
      <c r="E75" s="92">
        <f>'4637'!D26</f>
        <v>520</v>
      </c>
      <c r="F75" s="96">
        <f>'4637'!E26</f>
        <v>348</v>
      </c>
      <c r="G75" s="99" t="str">
        <f>'4637'!F26</f>
        <v>BLANCO 22191 OPACO MERINO</v>
      </c>
      <c r="H75" s="1"/>
    </row>
    <row r="76" spans="2:8" s="15" customFormat="1" ht="15" customHeight="1" x14ac:dyDescent="0.35">
      <c r="C76" s="91">
        <f>'4637'!B27</f>
        <v>4</v>
      </c>
      <c r="D76" s="92" t="str">
        <f>'4637'!C27</f>
        <v>PR6</v>
      </c>
      <c r="E76" s="92">
        <f>'4637'!D27</f>
        <v>700</v>
      </c>
      <c r="F76" s="96">
        <f>'4637'!E27</f>
        <v>348</v>
      </c>
      <c r="G76" s="99" t="str">
        <f>'4637'!F27</f>
        <v>BLANCO 22191 OPACO MERINO</v>
      </c>
      <c r="H76" s="1"/>
    </row>
    <row r="77" spans="2:8" s="15" customFormat="1" ht="15" customHeight="1" x14ac:dyDescent="0.35">
      <c r="C77" s="130"/>
      <c r="D77" s="130"/>
      <c r="E77" s="130"/>
      <c r="F77" s="130"/>
      <c r="G77" s="131"/>
      <c r="H77" s="1"/>
    </row>
    <row r="78" spans="2:8" s="15" customFormat="1" ht="15" customHeight="1" x14ac:dyDescent="0.3">
      <c r="B78" s="44"/>
      <c r="C78" s="46"/>
      <c r="D78" s="46"/>
      <c r="E78" s="46"/>
      <c r="F78" s="46"/>
      <c r="G78" s="46"/>
      <c r="H78" s="1"/>
    </row>
    <row r="79" spans="2:8" ht="15.6" x14ac:dyDescent="0.3">
      <c r="B79" s="6"/>
      <c r="C79" s="6"/>
      <c r="D79" s="1"/>
      <c r="E79" s="6"/>
      <c r="F79" s="6"/>
      <c r="G79" s="39"/>
      <c r="H79" s="1"/>
    </row>
    <row r="80" spans="2:8" ht="15.6" x14ac:dyDescent="0.3">
      <c r="B80" s="6"/>
      <c r="C80" s="6"/>
      <c r="D80" s="1"/>
      <c r="E80" s="6"/>
      <c r="F80" s="6"/>
      <c r="G80" s="6"/>
      <c r="H80" s="1"/>
    </row>
    <row r="81" spans="2:8" ht="15.6" x14ac:dyDescent="0.3">
      <c r="B81" s="1"/>
      <c r="C81" s="1"/>
      <c r="D81" s="1"/>
      <c r="E81" s="1"/>
      <c r="F81" s="1"/>
      <c r="G81" s="1"/>
      <c r="H81" s="1"/>
    </row>
    <row r="82" spans="2:8" ht="15.6" x14ac:dyDescent="0.3">
      <c r="B82" s="1"/>
      <c r="C82" s="1"/>
      <c r="D82" s="1"/>
      <c r="E82" s="1"/>
      <c r="F82" s="1"/>
      <c r="G82" s="1"/>
      <c r="H82" s="1"/>
    </row>
    <row r="83" spans="2:8" ht="15.6" x14ac:dyDescent="0.3">
      <c r="B83" s="1"/>
      <c r="C83" s="1"/>
      <c r="D83" s="1"/>
      <c r="E83" s="1"/>
      <c r="F83" s="1"/>
      <c r="G83" s="1"/>
      <c r="H83" s="1"/>
    </row>
    <row r="84" spans="2:8" ht="15" customHeight="1" x14ac:dyDescent="0.3">
      <c r="B84" s="1"/>
      <c r="C84" s="1"/>
      <c r="D84" s="1"/>
      <c r="E84" s="1"/>
      <c r="F84" s="1"/>
      <c r="G84" s="1"/>
      <c r="H84" s="1"/>
    </row>
    <row r="85" spans="2:8" ht="15.6" x14ac:dyDescent="0.3">
      <c r="B85" s="1"/>
      <c r="C85" s="1"/>
      <c r="D85" s="1"/>
      <c r="E85" s="1"/>
      <c r="F85" s="1"/>
      <c r="G85" s="1"/>
      <c r="H85" s="1"/>
    </row>
    <row r="86" spans="2:8" ht="15.6" x14ac:dyDescent="0.3">
      <c r="B86" s="6"/>
      <c r="C86" s="45"/>
      <c r="D86" s="1"/>
      <c r="E86" s="1"/>
      <c r="F86" s="1"/>
      <c r="G86" s="1"/>
      <c r="H86" s="1"/>
    </row>
    <row r="87" spans="2:8" ht="15.6" x14ac:dyDescent="0.3">
      <c r="B87" s="1"/>
      <c r="C87" s="1"/>
      <c r="D87" s="1"/>
      <c r="E87" s="1"/>
      <c r="F87" s="1"/>
      <c r="G87" s="1"/>
      <c r="H87" s="1"/>
    </row>
    <row r="88" spans="2:8" x14ac:dyDescent="0.3">
      <c r="C88" s="19"/>
      <c r="D88" s="19"/>
      <c r="E88" s="19"/>
      <c r="F88" s="19"/>
      <c r="G88" s="19"/>
    </row>
    <row r="89" spans="2:8" x14ac:dyDescent="0.3">
      <c r="C89" s="19"/>
      <c r="D89" s="19"/>
      <c r="F89" s="19"/>
      <c r="G89" s="19"/>
    </row>
  </sheetData>
  <mergeCells count="6">
    <mergeCell ref="N3:O3"/>
    <mergeCell ref="B27:G27"/>
    <mergeCell ref="B10:G10"/>
    <mergeCell ref="B67:G67"/>
    <mergeCell ref="C69:G69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2024-12-30T19:26:55Z</cp:lastPrinted>
  <dcterms:created xsi:type="dcterms:W3CDTF">2013-03-19T12:54:14Z</dcterms:created>
  <dcterms:modified xsi:type="dcterms:W3CDTF">2024-12-30T19:37:17Z</dcterms:modified>
</cp:coreProperties>
</file>