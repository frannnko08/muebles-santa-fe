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A84A64A2-855E-4B72-AEE0-9F4FDBFC41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CUBIERTA!$A$37:$F$63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D52" i="3" l="1"/>
  <c r="D30" i="3" s="1"/>
  <c r="J23" i="3" s="1"/>
  <c r="D23" i="3" s="1"/>
  <c r="B30" i="3"/>
  <c r="I23" i="3" s="1"/>
  <c r="B23" i="3" s="1"/>
  <c r="C30" i="3"/>
  <c r="F23" i="3" s="1"/>
  <c r="E30" i="3"/>
  <c r="K23" i="3" s="1"/>
  <c r="E23" i="3" s="1"/>
  <c r="F30" i="3"/>
  <c r="B52" i="3"/>
  <c r="C52" i="3"/>
  <c r="E52" i="3"/>
  <c r="F52" i="3"/>
  <c r="K15" i="3" l="1"/>
  <c r="E15" i="3" s="1"/>
  <c r="J15" i="3"/>
  <c r="I15" i="3"/>
  <c r="B15" i="3" s="1"/>
  <c r="F15" i="3"/>
  <c r="H26" i="4" l="1"/>
  <c r="B51" i="3"/>
  <c r="C51" i="3"/>
  <c r="D51" i="3"/>
  <c r="E51" i="3"/>
  <c r="F51" i="3"/>
  <c r="B29" i="3"/>
  <c r="C29" i="3"/>
  <c r="F22" i="3" s="1"/>
  <c r="D29" i="3"/>
  <c r="J14" i="3" s="1"/>
  <c r="E29" i="3"/>
  <c r="K14" i="3" s="1"/>
  <c r="E14" i="3" s="1"/>
  <c r="F29" i="3"/>
  <c r="H27" i="4" l="1"/>
  <c r="I22" i="3"/>
  <c r="F14" i="3"/>
  <c r="K22" i="3"/>
  <c r="E22" i="3" s="1"/>
  <c r="J22" i="3"/>
  <c r="D22" i="3" s="1"/>
  <c r="B22" i="3" l="1"/>
  <c r="I14" i="3"/>
  <c r="B14" i="3" s="1"/>
  <c r="H28" i="4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<sst xmlns="http://schemas.openxmlformats.org/spreadsheetml/2006/main" count="251" uniqueCount="146">
  <si>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</si>
  <si>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</si>
  <si>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</si>
  <si>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</si>
  <si>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</si>
  <si>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</si>
  <si>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</si>
  <si>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</si>
  <si>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</si>
  <si>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</si>
  <si>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</si>
  <si>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</si>
  <si>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</si>
  <si>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</si>
  <si>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</si>
  <si>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</si>
  <si>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</si>
  <si>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</si>
  <si>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</si>
  <si>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</si>
  <si>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</si>
  <si>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</si>
  <si>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</si>
  <si>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</si>
  <si>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</si>
  <si>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</si>
  <si>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</si>
  <si>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</si>
  <si>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</si>
  <si>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</si>
  <si>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</si>
  <si>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</si>
  <si>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</si>
  <si>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</si>
  <si>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</si>
  <si>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</si>
  <si>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</si>
  <si>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</si>
  <si>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</si>
  <si>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</si>
  <si>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</si>
  <si>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</si>
  <si>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</si>
  <si>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</si>
  <si>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</si>
  <si>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</si>
  <si>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</si>
  <si>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</si>
  <si>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</si>
  <si>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</si>
  <si>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</si>
  <si>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</si>
  <si>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</si>
  <si>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</si>
  <si>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</si>
  <si>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</si>
  <si>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</si>
  <si>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</si>
  <si>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</si>
  <si>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</si>
  <si>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</si>
  <si>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</si>
  <si>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</si>
  <si>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</si>
  <si>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</si>
  <si>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</si>
  <si>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</si>
  <si>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</si>
  <si>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</si>
  <si>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</si>
  <si>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</si>
  <si>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</si>
  <si>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</si>
  <si>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</si>
  <si>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</si>
  <si>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</si>
  <si>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</si>
  <si>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</si>
  <si>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</si>
  <si>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</si>
  <si>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</si>
  <si>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</si>
  <si>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</si>
  <si>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</si>
  <si>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</si>
  <si>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</si>
  <si>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</si>
  <si>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</si>
  <si>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</si>
  <si>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</si>
  <si>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</si>
  <si>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</si>
  <si>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</si>
  <si>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</si>
  <si>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</si>
  <si>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</si>
  <si>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</si>
  <si>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</si>
  <si>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</si>
  <si>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</si>
  <si>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</si>
  <si>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</si>
  <si>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</si>
  <si>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</si>
  <si>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</si>
  <si>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</si>
  <si>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</si>
  <si>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</si>
  <si>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</si>
  <si>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</si>
  <si>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</si>
  <si>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</si>
  <si>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</si>
  <si>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</si>
  <si>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</si>
  <si>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</si>
  <si>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</si>
  <si>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</si>
  <si>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</si>
  <si>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</si>
  <si>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</si>
  <si>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</si>
  <si>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</si>
  <si>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</si>
  <si>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</si>
  <si>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</si>
  <si>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</si>
  <si>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</si>
  <si>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</si>
  <si>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</si>
  <si>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</si>
  <si>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</si>
  <si>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</si>
  <si>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</si>
  <si>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</si>
  <si>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</si>
  <si>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NO</t>
  </si>
  <si>
    <t>N° 11169</t>
  </si>
  <si>
    <t>CUB C/R R8</t>
  </si>
  <si>
    <t>EDUARDO TORO REVECO</t>
  </si>
  <si>
    <t>+569 6511 6960</t>
  </si>
  <si>
    <t>16.165.157-5</t>
  </si>
  <si>
    <t>FABRICACION DE MUEBLES</t>
  </si>
  <si>
    <t>TITITERO 0224 SAN FERNANDO</t>
  </si>
  <si>
    <t>SAN FERNANDO</t>
  </si>
  <si>
    <t>GLACIAL WHITE 22191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</si>
</sst>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1" fillId="0" borderId="0" xfId="0" quotePrefix="1" applyFont="1"/>
    <xf numFmtId="0" fontId="15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ABONO $ 200.000.-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194310</xdr:rowOff>
    </xdr:from>
    <xdr:to>
      <xdr:col>2</xdr:col>
      <xdr:colOff>100723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F21" sqref="F21: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137</v>
      </c>
      <c r="E8" s="1"/>
      <c r="F8" s="89" t="s">
        <v>27</v>
      </c>
      <c r="G8" s="90">
        <v>7134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139</v>
      </c>
      <c r="D10" s="54"/>
      <c r="E10" s="54"/>
      <c r="F10" s="55" t="s">
        <v>28</v>
      </c>
      <c r="G10" s="56">
        <v>45628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2" t="s">
        <v>141</v>
      </c>
      <c r="D11" s="59"/>
      <c r="E11" s="59"/>
      <c r="F11" s="59" t="s">
        <v>124</v>
      </c>
      <c r="G11" s="60">
        <v>45630</v>
      </c>
      <c r="H11" s="61"/>
      <c r="I11" s="1"/>
    </row>
    <row r="12" spans="1:17" ht="16.8" x14ac:dyDescent="0.4">
      <c r="A12" s="1"/>
      <c r="B12" s="62" t="s">
        <v>133</v>
      </c>
      <c r="C12" s="103" t="s">
        <v>142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134</v>
      </c>
      <c r="C13" t="s">
        <v>139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13" t="s">
        <v>140</v>
      </c>
      <c r="D14" s="65"/>
      <c r="E14" s="59"/>
      <c r="F14" s="59" t="s">
        <v>29</v>
      </c>
      <c r="G14" s="59" t="s">
        <v>136</v>
      </c>
      <c r="H14" s="61"/>
      <c r="I14" s="1"/>
    </row>
    <row r="15" spans="1:17" ht="15.6" x14ac:dyDescent="0.3">
      <c r="A15" s="1"/>
      <c r="B15" s="62" t="s">
        <v>1</v>
      </c>
      <c r="C15" t="s">
        <v>143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144</v>
      </c>
      <c r="D16" s="68"/>
      <c r="E16" s="69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105" t="s">
        <v>20</v>
      </c>
      <c r="C20" s="106" t="s">
        <v>21</v>
      </c>
      <c r="D20" s="106" t="s">
        <v>22</v>
      </c>
      <c r="E20" s="106" t="s">
        <v>8</v>
      </c>
      <c r="F20" s="107" t="s">
        <v>23</v>
      </c>
      <c r="G20" s="105" t="s">
        <v>24</v>
      </c>
      <c r="H20" s="107" t="s">
        <v>4</v>
      </c>
      <c r="I20" s="1"/>
    </row>
    <row r="21" spans="1:16" ht="18" customHeight="1" thickBot="1" x14ac:dyDescent="0.35">
      <c r="A21" s="1"/>
      <c r="B21" s="114">
        <v>1</v>
      </c>
      <c r="C21" s="115" t="s">
        <v>138</v>
      </c>
      <c r="D21" s="118">
        <v>3600</v>
      </c>
      <c r="E21" s="118">
        <v>600</v>
      </c>
      <c r="F21" s="115" t="s">
        <v>145</v>
      </c>
      <c r="G21" s="116">
        <v>139441</v>
      </c>
      <c r="H21" s="117">
        <f>G21*B21</f>
        <v>139441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4">
        <v>1</v>
      </c>
      <c r="C22" s="115" t="s">
        <v>138</v>
      </c>
      <c r="D22" s="118">
        <v>3000</v>
      </c>
      <c r="E22" s="118">
        <v>600</v>
      </c>
      <c r="F22" s="115" t="s">
        <v>145</v>
      </c>
      <c r="G22" s="116">
        <v>117195</v>
      </c>
      <c r="H22" s="117">
        <f t="shared" ref="H22" si="0">G22*B22</f>
        <v>117195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101"/>
      <c r="E23" s="101"/>
      <c r="F23" s="92"/>
      <c r="G23" s="71"/>
      <c r="H23" s="94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2"/>
      <c r="C24" s="92"/>
      <c r="D24" s="92"/>
      <c r="E24" s="92"/>
      <c r="F24" s="93"/>
      <c r="G24" s="94"/>
      <c r="H24" s="94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0"/>
      <c r="C25" s="70"/>
      <c r="D25" s="70"/>
      <c r="E25" s="70"/>
      <c r="F25" s="70"/>
      <c r="G25" s="71"/>
      <c r="H25" s="71"/>
      <c r="I25" s="1"/>
    </row>
    <row r="26" spans="1:16" ht="15.6" x14ac:dyDescent="0.3">
      <c r="A26" s="1"/>
      <c r="B26" s="1"/>
      <c r="C26" s="1"/>
      <c r="D26" s="1"/>
      <c r="E26" s="1"/>
      <c r="F26" s="1"/>
      <c r="G26" s="72" t="s">
        <v>5</v>
      </c>
      <c r="H26" s="73">
        <f>SUM(H21:H25)</f>
        <v>256636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4" t="s">
        <v>6</v>
      </c>
      <c r="H27" s="75">
        <f>H26*19%</f>
        <v>48760.840000000004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6" t="s">
        <v>4</v>
      </c>
      <c r="H28" s="77">
        <f>H26+H27</f>
        <v>305396.84000000003</v>
      </c>
      <c r="I28" s="100"/>
    </row>
    <row r="29" spans="1:16" ht="15.6" x14ac:dyDescent="0.3">
      <c r="A29" s="1"/>
      <c r="B29" s="1"/>
      <c r="C29" s="1"/>
      <c r="D29" s="1"/>
      <c r="E29" s="1"/>
      <c r="F29" s="1"/>
      <c r="G29" s="51"/>
      <c r="H29" s="95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78" t="s">
        <v>123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78" t="s">
        <v>122</v>
      </c>
      <c r="C32" s="79"/>
      <c r="D32" s="80"/>
      <c r="E32" s="80"/>
      <c r="F32" s="70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1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25" zoomScaleNormal="100" workbookViewId="0">
      <selection activeCell="A37" sqref="A37:F6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39" t="s">
        <v>27</v>
      </c>
      <c r="D4" s="14">
        <f>'4637'!G8</f>
        <v>7134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EDUARDO TORO REVECO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1</v>
      </c>
      <c r="C14" s="25"/>
      <c r="D14" s="25">
        <v>3660</v>
      </c>
      <c r="E14" s="35">
        <f>K14+E$13</f>
        <v>570</v>
      </c>
      <c r="F14" s="97" t="str">
        <f t="shared" ref="F14" si="1">C29</f>
        <v>CUB C/R R8</v>
      </c>
      <c r="G14" s="1"/>
      <c r="I14" s="3">
        <f>I22</f>
        <v>1</v>
      </c>
      <c r="J14" s="4">
        <f t="shared" ref="J14:K14" si="2">D29</f>
        <v>3600</v>
      </c>
      <c r="K14" s="4">
        <f t="shared" si="2"/>
        <v>600</v>
      </c>
    </row>
    <row r="15" spans="1:14" ht="15.6" x14ac:dyDescent="0.3">
      <c r="A15" s="111"/>
      <c r="B15" s="25">
        <f t="shared" ref="B15" si="3">I15</f>
        <v>1</v>
      </c>
      <c r="C15" s="25"/>
      <c r="D15" s="25">
        <v>3100</v>
      </c>
      <c r="E15" s="35">
        <f>K15+E$13</f>
        <v>570</v>
      </c>
      <c r="F15" s="97" t="str">
        <f>C30</f>
        <v>CUB C/R R8</v>
      </c>
      <c r="G15" s="1"/>
      <c r="I15" s="3">
        <f>I23</f>
        <v>1</v>
      </c>
      <c r="J15" s="4">
        <f>D30</f>
        <v>3000</v>
      </c>
      <c r="K15" s="4">
        <f>E30</f>
        <v>600</v>
      </c>
    </row>
    <row r="16" spans="1:14" ht="15.6" x14ac:dyDescent="0.3">
      <c r="A16" s="91"/>
      <c r="B16" s="6"/>
      <c r="C16" s="6"/>
      <c r="D16" s="6"/>
      <c r="E16" s="112"/>
      <c r="F16" s="99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7" t="s">
        <v>14</v>
      </c>
      <c r="B18" s="127"/>
      <c r="C18" s="127"/>
      <c r="D18" s="127"/>
      <c r="E18" s="127"/>
      <c r="F18" s="12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 t="s">
        <v>131</v>
      </c>
      <c r="B22" s="16">
        <f t="shared" ref="B22" si="4">I22</f>
        <v>1</v>
      </c>
      <c r="C22" s="16"/>
      <c r="D22" s="16">
        <f>J22+D$21</f>
        <v>3640</v>
      </c>
      <c r="E22" s="16">
        <f>K22+E$21</f>
        <v>730</v>
      </c>
      <c r="F22" s="98" t="str">
        <f t="shared" ref="F22" si="5">C29</f>
        <v>CUB C/R R8</v>
      </c>
      <c r="G22" s="1"/>
      <c r="I22" s="3">
        <f t="shared" ref="I22" si="6">B29</f>
        <v>1</v>
      </c>
      <c r="J22" s="4">
        <f>D29</f>
        <v>3600</v>
      </c>
      <c r="K22" s="4">
        <f>E29</f>
        <v>600</v>
      </c>
    </row>
    <row r="23" spans="1:11" ht="15.6" x14ac:dyDescent="0.3">
      <c r="A23" s="111"/>
      <c r="B23" s="16">
        <f t="shared" ref="B23" si="7">I23</f>
        <v>1</v>
      </c>
      <c r="C23" s="16"/>
      <c r="D23" s="16">
        <f>J23+D$21</f>
        <v>3040</v>
      </c>
      <c r="E23" s="16">
        <f>K23+E$21</f>
        <v>730</v>
      </c>
      <c r="F23" s="98" t="str">
        <f>C30</f>
        <v>CUB C/R R8</v>
      </c>
      <c r="G23" s="1"/>
      <c r="I23" s="3">
        <f>B30</f>
        <v>1</v>
      </c>
      <c r="J23" s="4">
        <f t="shared" ref="J23:K23" si="8">D30</f>
        <v>3000</v>
      </c>
      <c r="K23" s="4">
        <f t="shared" si="8"/>
        <v>600</v>
      </c>
    </row>
    <row r="24" spans="1:11" ht="15.6" x14ac:dyDescent="0.3">
      <c r="A24" s="91"/>
      <c r="B24" s="6"/>
      <c r="C24" s="6"/>
      <c r="D24" s="6"/>
      <c r="E24" s="6"/>
      <c r="F24" s="99"/>
      <c r="G24" s="1"/>
      <c r="I24" s="85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4" t="s">
        <v>10</v>
      </c>
      <c r="C28" s="84" t="s">
        <v>110</v>
      </c>
      <c r="D28" s="84" t="s">
        <v>7</v>
      </c>
      <c r="E28" s="84" t="s">
        <v>8</v>
      </c>
      <c r="F28" s="84" t="s">
        <v>23</v>
      </c>
      <c r="G28" s="1"/>
    </row>
    <row r="29" spans="1:11" ht="15.6" x14ac:dyDescent="0.3">
      <c r="A29" s="91" t="s">
        <v>135</v>
      </c>
      <c r="B29" s="25">
        <f>'4637'!B21</f>
        <v>1</v>
      </c>
      <c r="C29" s="97" t="str">
        <f>'4637'!C21</f>
        <v>CUB C/R R8</v>
      </c>
      <c r="D29" s="25">
        <f>'4637'!D21</f>
        <v>3600</v>
      </c>
      <c r="E29" s="25">
        <f>'4637'!E21</f>
        <v>600</v>
      </c>
      <c r="F29" s="25" t="str">
        <f>'4637'!F21</f>
        <v>GLACIAL WHITE 22191 GL</v>
      </c>
      <c r="G29" s="1"/>
    </row>
    <row r="30" spans="1:11" ht="15.6" x14ac:dyDescent="0.3">
      <c r="A30" s="111"/>
      <c r="B30" s="25">
        <f>'4637'!B22</f>
        <v>1</v>
      </c>
      <c r="C30" s="97" t="str">
        <f>'4637'!C22</f>
        <v>CUB C/R R8</v>
      </c>
      <c r="D30" s="110">
        <f>D52</f>
        <v>3000</v>
      </c>
      <c r="E30" s="25">
        <f>'4637'!E22</f>
        <v>600</v>
      </c>
      <c r="F30" s="25" t="str">
        <f>'4637'!F22</f>
        <v>GLACIAL WHITE 22191 GL</v>
      </c>
      <c r="G30" s="1"/>
    </row>
    <row r="31" spans="1:11" ht="15.6" x14ac:dyDescent="0.3">
      <c r="A31" s="5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9" t="s">
        <v>27</v>
      </c>
      <c r="D41" s="14">
        <f>'4637'!G8</f>
        <v>7134</v>
      </c>
      <c r="E41" s="1"/>
      <c r="F41" s="1"/>
      <c r="G41" s="1"/>
    </row>
    <row r="42" spans="1:7" ht="17.25" customHeight="1" x14ac:dyDescent="0.3">
      <c r="A42" s="1"/>
      <c r="B42" s="1"/>
      <c r="C42" s="40" t="s">
        <v>67</v>
      </c>
      <c r="D42" s="41" t="str">
        <f>'4637'!C10</f>
        <v>EDUARDO TORO REVECO</v>
      </c>
      <c r="E42" s="42"/>
      <c r="F42" s="42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45" t="str">
        <f>'4637'!F11</f>
        <v>FECHA LIMITE :</v>
      </c>
      <c r="D44" s="13">
        <f>'4637'!G11</f>
        <v>45630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7" t="s">
        <v>68</v>
      </c>
      <c r="B47" s="127"/>
      <c r="C47" s="127"/>
      <c r="D47" s="127"/>
      <c r="E47" s="127"/>
      <c r="F47" s="127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8" t="s">
        <v>69</v>
      </c>
      <c r="C49" s="129"/>
      <c r="D49" s="130"/>
      <c r="E49" s="130"/>
      <c r="F49" s="131"/>
      <c r="G49" s="1"/>
    </row>
    <row r="50" spans="1:7" s="15" customFormat="1" ht="12.75" customHeight="1" x14ac:dyDescent="0.3">
      <c r="A50" s="1"/>
      <c r="B50" s="36" t="s">
        <v>10</v>
      </c>
      <c r="C50" s="46" t="s">
        <v>11</v>
      </c>
      <c r="D50" s="47" t="s">
        <v>7</v>
      </c>
      <c r="E50" s="47" t="s">
        <v>8</v>
      </c>
      <c r="F50" s="48" t="s">
        <v>12</v>
      </c>
      <c r="G50" s="1"/>
    </row>
    <row r="51" spans="1:7" s="15" customFormat="1" ht="15" customHeight="1" x14ac:dyDescent="0.35">
      <c r="A51" s="91"/>
      <c r="B51" s="38">
        <f>'4637'!B21</f>
        <v>1</v>
      </c>
      <c r="C51" s="96" t="str">
        <f>'4637'!C21</f>
        <v>CUB C/R R8</v>
      </c>
      <c r="D51" s="108">
        <f>'4637'!D21</f>
        <v>3600</v>
      </c>
      <c r="E51" s="108">
        <f>'4637'!E21</f>
        <v>600</v>
      </c>
      <c r="F51" s="38" t="str">
        <f>'4637'!F21</f>
        <v>GLACIAL WHITE 22191 GL</v>
      </c>
      <c r="G51" s="1"/>
    </row>
    <row r="52" spans="1:7" s="15" customFormat="1" ht="15" customHeight="1" x14ac:dyDescent="0.35">
      <c r="A52" s="91"/>
      <c r="B52" s="38">
        <f>'4637'!B22</f>
        <v>1</v>
      </c>
      <c r="C52" s="96" t="str">
        <f>'4637'!C22</f>
        <v>CUB C/R R8</v>
      </c>
      <c r="D52" s="109">
        <f>'4637'!D22</f>
        <v>3000</v>
      </c>
      <c r="E52" s="108">
        <f>'4637'!E22</f>
        <v>600</v>
      </c>
      <c r="F52" s="38" t="str">
        <f>'4637'!F22</f>
        <v>GLACIAL WHITE 22191 GL</v>
      </c>
      <c r="G52" s="1"/>
    </row>
    <row r="53" spans="1:7" s="15" customFormat="1" ht="15" customHeight="1" x14ac:dyDescent="0.3">
      <c r="A53" s="91"/>
      <c r="B53" s="51"/>
      <c r="C53" s="104"/>
      <c r="D53" s="51"/>
      <c r="E53" s="51"/>
      <c r="F53" s="51"/>
      <c r="G53" s="1"/>
    </row>
    <row r="54" spans="1:7" s="15" customFormat="1" ht="15" customHeight="1" x14ac:dyDescent="0.3">
      <c r="A54" s="49"/>
      <c r="B54" s="51"/>
      <c r="C54" s="51"/>
      <c r="D54" s="51"/>
      <c r="E54" s="51"/>
      <c r="F54" s="51"/>
      <c r="G54" s="1"/>
    </row>
    <row r="55" spans="1:7" ht="15.6" x14ac:dyDescent="0.3">
      <c r="A55" s="6"/>
      <c r="B55" s="6"/>
      <c r="C55" s="1"/>
      <c r="D55" s="6"/>
      <c r="E55" s="6"/>
      <c r="F55" s="43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0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2024-12-02T12:41:17Z</cp:lastPrinted>
  <dcterms:created xsi:type="dcterms:W3CDTF">2013-03-19T12:54:14Z</dcterms:created>
  <dcterms:modified xsi:type="dcterms:W3CDTF">2024-12-16T13:07:06Z</dcterms:modified>
</cp:coreProperties>
</file>