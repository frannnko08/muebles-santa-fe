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438FA377-8E57-4CE4-9385-D1296E065BF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'4637'!$A$1:$H$37</definedName>
    <definedName name="_xlnm.Print_Area" localSheetId="2">CUBIERTA!$A$61:$G$95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3" l="1"/>
  <c r="B48" i="3"/>
  <c r="I36" i="3" s="1"/>
  <c r="C48" i="3"/>
  <c r="F36" i="3" s="1"/>
  <c r="D48" i="3"/>
  <c r="J36" i="3" s="1"/>
  <c r="E48" i="3"/>
  <c r="K36" i="3" s="1"/>
  <c r="F48" i="3"/>
  <c r="B49" i="3"/>
  <c r="I37" i="3" s="1"/>
  <c r="B37" i="3" s="1"/>
  <c r="C49" i="3"/>
  <c r="F37" i="3" s="1"/>
  <c r="D49" i="3"/>
  <c r="J37" i="3" s="1"/>
  <c r="D37" i="3" s="1"/>
  <c r="E49" i="3"/>
  <c r="K37" i="3" s="1"/>
  <c r="E37" i="3" s="1"/>
  <c r="F49" i="3"/>
  <c r="B81" i="3"/>
  <c r="C81" i="3"/>
  <c r="D81" i="3"/>
  <c r="E81" i="3"/>
  <c r="F81" i="3"/>
  <c r="B80" i="3"/>
  <c r="C80" i="3"/>
  <c r="D80" i="3"/>
  <c r="E80" i="3"/>
  <c r="F80" i="3"/>
  <c r="H27" i="4"/>
  <c r="K21" i="4"/>
  <c r="I20" i="3" l="1"/>
  <c r="B20" i="3" s="1"/>
  <c r="I19" i="3"/>
  <c r="B19" i="3" s="1"/>
  <c r="F20" i="3"/>
  <c r="F19" i="3"/>
  <c r="K20" i="3"/>
  <c r="E20" i="3" s="1"/>
  <c r="J20" i="3"/>
  <c r="D20" i="3" s="1"/>
  <c r="K19" i="3"/>
  <c r="E19" i="3" s="1"/>
  <c r="J19" i="3"/>
  <c r="D19" i="3" s="1"/>
  <c r="B79" i="3"/>
  <c r="C79" i="3"/>
  <c r="D79" i="3"/>
  <c r="E79" i="3"/>
  <c r="F79" i="3"/>
  <c r="H26" i="4"/>
  <c r="G14" i="3"/>
  <c r="B44" i="3"/>
  <c r="I32" i="3" s="1"/>
  <c r="B32" i="3" s="1"/>
  <c r="C44" i="3"/>
  <c r="F32" i="3" s="1"/>
  <c r="D44" i="3"/>
  <c r="J32" i="3" s="1"/>
  <c r="D32" i="3" s="1"/>
  <c r="E44" i="3"/>
  <c r="K32" i="3" s="1"/>
  <c r="E32" i="3" s="1"/>
  <c r="F44" i="3"/>
  <c r="B45" i="3"/>
  <c r="I33" i="3" s="1"/>
  <c r="B33" i="3" s="1"/>
  <c r="C45" i="3"/>
  <c r="F33" i="3" s="1"/>
  <c r="D45" i="3"/>
  <c r="J33" i="3" s="1"/>
  <c r="D33" i="3" s="1"/>
  <c r="E45" i="3"/>
  <c r="K33" i="3" s="1"/>
  <c r="E33" i="3" s="1"/>
  <c r="F45" i="3"/>
  <c r="B46" i="3"/>
  <c r="I34" i="3" s="1"/>
  <c r="B34" i="3" s="1"/>
  <c r="C46" i="3"/>
  <c r="F34" i="3" s="1"/>
  <c r="D46" i="3"/>
  <c r="J34" i="3" s="1"/>
  <c r="D34" i="3" s="1"/>
  <c r="E46" i="3"/>
  <c r="K34" i="3" s="1"/>
  <c r="E34" i="3" s="1"/>
  <c r="F46" i="3"/>
  <c r="B47" i="3"/>
  <c r="I35" i="3" s="1"/>
  <c r="B35" i="3" s="1"/>
  <c r="C47" i="3"/>
  <c r="F35" i="3" s="1"/>
  <c r="D47" i="3"/>
  <c r="J35" i="3" s="1"/>
  <c r="D35" i="3" s="1"/>
  <c r="E47" i="3"/>
  <c r="K35" i="3" s="1"/>
  <c r="E35" i="3" s="1"/>
  <c r="F47" i="3"/>
  <c r="B50" i="3"/>
  <c r="C50" i="3"/>
  <c r="F38" i="3" s="1"/>
  <c r="D50" i="3"/>
  <c r="E50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E36" i="3" l="1"/>
  <c r="K38" i="3"/>
  <c r="E38" i="3" s="1"/>
  <c r="D36" i="3"/>
  <c r="J38" i="3"/>
  <c r="D38" i="3" s="1"/>
  <c r="B36" i="3"/>
  <c r="I38" i="3"/>
  <c r="B38" i="3" s="1"/>
  <c r="F21" i="3"/>
  <c r="K17" i="3"/>
  <c r="E17" i="3" s="1"/>
  <c r="J16" i="3"/>
  <c r="D16" i="3" s="1"/>
  <c r="I15" i="3"/>
  <c r="B15" i="3" s="1"/>
  <c r="K18" i="3"/>
  <c r="E18" i="3" s="1"/>
  <c r="J17" i="3"/>
  <c r="D17" i="3" s="1"/>
  <c r="F16" i="3"/>
  <c r="F15" i="3"/>
  <c r="K21" i="3"/>
  <c r="E21" i="3" s="1"/>
  <c r="J18" i="3"/>
  <c r="D18" i="3" s="1"/>
  <c r="F17" i="3"/>
  <c r="K15" i="3"/>
  <c r="E15" i="3" s="1"/>
  <c r="J21" i="3"/>
  <c r="D21" i="3" s="1"/>
  <c r="F18" i="3"/>
  <c r="K16" i="3"/>
  <c r="E16" i="3" s="1"/>
  <c r="J15" i="3"/>
  <c r="D15" i="3" s="1"/>
  <c r="I21" i="3"/>
  <c r="B21" i="3" s="1"/>
  <c r="I18" i="3"/>
  <c r="B18" i="3" s="1"/>
  <c r="I17" i="3"/>
  <c r="B17" i="3" s="1"/>
  <c r="I16" i="3"/>
  <c r="B16" i="3" s="1"/>
  <c r="H22" i="4"/>
  <c r="H23" i="4"/>
  <c r="H24" i="4"/>
  <c r="H25" i="4"/>
  <c r="H28" i="4"/>
  <c r="B43" i="3"/>
  <c r="C43" i="3"/>
  <c r="F31" i="3" s="1"/>
  <c r="D43" i="3"/>
  <c r="J31" i="3" s="1"/>
  <c r="D31" i="3" s="1"/>
  <c r="E43" i="3"/>
  <c r="K31" i="3" s="1"/>
  <c r="E31" i="3" s="1"/>
  <c r="F43" i="3"/>
  <c r="B74" i="3"/>
  <c r="B82" i="3" s="1"/>
  <c r="C74" i="3"/>
  <c r="D74" i="3"/>
  <c r="E74" i="3"/>
  <c r="F74" i="3"/>
  <c r="H21" i="4"/>
  <c r="H31" i="4" l="1"/>
  <c r="J31" i="4" s="1"/>
  <c r="I31" i="3"/>
  <c r="B31" i="3" s="1"/>
  <c r="B51" i="3"/>
  <c r="K14" i="3"/>
  <c r="E14" i="3" s="1"/>
  <c r="J14" i="3"/>
  <c r="D14" i="3" s="1"/>
  <c r="F14" i="3"/>
  <c r="I14" i="3"/>
  <c r="B14" i="3" s="1"/>
  <c r="H32" i="4" l="1"/>
  <c r="H33" i="4" s="1"/>
  <c r="J33" i="4" s="1"/>
  <c r="N5" i="3"/>
  <c r="M5" i="3" l="1"/>
  <c r="L5" i="3"/>
  <c r="K5" i="3"/>
  <c r="C67" i="3" l="1"/>
  <c r="C7" i="3"/>
  <c r="D65" i="3"/>
  <c r="D5" i="3"/>
  <c r="D67" i="3"/>
  <c r="D7" i="3"/>
  <c r="D64" i="3"/>
  <c r="D4" i="3"/>
</calcChain>
</file>

<file path=xl/sharedStrings.xml><?xml version="1.0" encoding="utf-8"?>
<sst xmlns="http://schemas.openxmlformats.org/spreadsheetml/2006/main" count="266" uniqueCount="148">
  <si>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</si>
  <si>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</si>
  <si>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</si>
  <si>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</si>
  <si>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</si>
  <si>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</si>
  <si>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</si>
  <si>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</si>
  <si>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</si>
  <si>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</si>
  <si>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</si>
  <si>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</si>
  <si>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</si>
  <si>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</si>
  <si>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</si>
  <si>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</si>
  <si>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</si>
  <si>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</si>
  <si>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</si>
  <si>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</si>
  <si>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</si>
  <si>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</si>
  <si>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</si>
  <si>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</si>
  <si>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</si>
  <si>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</si>
  <si>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</si>
  <si>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</si>
  <si>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</si>
  <si>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</si>
  <si>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</si>
  <si>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</si>
  <si>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</si>
  <si>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</si>
  <si>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</si>
  <si>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</si>
  <si>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</si>
  <si>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</si>
  <si>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</si>
  <si>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</si>
  <si>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</si>
  <si>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</si>
  <si>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</si>
  <si>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</si>
  <si>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</si>
  <si>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</si>
  <si>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</si>
  <si>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</si>
  <si>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</si>
  <si>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</si>
  <si>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</si>
  <si>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</si>
  <si>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</si>
  <si>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</si>
  <si>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</si>
  <si>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</si>
  <si>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</si>
  <si>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</si>
  <si>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</si>
  <si>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</si>
  <si>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</si>
  <si>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</si>
  <si>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</si>
  <si>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</si>
  <si>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</si>
  <si>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</si>
  <si>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</si>
  <si>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</si>
  <si>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</si>
  <si>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</si>
  <si>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</si>
  <si>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</si>
  <si>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</si>
  <si>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</si>
  <si>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</si>
  <si>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</si>
  <si>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</si>
  <si>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</si>
  <si>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</si>
  <si>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</si>
  <si>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</si>
  <si>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</si>
  <si>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</si>
  <si>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</si>
  <si>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</si>
  <si>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</si>
  <si>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</si>
  <si>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</si>
  <si>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</si>
  <si>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</si>
  <si>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</si>
  <si>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</si>
  <si>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</si>
  <si>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</si>
  <si>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</si>
  <si>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</si>
  <si>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</si>
  <si>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</si>
  <si>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</si>
  <si>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</si>
  <si>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</si>
  <si>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</si>
  <si>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</si>
  <si>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</si>
  <si>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</si>
  <si>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</si>
  <si>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</si>
  <si>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</si>
  <si>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</si>
  <si>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</si>
  <si>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</si>
  <si>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</si>
  <si>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</si>
  <si>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</si>
  <si>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</si>
  <si>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</si>
  <si>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</si>
  <si>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</si>
  <si>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</si>
  <si>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</si>
  <si>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</si>
  <si>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</si>
  <si>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</si>
  <si>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</si>
  <si>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</si>
  <si>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</si>
  <si>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</si>
  <si>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</si>
  <si>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MDF 18 MM</t>
  </si>
  <si>
    <t>MDF 18MM</t>
  </si>
  <si>
    <t>FERNANDO DONOSO</t>
  </si>
  <si>
    <t>HECHO POR: FERNANDO DONOSO</t>
  </si>
  <si>
    <t>HECHO POR FERNANDO DONOSO</t>
  </si>
  <si>
    <t>GIRO:</t>
  </si>
  <si>
    <t>76.453.764-5</t>
  </si>
  <si>
    <t>MODULAR STONE LATAM SPA</t>
  </si>
  <si>
    <t>SANTIAGO</t>
  </si>
  <si>
    <t>FABRICA DE MUEBLES Y CUBIERTAS DE PIEDRA</t>
  </si>
  <si>
    <t>GALAXIA GRAFITO 0491 MT</t>
  </si>
  <si>
    <t>UNIDAD</t>
  </si>
  <si>
    <t>OJO REGRUESOS 2 CMS</t>
  </si>
  <si>
    <t>formato grande</t>
  </si>
  <si>
    <t>CUENTA CORRIENTE BANCO SANTANDER N° 87316181</t>
  </si>
  <si>
    <t>ABONO 50%, SALDO C/E</t>
  </si>
  <si>
    <t>ANA SOLIS</t>
  </si>
  <si>
    <t>569 3452 0415</t>
  </si>
  <si>
    <t>OBRA: PISO 8 AVIADOR ACEVEDO</t>
  </si>
  <si>
    <t>N°11218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</si>
</sst>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6" fillId="0" borderId="0" xfId="2"/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6" fillId="0" borderId="0" xfId="2" quotePrefix="1" applyFont="1" applyFill="1" applyBorder="1" applyAlignment="1">
      <alignment horizontal="left"/>
    </xf>
    <xf numFmtId="0" fontId="17" fillId="0" borderId="2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" fontId="3" fillId="0" borderId="0" xfId="0" applyNumberFormat="1" applyFont="1"/>
    <xf numFmtId="0" fontId="18" fillId="0" borderId="0" xfId="0" applyFont="1" applyAlignment="1">
      <alignment horizontal="left"/>
    </xf>
    <xf numFmtId="0" fontId="19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9" fillId="0" borderId="18" xfId="0" applyFont="1" applyFill="1" applyBorder="1" applyAlignment="1">
      <alignment horizontal="center"/>
    </xf>
    <xf numFmtId="0" fontId="19" fillId="0" borderId="2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29</xdr:row>
      <xdr:rowOff>85725</xdr:rowOff>
    </xdr:from>
    <xdr:to>
      <xdr:col>5</xdr:col>
      <xdr:colOff>1371600</xdr:colOff>
      <xdr:row>34</xdr:row>
      <xdr:rowOff>19050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396398"/>
          <a:ext cx="6491618" cy="8508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CUBIERTAS</a:t>
          </a:r>
          <a:r>
            <a:rPr lang="es-CL" sz="900" b="1" i="1" baseline="0"/>
            <a:t> PARA REPONER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6</xdr:row>
      <xdr:rowOff>9525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666875" y="1104900"/>
          <a:ext cx="8229600" cy="1809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590550</xdr:colOff>
      <xdr:row>25</xdr:row>
      <xdr:rowOff>76200</xdr:rowOff>
    </xdr:from>
    <xdr:to>
      <xdr:col>5</xdr:col>
      <xdr:colOff>2114549</xdr:colOff>
      <xdr:row>27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0550" y="3726180"/>
          <a:ext cx="869441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323850</xdr:colOff>
      <xdr:row>9</xdr:row>
      <xdr:rowOff>19050</xdr:rowOff>
    </xdr:from>
    <xdr:to>
      <xdr:col>5</xdr:col>
      <xdr:colOff>2552699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28700" y="1714500"/>
          <a:ext cx="85058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695325</xdr:colOff>
      <xdr:row>69</xdr:row>
      <xdr:rowOff>0</xdr:rowOff>
    </xdr:from>
    <xdr:to>
      <xdr:col>5</xdr:col>
      <xdr:colOff>2219324</xdr:colOff>
      <xdr:row>70</xdr:row>
      <xdr:rowOff>47625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95325" y="10812780"/>
          <a:ext cx="8694419" cy="2457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6</xdr:col>
      <xdr:colOff>0</xdr:colOff>
      <xdr:row>67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38100</xdr:rowOff>
    </xdr:from>
    <xdr:to>
      <xdr:col>6</xdr:col>
      <xdr:colOff>0</xdr:colOff>
      <xdr:row>65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61160" y="9989820"/>
          <a:ext cx="8503920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6</xdr:col>
      <xdr:colOff>0</xdr:colOff>
      <xdr:row>64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38100</xdr:colOff>
      <xdr:row>83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82</xdr:row>
      <xdr:rowOff>0</xdr:rowOff>
    </xdr:from>
    <xdr:to>
      <xdr:col>2</xdr:col>
      <xdr:colOff>1019175</xdr:colOff>
      <xdr:row>83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82</xdr:row>
      <xdr:rowOff>0</xdr:rowOff>
    </xdr:from>
    <xdr:to>
      <xdr:col>3</xdr:col>
      <xdr:colOff>352425</xdr:colOff>
      <xdr:row>83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82</xdr:row>
      <xdr:rowOff>0</xdr:rowOff>
    </xdr:from>
    <xdr:to>
      <xdr:col>4</xdr:col>
      <xdr:colOff>257175</xdr:colOff>
      <xdr:row>83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82</xdr:row>
      <xdr:rowOff>0</xdr:rowOff>
    </xdr:from>
    <xdr:to>
      <xdr:col>5</xdr:col>
      <xdr:colOff>447675</xdr:colOff>
      <xdr:row>83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82</xdr:row>
      <xdr:rowOff>0</xdr:rowOff>
    </xdr:from>
    <xdr:to>
      <xdr:col>6</xdr:col>
      <xdr:colOff>0</xdr:colOff>
      <xdr:row>83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304800</xdr:colOff>
      <xdr:row>84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83</xdr:row>
      <xdr:rowOff>0</xdr:rowOff>
    </xdr:from>
    <xdr:to>
      <xdr:col>2</xdr:col>
      <xdr:colOff>1276350</xdr:colOff>
      <xdr:row>84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83</xdr:row>
      <xdr:rowOff>0</xdr:rowOff>
    </xdr:from>
    <xdr:to>
      <xdr:col>3</xdr:col>
      <xdr:colOff>619125</xdr:colOff>
      <xdr:row>84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83</xdr:row>
      <xdr:rowOff>0</xdr:rowOff>
    </xdr:from>
    <xdr:to>
      <xdr:col>4</xdr:col>
      <xdr:colOff>523875</xdr:colOff>
      <xdr:row>84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83</xdr:row>
      <xdr:rowOff>0</xdr:rowOff>
    </xdr:from>
    <xdr:to>
      <xdr:col>5</xdr:col>
      <xdr:colOff>723900</xdr:colOff>
      <xdr:row>84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83</xdr:row>
      <xdr:rowOff>0</xdr:rowOff>
    </xdr:from>
    <xdr:to>
      <xdr:col>6</xdr:col>
      <xdr:colOff>0</xdr:colOff>
      <xdr:row>84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369570</xdr:colOff>
      <xdr:row>51</xdr:row>
      <xdr:rowOff>15239</xdr:rowOff>
    </xdr:from>
    <xdr:to>
      <xdr:col>6</xdr:col>
      <xdr:colOff>45720</xdr:colOff>
      <xdr:row>58</xdr:row>
      <xdr:rowOff>95250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9570" y="7391399"/>
          <a:ext cx="9841230" cy="146685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CON DESPACHO A DOMICILIO, OJO REGRUESOS 2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39</xdr:row>
      <xdr:rowOff>0</xdr:rowOff>
    </xdr:from>
    <xdr:to>
      <xdr:col>6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54040"/>
          <a:ext cx="9993629" cy="21526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85</xdr:row>
      <xdr:rowOff>32385</xdr:rowOff>
    </xdr:from>
    <xdr:to>
      <xdr:col>6</xdr:col>
      <xdr:colOff>19050</xdr:colOff>
      <xdr:row>93</xdr:row>
      <xdr:rowOff>9526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3527405"/>
          <a:ext cx="9439275" cy="15240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OBSERVACIONES:SON CON DESPACHO A DOMICILIO, OJO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REGRUESOS DE 2 CMS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60</xdr:row>
      <xdr:rowOff>194310</xdr:rowOff>
    </xdr:from>
    <xdr:to>
      <xdr:col>2</xdr:col>
      <xdr:colOff>91198</xdr:colOff>
      <xdr:row>67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9353550"/>
          <a:ext cx="1592338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851535</xdr:colOff>
      <xdr:row>8</xdr:row>
      <xdr:rowOff>51435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304800</xdr:colOff>
      <xdr:row>92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15" zoomScale="98" zoomScaleNormal="98" workbookViewId="0">
      <selection activeCell="C28" sqref="C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0.88671875" customWidth="1"/>
    <col min="4" max="5" width="11.109375" customWidth="1"/>
    <col min="6" max="6" width="29.5546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4" t="s">
        <v>16</v>
      </c>
      <c r="C8" s="85"/>
      <c r="D8" s="86" t="s">
        <v>147</v>
      </c>
      <c r="E8" s="1"/>
      <c r="F8" s="87" t="s">
        <v>26</v>
      </c>
      <c r="G8" s="88">
        <v>7144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126</v>
      </c>
      <c r="C10" s="79" t="s">
        <v>135</v>
      </c>
      <c r="D10" s="50"/>
      <c r="E10" s="50"/>
      <c r="F10" s="51" t="s">
        <v>27</v>
      </c>
      <c r="G10" s="52">
        <v>45644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1" t="s">
        <v>134</v>
      </c>
      <c r="D11" s="55"/>
      <c r="E11" s="55"/>
      <c r="F11" s="55" t="s">
        <v>121</v>
      </c>
      <c r="G11" s="56"/>
      <c r="H11" s="57"/>
      <c r="I11" s="1"/>
    </row>
    <row r="12" spans="1:17" ht="15.6" x14ac:dyDescent="0.3">
      <c r="A12" s="1"/>
      <c r="B12" s="58" t="s">
        <v>127</v>
      </c>
      <c r="C12" s="79" t="s">
        <v>144</v>
      </c>
      <c r="D12" s="38"/>
      <c r="E12" s="38"/>
      <c r="F12" s="38" t="s">
        <v>28</v>
      </c>
      <c r="G12" s="59">
        <v>1548</v>
      </c>
      <c r="H12" s="60"/>
      <c r="I12" s="1"/>
    </row>
    <row r="13" spans="1:17" ht="15.6" x14ac:dyDescent="0.3">
      <c r="A13" s="1"/>
      <c r="B13" s="58" t="s">
        <v>133</v>
      </c>
      <c r="C13" s="78" t="s">
        <v>137</v>
      </c>
      <c r="D13" s="38"/>
      <c r="E13" s="38"/>
      <c r="F13" s="38" t="s">
        <v>125</v>
      </c>
      <c r="G13" s="59" t="s">
        <v>130</v>
      </c>
      <c r="H13" s="60"/>
      <c r="I13" s="1"/>
    </row>
    <row r="14" spans="1:17" ht="15.6" x14ac:dyDescent="0.3">
      <c r="A14" s="1"/>
      <c r="B14" s="54" t="s">
        <v>17</v>
      </c>
      <c r="C14" s="93" t="s">
        <v>145</v>
      </c>
      <c r="D14" s="61"/>
      <c r="E14" s="55"/>
      <c r="F14" s="55" t="s">
        <v>146</v>
      </c>
      <c r="G14" s="55"/>
      <c r="H14" s="57"/>
      <c r="I14" s="1"/>
    </row>
    <row r="15" spans="1:17" ht="15.6" x14ac:dyDescent="0.3">
      <c r="A15" s="1"/>
      <c r="B15" s="58" t="s">
        <v>1</v>
      </c>
      <c r="C15" s="38">
        <v>6</v>
      </c>
      <c r="D15" s="38"/>
      <c r="E15" s="38"/>
      <c r="F15" s="62" t="s">
        <v>73</v>
      </c>
      <c r="G15" s="62" t="s">
        <v>143</v>
      </c>
      <c r="H15" s="60"/>
      <c r="I15" s="1"/>
    </row>
    <row r="16" spans="1:17" ht="16.2" thickBot="1" x14ac:dyDescent="0.35">
      <c r="A16" s="1"/>
      <c r="B16" s="63" t="s">
        <v>3</v>
      </c>
      <c r="C16" s="64" t="s">
        <v>136</v>
      </c>
      <c r="D16" s="64"/>
      <c r="E16" s="65"/>
      <c r="F16" s="108" t="s">
        <v>18</v>
      </c>
      <c r="G16" s="108"/>
      <c r="H16" s="109"/>
      <c r="I16" s="1"/>
      <c r="K16">
        <v>57</v>
      </c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  <c r="K17">
        <v>40</v>
      </c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  <c r="K18">
        <v>40</v>
      </c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  <c r="K19">
        <v>40</v>
      </c>
    </row>
    <row r="20" spans="1:16" ht="16.2" thickBot="1" x14ac:dyDescent="0.35">
      <c r="A20" s="1"/>
      <c r="B20" s="97" t="s">
        <v>139</v>
      </c>
      <c r="C20" s="98" t="s">
        <v>20</v>
      </c>
      <c r="D20" s="98" t="s">
        <v>21</v>
      </c>
      <c r="E20" s="98" t="s">
        <v>8</v>
      </c>
      <c r="F20" s="99" t="s">
        <v>22</v>
      </c>
      <c r="G20" s="97" t="s">
        <v>23</v>
      </c>
      <c r="H20" s="99" t="s">
        <v>4</v>
      </c>
      <c r="I20" s="1"/>
      <c r="K20">
        <v>40</v>
      </c>
    </row>
    <row r="21" spans="1:16" ht="18" customHeight="1" x14ac:dyDescent="0.3">
      <c r="A21" s="1"/>
      <c r="B21" s="95">
        <v>5</v>
      </c>
      <c r="C21" s="95" t="s">
        <v>124</v>
      </c>
      <c r="D21" s="96">
        <v>1900</v>
      </c>
      <c r="E21" s="96">
        <v>600</v>
      </c>
      <c r="F21" s="94" t="s">
        <v>138</v>
      </c>
      <c r="G21" s="100">
        <v>96470</v>
      </c>
      <c r="H21" s="100">
        <f t="shared" ref="H21" si="0">G21*B21</f>
        <v>482350</v>
      </c>
      <c r="I21" s="1"/>
      <c r="K21" s="16">
        <f>SUM(K16:K20)</f>
        <v>217</v>
      </c>
      <c r="L21" s="24"/>
      <c r="M21" s="16"/>
      <c r="N21" s="16"/>
      <c r="O21" s="24"/>
      <c r="P21" s="31"/>
    </row>
    <row r="22" spans="1:16" ht="18" customHeight="1" x14ac:dyDescent="0.3">
      <c r="A22" s="1"/>
      <c r="B22" s="95">
        <v>1</v>
      </c>
      <c r="C22" s="95" t="s">
        <v>124</v>
      </c>
      <c r="D22" s="96">
        <v>2600</v>
      </c>
      <c r="E22" s="96">
        <v>600</v>
      </c>
      <c r="F22" s="94" t="s">
        <v>138</v>
      </c>
      <c r="G22" s="100">
        <v>131101</v>
      </c>
      <c r="H22" s="100">
        <f t="shared" ref="H22:H25" si="1">G22*B22</f>
        <v>131101</v>
      </c>
      <c r="I22" s="1"/>
      <c r="K22" s="16"/>
      <c r="L22" s="24"/>
      <c r="M22" s="16">
        <v>56</v>
      </c>
      <c r="N22" s="16"/>
      <c r="O22" s="24"/>
      <c r="P22" s="31"/>
    </row>
    <row r="23" spans="1:16" ht="18" customHeight="1" x14ac:dyDescent="0.3">
      <c r="A23" s="1"/>
      <c r="B23" s="95">
        <v>1</v>
      </c>
      <c r="C23" s="95" t="s">
        <v>124</v>
      </c>
      <c r="D23" s="96">
        <v>1600</v>
      </c>
      <c r="E23" s="96">
        <v>600</v>
      </c>
      <c r="F23" s="94" t="s">
        <v>138</v>
      </c>
      <c r="G23" s="100">
        <v>84102</v>
      </c>
      <c r="H23" s="100">
        <f t="shared" si="1"/>
        <v>84102</v>
      </c>
      <c r="I23" s="1"/>
      <c r="K23" s="16"/>
      <c r="L23" s="24"/>
      <c r="M23" s="16">
        <v>56</v>
      </c>
      <c r="N23" s="16"/>
      <c r="O23" s="24"/>
      <c r="P23" s="31"/>
    </row>
    <row r="24" spans="1:16" ht="18" customHeight="1" x14ac:dyDescent="0.3">
      <c r="A24" s="1"/>
      <c r="B24" s="95">
        <v>1</v>
      </c>
      <c r="C24" s="95" t="s">
        <v>124</v>
      </c>
      <c r="D24" s="96">
        <v>1400</v>
      </c>
      <c r="E24" s="96">
        <v>600</v>
      </c>
      <c r="F24" s="94" t="s">
        <v>138</v>
      </c>
      <c r="G24" s="100">
        <v>74208</v>
      </c>
      <c r="H24" s="100">
        <f t="shared" si="1"/>
        <v>74208</v>
      </c>
      <c r="I24" s="1"/>
      <c r="K24" s="16"/>
      <c r="L24" s="24"/>
      <c r="M24" s="16"/>
      <c r="N24" s="16"/>
      <c r="O24" s="24"/>
      <c r="P24" s="31"/>
    </row>
    <row r="25" spans="1:16" ht="18" customHeight="1" x14ac:dyDescent="0.3">
      <c r="A25" s="1"/>
      <c r="B25" s="95">
        <v>1</v>
      </c>
      <c r="C25" s="95" t="s">
        <v>124</v>
      </c>
      <c r="D25" s="96">
        <v>1960</v>
      </c>
      <c r="E25" s="96">
        <v>600</v>
      </c>
      <c r="F25" s="94" t="s">
        <v>138</v>
      </c>
      <c r="G25" s="100">
        <v>103608</v>
      </c>
      <c r="H25" s="100">
        <f t="shared" si="1"/>
        <v>103608</v>
      </c>
      <c r="I25" s="1"/>
      <c r="K25" s="16" t="s">
        <v>141</v>
      </c>
      <c r="L25" s="24"/>
      <c r="M25" s="16"/>
      <c r="N25" s="16"/>
      <c r="O25" s="24"/>
      <c r="P25" s="31"/>
    </row>
    <row r="26" spans="1:16" ht="18" customHeight="1" x14ac:dyDescent="0.3">
      <c r="A26" s="1"/>
      <c r="B26" s="95">
        <v>2</v>
      </c>
      <c r="C26" s="95" t="s">
        <v>124</v>
      </c>
      <c r="D26" s="96">
        <v>1020</v>
      </c>
      <c r="E26" s="96">
        <v>600</v>
      </c>
      <c r="F26" s="94" t="s">
        <v>138</v>
      </c>
      <c r="G26" s="100">
        <v>56893</v>
      </c>
      <c r="H26" s="100">
        <f t="shared" ref="H26" si="2">G26*B26</f>
        <v>113786</v>
      </c>
      <c r="I26" s="1"/>
      <c r="K26" s="16">
        <v>4</v>
      </c>
      <c r="L26" s="24"/>
      <c r="M26" s="16"/>
      <c r="N26" s="16"/>
      <c r="O26" s="24"/>
      <c r="P26" s="31"/>
    </row>
    <row r="27" spans="1:16" ht="18" customHeight="1" x14ac:dyDescent="0.3">
      <c r="A27" s="1"/>
      <c r="B27" s="95">
        <v>2</v>
      </c>
      <c r="C27" s="95" t="s">
        <v>124</v>
      </c>
      <c r="D27" s="96">
        <v>1210</v>
      </c>
      <c r="E27" s="96">
        <v>400</v>
      </c>
      <c r="F27" s="94" t="s">
        <v>138</v>
      </c>
      <c r="G27" s="100">
        <v>59635</v>
      </c>
      <c r="H27" s="100">
        <f t="shared" ref="H27" si="3">G27*B27</f>
        <v>119270</v>
      </c>
      <c r="I27" s="1"/>
      <c r="K27" s="16">
        <v>5</v>
      </c>
      <c r="L27" s="24"/>
      <c r="M27" s="16"/>
      <c r="N27" s="16"/>
      <c r="O27" s="24"/>
      <c r="P27" s="31"/>
    </row>
    <row r="28" spans="1:16" ht="18" customHeight="1" x14ac:dyDescent="0.3">
      <c r="A28" s="1"/>
      <c r="B28" s="95">
        <v>1</v>
      </c>
      <c r="C28" s="95" t="s">
        <v>124</v>
      </c>
      <c r="D28" s="96">
        <v>1380</v>
      </c>
      <c r="E28" s="96">
        <v>440</v>
      </c>
      <c r="F28" s="94" t="s">
        <v>138</v>
      </c>
      <c r="G28" s="100">
        <v>59635</v>
      </c>
      <c r="H28" s="100">
        <f>G28*B28</f>
        <v>59635</v>
      </c>
      <c r="I28" s="1"/>
      <c r="K28" s="16"/>
      <c r="L28" s="24"/>
      <c r="M28" s="16"/>
      <c r="N28" s="16"/>
      <c r="O28" s="24"/>
      <c r="P28" s="31"/>
    </row>
    <row r="29" spans="1:16" ht="18" customHeight="1" x14ac:dyDescent="0.3">
      <c r="A29" s="1"/>
      <c r="B29" s="90"/>
      <c r="C29" s="90"/>
      <c r="D29" s="90"/>
      <c r="E29" s="90"/>
      <c r="F29" s="90"/>
      <c r="G29" s="91"/>
      <c r="H29" s="91"/>
      <c r="I29" s="1"/>
      <c r="K29" s="16"/>
      <c r="L29" s="24"/>
      <c r="M29" s="16"/>
      <c r="N29" s="16"/>
      <c r="O29" s="24"/>
      <c r="P29" s="31"/>
    </row>
    <row r="30" spans="1:16" ht="8.25" customHeight="1" thickBot="1" x14ac:dyDescent="0.35">
      <c r="A30" s="1"/>
      <c r="B30" s="66"/>
      <c r="C30" s="66"/>
      <c r="D30" s="66"/>
      <c r="E30" s="66"/>
      <c r="F30" s="66"/>
      <c r="G30" s="67"/>
      <c r="H30" s="67"/>
      <c r="I30" s="1"/>
    </row>
    <row r="31" spans="1:16" ht="15.6" x14ac:dyDescent="0.3">
      <c r="A31" s="1"/>
      <c r="B31" s="1"/>
      <c r="C31" s="1"/>
      <c r="D31" s="1"/>
      <c r="E31" s="1"/>
      <c r="F31" s="1"/>
      <c r="G31" s="68" t="s">
        <v>5</v>
      </c>
      <c r="H31" s="69">
        <f>SUM(H21:H30)</f>
        <v>1168060</v>
      </c>
      <c r="I31" s="1"/>
      <c r="J31" s="31">
        <f>H31*30%</f>
        <v>350418</v>
      </c>
    </row>
    <row r="32" spans="1:16" ht="15.6" x14ac:dyDescent="0.3">
      <c r="A32" s="1"/>
      <c r="B32" s="1"/>
      <c r="C32" s="1"/>
      <c r="D32" s="1"/>
      <c r="E32" s="1"/>
      <c r="F32" s="1"/>
      <c r="G32" s="70" t="s">
        <v>6</v>
      </c>
      <c r="H32" s="71">
        <f>H31*19%</f>
        <v>221931.4</v>
      </c>
      <c r="I32" s="1"/>
    </row>
    <row r="33" spans="1:10" ht="16.2" thickBot="1" x14ac:dyDescent="0.35">
      <c r="A33" s="1"/>
      <c r="B33" s="1"/>
      <c r="C33" s="1"/>
      <c r="D33" s="1"/>
      <c r="E33" s="1"/>
      <c r="F33" s="1"/>
      <c r="G33" s="72" t="s">
        <v>4</v>
      </c>
      <c r="H33" s="73">
        <f>H31+H32</f>
        <v>1389991.4</v>
      </c>
      <c r="I33" s="1"/>
      <c r="J33" s="31">
        <f>H33*30%</f>
        <v>416997.42</v>
      </c>
    </row>
    <row r="34" spans="1:10" ht="15.6" x14ac:dyDescent="0.3">
      <c r="A34" s="1"/>
      <c r="B34" s="1"/>
      <c r="C34" s="1"/>
      <c r="D34" s="1"/>
      <c r="E34" s="1"/>
      <c r="F34" s="1"/>
      <c r="G34" s="47"/>
      <c r="H34" s="92"/>
      <c r="I34" s="1"/>
    </row>
    <row r="35" spans="1:10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10" ht="15.6" x14ac:dyDescent="0.3">
      <c r="A36" s="1"/>
      <c r="B36" s="74" t="s">
        <v>142</v>
      </c>
      <c r="C36" s="75"/>
      <c r="D36" s="76"/>
      <c r="E36" s="76"/>
      <c r="F36" s="66"/>
      <c r="G36" s="1"/>
      <c r="H36" s="1"/>
      <c r="I36" s="1"/>
    </row>
    <row r="37" spans="1:10" ht="15.6" x14ac:dyDescent="0.3">
      <c r="A37" s="1"/>
      <c r="B37" s="74" t="s">
        <v>120</v>
      </c>
      <c r="C37" s="75"/>
      <c r="D37" s="76"/>
      <c r="E37" s="76"/>
      <c r="F37" s="66"/>
      <c r="G37" s="1"/>
      <c r="H37" s="1"/>
      <c r="I37" s="1"/>
    </row>
    <row r="38" spans="1:10" ht="15.6" x14ac:dyDescent="0.3">
      <c r="A38" s="1"/>
      <c r="B38" s="1" t="s">
        <v>24</v>
      </c>
      <c r="C38" s="1"/>
      <c r="D38" s="1"/>
      <c r="E38" s="77" t="s">
        <v>25</v>
      </c>
      <c r="F38" s="1"/>
      <c r="G38" s="1"/>
      <c r="H38" s="1"/>
      <c r="I38" s="1"/>
    </row>
    <row r="39" spans="1:10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10" ht="15.6" x14ac:dyDescent="0.3">
      <c r="A40" s="1"/>
      <c r="B40" s="1"/>
      <c r="C40" s="1"/>
      <c r="D40" s="1"/>
      <c r="E40" s="1"/>
      <c r="F40" s="1"/>
      <c r="G40" s="1"/>
      <c r="H40" s="1"/>
      <c r="I40" s="1"/>
    </row>
  </sheetData>
  <sortState xmlns:xlrd2="http://schemas.microsoft.com/office/spreadsheetml/2017/richdata2" ref="B42">
    <sortCondition sortBy="fontColor" ref="B42" dxfId="1"/>
  </sortState>
  <mergeCells count="2">
    <mergeCell ref="F16:H16"/>
    <mergeCell ref="B19:H19"/>
  </mergeCells>
  <phoneticPr fontId="10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29</v>
      </c>
      <c r="C2" s="113"/>
      <c r="D2" s="113"/>
      <c r="E2" s="17"/>
      <c r="G2" s="113" t="s">
        <v>68</v>
      </c>
      <c r="H2" s="113"/>
      <c r="I2" s="113"/>
      <c r="P2" s="114" t="s">
        <v>56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20</v>
      </c>
      <c r="E3" s="18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7">
        <v>50</v>
      </c>
      <c r="H4" s="27">
        <v>100</v>
      </c>
      <c r="I4" s="28" t="s">
        <v>111</v>
      </c>
      <c r="J4" s="29" t="s">
        <v>107</v>
      </c>
      <c r="K4" s="29"/>
      <c r="L4" s="29"/>
      <c r="M4" s="29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7">
        <v>50</v>
      </c>
      <c r="H5" s="27"/>
      <c r="I5" s="28" t="s">
        <v>113</v>
      </c>
      <c r="J5" s="29" t="s">
        <v>115</v>
      </c>
      <c r="K5" s="29"/>
      <c r="L5" s="29"/>
      <c r="M5" s="29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14" t="s">
        <v>56</v>
      </c>
      <c r="M8" s="114"/>
      <c r="N8" s="114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124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29" t="s">
        <v>109</v>
      </c>
      <c r="K20" s="29"/>
      <c r="L20" s="29"/>
      <c r="M20" s="29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7"/>
      <c r="H22" s="27"/>
      <c r="I22" s="28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5">
        <v>40</v>
      </c>
      <c r="C36" s="25">
        <v>90</v>
      </c>
      <c r="D36" s="26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5">
        <v>40</v>
      </c>
      <c r="C37" s="25">
        <v>90</v>
      </c>
      <c r="D37" s="26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3"/>
  <sheetViews>
    <sheetView tabSelected="1" topLeftCell="A60" zoomScaleNormal="100" workbookViewId="0">
      <selection activeCell="J68" sqref="J68"/>
    </sheetView>
  </sheetViews>
  <sheetFormatPr baseColWidth="10" defaultRowHeight="14.4" x14ac:dyDescent="0.3"/>
  <cols>
    <col min="1" max="1" width="10.5546875" customWidth="1"/>
    <col min="2" max="2" width="13.6640625" customWidth="1"/>
    <col min="3" max="3" width="51.6640625" customWidth="1"/>
    <col min="4" max="4" width="16" customWidth="1"/>
    <col min="5" max="5" width="12.6640625" bestFit="1" customWidth="1"/>
    <col min="6" max="6" width="43.664062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123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59</v>
      </c>
      <c r="L3" s="115"/>
      <c r="M3" s="115" t="s">
        <v>14</v>
      </c>
      <c r="N3" s="115"/>
    </row>
    <row r="4" spans="1:14" ht="15.75" customHeight="1" x14ac:dyDescent="0.35">
      <c r="A4" s="1"/>
      <c r="B4" s="1"/>
      <c r="C4" s="35" t="s">
        <v>26</v>
      </c>
      <c r="D4" s="102">
        <f>'4637'!G8</f>
        <v>7144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65</v>
      </c>
      <c r="D5" s="37" t="str">
        <f>'4637'!C10</f>
        <v>MODULAR STONE LATAM SPA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0" t="str">
        <f>'4637'!F11</f>
        <v>FECHA LIMITE :</v>
      </c>
      <c r="D7" s="13">
        <f>'4637'!G11</f>
        <v>0</v>
      </c>
      <c r="E7" s="1"/>
      <c r="F7" s="1" t="s">
        <v>131</v>
      </c>
      <c r="G7" s="1"/>
    </row>
    <row r="8" spans="1:14" ht="15.6" x14ac:dyDescent="0.3">
      <c r="A8" s="1"/>
      <c r="B8" s="1"/>
      <c r="C8" s="48" t="s">
        <v>122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59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>
        <v>244</v>
      </c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80</v>
      </c>
      <c r="E13" s="30">
        <v>-30</v>
      </c>
      <c r="F13" s="34" t="s">
        <v>108</v>
      </c>
      <c r="G13" s="1">
        <v>199</v>
      </c>
      <c r="J13" s="5" t="s">
        <v>7</v>
      </c>
      <c r="K13" s="5" t="s">
        <v>8</v>
      </c>
    </row>
    <row r="14" spans="1:14" ht="18" x14ac:dyDescent="0.35">
      <c r="A14" s="89" t="s">
        <v>128</v>
      </c>
      <c r="B14" s="122">
        <f t="shared" ref="B14" si="0">I14</f>
        <v>5</v>
      </c>
      <c r="C14" s="103"/>
      <c r="D14" s="103">
        <f t="shared" ref="D14" si="1">J14+D$13</f>
        <v>1980</v>
      </c>
      <c r="E14" s="103">
        <f t="shared" ref="E14" si="2">K14+E$13</f>
        <v>570</v>
      </c>
      <c r="F14" s="103" t="str">
        <f>C43</f>
        <v>CUB C/R R6</v>
      </c>
      <c r="G14" s="1">
        <f>G12-G13</f>
        <v>45</v>
      </c>
      <c r="I14" s="3">
        <f>B43</f>
        <v>5</v>
      </c>
      <c r="J14" s="4">
        <f>D43</f>
        <v>1900</v>
      </c>
      <c r="K14" s="4">
        <f>E43</f>
        <v>600</v>
      </c>
    </row>
    <row r="15" spans="1:14" ht="18" x14ac:dyDescent="0.35">
      <c r="A15" s="89"/>
      <c r="B15" s="122">
        <f t="shared" ref="B15:B21" si="3">I15</f>
        <v>1</v>
      </c>
      <c r="C15" s="103"/>
      <c r="D15" s="103">
        <f t="shared" ref="D15:D21" si="4">J15+D$13</f>
        <v>2680</v>
      </c>
      <c r="E15" s="103">
        <f t="shared" ref="E15:E21" si="5">K15+E$13</f>
        <v>570</v>
      </c>
      <c r="F15" s="103" t="str">
        <f t="shared" ref="F15:F18" si="6">C44</f>
        <v>CUB C/R R6</v>
      </c>
      <c r="G15" s="1"/>
      <c r="I15" s="3">
        <f t="shared" ref="I15:I18" si="7">B44</f>
        <v>1</v>
      </c>
      <c r="J15" s="4">
        <f t="shared" ref="J15:K15" si="8">D44</f>
        <v>2600</v>
      </c>
      <c r="K15" s="4">
        <f t="shared" si="8"/>
        <v>600</v>
      </c>
    </row>
    <row r="16" spans="1:14" ht="18" x14ac:dyDescent="0.35">
      <c r="A16" s="89"/>
      <c r="B16" s="122">
        <f t="shared" si="3"/>
        <v>1</v>
      </c>
      <c r="C16" s="103"/>
      <c r="D16" s="103">
        <f t="shared" si="4"/>
        <v>1680</v>
      </c>
      <c r="E16" s="103">
        <f t="shared" si="5"/>
        <v>570</v>
      </c>
      <c r="F16" s="103" t="str">
        <f t="shared" si="6"/>
        <v>CUB C/R R6</v>
      </c>
      <c r="G16" s="101"/>
      <c r="I16" s="3">
        <f t="shared" si="7"/>
        <v>1</v>
      </c>
      <c r="J16" s="4">
        <f t="shared" ref="J16:K16" si="9">D45</f>
        <v>1600</v>
      </c>
      <c r="K16" s="4">
        <f t="shared" si="9"/>
        <v>600</v>
      </c>
    </row>
    <row r="17" spans="1:11" ht="18" x14ac:dyDescent="0.35">
      <c r="A17" s="89"/>
      <c r="B17" s="122">
        <f t="shared" si="3"/>
        <v>1</v>
      </c>
      <c r="C17" s="103"/>
      <c r="D17" s="103">
        <f t="shared" si="4"/>
        <v>1480</v>
      </c>
      <c r="E17" s="103">
        <f t="shared" si="5"/>
        <v>570</v>
      </c>
      <c r="F17" s="103" t="str">
        <f t="shared" si="6"/>
        <v>CUB C/R R6</v>
      </c>
      <c r="G17" s="1"/>
      <c r="I17" s="3">
        <f t="shared" si="7"/>
        <v>1</v>
      </c>
      <c r="J17" s="4">
        <f t="shared" ref="J17:K17" si="10">D46</f>
        <v>1400</v>
      </c>
      <c r="K17" s="4">
        <f t="shared" si="10"/>
        <v>600</v>
      </c>
    </row>
    <row r="18" spans="1:11" ht="18" x14ac:dyDescent="0.35">
      <c r="A18" s="89"/>
      <c r="B18" s="103">
        <f t="shared" si="3"/>
        <v>1</v>
      </c>
      <c r="C18" s="103"/>
      <c r="D18" s="103">
        <f t="shared" si="4"/>
        <v>2040</v>
      </c>
      <c r="E18" s="103">
        <f t="shared" si="5"/>
        <v>570</v>
      </c>
      <c r="F18" s="103" t="str">
        <f t="shared" si="6"/>
        <v>CUB C/R R6</v>
      </c>
      <c r="G18" s="1"/>
      <c r="I18" s="3">
        <f t="shared" si="7"/>
        <v>1</v>
      </c>
      <c r="J18" s="4">
        <f t="shared" ref="J18:K18" si="11">D47</f>
        <v>1960</v>
      </c>
      <c r="K18" s="4">
        <f t="shared" si="11"/>
        <v>600</v>
      </c>
    </row>
    <row r="19" spans="1:11" ht="18" x14ac:dyDescent="0.35">
      <c r="A19" s="89"/>
      <c r="B19" s="103">
        <f t="shared" ref="B19:B20" si="12">I19</f>
        <v>2</v>
      </c>
      <c r="C19" s="103"/>
      <c r="D19" s="103">
        <f t="shared" ref="D19:D20" si="13">J19+D$13</f>
        <v>1100</v>
      </c>
      <c r="E19" s="103">
        <f t="shared" ref="E19:E20" si="14">K19+E$13</f>
        <v>570</v>
      </c>
      <c r="F19" s="103" t="str">
        <f t="shared" ref="F19:F20" si="15">C48</f>
        <v>CUB C/R R6</v>
      </c>
      <c r="G19" s="1"/>
      <c r="I19" s="3">
        <f t="shared" ref="I19:I20" si="16">B48</f>
        <v>2</v>
      </c>
      <c r="J19" s="4">
        <f t="shared" ref="J19:J20" si="17">D48</f>
        <v>1020</v>
      </c>
      <c r="K19" s="4">
        <f t="shared" ref="K19:K20" si="18">E48</f>
        <v>600</v>
      </c>
    </row>
    <row r="20" spans="1:11" ht="18" x14ac:dyDescent="0.35">
      <c r="A20" s="89"/>
      <c r="B20" s="103">
        <f t="shared" si="12"/>
        <v>2</v>
      </c>
      <c r="C20" s="103"/>
      <c r="D20" s="103">
        <f t="shared" si="13"/>
        <v>1290</v>
      </c>
      <c r="E20" s="103">
        <f t="shared" si="14"/>
        <v>370</v>
      </c>
      <c r="F20" s="103" t="str">
        <f t="shared" si="15"/>
        <v>CUB C/R R6</v>
      </c>
      <c r="G20" s="1"/>
      <c r="I20" s="3">
        <f t="shared" si="16"/>
        <v>2</v>
      </c>
      <c r="J20" s="4">
        <f t="shared" si="17"/>
        <v>1210</v>
      </c>
      <c r="K20" s="4">
        <f t="shared" si="18"/>
        <v>400</v>
      </c>
    </row>
    <row r="21" spans="1:11" ht="18" x14ac:dyDescent="0.35">
      <c r="A21" s="89"/>
      <c r="B21" s="103">
        <f t="shared" si="3"/>
        <v>1</v>
      </c>
      <c r="C21" s="103"/>
      <c r="D21" s="103">
        <f t="shared" si="4"/>
        <v>1460</v>
      </c>
      <c r="E21" s="103">
        <f t="shared" si="5"/>
        <v>410</v>
      </c>
      <c r="F21" s="103" t="str">
        <f>C50</f>
        <v>CUB C/R R6</v>
      </c>
      <c r="G21" s="1"/>
      <c r="I21" s="3">
        <f>B50</f>
        <v>1</v>
      </c>
      <c r="J21" s="4">
        <f t="shared" ref="J21:K21" si="19">D50</f>
        <v>1380</v>
      </c>
      <c r="K21" s="4">
        <f t="shared" si="19"/>
        <v>440</v>
      </c>
    </row>
    <row r="22" spans="1:11" ht="18" x14ac:dyDescent="0.35">
      <c r="A22" s="89"/>
      <c r="B22" s="107"/>
      <c r="C22" s="107"/>
      <c r="D22" s="107"/>
      <c r="E22" s="107"/>
      <c r="F22" s="107"/>
      <c r="G22" s="1"/>
      <c r="I22" s="83"/>
      <c r="J22" s="2"/>
      <c r="K22" s="2"/>
    </row>
    <row r="23" spans="1:11" ht="15.6" x14ac:dyDescent="0.3">
      <c r="A23" s="89"/>
      <c r="B23" s="6"/>
      <c r="C23" s="6"/>
      <c r="D23" s="6"/>
      <c r="E23" s="6"/>
      <c r="F23" s="6"/>
      <c r="G23" s="1"/>
      <c r="I23" s="83"/>
      <c r="J23" s="2"/>
      <c r="K23" s="2"/>
    </row>
    <row r="24" spans="1:11" ht="15.6" x14ac:dyDescent="0.3">
      <c r="A24" s="89"/>
      <c r="B24" s="6"/>
      <c r="C24" s="6" t="s">
        <v>140</v>
      </c>
      <c r="D24" s="6"/>
      <c r="E24" s="6"/>
      <c r="F24" s="6"/>
      <c r="G24" s="1"/>
      <c r="I24" s="83"/>
      <c r="J24" s="2"/>
      <c r="K24" s="2"/>
    </row>
    <row r="25" spans="1:11" ht="15.6" x14ac:dyDescent="0.3">
      <c r="A25" s="47"/>
      <c r="B25" s="6"/>
      <c r="C25" s="6"/>
      <c r="D25" s="6"/>
      <c r="E25" s="82"/>
      <c r="F25" s="6"/>
      <c r="G25" s="1"/>
      <c r="I25" s="83"/>
      <c r="J25" s="2"/>
      <c r="K25" s="2"/>
    </row>
    <row r="26" spans="1:11" ht="6.7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116" t="s">
        <v>14</v>
      </c>
      <c r="B27" s="116"/>
      <c r="C27" s="116"/>
      <c r="D27" s="116"/>
      <c r="E27" s="116"/>
      <c r="F27" s="116"/>
      <c r="G27" s="1"/>
    </row>
    <row r="28" spans="1:11" ht="10.5" customHeight="1" x14ac:dyDescent="0.3">
      <c r="A28" s="1"/>
      <c r="B28" s="1"/>
      <c r="C28" s="12"/>
      <c r="D28" s="1"/>
      <c r="E28" s="1"/>
      <c r="F28" s="1"/>
      <c r="G28" s="1"/>
    </row>
    <row r="29" spans="1:11" ht="15.6" x14ac:dyDescent="0.3">
      <c r="A29" s="1"/>
      <c r="B29" s="1"/>
      <c r="C29" s="1"/>
      <c r="D29" s="47" t="s">
        <v>7</v>
      </c>
      <c r="E29" s="47" t="s">
        <v>8</v>
      </c>
      <c r="F29" s="1"/>
      <c r="G29" s="1"/>
    </row>
    <row r="30" spans="1:11" ht="15.6" x14ac:dyDescent="0.3">
      <c r="A30" s="47" t="s">
        <v>9</v>
      </c>
      <c r="B30" s="33" t="s">
        <v>10</v>
      </c>
      <c r="C30" s="33" t="s">
        <v>11</v>
      </c>
      <c r="D30" s="20">
        <v>40</v>
      </c>
      <c r="E30" s="20">
        <v>140</v>
      </c>
      <c r="F30" s="33" t="s">
        <v>108</v>
      </c>
      <c r="G30" s="1"/>
      <c r="J30" s="5" t="s">
        <v>7</v>
      </c>
      <c r="K30" s="5" t="s">
        <v>8</v>
      </c>
    </row>
    <row r="31" spans="1:11" ht="18" x14ac:dyDescent="0.35">
      <c r="A31" s="89" t="s">
        <v>128</v>
      </c>
      <c r="B31" s="121">
        <f t="shared" ref="B31" si="20">I31</f>
        <v>5</v>
      </c>
      <c r="C31" s="104"/>
      <c r="D31" s="104">
        <f t="shared" ref="D31:E35" si="21">J31+D$30</f>
        <v>1940</v>
      </c>
      <c r="E31" s="104">
        <f t="shared" si="21"/>
        <v>740</v>
      </c>
      <c r="F31" s="104" t="str">
        <f t="shared" ref="F31:F37" si="22">C43</f>
        <v>CUB C/R R6</v>
      </c>
      <c r="G31" s="1"/>
      <c r="I31" s="3">
        <f t="shared" ref="I31:I35" si="23">B43</f>
        <v>5</v>
      </c>
      <c r="J31" s="4">
        <f t="shared" ref="J31:K31" si="24">D43</f>
        <v>1900</v>
      </c>
      <c r="K31" s="4">
        <f t="shared" si="24"/>
        <v>600</v>
      </c>
    </row>
    <row r="32" spans="1:11" ht="18" x14ac:dyDescent="0.35">
      <c r="A32" s="89"/>
      <c r="B32" s="121">
        <f t="shared" ref="B32:B35" si="25">I32</f>
        <v>1</v>
      </c>
      <c r="C32" s="104"/>
      <c r="D32" s="104">
        <f t="shared" si="21"/>
        <v>2640</v>
      </c>
      <c r="E32" s="104">
        <f t="shared" si="21"/>
        <v>740</v>
      </c>
      <c r="F32" s="104" t="str">
        <f t="shared" si="22"/>
        <v>CUB C/R R6</v>
      </c>
      <c r="G32" s="1"/>
      <c r="I32" s="3">
        <f t="shared" si="23"/>
        <v>1</v>
      </c>
      <c r="J32" s="4">
        <f t="shared" ref="J32:K35" si="26">D44</f>
        <v>2600</v>
      </c>
      <c r="K32" s="4">
        <f t="shared" si="26"/>
        <v>600</v>
      </c>
    </row>
    <row r="33" spans="1:11" ht="18" x14ac:dyDescent="0.35">
      <c r="A33" s="89"/>
      <c r="B33" s="121">
        <f t="shared" si="25"/>
        <v>1</v>
      </c>
      <c r="C33" s="104"/>
      <c r="D33" s="104">
        <f t="shared" si="21"/>
        <v>1640</v>
      </c>
      <c r="E33" s="104">
        <f t="shared" si="21"/>
        <v>740</v>
      </c>
      <c r="F33" s="104" t="str">
        <f t="shared" si="22"/>
        <v>CUB C/R R6</v>
      </c>
      <c r="G33" s="1"/>
      <c r="I33" s="3">
        <f t="shared" si="23"/>
        <v>1</v>
      </c>
      <c r="J33" s="4">
        <f t="shared" si="26"/>
        <v>1600</v>
      </c>
      <c r="K33" s="4">
        <f t="shared" si="26"/>
        <v>600</v>
      </c>
    </row>
    <row r="34" spans="1:11" ht="18" x14ac:dyDescent="0.35">
      <c r="A34" s="89"/>
      <c r="B34" s="121">
        <f t="shared" si="25"/>
        <v>1</v>
      </c>
      <c r="C34" s="104"/>
      <c r="D34" s="104">
        <f t="shared" si="21"/>
        <v>1440</v>
      </c>
      <c r="E34" s="104">
        <f t="shared" si="21"/>
        <v>740</v>
      </c>
      <c r="F34" s="104" t="str">
        <f t="shared" si="22"/>
        <v>CUB C/R R6</v>
      </c>
      <c r="G34" s="1">
        <v>20</v>
      </c>
      <c r="I34" s="3">
        <f t="shared" si="23"/>
        <v>1</v>
      </c>
      <c r="J34" s="4">
        <f t="shared" si="26"/>
        <v>1400</v>
      </c>
      <c r="K34" s="4">
        <f t="shared" si="26"/>
        <v>600</v>
      </c>
    </row>
    <row r="35" spans="1:11" ht="18" x14ac:dyDescent="0.35">
      <c r="A35" s="89"/>
      <c r="B35" s="121">
        <f t="shared" si="25"/>
        <v>1</v>
      </c>
      <c r="C35" s="104"/>
      <c r="D35" s="104">
        <f t="shared" si="21"/>
        <v>2000</v>
      </c>
      <c r="E35" s="104">
        <f t="shared" si="21"/>
        <v>740</v>
      </c>
      <c r="F35" s="104" t="str">
        <f t="shared" si="22"/>
        <v>CUB C/R R6</v>
      </c>
      <c r="G35" s="1">
        <v>5</v>
      </c>
      <c r="I35" s="3">
        <f t="shared" si="23"/>
        <v>1</v>
      </c>
      <c r="J35" s="4">
        <f t="shared" si="26"/>
        <v>1960</v>
      </c>
      <c r="K35" s="4">
        <f t="shared" si="26"/>
        <v>600</v>
      </c>
    </row>
    <row r="36" spans="1:11" ht="18" x14ac:dyDescent="0.35">
      <c r="A36" s="89"/>
      <c r="B36" s="121">
        <f>I36</f>
        <v>2</v>
      </c>
      <c r="C36" s="104"/>
      <c r="D36" s="104">
        <f>J36+D$30</f>
        <v>1060</v>
      </c>
      <c r="E36" s="104">
        <f>K36+E$30</f>
        <v>740</v>
      </c>
      <c r="F36" s="104" t="str">
        <f t="shared" si="22"/>
        <v>CUB C/R R6</v>
      </c>
      <c r="G36" s="1">
        <v>5</v>
      </c>
      <c r="I36" s="3">
        <f t="shared" ref="I36:I38" si="27">B48</f>
        <v>2</v>
      </c>
      <c r="J36" s="4">
        <f t="shared" ref="J36:J38" si="28">D48</f>
        <v>1020</v>
      </c>
      <c r="K36" s="4">
        <f t="shared" ref="K36:K38" si="29">E48</f>
        <v>600</v>
      </c>
    </row>
    <row r="37" spans="1:11" ht="18" x14ac:dyDescent="0.35">
      <c r="A37" s="89"/>
      <c r="B37" s="121">
        <f t="shared" ref="B37:B38" si="30">I37</f>
        <v>2</v>
      </c>
      <c r="C37" s="104"/>
      <c r="D37" s="104">
        <f t="shared" ref="D37:D38" si="31">J37+D$30</f>
        <v>1250</v>
      </c>
      <c r="E37" s="104">
        <f t="shared" ref="E37:E38" si="32">K37+E$30</f>
        <v>540</v>
      </c>
      <c r="F37" s="104" t="str">
        <f t="shared" si="22"/>
        <v>CUB C/R R6</v>
      </c>
      <c r="G37" s="1">
        <v>6</v>
      </c>
      <c r="I37" s="3">
        <f t="shared" si="27"/>
        <v>2</v>
      </c>
      <c r="J37" s="4">
        <f t="shared" si="28"/>
        <v>1210</v>
      </c>
      <c r="K37" s="4">
        <f t="shared" si="29"/>
        <v>400</v>
      </c>
    </row>
    <row r="38" spans="1:11" ht="18" x14ac:dyDescent="0.35">
      <c r="A38" s="89"/>
      <c r="B38" s="121">
        <f t="shared" si="30"/>
        <v>1</v>
      </c>
      <c r="C38" s="104"/>
      <c r="D38" s="104">
        <f t="shared" si="31"/>
        <v>1420</v>
      </c>
      <c r="E38" s="104">
        <f t="shared" si="32"/>
        <v>580</v>
      </c>
      <c r="F38" s="104" t="str">
        <f>C50</f>
        <v>CUB C/R R6</v>
      </c>
      <c r="G38" s="1">
        <v>7</v>
      </c>
      <c r="I38" s="3">
        <f t="shared" si="27"/>
        <v>1</v>
      </c>
      <c r="J38" s="4">
        <f t="shared" si="28"/>
        <v>1380</v>
      </c>
      <c r="K38" s="4">
        <f t="shared" si="29"/>
        <v>440</v>
      </c>
    </row>
    <row r="39" spans="1:11" ht="16.2" thickBot="1" x14ac:dyDescent="0.35">
      <c r="A39" s="89"/>
      <c r="B39" s="6"/>
      <c r="C39" s="6"/>
      <c r="D39" s="6"/>
      <c r="E39" s="6"/>
      <c r="F39" s="6"/>
      <c r="G39" s="1"/>
      <c r="I39" s="83"/>
      <c r="J39" s="2"/>
      <c r="K39" s="2"/>
    </row>
    <row r="40" spans="1:11" ht="16.2" thickBot="1" x14ac:dyDescent="0.35">
      <c r="A40" s="47"/>
      <c r="B40" s="21" t="s">
        <v>105</v>
      </c>
      <c r="C40" s="22"/>
      <c r="D40" s="22"/>
      <c r="E40" s="22"/>
      <c r="F40" s="23"/>
      <c r="G40" s="1"/>
      <c r="I40" s="2"/>
      <c r="J40" s="2"/>
      <c r="K40" s="2"/>
    </row>
    <row r="41" spans="1:11" ht="10.5" customHeight="1" x14ac:dyDescent="0.3">
      <c r="A41" s="1"/>
      <c r="B41" s="1"/>
      <c r="C41" s="1"/>
      <c r="D41" s="1"/>
      <c r="E41" s="1"/>
      <c r="F41" s="1"/>
      <c r="G41" s="1"/>
    </row>
    <row r="42" spans="1:11" ht="15.6" x14ac:dyDescent="0.3">
      <c r="A42" s="47" t="s">
        <v>9</v>
      </c>
      <c r="B42" s="81" t="s">
        <v>10</v>
      </c>
      <c r="C42" s="81" t="s">
        <v>108</v>
      </c>
      <c r="D42" s="81" t="s">
        <v>7</v>
      </c>
      <c r="E42" s="81" t="s">
        <v>8</v>
      </c>
      <c r="F42" s="81" t="s">
        <v>22</v>
      </c>
      <c r="G42" s="1"/>
    </row>
    <row r="43" spans="1:11" ht="18" x14ac:dyDescent="0.35">
      <c r="A43" s="89" t="s">
        <v>129</v>
      </c>
      <c r="B43" s="103">
        <f>'4637'!B21</f>
        <v>5</v>
      </c>
      <c r="C43" s="103" t="str">
        <f>'4637'!C21</f>
        <v>CUB C/R R6</v>
      </c>
      <c r="D43" s="103">
        <f>'4637'!D21</f>
        <v>1900</v>
      </c>
      <c r="E43" s="103">
        <f>'4637'!E21</f>
        <v>600</v>
      </c>
      <c r="F43" s="103" t="str">
        <f>'4637'!F21</f>
        <v>GALAXIA GRAFITO 0491 MT</v>
      </c>
      <c r="G43" s="1"/>
    </row>
    <row r="44" spans="1:11" ht="18" x14ac:dyDescent="0.35">
      <c r="A44" s="89"/>
      <c r="B44" s="103">
        <f>'4637'!B22</f>
        <v>1</v>
      </c>
      <c r="C44" s="103" t="str">
        <f>'4637'!C22</f>
        <v>CUB C/R R6</v>
      </c>
      <c r="D44" s="103">
        <f>'4637'!D22</f>
        <v>2600</v>
      </c>
      <c r="E44" s="103">
        <f>'4637'!E22</f>
        <v>600</v>
      </c>
      <c r="F44" s="103" t="str">
        <f>'4637'!F22</f>
        <v>GALAXIA GRAFITO 0491 MT</v>
      </c>
      <c r="G44" s="1"/>
    </row>
    <row r="45" spans="1:11" ht="18" x14ac:dyDescent="0.35">
      <c r="A45" s="89"/>
      <c r="B45" s="103">
        <f>'4637'!B23</f>
        <v>1</v>
      </c>
      <c r="C45" s="103" t="str">
        <f>'4637'!C23</f>
        <v>CUB C/R R6</v>
      </c>
      <c r="D45" s="103">
        <f>'4637'!D23</f>
        <v>1600</v>
      </c>
      <c r="E45" s="103">
        <f>'4637'!E23</f>
        <v>600</v>
      </c>
      <c r="F45" s="103" t="str">
        <f>'4637'!F23</f>
        <v>GALAXIA GRAFITO 0491 MT</v>
      </c>
      <c r="G45" s="1"/>
    </row>
    <row r="46" spans="1:11" ht="18" x14ac:dyDescent="0.35">
      <c r="A46" s="89"/>
      <c r="B46" s="103">
        <f>'4637'!B24</f>
        <v>1</v>
      </c>
      <c r="C46" s="103" t="str">
        <f>'4637'!C24</f>
        <v>CUB C/R R6</v>
      </c>
      <c r="D46" s="103">
        <f>'4637'!D24</f>
        <v>1400</v>
      </c>
      <c r="E46" s="103">
        <f>'4637'!E24</f>
        <v>600</v>
      </c>
      <c r="F46" s="103" t="str">
        <f>'4637'!F24</f>
        <v>GALAXIA GRAFITO 0491 MT</v>
      </c>
      <c r="G46" s="1"/>
    </row>
    <row r="47" spans="1:11" ht="18" x14ac:dyDescent="0.35">
      <c r="A47" s="89"/>
      <c r="B47" s="103">
        <f>'4637'!B25</f>
        <v>1</v>
      </c>
      <c r="C47" s="103" t="str">
        <f>'4637'!C25</f>
        <v>CUB C/R R6</v>
      </c>
      <c r="D47" s="103">
        <f>'4637'!D25</f>
        <v>1960</v>
      </c>
      <c r="E47" s="103">
        <f>'4637'!E25</f>
        <v>600</v>
      </c>
      <c r="F47" s="103" t="str">
        <f>'4637'!F25</f>
        <v>GALAXIA GRAFITO 0491 MT</v>
      </c>
      <c r="G47" s="1"/>
    </row>
    <row r="48" spans="1:11" ht="18" x14ac:dyDescent="0.35">
      <c r="A48" s="89"/>
      <c r="B48" s="103">
        <f>'4637'!B26</f>
        <v>2</v>
      </c>
      <c r="C48" s="103" t="str">
        <f>'4637'!C26</f>
        <v>CUB C/R R6</v>
      </c>
      <c r="D48" s="103">
        <f>'4637'!D26</f>
        <v>1020</v>
      </c>
      <c r="E48" s="103">
        <f>'4637'!E26</f>
        <v>600</v>
      </c>
      <c r="F48" s="103" t="str">
        <f>'4637'!F26</f>
        <v>GALAXIA GRAFITO 0491 MT</v>
      </c>
      <c r="G48" s="1"/>
    </row>
    <row r="49" spans="1:7" ht="18" x14ac:dyDescent="0.35">
      <c r="A49" s="89"/>
      <c r="B49" s="103">
        <f>'4637'!B27</f>
        <v>2</v>
      </c>
      <c r="C49" s="103" t="str">
        <f>'4637'!C27</f>
        <v>CUB C/R R6</v>
      </c>
      <c r="D49" s="103">
        <f>'4637'!D27</f>
        <v>1210</v>
      </c>
      <c r="E49" s="103">
        <f>'4637'!E27</f>
        <v>400</v>
      </c>
      <c r="F49" s="103" t="str">
        <f>'4637'!F27</f>
        <v>GALAXIA GRAFITO 0491 MT</v>
      </c>
      <c r="G49" s="1"/>
    </row>
    <row r="50" spans="1:7" ht="18" x14ac:dyDescent="0.35">
      <c r="A50" s="89"/>
      <c r="B50" s="103">
        <f>'4637'!B28</f>
        <v>1</v>
      </c>
      <c r="C50" s="103" t="str">
        <f>'4637'!C28</f>
        <v>CUB C/R R6</v>
      </c>
      <c r="D50" s="103">
        <f>'4637'!D28</f>
        <v>1380</v>
      </c>
      <c r="E50" s="103">
        <f>'4637'!E28</f>
        <v>440</v>
      </c>
      <c r="F50" s="103" t="str">
        <f>'4637'!F28</f>
        <v>GALAXIA GRAFITO 0491 MT</v>
      </c>
      <c r="G50" s="1"/>
    </row>
    <row r="51" spans="1:7" ht="15.6" x14ac:dyDescent="0.3">
      <c r="A51" s="1"/>
      <c r="B51" s="6">
        <f>SUM(B43:B50)</f>
        <v>14</v>
      </c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35" t="s">
        <v>26</v>
      </c>
      <c r="D64" s="14">
        <f>'4637'!G8</f>
        <v>7144</v>
      </c>
      <c r="E64" s="1"/>
      <c r="F64" s="1"/>
      <c r="G64" s="1"/>
    </row>
    <row r="65" spans="1:7" ht="17.25" customHeight="1" x14ac:dyDescent="0.3">
      <c r="A65" s="1"/>
      <c r="B65" s="1"/>
      <c r="C65" s="36" t="s">
        <v>65</v>
      </c>
      <c r="D65" s="37" t="str">
        <f>'4637'!C10</f>
        <v>MODULAR STONE LATAM SPA</v>
      </c>
      <c r="E65" s="38"/>
      <c r="F65" s="38"/>
      <c r="G65" s="1"/>
    </row>
    <row r="66" spans="1:7" ht="4.5" customHeight="1" x14ac:dyDescent="0.3">
      <c r="A66" s="1"/>
      <c r="B66" s="1"/>
      <c r="C66" s="39"/>
      <c r="D66" s="40"/>
      <c r="E66" s="1"/>
      <c r="F66" s="1"/>
      <c r="G66" s="1"/>
    </row>
    <row r="67" spans="1:7" ht="15.6" x14ac:dyDescent="0.3">
      <c r="A67" s="1"/>
      <c r="B67" s="1"/>
      <c r="C67" s="41" t="str">
        <f>'4637'!F11</f>
        <v>FECHA LIMITE :</v>
      </c>
      <c r="D67" s="13">
        <f>'4637'!G11</f>
        <v>0</v>
      </c>
      <c r="E67" s="1"/>
      <c r="F67" s="1"/>
      <c r="G67" s="1"/>
    </row>
    <row r="68" spans="1:7" ht="15.6" x14ac:dyDescent="0.3">
      <c r="A68" s="1"/>
      <c r="B68" s="1"/>
      <c r="D68" s="1"/>
      <c r="E68" s="1"/>
      <c r="F68" s="1" t="s">
        <v>132</v>
      </c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16" t="s">
        <v>66</v>
      </c>
      <c r="B70" s="116"/>
      <c r="C70" s="116"/>
      <c r="D70" s="116"/>
      <c r="E70" s="116"/>
      <c r="F70" s="116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75" customHeight="1" x14ac:dyDescent="0.3">
      <c r="A72" s="1"/>
      <c r="B72" s="117" t="s">
        <v>67</v>
      </c>
      <c r="C72" s="118"/>
      <c r="D72" s="119"/>
      <c r="E72" s="119"/>
      <c r="F72" s="120"/>
      <c r="G72" s="1"/>
    </row>
    <row r="73" spans="1:7" s="15" customFormat="1" ht="12.75" customHeight="1" x14ac:dyDescent="0.3">
      <c r="A73" s="1"/>
      <c r="B73" s="33" t="s">
        <v>10</v>
      </c>
      <c r="C73" s="42" t="s">
        <v>11</v>
      </c>
      <c r="D73" s="43" t="s">
        <v>7</v>
      </c>
      <c r="E73" s="43" t="s">
        <v>8</v>
      </c>
      <c r="F73" s="44" t="s">
        <v>12</v>
      </c>
      <c r="G73" s="1"/>
    </row>
    <row r="74" spans="1:7" s="15" customFormat="1" ht="15" customHeight="1" x14ac:dyDescent="0.35">
      <c r="A74" s="89" t="s">
        <v>129</v>
      </c>
      <c r="B74" s="105">
        <f>'4637'!B21</f>
        <v>5</v>
      </c>
      <c r="C74" s="105" t="str">
        <f>'4637'!C21</f>
        <v>CUB C/R R6</v>
      </c>
      <c r="D74" s="106">
        <f>'4637'!D21</f>
        <v>1900</v>
      </c>
      <c r="E74" s="106">
        <f>'4637'!E21</f>
        <v>600</v>
      </c>
      <c r="F74" s="105" t="str">
        <f>'4637'!F21</f>
        <v>GALAXIA GRAFITO 0491 MT</v>
      </c>
      <c r="G74" s="1"/>
    </row>
    <row r="75" spans="1:7" s="15" customFormat="1" ht="15" customHeight="1" x14ac:dyDescent="0.35">
      <c r="A75" s="89"/>
      <c r="B75" s="105">
        <f>'4637'!B22</f>
        <v>1</v>
      </c>
      <c r="C75" s="105" t="str">
        <f>'4637'!C22</f>
        <v>CUB C/R R6</v>
      </c>
      <c r="D75" s="106">
        <f>'4637'!D22</f>
        <v>2600</v>
      </c>
      <c r="E75" s="106">
        <f>'4637'!E22</f>
        <v>600</v>
      </c>
      <c r="F75" s="105" t="str">
        <f>'4637'!F22</f>
        <v>GALAXIA GRAFITO 0491 MT</v>
      </c>
      <c r="G75" s="1"/>
    </row>
    <row r="76" spans="1:7" s="15" customFormat="1" ht="15" customHeight="1" x14ac:dyDescent="0.35">
      <c r="A76" s="89"/>
      <c r="B76" s="105">
        <f>'4637'!B23</f>
        <v>1</v>
      </c>
      <c r="C76" s="105" t="str">
        <f>'4637'!C23</f>
        <v>CUB C/R R6</v>
      </c>
      <c r="D76" s="106">
        <f>'4637'!D23</f>
        <v>1600</v>
      </c>
      <c r="E76" s="106">
        <f>'4637'!E23</f>
        <v>600</v>
      </c>
      <c r="F76" s="105" t="str">
        <f>'4637'!F23</f>
        <v>GALAXIA GRAFITO 0491 MT</v>
      </c>
      <c r="G76" s="1"/>
    </row>
    <row r="77" spans="1:7" s="15" customFormat="1" ht="15" customHeight="1" x14ac:dyDescent="0.35">
      <c r="A77" s="89"/>
      <c r="B77" s="105">
        <f>'4637'!B24</f>
        <v>1</v>
      </c>
      <c r="C77" s="105" t="str">
        <f>'4637'!C24</f>
        <v>CUB C/R R6</v>
      </c>
      <c r="D77" s="106">
        <f>'4637'!D24</f>
        <v>1400</v>
      </c>
      <c r="E77" s="106">
        <f>'4637'!E24</f>
        <v>600</v>
      </c>
      <c r="F77" s="105" t="str">
        <f>'4637'!F24</f>
        <v>GALAXIA GRAFITO 0491 MT</v>
      </c>
      <c r="G77" s="1"/>
    </row>
    <row r="78" spans="1:7" s="15" customFormat="1" ht="15" customHeight="1" x14ac:dyDescent="0.35">
      <c r="A78" s="89"/>
      <c r="B78" s="105">
        <f>'4637'!B25</f>
        <v>1</v>
      </c>
      <c r="C78" s="105" t="str">
        <f>'4637'!C25</f>
        <v>CUB C/R R6</v>
      </c>
      <c r="D78" s="106">
        <f>'4637'!D25</f>
        <v>1960</v>
      </c>
      <c r="E78" s="106">
        <f>'4637'!E25</f>
        <v>600</v>
      </c>
      <c r="F78" s="105" t="str">
        <f>'4637'!F25</f>
        <v>GALAXIA GRAFITO 0491 MT</v>
      </c>
      <c r="G78" s="1"/>
    </row>
    <row r="79" spans="1:7" s="15" customFormat="1" ht="15" customHeight="1" x14ac:dyDescent="0.35">
      <c r="A79" s="89"/>
      <c r="B79" s="105">
        <f>'4637'!B26</f>
        <v>2</v>
      </c>
      <c r="C79" s="105" t="str">
        <f>'4637'!C26</f>
        <v>CUB C/R R6</v>
      </c>
      <c r="D79" s="106">
        <f>'4637'!D26</f>
        <v>1020</v>
      </c>
      <c r="E79" s="106">
        <f>'4637'!E26</f>
        <v>600</v>
      </c>
      <c r="F79" s="105" t="str">
        <f>'4637'!F26</f>
        <v>GALAXIA GRAFITO 0491 MT</v>
      </c>
      <c r="G79" s="1"/>
    </row>
    <row r="80" spans="1:7" s="15" customFormat="1" ht="15" customHeight="1" x14ac:dyDescent="0.35">
      <c r="A80" s="89"/>
      <c r="B80" s="105">
        <f>'4637'!B27</f>
        <v>2</v>
      </c>
      <c r="C80" s="105" t="str">
        <f>'4637'!C27</f>
        <v>CUB C/R R6</v>
      </c>
      <c r="D80" s="106">
        <f>'4637'!D27</f>
        <v>1210</v>
      </c>
      <c r="E80" s="106">
        <f>'4637'!E27</f>
        <v>400</v>
      </c>
      <c r="F80" s="105" t="str">
        <f>'4637'!F27</f>
        <v>GALAXIA GRAFITO 0491 MT</v>
      </c>
      <c r="G80" s="1"/>
    </row>
    <row r="81" spans="1:7" s="15" customFormat="1" ht="15" customHeight="1" x14ac:dyDescent="0.35">
      <c r="A81" s="89"/>
      <c r="B81" s="105">
        <f>'4637'!B28</f>
        <v>1</v>
      </c>
      <c r="C81" s="105" t="str">
        <f>'4637'!C28</f>
        <v>CUB C/R R6</v>
      </c>
      <c r="D81" s="106">
        <f>'4637'!D28</f>
        <v>1380</v>
      </c>
      <c r="E81" s="106">
        <f>'4637'!E28</f>
        <v>440</v>
      </c>
      <c r="F81" s="105" t="str">
        <f>'4637'!F28</f>
        <v>GALAXIA GRAFITO 0491 MT</v>
      </c>
      <c r="G81" s="1"/>
    </row>
    <row r="82" spans="1:7" s="15" customFormat="1" ht="15" customHeight="1" x14ac:dyDescent="0.3">
      <c r="A82" s="45"/>
      <c r="B82" s="47">
        <f>SUM(B74:B81)</f>
        <v>14</v>
      </c>
      <c r="C82" s="47"/>
      <c r="D82" s="47"/>
      <c r="E82" s="47"/>
      <c r="F82" s="47"/>
      <c r="G82" s="1"/>
    </row>
    <row r="83" spans="1:7" ht="15.6" x14ac:dyDescent="0.3">
      <c r="A83" s="6"/>
      <c r="B83" s="6"/>
      <c r="C83" s="1"/>
      <c r="D83" s="6"/>
      <c r="E83" s="6"/>
      <c r="F83" s="39"/>
      <c r="G83" s="1"/>
    </row>
    <row r="84" spans="1:7" ht="15.6" x14ac:dyDescent="0.3">
      <c r="A84" s="6"/>
      <c r="B84" s="6"/>
      <c r="C84" s="1"/>
      <c r="D84" s="6"/>
      <c r="E84" s="6"/>
      <c r="F84" s="6"/>
      <c r="G84" s="1"/>
    </row>
    <row r="85" spans="1:7" ht="15.6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1"/>
      <c r="B87" s="1"/>
      <c r="C87" s="1"/>
      <c r="D87" s="1"/>
      <c r="E87" s="1"/>
      <c r="F87" s="1"/>
      <c r="G87" s="1"/>
    </row>
    <row r="88" spans="1:7" ht="15" customHeight="1" x14ac:dyDescent="0.3">
      <c r="A88" s="1"/>
      <c r="B88" s="1"/>
      <c r="C88" s="1"/>
      <c r="D88" s="1"/>
      <c r="E88" s="1"/>
      <c r="F88" s="1"/>
      <c r="G88" s="1"/>
    </row>
    <row r="89" spans="1:7" ht="15.6" x14ac:dyDescent="0.3">
      <c r="A89" s="1"/>
      <c r="B89" s="1"/>
      <c r="C89" s="1"/>
      <c r="D89" s="1"/>
      <c r="E89" s="1"/>
      <c r="F89" s="1"/>
      <c r="G89" s="1"/>
    </row>
    <row r="90" spans="1:7" ht="15.6" x14ac:dyDescent="0.3">
      <c r="A90" s="6"/>
      <c r="B90" s="46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x14ac:dyDescent="0.3">
      <c r="B92" s="19"/>
      <c r="C92" s="19"/>
      <c r="E92" s="19"/>
      <c r="F92" s="19"/>
    </row>
    <row r="93" spans="1:7" x14ac:dyDescent="0.3">
      <c r="B93" s="19"/>
      <c r="C93" s="19"/>
      <c r="E93" s="19"/>
      <c r="F93" s="19"/>
    </row>
  </sheetData>
  <mergeCells count="6">
    <mergeCell ref="M3:N3"/>
    <mergeCell ref="A27:F27"/>
    <mergeCell ref="A10:F10"/>
    <mergeCell ref="A70:F70"/>
    <mergeCell ref="B72:F72"/>
    <mergeCell ref="K3:L3"/>
  </mergeCells>
  <pageMargins left="0.70866141732283472" right="0.70866141732283472" top="0.74803149606299213" bottom="0.74803149606299213" header="0.31496062992125984" footer="0.31496062992125984"/>
  <pageSetup scale="5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2024-12-18T12:36:58Z</cp:lastPrinted>
  <dcterms:created xsi:type="dcterms:W3CDTF">2013-03-19T12:54:14Z</dcterms:created>
  <dcterms:modified xsi:type="dcterms:W3CDTF">2024-12-18T12:55:51Z</dcterms:modified>
</cp:coreProperties>
</file>