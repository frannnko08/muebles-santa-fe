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914034F6-ACD2-47E0-9142-BAD99E05E0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'4637'!$A$1:$H$40</definedName>
    <definedName name="_xlnm.Print_Area" localSheetId="2">CUBIERTA!$A$1:$G$62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33" i="3"/>
  <c r="D34" i="3"/>
  <c r="D35" i="3"/>
  <c r="D36" i="3"/>
  <c r="D37" i="3"/>
  <c r="D38" i="3"/>
  <c r="D39" i="3"/>
  <c r="D31" i="3"/>
  <c r="E39" i="3"/>
  <c r="E38" i="3"/>
  <c r="D23" i="3"/>
  <c r="J15" i="3"/>
  <c r="D15" i="3" s="1"/>
  <c r="K17" i="3"/>
  <c r="E17" i="3" s="1"/>
  <c r="J18" i="3"/>
  <c r="D18" i="3" s="1"/>
  <c r="I20" i="3"/>
  <c r="B20" i="3" s="1"/>
  <c r="J23" i="3"/>
  <c r="K23" i="3"/>
  <c r="E23" i="3" s="1"/>
  <c r="B46" i="3"/>
  <c r="I32" i="3" s="1"/>
  <c r="B32" i="3" s="1"/>
  <c r="C46" i="3"/>
  <c r="F32" i="3" s="1"/>
  <c r="D46" i="3"/>
  <c r="J32" i="3" s="1"/>
  <c r="E46" i="3"/>
  <c r="K32" i="3" s="1"/>
  <c r="E32" i="3" s="1"/>
  <c r="F46" i="3"/>
  <c r="B47" i="3"/>
  <c r="I33" i="3" s="1"/>
  <c r="B33" i="3" s="1"/>
  <c r="C47" i="3"/>
  <c r="F33" i="3" s="1"/>
  <c r="D47" i="3"/>
  <c r="J33" i="3" s="1"/>
  <c r="E47" i="3"/>
  <c r="K33" i="3" s="1"/>
  <c r="E33" i="3" s="1"/>
  <c r="F47" i="3"/>
  <c r="B48" i="3"/>
  <c r="I34" i="3" s="1"/>
  <c r="B34" i="3" s="1"/>
  <c r="C48" i="3"/>
  <c r="F34" i="3" s="1"/>
  <c r="D48" i="3"/>
  <c r="J34" i="3" s="1"/>
  <c r="E48" i="3"/>
  <c r="K34" i="3" s="1"/>
  <c r="F48" i="3"/>
  <c r="B49" i="3"/>
  <c r="I35" i="3" s="1"/>
  <c r="B35" i="3" s="1"/>
  <c r="C49" i="3"/>
  <c r="F35" i="3" s="1"/>
  <c r="D49" i="3"/>
  <c r="J35" i="3" s="1"/>
  <c r="E49" i="3"/>
  <c r="K35" i="3" s="1"/>
  <c r="F49" i="3"/>
  <c r="B50" i="3"/>
  <c r="I36" i="3" s="1"/>
  <c r="B36" i="3" s="1"/>
  <c r="C50" i="3"/>
  <c r="F36" i="3" s="1"/>
  <c r="D50" i="3"/>
  <c r="J36" i="3" s="1"/>
  <c r="E50" i="3"/>
  <c r="K36" i="3" s="1"/>
  <c r="F50" i="3"/>
  <c r="B51" i="3"/>
  <c r="I37" i="3" s="1"/>
  <c r="B37" i="3" s="1"/>
  <c r="C51" i="3"/>
  <c r="F37" i="3" s="1"/>
  <c r="D51" i="3"/>
  <c r="J37" i="3" s="1"/>
  <c r="E51" i="3"/>
  <c r="K37" i="3" s="1"/>
  <c r="F51" i="3"/>
  <c r="B52" i="3"/>
  <c r="I38" i="3" s="1"/>
  <c r="B38" i="3" s="1"/>
  <c r="C52" i="3"/>
  <c r="F38" i="3" s="1"/>
  <c r="D52" i="3"/>
  <c r="J38" i="3" s="1"/>
  <c r="E52" i="3"/>
  <c r="K38" i="3" s="1"/>
  <c r="F52" i="3"/>
  <c r="B53" i="3"/>
  <c r="I39" i="3" s="1"/>
  <c r="B39" i="3" s="1"/>
  <c r="C53" i="3"/>
  <c r="F39" i="3" s="1"/>
  <c r="D53" i="3"/>
  <c r="J39" i="3" s="1"/>
  <c r="E53" i="3"/>
  <c r="K39" i="3" s="1"/>
  <c r="F53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B79" i="3"/>
  <c r="C79" i="3"/>
  <c r="D79" i="3"/>
  <c r="E79" i="3"/>
  <c r="F79" i="3"/>
  <c r="H28" i="4"/>
  <c r="K22" i="3" l="1"/>
  <c r="E22" i="3" s="1"/>
  <c r="J19" i="3"/>
  <c r="D19" i="3" s="1"/>
  <c r="I16" i="3"/>
  <c r="B16" i="3" s="1"/>
  <c r="F20" i="3"/>
  <c r="I22" i="3"/>
  <c r="B22" i="3" s="1"/>
  <c r="F19" i="3"/>
  <c r="K15" i="3"/>
  <c r="E15" i="3" s="1"/>
  <c r="F23" i="3"/>
  <c r="K16" i="3"/>
  <c r="E16" i="3" s="1"/>
  <c r="F22" i="3"/>
  <c r="I19" i="3"/>
  <c r="B19" i="3" s="1"/>
  <c r="I18" i="3"/>
  <c r="B18" i="3" s="1"/>
  <c r="J17" i="3"/>
  <c r="D17" i="3" s="1"/>
  <c r="J16" i="3"/>
  <c r="D16" i="3" s="1"/>
  <c r="K20" i="3"/>
  <c r="E20" i="3" s="1"/>
  <c r="F18" i="3"/>
  <c r="I17" i="3"/>
  <c r="B17" i="3" s="1"/>
  <c r="I15" i="3"/>
  <c r="B15" i="3" s="1"/>
  <c r="I23" i="3"/>
  <c r="B23" i="3" s="1"/>
  <c r="J22" i="3"/>
  <c r="D22" i="3" s="1"/>
  <c r="J20" i="3"/>
  <c r="D20" i="3" s="1"/>
  <c r="K19" i="3"/>
  <c r="E19" i="3" s="1"/>
  <c r="K18" i="3"/>
  <c r="E18" i="3" s="1"/>
  <c r="F17" i="3"/>
  <c r="F16" i="3"/>
  <c r="F15" i="3"/>
  <c r="H27" i="4" l="1"/>
  <c r="H26" i="4"/>
  <c r="H29" i="4" l="1"/>
  <c r="H22" i="4"/>
  <c r="H23" i="4"/>
  <c r="H24" i="4"/>
  <c r="H25" i="4"/>
  <c r="H21" i="4"/>
  <c r="H34" i="4" l="1"/>
  <c r="B75" i="3"/>
  <c r="C75" i="3"/>
  <c r="D75" i="3"/>
  <c r="E75" i="3"/>
  <c r="F75" i="3"/>
  <c r="B45" i="3"/>
  <c r="C45" i="3"/>
  <c r="F31" i="3" s="1"/>
  <c r="D45" i="3"/>
  <c r="J14" i="3" s="1"/>
  <c r="D14" i="3" s="1"/>
  <c r="E45" i="3"/>
  <c r="K14" i="3" s="1"/>
  <c r="E14" i="3" s="1"/>
  <c r="F45" i="3"/>
  <c r="H35" i="4" l="1"/>
  <c r="I31" i="3"/>
  <c r="F14" i="3"/>
  <c r="K31" i="3"/>
  <c r="E31" i="3" s="1"/>
  <c r="J31" i="3"/>
  <c r="B31" i="3" l="1"/>
  <c r="I14" i="3"/>
  <c r="B14" i="3" s="1"/>
  <c r="H36" i="4"/>
  <c r="N5" i="3" l="1"/>
  <c r="M5" i="3" l="1"/>
  <c r="L5" i="3"/>
  <c r="K5" i="3"/>
  <c r="C68" i="3" l="1"/>
  <c r="C7" i="3"/>
  <c r="D66" i="3"/>
  <c r="D5" i="3"/>
  <c r="D68" i="3"/>
  <c r="D7" i="3"/>
  <c r="D65" i="3"/>
  <c r="D4" i="3"/>
</calcChain>
</file>

<file path=xl/sharedStrings.xml><?xml version="1.0" encoding="utf-8"?>
<sst xmlns="http://schemas.openxmlformats.org/spreadsheetml/2006/main" count="274" uniqueCount="154">
  <si>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</si>
  <si>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</si>
  <si>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</si>
  <si>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</si>
  <si>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</si>
  <si>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</si>
  <si>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</si>
  <si>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</si>
  <si>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</si>
  <si>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</si>
  <si>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</si>
  <si>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</si>
  <si>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</si>
  <si>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</si>
  <si>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</si>
  <si>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</si>
  <si>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</si>
  <si>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</si>
  <si>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</si>
  <si>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</si>
  <si>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</si>
  <si>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</si>
  <si>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</si>
  <si>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</si>
  <si>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</si>
  <si>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</si>
  <si>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</si>
  <si>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</si>
  <si>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</si>
  <si>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</si>
  <si>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</si>
  <si>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</si>
  <si>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</si>
  <si>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</si>
  <si>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</si>
  <si>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</si>
  <si>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</si>
  <si>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</si>
  <si>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</si>
  <si>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</si>
  <si>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</si>
  <si>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</si>
  <si>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</si>
  <si>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</si>
  <si>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</si>
  <si>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</si>
  <si>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</si>
  <si>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</si>
  <si>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</si>
  <si>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</si>
  <si>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</si>
  <si>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</si>
  <si>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</si>
  <si>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</si>
  <si>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</si>
  <si>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</si>
  <si>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</si>
  <si>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</si>
  <si>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</si>
  <si>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</si>
  <si>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</si>
  <si>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</si>
  <si>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</si>
  <si>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</si>
  <si>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</si>
  <si>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</si>
  <si>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</si>
  <si>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</si>
  <si>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</si>
  <si>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</si>
  <si>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</si>
  <si>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</si>
  <si>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</si>
  <si>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</si>
  <si>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</si>
  <si>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</si>
  <si>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</si>
  <si>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</si>
  <si>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</si>
  <si>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</si>
  <si>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</si>
  <si>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</si>
  <si>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</si>
  <si>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</si>
  <si>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</si>
  <si>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</si>
  <si>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</si>
  <si>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</si>
  <si>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</si>
  <si>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</si>
  <si>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</si>
  <si>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</si>
  <si>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</si>
  <si>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</si>
  <si>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</si>
  <si>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</si>
  <si>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</si>
  <si>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</si>
  <si>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</si>
  <si>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</si>
  <si>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</si>
  <si>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</si>
  <si>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</si>
  <si>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</si>
  <si>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</si>
  <si>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</si>
  <si>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</si>
  <si>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</si>
  <si>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</si>
  <si>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</si>
  <si>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</si>
  <si>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</si>
  <si>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</si>
  <si>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</si>
  <si>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</si>
  <si>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</si>
  <si>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</si>
  <si>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</si>
  <si>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</si>
  <si>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</si>
  <si>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</si>
  <si>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</si>
  <si>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</si>
  <si>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</si>
  <si>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</si>
  <si>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</si>
  <si>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</si>
  <si>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</si>
  <si>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</si>
  <si>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</si>
  <si>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</si>
  <si>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</si>
  <si>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</si>
  <si>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</si>
  <si>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</si>
  <si>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</si>
  <si>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</si>
  <si>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</t>
  </si>
  <si>
    <t>COMERCIALIZADORA MDM SPA</t>
  </si>
  <si>
    <t>DANIELA MORA</t>
  </si>
  <si>
    <t>NO</t>
  </si>
  <si>
    <t>N° 10896</t>
  </si>
  <si>
    <t>CUB S/R 180°</t>
  </si>
  <si>
    <t>CUB S/R 180° ***</t>
  </si>
  <si>
    <t>CUB CON RESPALDO 180°</t>
  </si>
  <si>
    <t>GRIS NUBE 2189 MT</t>
  </si>
  <si>
    <t>EBANO 2110 DL</t>
  </si>
  <si>
    <t>10914-10934</t>
  </si>
  <si>
    <t>+569 9744 8059</t>
  </si>
  <si>
    <t>MELAMIL 18MM</t>
  </si>
  <si>
    <t>VAINILLA 2109 MT</t>
  </si>
  <si>
    <t>77.386.506-1</t>
  </si>
  <si>
    <t>INK  21032 SF</t>
  </si>
  <si>
    <t>CUB CON RESPALDO FRENTE R6MM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</si>
</sst>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0" xfId="0" applyNumberFormat="1" applyFont="1"/>
    <xf numFmtId="0" fontId="19" fillId="0" borderId="0" xfId="0" applyFont="1" applyAlignment="1">
      <alignment horizontal="righ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33</xdr:row>
      <xdr:rowOff>9525</xdr:rowOff>
    </xdr:from>
    <xdr:to>
      <xdr:col>5</xdr:col>
      <xdr:colOff>1390650</xdr:colOff>
      <xdr:row>37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$ 826.027.-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25</xdr:row>
      <xdr:rowOff>76200</xdr:rowOff>
    </xdr:from>
    <xdr:to>
      <xdr:col>5</xdr:col>
      <xdr:colOff>1676399</xdr:colOff>
      <xdr:row>27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69</xdr:row>
      <xdr:rowOff>171450</xdr:rowOff>
    </xdr:from>
    <xdr:to>
      <xdr:col>5</xdr:col>
      <xdr:colOff>1685924</xdr:colOff>
      <xdr:row>71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67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65</xdr:row>
      <xdr:rowOff>38100</xdr:rowOff>
    </xdr:from>
    <xdr:to>
      <xdr:col>6</xdr:col>
      <xdr:colOff>0</xdr:colOff>
      <xdr:row>66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64</xdr:row>
      <xdr:rowOff>0</xdr:rowOff>
    </xdr:from>
    <xdr:to>
      <xdr:col>6</xdr:col>
      <xdr:colOff>0</xdr:colOff>
      <xdr:row>65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2</xdr:col>
      <xdr:colOff>38100</xdr:colOff>
      <xdr:row>85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84</xdr:row>
      <xdr:rowOff>0</xdr:rowOff>
    </xdr:from>
    <xdr:to>
      <xdr:col>2</xdr:col>
      <xdr:colOff>1019175</xdr:colOff>
      <xdr:row>84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0</xdr:rowOff>
    </xdr:from>
    <xdr:to>
      <xdr:col>3</xdr:col>
      <xdr:colOff>352425</xdr:colOff>
      <xdr:row>85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0</xdr:rowOff>
    </xdr:from>
    <xdr:to>
      <xdr:col>4</xdr:col>
      <xdr:colOff>257175</xdr:colOff>
      <xdr:row>85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0</xdr:rowOff>
    </xdr:from>
    <xdr:to>
      <xdr:col>5</xdr:col>
      <xdr:colOff>447675</xdr:colOff>
      <xdr:row>84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0</xdr:rowOff>
    </xdr:from>
    <xdr:to>
      <xdr:col>6</xdr:col>
      <xdr:colOff>0</xdr:colOff>
      <xdr:row>84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84</xdr:row>
      <xdr:rowOff>190500</xdr:rowOff>
    </xdr:from>
    <xdr:to>
      <xdr:col>2</xdr:col>
      <xdr:colOff>304800</xdr:colOff>
      <xdr:row>86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84</xdr:row>
      <xdr:rowOff>190500</xdr:rowOff>
    </xdr:from>
    <xdr:to>
      <xdr:col>2</xdr:col>
      <xdr:colOff>1276350</xdr:colOff>
      <xdr:row>86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190500</xdr:rowOff>
    </xdr:from>
    <xdr:to>
      <xdr:col>3</xdr:col>
      <xdr:colOff>619125</xdr:colOff>
      <xdr:row>86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190500</xdr:rowOff>
    </xdr:from>
    <xdr:to>
      <xdr:col>4</xdr:col>
      <xdr:colOff>523875</xdr:colOff>
      <xdr:row>86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190500</xdr:rowOff>
    </xdr:from>
    <xdr:to>
      <xdr:col>5</xdr:col>
      <xdr:colOff>723900</xdr:colOff>
      <xdr:row>86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190500</xdr:rowOff>
    </xdr:from>
    <xdr:to>
      <xdr:col>6</xdr:col>
      <xdr:colOff>0</xdr:colOff>
      <xdr:row>86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56</xdr:row>
      <xdr:rowOff>15239</xdr:rowOff>
    </xdr:from>
    <xdr:to>
      <xdr:col>6</xdr:col>
      <xdr:colOff>68580</xdr:colOff>
      <xdr:row>60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MEDIDA Y ENCHAPADAS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40</xdr:row>
      <xdr:rowOff>200025</xdr:rowOff>
    </xdr:from>
    <xdr:to>
      <xdr:col>6</xdr:col>
      <xdr:colOff>19049</xdr:colOff>
      <xdr:row>42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87</xdr:row>
      <xdr:rowOff>32385</xdr:rowOff>
    </xdr:from>
    <xdr:to>
      <xdr:col>6</xdr:col>
      <xdr:colOff>19050</xdr:colOff>
      <xdr:row>91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PUERTAS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Y ENCHAPADAS CON TAPACANTO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61</xdr:row>
      <xdr:rowOff>194310</xdr:rowOff>
    </xdr:from>
    <xdr:to>
      <xdr:col>2</xdr:col>
      <xdr:colOff>100723</xdr:colOff>
      <xdr:row>68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17" workbookViewId="0">
      <selection activeCell="J18" sqref="J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7075</v>
      </c>
      <c r="H8" s="1"/>
      <c r="I8" s="1"/>
    </row>
    <row r="9" spans="1:17" ht="16.2" thickBot="1" x14ac:dyDescent="0.35">
      <c r="A9" s="1"/>
      <c r="B9" s="1"/>
      <c r="C9" s="1"/>
      <c r="D9" s="7" t="s">
        <v>147</v>
      </c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138</v>
      </c>
      <c r="D10" s="55"/>
      <c r="E10" s="55"/>
      <c r="F10" s="56" t="s">
        <v>28</v>
      </c>
      <c r="G10" s="57">
        <v>45411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151</v>
      </c>
      <c r="D11" s="60"/>
      <c r="E11" s="60"/>
      <c r="F11" s="60" t="s">
        <v>124</v>
      </c>
      <c r="G11" s="61">
        <v>45415</v>
      </c>
      <c r="H11" s="62"/>
      <c r="I11" s="1"/>
    </row>
    <row r="12" spans="1:17" ht="16.2" thickBot="1" x14ac:dyDescent="0.35">
      <c r="A12" s="1"/>
      <c r="B12" s="63" t="s">
        <v>133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139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 t="s">
        <v>148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10" t="s">
        <v>142</v>
      </c>
      <c r="D21" s="113">
        <v>1880</v>
      </c>
      <c r="E21" s="113">
        <v>600</v>
      </c>
      <c r="F21" s="110" t="s">
        <v>152</v>
      </c>
      <c r="G21" s="111">
        <v>105815</v>
      </c>
      <c r="H21" s="107">
        <f>G21*B21</f>
        <v>105815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10" t="s">
        <v>142</v>
      </c>
      <c r="D22" s="113">
        <v>2100</v>
      </c>
      <c r="E22" s="113">
        <v>600</v>
      </c>
      <c r="F22" s="110" t="s">
        <v>152</v>
      </c>
      <c r="G22" s="111">
        <v>117307</v>
      </c>
      <c r="H22" s="107">
        <f t="shared" ref="H22:H25" si="0">G22*B22</f>
        <v>117307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10" t="s">
        <v>143</v>
      </c>
      <c r="D23" s="113">
        <v>3190</v>
      </c>
      <c r="E23" s="113">
        <v>600</v>
      </c>
      <c r="F23" s="110" t="s">
        <v>152</v>
      </c>
      <c r="G23" s="111">
        <v>174245</v>
      </c>
      <c r="H23" s="107">
        <f t="shared" si="0"/>
        <v>174245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3</v>
      </c>
      <c r="C24" s="110" t="s">
        <v>144</v>
      </c>
      <c r="D24" s="113">
        <v>1600</v>
      </c>
      <c r="E24" s="113">
        <v>600</v>
      </c>
      <c r="F24" s="110" t="s">
        <v>152</v>
      </c>
      <c r="G24" s="111">
        <v>91189</v>
      </c>
      <c r="H24" s="107">
        <f t="shared" si="0"/>
        <v>273567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5</v>
      </c>
      <c r="C25" s="106" t="s">
        <v>36</v>
      </c>
      <c r="D25" s="114">
        <v>800</v>
      </c>
      <c r="E25" s="114">
        <v>400</v>
      </c>
      <c r="F25" s="110" t="s">
        <v>152</v>
      </c>
      <c r="G25" s="112">
        <v>27270</v>
      </c>
      <c r="H25" s="107">
        <f t="shared" si="0"/>
        <v>136350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1</v>
      </c>
      <c r="C26" s="115" t="s">
        <v>153</v>
      </c>
      <c r="D26" s="113">
        <v>2250</v>
      </c>
      <c r="E26" s="113">
        <v>550</v>
      </c>
      <c r="F26" s="110" t="s">
        <v>150</v>
      </c>
      <c r="G26" s="111">
        <v>102955</v>
      </c>
      <c r="H26" s="116">
        <f>G26*B26</f>
        <v>102955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>
        <v>1</v>
      </c>
      <c r="C27" s="115" t="s">
        <v>153</v>
      </c>
      <c r="D27" s="113">
        <v>1270</v>
      </c>
      <c r="E27" s="113">
        <v>550</v>
      </c>
      <c r="F27" s="110" t="s">
        <v>150</v>
      </c>
      <c r="G27" s="111">
        <v>69565</v>
      </c>
      <c r="H27" s="116">
        <f>G27*B27</f>
        <v>69565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>
        <v>2</v>
      </c>
      <c r="C28" s="110" t="s">
        <v>63</v>
      </c>
      <c r="D28" s="113">
        <v>560</v>
      </c>
      <c r="E28" s="113">
        <v>440</v>
      </c>
      <c r="F28" s="110" t="s">
        <v>146</v>
      </c>
      <c r="G28" s="111">
        <v>50440</v>
      </c>
      <c r="H28" s="116">
        <f>G28*B28</f>
        <v>100880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6">
        <v>12</v>
      </c>
      <c r="C29" s="106" t="s">
        <v>63</v>
      </c>
      <c r="D29" s="114">
        <v>550</v>
      </c>
      <c r="E29" s="114">
        <v>395</v>
      </c>
      <c r="F29" s="106" t="s">
        <v>145</v>
      </c>
      <c r="G29" s="112">
        <v>25633</v>
      </c>
      <c r="H29" s="107">
        <f>G29*B29</f>
        <v>307596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97"/>
      <c r="C31" s="98"/>
      <c r="D31" s="108"/>
      <c r="E31" s="108"/>
      <c r="F31" s="97"/>
      <c r="G31" s="75"/>
      <c r="H31" s="99"/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97"/>
      <c r="C32" s="97"/>
      <c r="D32" s="97"/>
      <c r="E32" s="97"/>
      <c r="F32" s="98"/>
      <c r="G32" s="99"/>
      <c r="H32" s="99"/>
      <c r="I32" s="1"/>
      <c r="K32" s="17"/>
      <c r="L32" s="26"/>
      <c r="M32" s="17"/>
      <c r="N32" s="17"/>
      <c r="O32" s="26"/>
      <c r="P32" s="33"/>
    </row>
    <row r="33" spans="1:9" ht="8.25" customHeight="1" thickBot="1" x14ac:dyDescent="0.35">
      <c r="A33" s="1"/>
      <c r="B33" s="74"/>
      <c r="C33" s="74"/>
      <c r="D33" s="74"/>
      <c r="E33" s="74"/>
      <c r="F33" s="74"/>
      <c r="G33" s="75"/>
      <c r="H33" s="75"/>
      <c r="I33" s="1"/>
    </row>
    <row r="34" spans="1:9" ht="15.6" x14ac:dyDescent="0.3">
      <c r="A34" s="1"/>
      <c r="B34" s="1"/>
      <c r="C34" s="1"/>
      <c r="D34" s="1"/>
      <c r="E34" s="1"/>
      <c r="F34" s="1"/>
      <c r="G34" s="76" t="s">
        <v>5</v>
      </c>
      <c r="H34" s="77">
        <f>SUM(H21:H33)</f>
        <v>1388280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78" t="s">
        <v>6</v>
      </c>
      <c r="H35" s="79">
        <f>H34*19%</f>
        <v>263773.2</v>
      </c>
      <c r="I35" s="1"/>
    </row>
    <row r="36" spans="1:9" ht="16.2" thickBot="1" x14ac:dyDescent="0.35">
      <c r="A36" s="1"/>
      <c r="B36" s="1"/>
      <c r="C36" s="1"/>
      <c r="D36" s="1"/>
      <c r="E36" s="1"/>
      <c r="F36" s="1"/>
      <c r="G36" s="80" t="s">
        <v>4</v>
      </c>
      <c r="H36" s="81">
        <f>H34+H35</f>
        <v>1652053.2</v>
      </c>
      <c r="I36" s="117"/>
    </row>
    <row r="37" spans="1:9" ht="15.6" x14ac:dyDescent="0.3">
      <c r="A37" s="1"/>
      <c r="B37" s="1"/>
      <c r="C37" s="1"/>
      <c r="D37" s="1"/>
      <c r="E37" s="1"/>
      <c r="F37" s="1"/>
      <c r="G37" s="52"/>
      <c r="H37" s="100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82" t="s">
        <v>123</v>
      </c>
      <c r="C39" s="83"/>
      <c r="D39" s="84"/>
      <c r="E39" s="84"/>
      <c r="F39" s="74"/>
      <c r="G39" s="1"/>
      <c r="H39" s="1"/>
      <c r="I39" s="1"/>
    </row>
    <row r="40" spans="1:9" ht="15.6" x14ac:dyDescent="0.3">
      <c r="A40" s="1"/>
      <c r="B40" s="82" t="s">
        <v>122</v>
      </c>
      <c r="C40" s="83"/>
      <c r="D40" s="84"/>
      <c r="E40" s="84"/>
      <c r="F40" s="74"/>
      <c r="G40" s="1"/>
      <c r="H40" s="1"/>
      <c r="I40" s="1"/>
    </row>
    <row r="41" spans="1:9" ht="15.6" x14ac:dyDescent="0.3">
      <c r="A41" s="1"/>
      <c r="B41" s="1" t="s">
        <v>25</v>
      </c>
      <c r="C41" s="1"/>
      <c r="D41" s="1"/>
      <c r="E41" s="85" t="s">
        <v>26</v>
      </c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10" type="noConversion"/>
  <hyperlinks>
    <hyperlink ref="E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5"/>
  <sheetViews>
    <sheetView tabSelected="1" topLeftCell="A69" zoomScaleNormal="100" workbookViewId="0">
      <selection sqref="A1:G62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6" t="s">
        <v>61</v>
      </c>
      <c r="L3" s="126"/>
      <c r="M3" s="126" t="s">
        <v>14</v>
      </c>
      <c r="N3" s="126"/>
    </row>
    <row r="4" spans="1:14" ht="15.75" customHeight="1" x14ac:dyDescent="0.3">
      <c r="A4" s="1"/>
      <c r="B4" s="1"/>
      <c r="C4" s="40" t="s">
        <v>27</v>
      </c>
      <c r="D4" s="14">
        <f>'4637'!G8</f>
        <v>7075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COMERCIALIZADORA MDM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45415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7" t="s">
        <v>61</v>
      </c>
      <c r="B10" s="127"/>
      <c r="C10" s="127"/>
      <c r="D10" s="127"/>
      <c r="E10" s="127"/>
      <c r="F10" s="12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1930</v>
      </c>
      <c r="E14" s="35">
        <f>K14</f>
        <v>600</v>
      </c>
      <c r="F14" s="103" t="str">
        <f t="shared" ref="F14:F20" si="1">C45</f>
        <v>CUB S/R 180°</v>
      </c>
      <c r="G14" s="1"/>
      <c r="I14" s="3">
        <f t="shared" ref="I14:I20" si="2">I31</f>
        <v>1</v>
      </c>
      <c r="J14" s="4">
        <f t="shared" ref="J14:K14" si="3">D45</f>
        <v>1880</v>
      </c>
      <c r="K14" s="4">
        <f t="shared" si="3"/>
        <v>600</v>
      </c>
    </row>
    <row r="15" spans="1:14" ht="15.6" x14ac:dyDescent="0.3">
      <c r="A15" s="96"/>
      <c r="B15" s="25">
        <f t="shared" ref="B15:B23" si="4">I15</f>
        <v>1</v>
      </c>
      <c r="C15" s="25"/>
      <c r="D15" s="25">
        <f t="shared" ref="D15:D23" si="5">J15+D$13</f>
        <v>2150</v>
      </c>
      <c r="E15" s="35">
        <f t="shared" ref="E15:E16" si="6">K15</f>
        <v>600</v>
      </c>
      <c r="F15" s="103" t="str">
        <f t="shared" si="1"/>
        <v>CUB S/R 180°</v>
      </c>
      <c r="G15" s="1"/>
      <c r="I15" s="3">
        <f t="shared" si="2"/>
        <v>1</v>
      </c>
      <c r="J15" s="4">
        <f t="shared" ref="J15:K20" si="7">D46</f>
        <v>2100</v>
      </c>
      <c r="K15" s="4">
        <f t="shared" si="7"/>
        <v>600</v>
      </c>
    </row>
    <row r="16" spans="1:14" ht="15.6" x14ac:dyDescent="0.3">
      <c r="A16" s="96"/>
      <c r="B16" s="25">
        <f t="shared" si="4"/>
        <v>1</v>
      </c>
      <c r="C16" s="25"/>
      <c r="D16" s="25">
        <f t="shared" si="5"/>
        <v>3240</v>
      </c>
      <c r="E16" s="35">
        <f t="shared" si="6"/>
        <v>600</v>
      </c>
      <c r="F16" s="103" t="str">
        <f t="shared" si="1"/>
        <v>CUB S/R 180° ***</v>
      </c>
      <c r="G16" s="1"/>
      <c r="I16" s="3">
        <f t="shared" si="2"/>
        <v>1</v>
      </c>
      <c r="J16" s="4">
        <f t="shared" si="7"/>
        <v>3190</v>
      </c>
      <c r="K16" s="4">
        <f t="shared" si="7"/>
        <v>600</v>
      </c>
    </row>
    <row r="17" spans="1:11" ht="15.6" x14ac:dyDescent="0.3">
      <c r="A17" s="96"/>
      <c r="B17" s="25">
        <f t="shared" si="4"/>
        <v>3</v>
      </c>
      <c r="C17" s="25"/>
      <c r="D17" s="25">
        <f t="shared" si="5"/>
        <v>1650</v>
      </c>
      <c r="E17" s="35">
        <f t="shared" ref="E17:E20" si="8">K17+E$13</f>
        <v>570</v>
      </c>
      <c r="F17" s="103" t="str">
        <f t="shared" si="1"/>
        <v>CUB CON RESPALDO 180°</v>
      </c>
      <c r="G17" s="1"/>
      <c r="I17" s="3">
        <f t="shared" si="2"/>
        <v>3</v>
      </c>
      <c r="J17" s="4">
        <f t="shared" si="7"/>
        <v>1600</v>
      </c>
      <c r="K17" s="4">
        <f t="shared" si="7"/>
        <v>600</v>
      </c>
    </row>
    <row r="18" spans="1:11" ht="15.6" x14ac:dyDescent="0.3">
      <c r="A18" s="96"/>
      <c r="B18" s="25">
        <f t="shared" si="4"/>
        <v>5</v>
      </c>
      <c r="C18" s="25"/>
      <c r="D18" s="25">
        <f t="shared" si="5"/>
        <v>850</v>
      </c>
      <c r="E18" s="35">
        <f>K18</f>
        <v>400</v>
      </c>
      <c r="F18" s="103" t="str">
        <f t="shared" si="1"/>
        <v>CUB MESA 180° 2 LADOS</v>
      </c>
      <c r="G18" s="1"/>
      <c r="I18" s="3">
        <f t="shared" si="2"/>
        <v>5</v>
      </c>
      <c r="J18" s="4">
        <f t="shared" si="7"/>
        <v>800</v>
      </c>
      <c r="K18" s="4">
        <f t="shared" si="7"/>
        <v>400</v>
      </c>
    </row>
    <row r="19" spans="1:11" ht="15.6" x14ac:dyDescent="0.3">
      <c r="A19" s="96"/>
      <c r="B19" s="25">
        <f t="shared" si="4"/>
        <v>1</v>
      </c>
      <c r="C19" s="25"/>
      <c r="D19" s="25">
        <f t="shared" si="5"/>
        <v>2300</v>
      </c>
      <c r="E19" s="35">
        <f t="shared" si="8"/>
        <v>520</v>
      </c>
      <c r="F19" s="103" t="str">
        <f t="shared" si="1"/>
        <v>CUB CON RESPALDO FRENTE R6MM</v>
      </c>
      <c r="G19" s="1"/>
      <c r="I19" s="3">
        <f t="shared" si="2"/>
        <v>1</v>
      </c>
      <c r="J19" s="4">
        <f t="shared" si="7"/>
        <v>2250</v>
      </c>
      <c r="K19" s="4">
        <f t="shared" si="7"/>
        <v>550</v>
      </c>
    </row>
    <row r="20" spans="1:11" ht="15.6" x14ac:dyDescent="0.3">
      <c r="A20" s="96"/>
      <c r="B20" s="25">
        <f t="shared" si="4"/>
        <v>1</v>
      </c>
      <c r="C20" s="25"/>
      <c r="D20" s="25">
        <f t="shared" si="5"/>
        <v>1320</v>
      </c>
      <c r="E20" s="35">
        <f t="shared" si="8"/>
        <v>520</v>
      </c>
      <c r="F20" s="103" t="str">
        <f t="shared" si="1"/>
        <v>CUB CON RESPALDO FRENTE R6MM</v>
      </c>
      <c r="G20" s="1"/>
      <c r="I20" s="3">
        <f t="shared" si="2"/>
        <v>1</v>
      </c>
      <c r="J20" s="4">
        <f t="shared" si="7"/>
        <v>1270</v>
      </c>
      <c r="K20" s="4">
        <f t="shared" si="7"/>
        <v>550</v>
      </c>
    </row>
    <row r="21" spans="1:11" ht="15.6" x14ac:dyDescent="0.3">
      <c r="A21" s="52" t="s">
        <v>9</v>
      </c>
      <c r="B21" s="37" t="s">
        <v>10</v>
      </c>
      <c r="C21" s="37" t="s">
        <v>11</v>
      </c>
      <c r="D21" s="32">
        <v>50</v>
      </c>
      <c r="E21" s="32">
        <v>-2</v>
      </c>
      <c r="F21" s="37" t="s">
        <v>110</v>
      </c>
      <c r="G21" s="1"/>
      <c r="J21" s="5" t="s">
        <v>7</v>
      </c>
      <c r="K21" s="5" t="s">
        <v>8</v>
      </c>
    </row>
    <row r="22" spans="1:11" ht="15.6" x14ac:dyDescent="0.3">
      <c r="A22" s="118" t="s">
        <v>149</v>
      </c>
      <c r="B22" s="25">
        <f t="shared" si="4"/>
        <v>2</v>
      </c>
      <c r="C22" s="25"/>
      <c r="D22" s="25">
        <f t="shared" si="5"/>
        <v>610</v>
      </c>
      <c r="E22" s="35">
        <f>K22-2</f>
        <v>438</v>
      </c>
      <c r="F22" s="103" t="str">
        <f>C52</f>
        <v>PR6</v>
      </c>
      <c r="G22" s="1"/>
      <c r="I22" s="3">
        <f>I38</f>
        <v>2</v>
      </c>
      <c r="J22" s="4">
        <f>D52</f>
        <v>560</v>
      </c>
      <c r="K22" s="4">
        <f>E52</f>
        <v>440</v>
      </c>
    </row>
    <row r="23" spans="1:11" ht="15.6" x14ac:dyDescent="0.3">
      <c r="A23" s="96"/>
      <c r="B23" s="25">
        <f t="shared" si="4"/>
        <v>12</v>
      </c>
      <c r="C23" s="25"/>
      <c r="D23" s="25">
        <f t="shared" si="5"/>
        <v>600</v>
      </c>
      <c r="E23" s="35">
        <f>K23-2</f>
        <v>393</v>
      </c>
      <c r="F23" s="103" t="str">
        <f>C53</f>
        <v>PR6</v>
      </c>
      <c r="G23" s="1"/>
      <c r="I23" s="3">
        <f>I39</f>
        <v>12</v>
      </c>
      <c r="J23" s="4">
        <f>D53</f>
        <v>550</v>
      </c>
      <c r="K23" s="4">
        <f>E53</f>
        <v>395</v>
      </c>
    </row>
    <row r="24" spans="1:11" ht="15.6" x14ac:dyDescent="0.3">
      <c r="A24" s="96"/>
      <c r="B24" s="6"/>
      <c r="C24" s="6"/>
      <c r="D24" s="6"/>
      <c r="E24" s="89"/>
      <c r="F24" s="109"/>
      <c r="G24" s="1"/>
      <c r="I24" s="90"/>
      <c r="J24" s="2"/>
      <c r="K24" s="2"/>
    </row>
    <row r="25" spans="1:11" ht="15.6" x14ac:dyDescent="0.3">
      <c r="A25" s="52"/>
      <c r="B25" s="6"/>
      <c r="C25" s="6"/>
      <c r="D25" s="6"/>
      <c r="E25" s="89"/>
      <c r="F25" s="6"/>
      <c r="G25" s="1"/>
      <c r="I25" s="90"/>
      <c r="J25" s="2"/>
      <c r="K25" s="2"/>
    </row>
    <row r="26" spans="1:11" ht="6.7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127" t="s">
        <v>14</v>
      </c>
      <c r="B27" s="127"/>
      <c r="C27" s="127"/>
      <c r="D27" s="127"/>
      <c r="E27" s="127"/>
      <c r="F27" s="127"/>
      <c r="G27" s="1"/>
    </row>
    <row r="28" spans="1:11" ht="10.5" customHeight="1" x14ac:dyDescent="0.3">
      <c r="A28" s="1"/>
      <c r="B28" s="1"/>
      <c r="C28" s="12"/>
      <c r="D28" s="1"/>
      <c r="E28" s="1"/>
      <c r="F28" s="1"/>
      <c r="G28" s="1"/>
    </row>
    <row r="29" spans="1:11" ht="15.6" x14ac:dyDescent="0.3">
      <c r="A29" s="1"/>
      <c r="B29" s="1"/>
      <c r="C29" s="1"/>
      <c r="D29" s="52" t="s">
        <v>7</v>
      </c>
      <c r="E29" s="52" t="s">
        <v>8</v>
      </c>
      <c r="F29" s="1"/>
      <c r="G29" s="1"/>
    </row>
    <row r="30" spans="1:11" ht="15.6" x14ac:dyDescent="0.3">
      <c r="A30" s="52" t="s">
        <v>9</v>
      </c>
      <c r="B30" s="36" t="s">
        <v>10</v>
      </c>
      <c r="C30" s="36" t="s">
        <v>11</v>
      </c>
      <c r="D30" s="21">
        <v>40</v>
      </c>
      <c r="E30" s="21">
        <v>60</v>
      </c>
      <c r="F30" s="36" t="s">
        <v>110</v>
      </c>
      <c r="G30" s="1"/>
      <c r="J30" s="5" t="s">
        <v>7</v>
      </c>
      <c r="K30" s="5" t="s">
        <v>8</v>
      </c>
    </row>
    <row r="31" spans="1:11" ht="15.6" x14ac:dyDescent="0.3">
      <c r="A31" s="96" t="s">
        <v>131</v>
      </c>
      <c r="B31" s="16">
        <f t="shared" ref="B31" si="9">I31</f>
        <v>1</v>
      </c>
      <c r="C31" s="16"/>
      <c r="D31" s="16">
        <f>J31+D$30</f>
        <v>1920</v>
      </c>
      <c r="E31" s="16">
        <f>K31+E$30</f>
        <v>660</v>
      </c>
      <c r="F31" s="104" t="str">
        <f t="shared" ref="F31:F39" si="10">C45</f>
        <v>CUB S/R 180°</v>
      </c>
      <c r="G31" s="1"/>
      <c r="I31" s="3">
        <f t="shared" ref="I31:I39" si="11">B45</f>
        <v>1</v>
      </c>
      <c r="J31" s="4">
        <f>D45</f>
        <v>1880</v>
      </c>
      <c r="K31" s="4">
        <f>E45</f>
        <v>600</v>
      </c>
    </row>
    <row r="32" spans="1:11" ht="15.6" x14ac:dyDescent="0.3">
      <c r="A32" s="96"/>
      <c r="B32" s="16">
        <f t="shared" ref="B32:B39" si="12">I32</f>
        <v>1</v>
      </c>
      <c r="C32" s="16"/>
      <c r="D32" s="16">
        <f t="shared" ref="D32:D39" si="13">J32+D$30</f>
        <v>2140</v>
      </c>
      <c r="E32" s="16">
        <f>K32+E$30</f>
        <v>660</v>
      </c>
      <c r="F32" s="104" t="str">
        <f t="shared" si="10"/>
        <v>CUB S/R 180°</v>
      </c>
      <c r="G32" s="1"/>
      <c r="I32" s="3">
        <f t="shared" si="11"/>
        <v>1</v>
      </c>
      <c r="J32" s="4">
        <f t="shared" ref="J32:K32" si="14">D46</f>
        <v>2100</v>
      </c>
      <c r="K32" s="4">
        <f t="shared" si="14"/>
        <v>600</v>
      </c>
    </row>
    <row r="33" spans="1:11" ht="15.6" x14ac:dyDescent="0.3">
      <c r="A33" s="96"/>
      <c r="B33" s="16">
        <f t="shared" si="12"/>
        <v>1</v>
      </c>
      <c r="C33" s="16"/>
      <c r="D33" s="16">
        <f t="shared" si="13"/>
        <v>3230</v>
      </c>
      <c r="E33" s="16">
        <f>K33+E$30</f>
        <v>660</v>
      </c>
      <c r="F33" s="104" t="str">
        <f t="shared" si="10"/>
        <v>CUB S/R 180° ***</v>
      </c>
      <c r="G33" s="1"/>
      <c r="I33" s="3">
        <f t="shared" si="11"/>
        <v>1</v>
      </c>
      <c r="J33" s="4">
        <f t="shared" ref="J33:K33" si="15">D47</f>
        <v>3190</v>
      </c>
      <c r="K33" s="4">
        <f t="shared" si="15"/>
        <v>600</v>
      </c>
    </row>
    <row r="34" spans="1:11" ht="15.6" x14ac:dyDescent="0.3">
      <c r="A34" s="96"/>
      <c r="B34" s="16">
        <f t="shared" si="12"/>
        <v>3</v>
      </c>
      <c r="C34" s="16"/>
      <c r="D34" s="16">
        <f t="shared" si="13"/>
        <v>1640</v>
      </c>
      <c r="E34" s="16">
        <v>750</v>
      </c>
      <c r="F34" s="104" t="str">
        <f t="shared" si="10"/>
        <v>CUB CON RESPALDO 180°</v>
      </c>
      <c r="G34" s="1"/>
      <c r="I34" s="3">
        <f t="shared" si="11"/>
        <v>3</v>
      </c>
      <c r="J34" s="4">
        <f t="shared" ref="J34:K34" si="16">D48</f>
        <v>1600</v>
      </c>
      <c r="K34" s="4">
        <f t="shared" si="16"/>
        <v>600</v>
      </c>
    </row>
    <row r="35" spans="1:11" ht="15.6" x14ac:dyDescent="0.3">
      <c r="A35" s="96"/>
      <c r="B35" s="16">
        <f t="shared" si="12"/>
        <v>5</v>
      </c>
      <c r="C35" s="16"/>
      <c r="D35" s="16">
        <f t="shared" si="13"/>
        <v>840</v>
      </c>
      <c r="E35" s="16">
        <v>550</v>
      </c>
      <c r="F35" s="104" t="str">
        <f t="shared" si="10"/>
        <v>CUB MESA 180° 2 LADOS</v>
      </c>
      <c r="G35" s="1"/>
      <c r="I35" s="3">
        <f t="shared" si="11"/>
        <v>5</v>
      </c>
      <c r="J35" s="4">
        <f t="shared" ref="J35:K35" si="17">D49</f>
        <v>800</v>
      </c>
      <c r="K35" s="4">
        <f t="shared" si="17"/>
        <v>400</v>
      </c>
    </row>
    <row r="36" spans="1:11" ht="15.6" x14ac:dyDescent="0.3">
      <c r="A36" s="96"/>
      <c r="B36" s="16">
        <f t="shared" si="12"/>
        <v>1</v>
      </c>
      <c r="C36" s="16"/>
      <c r="D36" s="16">
        <f t="shared" si="13"/>
        <v>2290</v>
      </c>
      <c r="E36" s="16">
        <v>680</v>
      </c>
      <c r="F36" s="104" t="str">
        <f t="shared" si="10"/>
        <v>CUB CON RESPALDO FRENTE R6MM</v>
      </c>
      <c r="G36" s="1"/>
      <c r="I36" s="3">
        <f t="shared" si="11"/>
        <v>1</v>
      </c>
      <c r="J36" s="4">
        <f t="shared" ref="J36:K36" si="18">D50</f>
        <v>2250</v>
      </c>
      <c r="K36" s="4">
        <f t="shared" si="18"/>
        <v>550</v>
      </c>
    </row>
    <row r="37" spans="1:11" ht="15.6" x14ac:dyDescent="0.3">
      <c r="A37" s="96"/>
      <c r="B37" s="16">
        <f t="shared" si="12"/>
        <v>1</v>
      </c>
      <c r="C37" s="16"/>
      <c r="D37" s="16">
        <f t="shared" si="13"/>
        <v>1310</v>
      </c>
      <c r="E37" s="16">
        <v>680</v>
      </c>
      <c r="F37" s="104" t="str">
        <f t="shared" si="10"/>
        <v>CUB CON RESPALDO FRENTE R6MM</v>
      </c>
      <c r="G37" s="1"/>
      <c r="I37" s="3">
        <f t="shared" si="11"/>
        <v>1</v>
      </c>
      <c r="J37" s="4">
        <f t="shared" ref="J37:K37" si="19">D51</f>
        <v>1270</v>
      </c>
      <c r="K37" s="4">
        <f t="shared" si="19"/>
        <v>550</v>
      </c>
    </row>
    <row r="38" spans="1:11" ht="15.6" x14ac:dyDescent="0.3">
      <c r="A38" s="118" t="s">
        <v>149</v>
      </c>
      <c r="B38" s="16">
        <f t="shared" si="12"/>
        <v>2</v>
      </c>
      <c r="C38" s="16"/>
      <c r="D38" s="16">
        <f t="shared" si="13"/>
        <v>600</v>
      </c>
      <c r="E38" s="16">
        <f>K38+90</f>
        <v>530</v>
      </c>
      <c r="F38" s="104" t="str">
        <f t="shared" si="10"/>
        <v>PR6</v>
      </c>
      <c r="G38" s="1"/>
      <c r="I38" s="3">
        <f t="shared" si="11"/>
        <v>2</v>
      </c>
      <c r="J38" s="4">
        <f t="shared" ref="J38:K38" si="20">D52</f>
        <v>560</v>
      </c>
      <c r="K38" s="4">
        <f t="shared" si="20"/>
        <v>440</v>
      </c>
    </row>
    <row r="39" spans="1:11" ht="15.6" x14ac:dyDescent="0.3">
      <c r="A39" s="96"/>
      <c r="B39" s="16">
        <f t="shared" si="12"/>
        <v>12</v>
      </c>
      <c r="C39" s="16"/>
      <c r="D39" s="16">
        <f t="shared" si="13"/>
        <v>590</v>
      </c>
      <c r="E39" s="16">
        <f>K39+90</f>
        <v>485</v>
      </c>
      <c r="F39" s="104" t="str">
        <f t="shared" si="10"/>
        <v>PR6</v>
      </c>
      <c r="G39" s="1"/>
      <c r="I39" s="3">
        <f t="shared" si="11"/>
        <v>12</v>
      </c>
      <c r="J39" s="4">
        <f t="shared" ref="J39:K39" si="21">D53</f>
        <v>550</v>
      </c>
      <c r="K39" s="4">
        <f t="shared" si="21"/>
        <v>395</v>
      </c>
    </row>
    <row r="40" spans="1:11" ht="15.6" x14ac:dyDescent="0.3">
      <c r="A40" s="96"/>
      <c r="B40" s="6"/>
      <c r="C40" s="6"/>
      <c r="D40" s="6"/>
      <c r="E40" s="6"/>
      <c r="F40" s="109"/>
      <c r="G40" s="1"/>
      <c r="I40" s="90"/>
      <c r="J40" s="2"/>
      <c r="K40" s="2"/>
    </row>
    <row r="41" spans="1:11" ht="16.2" thickBot="1" x14ac:dyDescent="0.35">
      <c r="A41" s="52"/>
      <c r="B41" s="6"/>
      <c r="C41" s="6"/>
      <c r="D41" s="6"/>
      <c r="E41" s="6"/>
      <c r="F41" s="6"/>
      <c r="G41" s="1"/>
      <c r="I41" s="2"/>
      <c r="J41" s="2"/>
      <c r="K41" s="2"/>
    </row>
    <row r="42" spans="1:11" ht="16.2" thickBot="1" x14ac:dyDescent="0.35">
      <c r="A42" s="52"/>
      <c r="B42" s="22" t="s">
        <v>107</v>
      </c>
      <c r="C42" s="23"/>
      <c r="D42" s="23"/>
      <c r="E42" s="23"/>
      <c r="F42" s="24"/>
      <c r="G42" s="1"/>
      <c r="I42" s="2"/>
      <c r="J42" s="2"/>
      <c r="K42" s="2"/>
    </row>
    <row r="43" spans="1:11" ht="10.5" customHeight="1" x14ac:dyDescent="0.3">
      <c r="A43" s="1"/>
      <c r="B43" s="1"/>
      <c r="C43" s="1"/>
      <c r="D43" s="1"/>
      <c r="E43" s="1"/>
      <c r="F43" s="1"/>
      <c r="G43" s="1"/>
    </row>
    <row r="44" spans="1:11" ht="15.6" x14ac:dyDescent="0.3">
      <c r="A44" s="52" t="s">
        <v>9</v>
      </c>
      <c r="B44" s="88" t="s">
        <v>10</v>
      </c>
      <c r="C44" s="88" t="s">
        <v>110</v>
      </c>
      <c r="D44" s="88" t="s">
        <v>7</v>
      </c>
      <c r="E44" s="88" t="s">
        <v>8</v>
      </c>
      <c r="F44" s="88" t="s">
        <v>23</v>
      </c>
      <c r="G44" s="1"/>
    </row>
    <row r="45" spans="1:11" ht="15.6" x14ac:dyDescent="0.3">
      <c r="A45" s="96" t="s">
        <v>136</v>
      </c>
      <c r="B45" s="25">
        <f>'4637'!B21</f>
        <v>1</v>
      </c>
      <c r="C45" s="103" t="str">
        <f>'4637'!C21</f>
        <v>CUB S/R 180°</v>
      </c>
      <c r="D45" s="25">
        <f>'4637'!D21</f>
        <v>1880</v>
      </c>
      <c r="E45" s="25">
        <f>'4637'!E21</f>
        <v>600</v>
      </c>
      <c r="F45" s="25" t="str">
        <f>'4637'!F21</f>
        <v>INK  21032 SF</v>
      </c>
      <c r="G45" s="1"/>
    </row>
    <row r="46" spans="1:11" ht="15.6" x14ac:dyDescent="0.3">
      <c r="A46" s="96"/>
      <c r="B46" s="25">
        <f>'4637'!B22</f>
        <v>1</v>
      </c>
      <c r="C46" s="103" t="str">
        <f>'4637'!C22</f>
        <v>CUB S/R 180°</v>
      </c>
      <c r="D46" s="25">
        <f>'4637'!D22</f>
        <v>2100</v>
      </c>
      <c r="E46" s="25">
        <f>'4637'!E22</f>
        <v>600</v>
      </c>
      <c r="F46" s="25" t="str">
        <f>'4637'!F22</f>
        <v>INK  21032 SF</v>
      </c>
      <c r="G46" s="1"/>
    </row>
    <row r="47" spans="1:11" ht="15.6" x14ac:dyDescent="0.3">
      <c r="A47" s="96"/>
      <c r="B47" s="25">
        <f>'4637'!B23</f>
        <v>1</v>
      </c>
      <c r="C47" s="103" t="str">
        <f>'4637'!C23</f>
        <v>CUB S/R 180° ***</v>
      </c>
      <c r="D47" s="25">
        <f>'4637'!D23</f>
        <v>3190</v>
      </c>
      <c r="E47" s="25">
        <f>'4637'!E23</f>
        <v>600</v>
      </c>
      <c r="F47" s="25" t="str">
        <f>'4637'!F23</f>
        <v>INK  21032 SF</v>
      </c>
      <c r="G47" s="1"/>
    </row>
    <row r="48" spans="1:11" ht="15.6" x14ac:dyDescent="0.3">
      <c r="A48" s="96"/>
      <c r="B48" s="25">
        <f>'4637'!B24</f>
        <v>3</v>
      </c>
      <c r="C48" s="103" t="str">
        <f>'4637'!C24</f>
        <v>CUB CON RESPALDO 180°</v>
      </c>
      <c r="D48" s="25">
        <f>'4637'!D24</f>
        <v>1600</v>
      </c>
      <c r="E48" s="25">
        <f>'4637'!E24</f>
        <v>600</v>
      </c>
      <c r="F48" s="25" t="str">
        <f>'4637'!F24</f>
        <v>INK  21032 SF</v>
      </c>
      <c r="G48" s="1"/>
    </row>
    <row r="49" spans="1:7" ht="15.6" x14ac:dyDescent="0.3">
      <c r="A49" s="96"/>
      <c r="B49" s="25">
        <f>'4637'!B25</f>
        <v>5</v>
      </c>
      <c r="C49" s="103" t="str">
        <f>'4637'!C25</f>
        <v>CUB MESA 180° 2 LADOS</v>
      </c>
      <c r="D49" s="25">
        <f>'4637'!D25</f>
        <v>800</v>
      </c>
      <c r="E49" s="25">
        <f>'4637'!E25</f>
        <v>400</v>
      </c>
      <c r="F49" s="25" t="str">
        <f>'4637'!F25</f>
        <v>INK  21032 SF</v>
      </c>
      <c r="G49" s="1"/>
    </row>
    <row r="50" spans="1:7" ht="15.6" x14ac:dyDescent="0.3">
      <c r="A50" s="96"/>
      <c r="B50" s="25">
        <f>'4637'!B26</f>
        <v>1</v>
      </c>
      <c r="C50" s="103" t="str">
        <f>'4637'!C26</f>
        <v>CUB CON RESPALDO FRENTE R6MM</v>
      </c>
      <c r="D50" s="25">
        <f>'4637'!D26</f>
        <v>2250</v>
      </c>
      <c r="E50" s="25">
        <f>'4637'!E26</f>
        <v>550</v>
      </c>
      <c r="F50" s="25" t="str">
        <f>'4637'!F26</f>
        <v>VAINILLA 2109 MT</v>
      </c>
      <c r="G50" s="1"/>
    </row>
    <row r="51" spans="1:7" ht="15.6" x14ac:dyDescent="0.3">
      <c r="A51" s="96"/>
      <c r="B51" s="25">
        <f>'4637'!B27</f>
        <v>1</v>
      </c>
      <c r="C51" s="103" t="str">
        <f>'4637'!C27</f>
        <v>CUB CON RESPALDO FRENTE R6MM</v>
      </c>
      <c r="D51" s="25">
        <f>'4637'!D27</f>
        <v>1270</v>
      </c>
      <c r="E51" s="25">
        <f>'4637'!E27</f>
        <v>550</v>
      </c>
      <c r="F51" s="25" t="str">
        <f>'4637'!F27</f>
        <v>VAINILLA 2109 MT</v>
      </c>
      <c r="G51" s="1"/>
    </row>
    <row r="52" spans="1:7" ht="15.6" x14ac:dyDescent="0.3">
      <c r="A52" s="118" t="s">
        <v>149</v>
      </c>
      <c r="B52" s="25">
        <f>'4637'!B28</f>
        <v>2</v>
      </c>
      <c r="C52" s="103" t="str">
        <f>'4637'!C28</f>
        <v>PR6</v>
      </c>
      <c r="D52" s="25">
        <f>'4637'!D28</f>
        <v>560</v>
      </c>
      <c r="E52" s="25">
        <f>'4637'!E28</f>
        <v>440</v>
      </c>
      <c r="F52" s="25" t="str">
        <f>'4637'!F28</f>
        <v>EBANO 2110 DL</v>
      </c>
      <c r="G52" s="1"/>
    </row>
    <row r="53" spans="1:7" ht="15.6" x14ac:dyDescent="0.3">
      <c r="A53" s="96"/>
      <c r="B53" s="25">
        <f>'4637'!B29</f>
        <v>12</v>
      </c>
      <c r="C53" s="103" t="str">
        <f>'4637'!C29</f>
        <v>PR6</v>
      </c>
      <c r="D53" s="25">
        <f>'4637'!D29</f>
        <v>550</v>
      </c>
      <c r="E53" s="25">
        <f>'4637'!E29</f>
        <v>395</v>
      </c>
      <c r="F53" s="25" t="str">
        <f>'4637'!F29</f>
        <v>GRIS NUBE 2189 MT</v>
      </c>
      <c r="G53" s="1"/>
    </row>
    <row r="54" spans="1:7" ht="15.6" x14ac:dyDescent="0.3">
      <c r="A54" s="96"/>
      <c r="B54" s="6"/>
      <c r="C54" s="109"/>
      <c r="D54" s="6"/>
      <c r="E54" s="6"/>
      <c r="F54" s="6"/>
      <c r="G54" s="1"/>
    </row>
    <row r="55" spans="1:7" ht="15.6" x14ac:dyDescent="0.3">
      <c r="A55" s="52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6"/>
      <c r="C63" s="6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40" t="s">
        <v>27</v>
      </c>
      <c r="D65" s="14">
        <f>'4637'!G8</f>
        <v>7075</v>
      </c>
      <c r="E65" s="1"/>
      <c r="F65" s="1"/>
      <c r="G65" s="1"/>
    </row>
    <row r="66" spans="1:7" ht="17.25" customHeight="1" x14ac:dyDescent="0.3">
      <c r="A66" s="1"/>
      <c r="B66" s="1"/>
      <c r="C66" s="41" t="s">
        <v>67</v>
      </c>
      <c r="D66" s="42" t="str">
        <f>'4637'!C10</f>
        <v>COMERCIALIZADORA MDM SPA</v>
      </c>
      <c r="E66" s="43"/>
      <c r="F66" s="43"/>
      <c r="G66" s="1"/>
    </row>
    <row r="67" spans="1:7" ht="4.5" customHeight="1" x14ac:dyDescent="0.3">
      <c r="A67" s="1"/>
      <c r="B67" s="1"/>
      <c r="C67" s="44"/>
      <c r="D67" s="45"/>
      <c r="E67" s="1"/>
      <c r="F67" s="1"/>
      <c r="G67" s="1"/>
    </row>
    <row r="68" spans="1:7" ht="15.6" x14ac:dyDescent="0.3">
      <c r="A68" s="1"/>
      <c r="B68" s="1"/>
      <c r="C68" s="46" t="str">
        <f>'4637'!F11</f>
        <v>FECHA LIMITE :</v>
      </c>
      <c r="D68" s="13">
        <f>'4637'!G11</f>
        <v>45415</v>
      </c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27" t="s">
        <v>68</v>
      </c>
      <c r="B71" s="127"/>
      <c r="C71" s="127"/>
      <c r="D71" s="127"/>
      <c r="E71" s="127"/>
      <c r="F71" s="127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75" customHeight="1" x14ac:dyDescent="0.3">
      <c r="A73" s="1"/>
      <c r="B73" s="128" t="s">
        <v>69</v>
      </c>
      <c r="C73" s="129"/>
      <c r="D73" s="130"/>
      <c r="E73" s="130"/>
      <c r="F73" s="131"/>
      <c r="G73" s="1"/>
    </row>
    <row r="74" spans="1:7" s="15" customFormat="1" ht="12.75" customHeight="1" x14ac:dyDescent="0.3">
      <c r="A74" s="1"/>
      <c r="B74" s="36" t="s">
        <v>10</v>
      </c>
      <c r="C74" s="47" t="s">
        <v>11</v>
      </c>
      <c r="D74" s="48" t="s">
        <v>7</v>
      </c>
      <c r="E74" s="48" t="s">
        <v>8</v>
      </c>
      <c r="F74" s="49" t="s">
        <v>12</v>
      </c>
      <c r="G74" s="1"/>
    </row>
    <row r="75" spans="1:7" s="15" customFormat="1" ht="15" customHeight="1" x14ac:dyDescent="0.3">
      <c r="A75" s="96"/>
      <c r="B75" s="38">
        <f>'4637'!B21</f>
        <v>1</v>
      </c>
      <c r="C75" s="102" t="str">
        <f>'4637'!C21</f>
        <v>CUB S/R 180°</v>
      </c>
      <c r="D75" s="39">
        <f>'4637'!D21</f>
        <v>1880</v>
      </c>
      <c r="E75" s="39">
        <f>'4637'!E21</f>
        <v>600</v>
      </c>
      <c r="F75" s="38" t="str">
        <f>'4637'!F21</f>
        <v>INK  21032 SF</v>
      </c>
      <c r="G75" s="1"/>
    </row>
    <row r="76" spans="1:7" s="15" customFormat="1" ht="15" customHeight="1" x14ac:dyDescent="0.3">
      <c r="A76" s="96"/>
      <c r="B76" s="38">
        <f>'4637'!B22</f>
        <v>1</v>
      </c>
      <c r="C76" s="102" t="str">
        <f>'4637'!C22</f>
        <v>CUB S/R 180°</v>
      </c>
      <c r="D76" s="39">
        <f>'4637'!D22</f>
        <v>2100</v>
      </c>
      <c r="E76" s="39">
        <f>'4637'!E22</f>
        <v>600</v>
      </c>
      <c r="F76" s="38" t="str">
        <f>'4637'!F22</f>
        <v>INK  21032 SF</v>
      </c>
      <c r="G76" s="1"/>
    </row>
    <row r="77" spans="1:7" s="15" customFormat="1" ht="15" customHeight="1" x14ac:dyDescent="0.3">
      <c r="A77" s="96"/>
      <c r="B77" s="38">
        <f>'4637'!B23</f>
        <v>1</v>
      </c>
      <c r="C77" s="102" t="str">
        <f>'4637'!C23</f>
        <v>CUB S/R 180° ***</v>
      </c>
      <c r="D77" s="39">
        <f>'4637'!D23</f>
        <v>3190</v>
      </c>
      <c r="E77" s="39">
        <f>'4637'!E23</f>
        <v>600</v>
      </c>
      <c r="F77" s="38" t="str">
        <f>'4637'!F23</f>
        <v>INK  21032 SF</v>
      </c>
      <c r="G77" s="1"/>
    </row>
    <row r="78" spans="1:7" s="15" customFormat="1" ht="15" customHeight="1" x14ac:dyDescent="0.3">
      <c r="A78" s="96"/>
      <c r="B78" s="38">
        <f>'4637'!B24</f>
        <v>3</v>
      </c>
      <c r="C78" s="102" t="str">
        <f>'4637'!C24</f>
        <v>CUB CON RESPALDO 180°</v>
      </c>
      <c r="D78" s="39">
        <f>'4637'!D24</f>
        <v>1600</v>
      </c>
      <c r="E78" s="39">
        <f>'4637'!E24</f>
        <v>600</v>
      </c>
      <c r="F78" s="38" t="str">
        <f>'4637'!F24</f>
        <v>INK  21032 SF</v>
      </c>
      <c r="G78" s="1"/>
    </row>
    <row r="79" spans="1:7" s="15" customFormat="1" ht="15" customHeight="1" x14ac:dyDescent="0.3">
      <c r="A79" s="96"/>
      <c r="B79" s="38">
        <f>'4637'!B25</f>
        <v>5</v>
      </c>
      <c r="C79" s="102" t="str">
        <f>'4637'!C25</f>
        <v>CUB MESA 180° 2 LADOS</v>
      </c>
      <c r="D79" s="39">
        <f>'4637'!D25</f>
        <v>800</v>
      </c>
      <c r="E79" s="39">
        <f>'4637'!E25</f>
        <v>400</v>
      </c>
      <c r="F79" s="38" t="str">
        <f>'4637'!F25</f>
        <v>INK  21032 SF</v>
      </c>
      <c r="G79" s="1"/>
    </row>
    <row r="80" spans="1:7" s="15" customFormat="1" ht="15" customHeight="1" x14ac:dyDescent="0.3">
      <c r="A80" s="96"/>
      <c r="B80" s="38">
        <f>'4637'!B26</f>
        <v>1</v>
      </c>
      <c r="C80" s="102" t="str">
        <f>'4637'!C26</f>
        <v>CUB CON RESPALDO FRENTE R6MM</v>
      </c>
      <c r="D80" s="39">
        <f>'4637'!D26</f>
        <v>2250</v>
      </c>
      <c r="E80" s="39">
        <f>'4637'!E26</f>
        <v>550</v>
      </c>
      <c r="F80" s="38" t="str">
        <f>'4637'!F26</f>
        <v>VAINILLA 2109 MT</v>
      </c>
      <c r="G80" s="1"/>
    </row>
    <row r="81" spans="1:7" s="15" customFormat="1" ht="15" customHeight="1" x14ac:dyDescent="0.3">
      <c r="A81" s="96"/>
      <c r="B81" s="38">
        <f>'4637'!B27</f>
        <v>1</v>
      </c>
      <c r="C81" s="102" t="str">
        <f>'4637'!C27</f>
        <v>CUB CON RESPALDO FRENTE R6MM</v>
      </c>
      <c r="D81" s="39">
        <f>'4637'!D27</f>
        <v>1270</v>
      </c>
      <c r="E81" s="39">
        <f>'4637'!E27</f>
        <v>550</v>
      </c>
      <c r="F81" s="38" t="str">
        <f>'4637'!F27</f>
        <v>VAINILLA 2109 MT</v>
      </c>
      <c r="G81" s="1"/>
    </row>
    <row r="82" spans="1:7" s="15" customFormat="1" ht="15" customHeight="1" x14ac:dyDescent="0.3">
      <c r="A82" s="96"/>
      <c r="B82" s="38">
        <f>'4637'!B28</f>
        <v>2</v>
      </c>
      <c r="C82" s="102" t="str">
        <f>'4637'!C28</f>
        <v>PR6</v>
      </c>
      <c r="D82" s="39">
        <f>'4637'!D28</f>
        <v>560</v>
      </c>
      <c r="E82" s="39">
        <f>'4637'!E28</f>
        <v>440</v>
      </c>
      <c r="F82" s="38" t="str">
        <f>'4637'!F28</f>
        <v>EBANO 2110 DL</v>
      </c>
      <c r="G82" s="1"/>
    </row>
    <row r="83" spans="1:7" s="15" customFormat="1" ht="15" customHeight="1" x14ac:dyDescent="0.3">
      <c r="A83" s="96"/>
      <c r="B83" s="38">
        <f>'4637'!B29</f>
        <v>12</v>
      </c>
      <c r="C83" s="102" t="str">
        <f>'4637'!C29</f>
        <v>PR6</v>
      </c>
      <c r="D83" s="39">
        <f>'4637'!D29</f>
        <v>550</v>
      </c>
      <c r="E83" s="39">
        <f>'4637'!E29</f>
        <v>395</v>
      </c>
      <c r="F83" s="38" t="str">
        <f>'4637'!F29</f>
        <v>GRIS NUBE 2189 MT</v>
      </c>
      <c r="G83" s="1"/>
    </row>
    <row r="84" spans="1:7" s="15" customFormat="1" ht="15" customHeight="1" x14ac:dyDescent="0.3">
      <c r="A84" s="50"/>
      <c r="B84" s="52"/>
      <c r="C84" s="52"/>
      <c r="D84" s="52"/>
      <c r="E84" s="52"/>
      <c r="F84" s="52"/>
      <c r="G84" s="1"/>
    </row>
    <row r="85" spans="1:7" ht="15.6" x14ac:dyDescent="0.3">
      <c r="A85" s="6"/>
      <c r="B85" s="6"/>
      <c r="C85" s="1"/>
      <c r="D85" s="6"/>
      <c r="E85" s="6"/>
      <c r="F85" s="44"/>
      <c r="G85" s="1"/>
    </row>
    <row r="86" spans="1:7" ht="15.6" x14ac:dyDescent="0.3">
      <c r="A86" s="6"/>
      <c r="B86" s="6"/>
      <c r="C86" s="1"/>
      <c r="D86" s="6"/>
      <c r="E86" s="6"/>
      <c r="F86" s="6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" customHeight="1" x14ac:dyDescent="0.3">
      <c r="A90" s="1"/>
      <c r="B90" s="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6"/>
      <c r="B92" s="51"/>
      <c r="C92" s="1"/>
      <c r="D92" s="1"/>
      <c r="E92" s="1"/>
      <c r="F92" s="1"/>
      <c r="G92" s="1"/>
    </row>
    <row r="93" spans="1:7" ht="15.6" x14ac:dyDescent="0.3">
      <c r="A93" s="1"/>
      <c r="B93" s="1"/>
      <c r="C93" s="1"/>
      <c r="D93" s="1"/>
      <c r="E93" s="1"/>
      <c r="F93" s="1"/>
      <c r="G93" s="1"/>
    </row>
    <row r="94" spans="1:7" x14ac:dyDescent="0.3">
      <c r="B94" s="20"/>
      <c r="C94" s="20"/>
      <c r="D94" s="20"/>
      <c r="E94" s="20"/>
      <c r="F94" s="20"/>
    </row>
    <row r="95" spans="1:7" x14ac:dyDescent="0.3">
      <c r="B95" s="20"/>
      <c r="C95" s="20"/>
      <c r="E95" s="20"/>
      <c r="F95" s="20"/>
    </row>
  </sheetData>
  <mergeCells count="6">
    <mergeCell ref="M3:N3"/>
    <mergeCell ref="A27:F27"/>
    <mergeCell ref="A10:F10"/>
    <mergeCell ref="A71:F71"/>
    <mergeCell ref="B73:F73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2024-04-29T14:10:20Z</cp:lastPrinted>
  <dcterms:created xsi:type="dcterms:W3CDTF">2013-03-19T12:54:14Z</dcterms:created>
  <dcterms:modified xsi:type="dcterms:W3CDTF">2024-08-29T18:13:54Z</dcterms:modified>
</cp:coreProperties>
</file>