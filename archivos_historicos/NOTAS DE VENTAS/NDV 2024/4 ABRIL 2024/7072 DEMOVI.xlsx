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4 ABRIL 2024\"/>
    </mc:Choice>
  </mc:AlternateContent>
  <xr:revisionPtr revIDLastSave="0" documentId="13_ncr:1_{A9D6E02B-0201-4723-AE0F-C18E5D1F364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CUBIERTA!$A$1:$F$40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3" l="1"/>
  <c r="I24" i="3" s="1"/>
  <c r="B24" i="3" s="1"/>
  <c r="C32" i="3"/>
  <c r="F24" i="3" s="1"/>
  <c r="D32" i="3"/>
  <c r="J24" i="3" s="1"/>
  <c r="D24" i="3" s="1"/>
  <c r="E32" i="3"/>
  <c r="K24" i="3" s="1"/>
  <c r="E24" i="3" s="1"/>
  <c r="F32" i="3"/>
  <c r="B54" i="3"/>
  <c r="C54" i="3"/>
  <c r="D54" i="3"/>
  <c r="E54" i="3"/>
  <c r="F54" i="3"/>
  <c r="H22" i="4"/>
  <c r="J15" i="3" l="1"/>
  <c r="D15" i="3" s="1"/>
  <c r="I15" i="3"/>
  <c r="B15" i="3" s="1"/>
  <c r="K15" i="3"/>
  <c r="E15" i="3" s="1"/>
  <c r="F15" i="3"/>
  <c r="H21" i="4"/>
  <c r="H26" i="4" l="1"/>
  <c r="B53" i="3"/>
  <c r="C53" i="3"/>
  <c r="D53" i="3"/>
  <c r="E53" i="3"/>
  <c r="F53" i="3"/>
  <c r="B31" i="3"/>
  <c r="C31" i="3"/>
  <c r="F23" i="3" s="1"/>
  <c r="D31" i="3"/>
  <c r="J14" i="3" s="1"/>
  <c r="D14" i="3" s="1"/>
  <c r="E31" i="3"/>
  <c r="K14" i="3" s="1"/>
  <c r="E14" i="3" s="1"/>
  <c r="F31" i="3"/>
  <c r="H27" i="4" l="1"/>
  <c r="I23" i="3"/>
  <c r="F14" i="3"/>
  <c r="K23" i="3"/>
  <c r="E23" i="3" s="1"/>
  <c r="J23" i="3"/>
  <c r="D23" i="3" s="1"/>
  <c r="B23" i="3" l="1"/>
  <c r="I14" i="3"/>
  <c r="B14" i="3" s="1"/>
  <c r="H28" i="4"/>
  <c r="N5" i="3" l="1"/>
  <c r="M5" i="3" l="1"/>
  <c r="L5" i="3"/>
  <c r="K5" i="3"/>
  <c r="C46" i="3" l="1"/>
  <c r="C7" i="3"/>
  <c r="D44" i="3"/>
  <c r="D5" i="3"/>
  <c r="D46" i="3"/>
  <c r="D7" i="3"/>
  <c r="D43" i="3"/>
  <c r="D4" i="3"/>
</calcChain>
</file>

<file path=xl/sharedStrings.xml><?xml version="1.0" encoding="utf-8"?>
<sst xmlns="http://schemas.openxmlformats.org/spreadsheetml/2006/main" count="249" uniqueCount="144">
  <si>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</si>
  <si>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</si>
  <si>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</si>
  <si>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</si>
  <si>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</si>
  <si>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</si>
  <si>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</si>
  <si>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</si>
  <si>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</si>
  <si>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</si>
  <si>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</si>
  <si>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</si>
  <si>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</si>
  <si>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</si>
  <si>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</si>
  <si>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</si>
  <si>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</si>
  <si>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</si>
  <si>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</si>
  <si>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</si>
  <si>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</si>
  <si>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</si>
  <si>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</si>
  <si>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</si>
  <si>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</si>
  <si>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</si>
  <si>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</si>
  <si>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</si>
  <si>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</si>
  <si>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</si>
  <si>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</si>
  <si>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</si>
  <si>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</si>
  <si>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</si>
  <si>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</si>
  <si>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</si>
  <si>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</si>
  <si>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</si>
  <si>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</si>
  <si>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</si>
  <si>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</si>
  <si>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</si>
  <si>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</si>
  <si>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</si>
  <si>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</si>
  <si>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</si>
  <si>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</si>
  <si>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</si>
  <si>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</si>
  <si>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</si>
  <si>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</si>
  <si>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</si>
  <si>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</si>
  <si>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</si>
  <si>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</si>
  <si>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</si>
  <si>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</si>
  <si>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</si>
  <si>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</si>
  <si>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</si>
  <si>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</si>
  <si>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</si>
  <si>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</si>
  <si>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</si>
  <si>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</si>
  <si>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</si>
  <si>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</si>
  <si>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</si>
  <si>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</si>
  <si>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</si>
  <si>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</si>
  <si>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</si>
  <si>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</si>
  <si>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</si>
  <si>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</si>
  <si>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</si>
  <si>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</si>
  <si>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</si>
  <si>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</si>
  <si>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</si>
  <si>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</si>
  <si>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</si>
  <si>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</si>
  <si>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</si>
  <si>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</si>
  <si>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</si>
  <si>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</si>
  <si>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</si>
  <si>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</si>
  <si>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</si>
  <si>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</si>
  <si>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</si>
  <si>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</si>
  <si>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</si>
  <si>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</si>
  <si>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</si>
  <si>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</si>
  <si>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</si>
  <si>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</si>
  <si>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</si>
  <si>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</si>
  <si>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</si>
  <si>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</si>
  <si>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</si>
  <si>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</si>
  <si>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</si>
  <si>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</si>
  <si>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</si>
  <si>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</si>
  <si>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</si>
  <si>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</si>
  <si>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</si>
  <si>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</si>
  <si>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</si>
  <si>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</si>
  <si>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</si>
  <si>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</si>
  <si>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</si>
  <si>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</si>
  <si>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</si>
  <si>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</si>
  <si>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</si>
  <si>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</si>
  <si>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</si>
  <si>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</si>
  <si>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</si>
  <si>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</si>
  <si>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</si>
  <si>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</si>
  <si>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</si>
  <si>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</si>
  <si>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</si>
  <si>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</si>
  <si>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</si>
  <si>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</si>
  <si>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</si>
  <si>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NO</t>
  </si>
  <si>
    <t>CONTADO</t>
  </si>
  <si>
    <t>DEMOVI</t>
  </si>
  <si>
    <t>CUBIERTA CON RESPALDO R2</t>
  </si>
  <si>
    <t>+56 9 8466 2944</t>
  </si>
  <si>
    <t>N° 10928</t>
  </si>
  <si>
    <t>BLANCO 22191 MT MERINO</t>
  </si>
  <si>
    <t>CORTAR RESPALDO A 4CMS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</si>
</sst>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8" fillId="0" borderId="0" xfId="2" quotePrefix="1" applyFont="1" applyFill="1" applyBorder="1" applyAlignment="1">
      <alignment horizontal="left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ABONO $  192.563.-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47</xdr:row>
      <xdr:rowOff>171450</xdr:rowOff>
    </xdr:from>
    <xdr:to>
      <xdr:col>5</xdr:col>
      <xdr:colOff>1685924</xdr:colOff>
      <xdr:row>49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38100</xdr:rowOff>
    </xdr:from>
    <xdr:to>
      <xdr:col>6</xdr:col>
      <xdr:colOff>0</xdr:colOff>
      <xdr:row>44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56</xdr:row>
      <xdr:rowOff>0</xdr:rowOff>
    </xdr:from>
    <xdr:to>
      <xdr:col>2</xdr:col>
      <xdr:colOff>38100</xdr:colOff>
      <xdr:row>57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56</xdr:row>
      <xdr:rowOff>0</xdr:rowOff>
    </xdr:from>
    <xdr:to>
      <xdr:col>2</xdr:col>
      <xdr:colOff>1019175</xdr:colOff>
      <xdr:row>56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56</xdr:row>
      <xdr:rowOff>0</xdr:rowOff>
    </xdr:from>
    <xdr:to>
      <xdr:col>3</xdr:col>
      <xdr:colOff>352425</xdr:colOff>
      <xdr:row>57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56</xdr:row>
      <xdr:rowOff>0</xdr:rowOff>
    </xdr:from>
    <xdr:to>
      <xdr:col>4</xdr:col>
      <xdr:colOff>257175</xdr:colOff>
      <xdr:row>57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56</xdr:row>
      <xdr:rowOff>0</xdr:rowOff>
    </xdr:from>
    <xdr:to>
      <xdr:col>5</xdr:col>
      <xdr:colOff>447675</xdr:colOff>
      <xdr:row>56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56</xdr:row>
      <xdr:rowOff>0</xdr:rowOff>
    </xdr:from>
    <xdr:to>
      <xdr:col>6</xdr:col>
      <xdr:colOff>0</xdr:colOff>
      <xdr:row>56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56</xdr:row>
      <xdr:rowOff>190500</xdr:rowOff>
    </xdr:from>
    <xdr:to>
      <xdr:col>2</xdr:col>
      <xdr:colOff>304800</xdr:colOff>
      <xdr:row>58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56</xdr:row>
      <xdr:rowOff>190500</xdr:rowOff>
    </xdr:from>
    <xdr:to>
      <xdr:col>2</xdr:col>
      <xdr:colOff>1276350</xdr:colOff>
      <xdr:row>58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56</xdr:row>
      <xdr:rowOff>190500</xdr:rowOff>
    </xdr:from>
    <xdr:to>
      <xdr:col>3</xdr:col>
      <xdr:colOff>619125</xdr:colOff>
      <xdr:row>58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56</xdr:row>
      <xdr:rowOff>190500</xdr:rowOff>
    </xdr:from>
    <xdr:to>
      <xdr:col>4</xdr:col>
      <xdr:colOff>523875</xdr:colOff>
      <xdr:row>58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56</xdr:row>
      <xdr:rowOff>190500</xdr:rowOff>
    </xdr:from>
    <xdr:to>
      <xdr:col>5</xdr:col>
      <xdr:colOff>723900</xdr:colOff>
      <xdr:row>58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56</xdr:row>
      <xdr:rowOff>190500</xdr:rowOff>
    </xdr:from>
    <xdr:to>
      <xdr:col>6</xdr:col>
      <xdr:colOff>0</xdr:colOff>
      <xdr:row>58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369570</xdr:colOff>
      <xdr:row>34</xdr:row>
      <xdr:rowOff>15239</xdr:rowOff>
    </xdr:from>
    <xdr:to>
      <xdr:col>6</xdr:col>
      <xdr:colOff>45720</xdr:colOff>
      <xdr:row>38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69570" y="5410199"/>
          <a:ext cx="811911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OBSERVACIONES:FRENTE DE 40MM, RESPALDO DE 7CMS DESDE LA BASE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26</xdr:row>
      <xdr:rowOff>200025</xdr:rowOff>
    </xdr:from>
    <xdr:to>
      <xdr:col>6</xdr:col>
      <xdr:colOff>19049</xdr:colOff>
      <xdr:row>28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59</xdr:row>
      <xdr:rowOff>32385</xdr:rowOff>
    </xdr:from>
    <xdr:to>
      <xdr:col>6</xdr:col>
      <xdr:colOff>19050</xdr:colOff>
      <xdr:row>63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OBSERVACIONES:FRENTE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40MM, RESPALDO DE 7 CMS DESDE LA BASE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194310</xdr:rowOff>
    </xdr:from>
    <xdr:to>
      <xdr:col>2</xdr:col>
      <xdr:colOff>100723</xdr:colOff>
      <xdr:row>46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opLeftCell="A4" workbookViewId="0">
      <selection activeCell="I25" sqref="I25:I2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8.88671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141</v>
      </c>
      <c r="E8" s="1"/>
      <c r="F8" s="94" t="s">
        <v>27</v>
      </c>
      <c r="G8" s="95">
        <v>7072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138</v>
      </c>
      <c r="D10" s="55"/>
      <c r="E10" s="55"/>
      <c r="F10" s="56" t="s">
        <v>28</v>
      </c>
      <c r="G10" s="57">
        <v>45404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45407</v>
      </c>
      <c r="H11" s="62"/>
      <c r="I11" s="1"/>
    </row>
    <row r="12" spans="1:17" ht="16.2" thickBot="1" x14ac:dyDescent="0.35">
      <c r="A12" s="1"/>
      <c r="B12" s="63" t="s">
        <v>132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134</v>
      </c>
      <c r="C13" s="86"/>
      <c r="D13" s="43"/>
      <c r="E13" s="43"/>
      <c r="F13" s="43" t="s">
        <v>128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16" t="s">
        <v>140</v>
      </c>
      <c r="D14" s="66"/>
      <c r="E14" s="60"/>
      <c r="F14" s="60" t="s">
        <v>29</v>
      </c>
      <c r="G14" s="60" t="s">
        <v>136</v>
      </c>
      <c r="H14" s="62"/>
      <c r="I14" s="1"/>
    </row>
    <row r="15" spans="1:17" ht="15.6" x14ac:dyDescent="0.3">
      <c r="A15" s="1"/>
      <c r="B15" s="63" t="s">
        <v>1</v>
      </c>
      <c r="C15" s="101"/>
      <c r="D15" s="43"/>
      <c r="E15" s="43"/>
      <c r="F15" s="67" t="s">
        <v>75</v>
      </c>
      <c r="G15" s="67" t="s">
        <v>137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133</v>
      </c>
      <c r="D16" s="69"/>
      <c r="E16" s="70"/>
      <c r="F16" s="118" t="s">
        <v>18</v>
      </c>
      <c r="G16" s="118"/>
      <c r="H16" s="119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0" t="s">
        <v>19</v>
      </c>
      <c r="C19" s="121"/>
      <c r="D19" s="121"/>
      <c r="E19" s="121"/>
      <c r="F19" s="121"/>
      <c r="G19" s="121"/>
      <c r="H19" s="122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thickBot="1" x14ac:dyDescent="0.35">
      <c r="A21" s="1"/>
      <c r="B21" s="109">
        <v>3</v>
      </c>
      <c r="C21" s="110" t="s">
        <v>139</v>
      </c>
      <c r="D21" s="114">
        <v>2140</v>
      </c>
      <c r="E21" s="114">
        <v>780</v>
      </c>
      <c r="F21" s="110" t="s">
        <v>142</v>
      </c>
      <c r="G21" s="111">
        <v>97324</v>
      </c>
      <c r="H21" s="106">
        <f>G21*B21</f>
        <v>291972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12">
        <v>1</v>
      </c>
      <c r="C22" s="105" t="s">
        <v>139</v>
      </c>
      <c r="D22" s="115">
        <v>1000</v>
      </c>
      <c r="E22" s="115">
        <v>780</v>
      </c>
      <c r="F22" s="110" t="s">
        <v>142</v>
      </c>
      <c r="G22" s="113">
        <v>46662</v>
      </c>
      <c r="H22" s="106">
        <f t="shared" ref="H22" si="0">G22*B22</f>
        <v>46662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8"/>
      <c r="D23" s="107"/>
      <c r="E23" s="107"/>
      <c r="F23" s="97"/>
      <c r="G23" s="75"/>
      <c r="H23" s="99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7"/>
      <c r="C24" s="97"/>
      <c r="D24" s="97"/>
      <c r="E24" s="97"/>
      <c r="F24" s="98"/>
      <c r="G24" s="99"/>
      <c r="H24" s="99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4"/>
      <c r="C25" s="74"/>
      <c r="D25" s="74"/>
      <c r="E25" s="74"/>
      <c r="F25" s="74"/>
      <c r="G25" s="75"/>
      <c r="H25" s="75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SUM(H21:H25)</f>
        <v>338634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64340.46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402974.46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100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123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122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3" t="s">
        <v>31</v>
      </c>
      <c r="C2" s="123"/>
      <c r="D2" s="123"/>
      <c r="E2" s="18"/>
      <c r="G2" s="123" t="s">
        <v>70</v>
      </c>
      <c r="H2" s="123"/>
      <c r="I2" s="123"/>
      <c r="P2" s="124" t="s">
        <v>58</v>
      </c>
      <c r="Q2" s="124"/>
      <c r="R2" s="124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4" t="s">
        <v>58</v>
      </c>
      <c r="M8" s="124"/>
      <c r="N8" s="12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7"/>
  <sheetViews>
    <sheetView tabSelected="1" zoomScaleNormal="100" workbookViewId="0">
      <selection sqref="A1:F40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5" t="s">
        <v>61</v>
      </c>
      <c r="L3" s="125"/>
      <c r="M3" s="125" t="s">
        <v>14</v>
      </c>
      <c r="N3" s="125"/>
    </row>
    <row r="4" spans="1:14" ht="15.75" customHeight="1" x14ac:dyDescent="0.3">
      <c r="A4" s="1"/>
      <c r="B4" s="1"/>
      <c r="C4" s="40" t="s">
        <v>27</v>
      </c>
      <c r="D4" s="14">
        <f>'4637'!G8</f>
        <v>7072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DEMOVI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45407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6" t="s">
        <v>61</v>
      </c>
      <c r="B10" s="126"/>
      <c r="C10" s="126"/>
      <c r="D10" s="126"/>
      <c r="E10" s="126"/>
      <c r="F10" s="12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3</v>
      </c>
      <c r="C14" s="25" t="s">
        <v>143</v>
      </c>
      <c r="D14" s="25">
        <f>J14+D$13</f>
        <v>2190</v>
      </c>
      <c r="E14" s="35">
        <f>K14+E$13</f>
        <v>750</v>
      </c>
      <c r="F14" s="103" t="str">
        <f>C31</f>
        <v>CUBIERTA CON RESPALDO R2</v>
      </c>
      <c r="G14" s="1"/>
      <c r="I14" s="3">
        <f>I23</f>
        <v>3</v>
      </c>
      <c r="J14" s="4">
        <f t="shared" ref="J14:K14" si="1">D31</f>
        <v>2140</v>
      </c>
      <c r="K14" s="4">
        <f t="shared" si="1"/>
        <v>780</v>
      </c>
    </row>
    <row r="15" spans="1:14" ht="15.6" x14ac:dyDescent="0.3">
      <c r="A15" s="96"/>
      <c r="B15" s="25">
        <f t="shared" ref="B15" si="2">I15</f>
        <v>1</v>
      </c>
      <c r="C15" s="25" t="s">
        <v>143</v>
      </c>
      <c r="D15" s="25">
        <f t="shared" ref="D15" si="3">J15+D$13</f>
        <v>1050</v>
      </c>
      <c r="E15" s="35">
        <f t="shared" ref="E15" si="4">K15+E$13</f>
        <v>750</v>
      </c>
      <c r="F15" s="103" t="str">
        <f>C32</f>
        <v>CUBIERTA CON RESPALDO R2</v>
      </c>
      <c r="G15" s="1"/>
      <c r="I15" s="3">
        <f>I24</f>
        <v>1</v>
      </c>
      <c r="J15" s="4">
        <f>D32</f>
        <v>1000</v>
      </c>
      <c r="K15" s="4">
        <f>E32</f>
        <v>780</v>
      </c>
    </row>
    <row r="16" spans="1:14" ht="15.6" x14ac:dyDescent="0.3">
      <c r="A16" s="96"/>
      <c r="B16" s="6"/>
      <c r="C16" s="6"/>
      <c r="D16" s="6"/>
      <c r="E16" s="89"/>
      <c r="F16" s="117"/>
      <c r="G16" s="1"/>
      <c r="I16" s="90"/>
      <c r="J16" s="2"/>
      <c r="K16" s="2"/>
    </row>
    <row r="17" spans="1:11" ht="15.6" x14ac:dyDescent="0.3">
      <c r="A17" s="52"/>
      <c r="B17" s="6"/>
      <c r="C17" s="6"/>
      <c r="D17" s="6"/>
      <c r="E17" s="89"/>
      <c r="F17" s="6"/>
      <c r="G17" s="1"/>
      <c r="I17" s="90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26" t="s">
        <v>14</v>
      </c>
      <c r="B19" s="126"/>
      <c r="C19" s="126"/>
      <c r="D19" s="126"/>
      <c r="E19" s="126"/>
      <c r="F19" s="126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130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6" t="s">
        <v>130</v>
      </c>
      <c r="B23" s="16">
        <f t="shared" ref="B23" si="5">I23</f>
        <v>3</v>
      </c>
      <c r="C23" s="16"/>
      <c r="D23" s="16">
        <f>J23+D$22</f>
        <v>2180</v>
      </c>
      <c r="E23" s="16">
        <f>K23+E$22</f>
        <v>910</v>
      </c>
      <c r="F23" s="104" t="str">
        <f>C31</f>
        <v>CUBIERTA CON RESPALDO R2</v>
      </c>
      <c r="G23" s="1"/>
      <c r="I23" s="3">
        <f>B31</f>
        <v>3</v>
      </c>
      <c r="J23" s="4">
        <f>D31</f>
        <v>2140</v>
      </c>
      <c r="K23" s="4">
        <f>E31</f>
        <v>780</v>
      </c>
    </row>
    <row r="24" spans="1:11" ht="15.6" x14ac:dyDescent="0.3">
      <c r="A24" s="96"/>
      <c r="B24" s="16">
        <f t="shared" ref="B24" si="6">I24</f>
        <v>1</v>
      </c>
      <c r="C24" s="16"/>
      <c r="D24" s="16">
        <f t="shared" ref="D24" si="7">J24+D$22</f>
        <v>1040</v>
      </c>
      <c r="E24" s="16">
        <f t="shared" ref="E24" si="8">K24+E$22</f>
        <v>910</v>
      </c>
      <c r="F24" s="104" t="str">
        <f>C32</f>
        <v>CUBIERTA CON RESPALDO R2</v>
      </c>
      <c r="G24" s="1"/>
      <c r="I24" s="3">
        <f>B32</f>
        <v>1</v>
      </c>
      <c r="J24" s="4">
        <f t="shared" ref="J24:K24" si="9">D32</f>
        <v>1000</v>
      </c>
      <c r="K24" s="4">
        <f t="shared" si="9"/>
        <v>780</v>
      </c>
    </row>
    <row r="25" spans="1:11" ht="15.6" x14ac:dyDescent="0.3">
      <c r="A25" s="96"/>
      <c r="B25" s="6"/>
      <c r="C25" s="6"/>
      <c r="D25" s="6"/>
      <c r="E25" s="6"/>
      <c r="F25" s="117"/>
      <c r="G25" s="1"/>
      <c r="I25" s="90"/>
      <c r="J25" s="2"/>
      <c r="K25" s="2"/>
    </row>
    <row r="26" spans="1:11" ht="15.6" x14ac:dyDescent="0.3">
      <c r="A26" s="96"/>
      <c r="B26" s="6"/>
      <c r="C26" s="6"/>
      <c r="D26" s="6"/>
      <c r="E26" s="6"/>
      <c r="F26" s="6"/>
      <c r="G26" s="1"/>
      <c r="I26" s="90"/>
      <c r="J26" s="2"/>
      <c r="K26" s="2"/>
    </row>
    <row r="27" spans="1:11" ht="16.2" thickBot="1" x14ac:dyDescent="0.35">
      <c r="A27" s="52"/>
      <c r="B27" s="6"/>
      <c r="C27" s="6"/>
      <c r="D27" s="6"/>
      <c r="E27" s="6"/>
      <c r="F27" s="6"/>
      <c r="G27" s="1"/>
      <c r="I27" s="2"/>
      <c r="J27" s="2"/>
      <c r="K27" s="2"/>
    </row>
    <row r="28" spans="1:11" ht="16.2" thickBot="1" x14ac:dyDescent="0.35">
      <c r="A28" s="52"/>
      <c r="B28" s="22" t="s">
        <v>107</v>
      </c>
      <c r="C28" s="23"/>
      <c r="D28" s="23"/>
      <c r="E28" s="23"/>
      <c r="F28" s="24"/>
      <c r="G28" s="1"/>
      <c r="I28" s="2"/>
      <c r="J28" s="2"/>
      <c r="K28" s="2"/>
    </row>
    <row r="29" spans="1:11" ht="10.5" customHeight="1" x14ac:dyDescent="0.3">
      <c r="A29" s="1"/>
      <c r="B29" s="1"/>
      <c r="C29" s="1"/>
      <c r="D29" s="1"/>
      <c r="E29" s="1"/>
      <c r="F29" s="1"/>
      <c r="G29" s="1"/>
    </row>
    <row r="30" spans="1:11" ht="15.6" x14ac:dyDescent="0.3">
      <c r="A30" s="52" t="s">
        <v>9</v>
      </c>
      <c r="B30" s="88" t="s">
        <v>10</v>
      </c>
      <c r="C30" s="88" t="s">
        <v>110</v>
      </c>
      <c r="D30" s="88" t="s">
        <v>7</v>
      </c>
      <c r="E30" s="88" t="s">
        <v>8</v>
      </c>
      <c r="F30" s="88" t="s">
        <v>23</v>
      </c>
      <c r="G30" s="1"/>
    </row>
    <row r="31" spans="1:11" ht="15.6" x14ac:dyDescent="0.3">
      <c r="A31" s="96" t="s">
        <v>135</v>
      </c>
      <c r="B31" s="25">
        <f>'4637'!B21</f>
        <v>3</v>
      </c>
      <c r="C31" s="103" t="str">
        <f>'4637'!C21</f>
        <v>CUBIERTA CON RESPALDO R2</v>
      </c>
      <c r="D31" s="25">
        <f>'4637'!D21</f>
        <v>2140</v>
      </c>
      <c r="E31" s="25">
        <f>'4637'!E21</f>
        <v>780</v>
      </c>
      <c r="F31" s="25" t="str">
        <f>'4637'!F21</f>
        <v>BLANCO 22191 MT MERINO</v>
      </c>
      <c r="G31" s="1"/>
    </row>
    <row r="32" spans="1:11" ht="15.6" x14ac:dyDescent="0.3">
      <c r="A32" s="96"/>
      <c r="B32" s="25">
        <f>'4637'!B22</f>
        <v>1</v>
      </c>
      <c r="C32" s="103" t="str">
        <f>'4637'!C22</f>
        <v>CUBIERTA CON RESPALDO R2</v>
      </c>
      <c r="D32" s="25">
        <f>'4637'!D22</f>
        <v>1000</v>
      </c>
      <c r="E32" s="25">
        <f>'4637'!E22</f>
        <v>780</v>
      </c>
      <c r="F32" s="25" t="str">
        <f>'4637'!F22</f>
        <v>BLANCO 22191 MT MERINO</v>
      </c>
      <c r="G32" s="1"/>
    </row>
    <row r="33" spans="1:7" ht="15.6" x14ac:dyDescent="0.3">
      <c r="A33" s="52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40" t="s">
        <v>27</v>
      </c>
      <c r="D43" s="14">
        <f>'4637'!G8</f>
        <v>7072</v>
      </c>
      <c r="E43" s="1"/>
      <c r="F43" s="1"/>
      <c r="G43" s="1"/>
    </row>
    <row r="44" spans="1:7" ht="17.25" customHeight="1" x14ac:dyDescent="0.3">
      <c r="A44" s="1"/>
      <c r="B44" s="1"/>
      <c r="C44" s="41" t="s">
        <v>67</v>
      </c>
      <c r="D44" s="42" t="str">
        <f>'4637'!C10</f>
        <v>DEMOVI</v>
      </c>
      <c r="E44" s="43"/>
      <c r="F44" s="43"/>
      <c r="G44" s="1"/>
    </row>
    <row r="45" spans="1:7" ht="4.5" customHeight="1" x14ac:dyDescent="0.3">
      <c r="A45" s="1"/>
      <c r="B45" s="1"/>
      <c r="C45" s="44"/>
      <c r="D45" s="45"/>
      <c r="E45" s="1"/>
      <c r="F45" s="1"/>
      <c r="G45" s="1"/>
    </row>
    <row r="46" spans="1:7" ht="15.6" x14ac:dyDescent="0.3">
      <c r="A46" s="1"/>
      <c r="B46" s="1"/>
      <c r="C46" s="46" t="str">
        <f>'4637'!F11</f>
        <v>FECHA LIMITE :</v>
      </c>
      <c r="D46" s="13">
        <f>'4637'!G11</f>
        <v>45407</v>
      </c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26" t="s">
        <v>68</v>
      </c>
      <c r="B49" s="126"/>
      <c r="C49" s="126"/>
      <c r="D49" s="126"/>
      <c r="E49" s="126"/>
      <c r="F49" s="126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75" customHeight="1" x14ac:dyDescent="0.3">
      <c r="A51" s="1"/>
      <c r="B51" s="127" t="s">
        <v>69</v>
      </c>
      <c r="C51" s="128"/>
      <c r="D51" s="129"/>
      <c r="E51" s="129"/>
      <c r="F51" s="130"/>
      <c r="G51" s="1"/>
    </row>
    <row r="52" spans="1:7" s="15" customFormat="1" ht="12.75" customHeight="1" x14ac:dyDescent="0.3">
      <c r="A52" s="1"/>
      <c r="B52" s="36" t="s">
        <v>10</v>
      </c>
      <c r="C52" s="47" t="s">
        <v>11</v>
      </c>
      <c r="D52" s="48" t="s">
        <v>7</v>
      </c>
      <c r="E52" s="48" t="s">
        <v>8</v>
      </c>
      <c r="F52" s="49" t="s">
        <v>12</v>
      </c>
      <c r="G52" s="1"/>
    </row>
    <row r="53" spans="1:7" s="15" customFormat="1" ht="15" customHeight="1" x14ac:dyDescent="0.3">
      <c r="A53" s="96"/>
      <c r="B53" s="38">
        <f>'4637'!B21</f>
        <v>3</v>
      </c>
      <c r="C53" s="102" t="str">
        <f>'4637'!C21</f>
        <v>CUBIERTA CON RESPALDO R2</v>
      </c>
      <c r="D53" s="39">
        <f>'4637'!D21</f>
        <v>2140</v>
      </c>
      <c r="E53" s="39">
        <f>'4637'!E21</f>
        <v>780</v>
      </c>
      <c r="F53" s="38" t="str">
        <f>'4637'!F21</f>
        <v>BLANCO 22191 MT MERINO</v>
      </c>
      <c r="G53" s="1"/>
    </row>
    <row r="54" spans="1:7" s="15" customFormat="1" ht="15" customHeight="1" x14ac:dyDescent="0.3">
      <c r="A54" s="96"/>
      <c r="B54" s="38">
        <f>'4637'!B22</f>
        <v>1</v>
      </c>
      <c r="C54" s="102" t="str">
        <f>'4637'!C22</f>
        <v>CUBIERTA CON RESPALDO R2</v>
      </c>
      <c r="D54" s="39">
        <f>'4637'!D22</f>
        <v>1000</v>
      </c>
      <c r="E54" s="39">
        <f>'4637'!E22</f>
        <v>780</v>
      </c>
      <c r="F54" s="38" t="str">
        <f>'4637'!F22</f>
        <v>BLANCO 22191 MT MERINO</v>
      </c>
      <c r="G54" s="1"/>
    </row>
    <row r="55" spans="1:7" s="15" customFormat="1" ht="15" customHeight="1" x14ac:dyDescent="0.3">
      <c r="A55" s="96"/>
      <c r="B55" s="52"/>
      <c r="C55" s="108"/>
      <c r="D55" s="52"/>
      <c r="E55" s="52"/>
      <c r="F55" s="52"/>
      <c r="G55" s="1"/>
    </row>
    <row r="56" spans="1:7" s="15" customFormat="1" ht="15" customHeight="1" x14ac:dyDescent="0.3">
      <c r="A56" s="50"/>
      <c r="B56" s="52"/>
      <c r="C56" s="52"/>
      <c r="D56" s="52"/>
      <c r="E56" s="52"/>
      <c r="F56" s="52"/>
      <c r="G56" s="1"/>
    </row>
    <row r="57" spans="1:7" ht="15.6" x14ac:dyDescent="0.3">
      <c r="A57" s="6"/>
      <c r="B57" s="6"/>
      <c r="C57" s="1"/>
      <c r="D57" s="6"/>
      <c r="E57" s="6"/>
      <c r="F57" s="44"/>
      <c r="G57" s="1"/>
    </row>
    <row r="58" spans="1:7" ht="15.6" x14ac:dyDescent="0.3">
      <c r="A58" s="6"/>
      <c r="B58" s="6"/>
      <c r="C58" s="1"/>
      <c r="D58" s="6"/>
      <c r="E58" s="6"/>
      <c r="F58" s="6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" customHeight="1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6"/>
      <c r="B64" s="5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x14ac:dyDescent="0.3">
      <c r="B66" s="20"/>
      <c r="C66" s="20"/>
      <c r="D66" s="20"/>
      <c r="E66" s="20"/>
      <c r="F66" s="20"/>
    </row>
    <row r="67" spans="1:7" x14ac:dyDescent="0.3">
      <c r="B67" s="20"/>
      <c r="C67" s="20"/>
      <c r="E67" s="20"/>
      <c r="F67" s="20"/>
    </row>
  </sheetData>
  <mergeCells count="6">
    <mergeCell ref="M3:N3"/>
    <mergeCell ref="A19:F19"/>
    <mergeCell ref="A10:F10"/>
    <mergeCell ref="A49:F49"/>
    <mergeCell ref="B51:F51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2024-04-22T21:08:54Z</cp:lastPrinted>
  <dcterms:created xsi:type="dcterms:W3CDTF">2013-03-19T12:54:14Z</dcterms:created>
  <dcterms:modified xsi:type="dcterms:W3CDTF">2024-04-22T21:10:46Z</dcterms:modified>
</cp:coreProperties>
</file>