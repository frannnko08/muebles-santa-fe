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4 ABRIL 2024\"/>
    </mc:Choice>
  </mc:AlternateContent>
  <xr:revisionPtr revIDLastSave="0" documentId="13_ncr:1_{8A44302C-9C8E-413E-A226-49DEE4A8BD4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CUBIERTA!$A$41:$G$71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3" l="1"/>
  <c r="C33" i="3"/>
  <c r="D33" i="3"/>
  <c r="E33" i="3"/>
  <c r="F33" i="3"/>
  <c r="B34" i="3"/>
  <c r="C34" i="3"/>
  <c r="D34" i="3"/>
  <c r="E34" i="3"/>
  <c r="F34" i="3"/>
  <c r="B58" i="3"/>
  <c r="C58" i="3"/>
  <c r="D58" i="3"/>
  <c r="E58" i="3"/>
  <c r="F58" i="3"/>
  <c r="B59" i="3"/>
  <c r="C59" i="3"/>
  <c r="D59" i="3"/>
  <c r="E59" i="3"/>
  <c r="F59" i="3"/>
  <c r="H24" i="4"/>
  <c r="H25" i="4"/>
  <c r="B32" i="3" l="1"/>
  <c r="I25" i="3" s="1"/>
  <c r="C32" i="3"/>
  <c r="F25" i="3" s="1"/>
  <c r="D32" i="3"/>
  <c r="J25" i="3" s="1"/>
  <c r="D25" i="3" s="1"/>
  <c r="E32" i="3"/>
  <c r="K25" i="3" s="1"/>
  <c r="F32" i="3"/>
  <c r="B57" i="3"/>
  <c r="C57" i="3"/>
  <c r="D57" i="3"/>
  <c r="E57" i="3"/>
  <c r="F57" i="3"/>
  <c r="B60" i="3"/>
  <c r="C60" i="3"/>
  <c r="D60" i="3"/>
  <c r="E60" i="3"/>
  <c r="F60" i="3"/>
  <c r="H26" i="4"/>
  <c r="H23" i="4"/>
  <c r="H28" i="4" s="1"/>
  <c r="B25" i="3" l="1"/>
  <c r="I16" i="3"/>
  <c r="B16" i="3" s="1"/>
  <c r="K16" i="3"/>
  <c r="J16" i="3"/>
  <c r="D16" i="3" s="1"/>
  <c r="F16" i="3"/>
  <c r="B31" i="3"/>
  <c r="I24" i="3" s="1"/>
  <c r="C31" i="3"/>
  <c r="F15" i="3" s="1"/>
  <c r="D31" i="3"/>
  <c r="J24" i="3" s="1"/>
  <c r="D24" i="3" s="1"/>
  <c r="E31" i="3"/>
  <c r="K24" i="3" s="1"/>
  <c r="E24" i="3" s="1"/>
  <c r="F31" i="3"/>
  <c r="B56" i="3"/>
  <c r="C56" i="3"/>
  <c r="D56" i="3"/>
  <c r="E56" i="3"/>
  <c r="F56" i="3"/>
  <c r="H22" i="4"/>
  <c r="H21" i="4"/>
  <c r="B24" i="3" l="1"/>
  <c r="I15" i="3"/>
  <c r="B15" i="3" s="1"/>
  <c r="K15" i="3"/>
  <c r="E15" i="3" s="1"/>
  <c r="J15" i="3"/>
  <c r="D15" i="3" s="1"/>
  <c r="F24" i="3"/>
  <c r="B55" i="3"/>
  <c r="C55" i="3"/>
  <c r="D55" i="3"/>
  <c r="E55" i="3"/>
  <c r="F55" i="3"/>
  <c r="B30" i="3"/>
  <c r="C30" i="3"/>
  <c r="F23" i="3" s="1"/>
  <c r="D30" i="3"/>
  <c r="J14" i="3" s="1"/>
  <c r="D14" i="3" s="1"/>
  <c r="E30" i="3"/>
  <c r="K14" i="3" s="1"/>
  <c r="E14" i="3" s="1"/>
  <c r="F30" i="3"/>
  <c r="I23" i="3" l="1"/>
  <c r="F14" i="3"/>
  <c r="K23" i="3"/>
  <c r="E23" i="3" s="1"/>
  <c r="J23" i="3"/>
  <c r="D23" i="3" s="1"/>
  <c r="B23" i="3" l="1"/>
  <c r="I14" i="3"/>
  <c r="B14" i="3" s="1"/>
  <c r="H30" i="4"/>
  <c r="N5" i="3" l="1"/>
  <c r="M5" i="3" l="1"/>
  <c r="L5" i="3"/>
  <c r="K5" i="3"/>
  <c r="C48" i="3" l="1"/>
  <c r="C7" i="3"/>
  <c r="D46" i="3"/>
  <c r="D5" i="3"/>
  <c r="D48" i="3"/>
  <c r="D7" i="3"/>
  <c r="D45" i="3"/>
  <c r="D4" i="3"/>
</calcChain>
</file>

<file path=xl/sharedStrings.xml><?xml version="1.0" encoding="utf-8"?>
<sst xmlns="http://schemas.openxmlformats.org/spreadsheetml/2006/main" count="256" uniqueCount="148">
  <si>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</si>
  <si>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</si>
  <si>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</si>
  <si>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</si>
  <si>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</si>
  <si>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</si>
  <si>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</si>
  <si>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</si>
  <si>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</si>
  <si>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</si>
  <si>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</si>
  <si>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</si>
  <si>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</si>
  <si>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</si>
  <si>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</si>
  <si>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</si>
  <si>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</si>
  <si>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</si>
  <si>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</si>
  <si>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</si>
  <si>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</si>
  <si>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</si>
  <si>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</si>
  <si>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</si>
  <si>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</si>
  <si>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</si>
  <si>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</si>
  <si>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</si>
  <si>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</si>
  <si>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</si>
  <si>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</si>
  <si>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</si>
  <si>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</si>
  <si>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</si>
  <si>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</si>
  <si>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</si>
  <si>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</si>
  <si>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</si>
  <si>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</si>
  <si>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</si>
  <si>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</si>
  <si>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</si>
  <si>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</si>
  <si>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</si>
  <si>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</si>
  <si>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</si>
  <si>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</si>
  <si>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</si>
  <si>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</si>
  <si>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</si>
  <si>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</si>
  <si>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</si>
  <si>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</si>
  <si>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</si>
  <si>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</si>
  <si>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</si>
  <si>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</si>
  <si>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</si>
  <si>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</si>
  <si>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</si>
  <si>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</si>
  <si>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</si>
  <si>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</si>
  <si>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</si>
  <si>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</si>
  <si>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</si>
  <si>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</si>
  <si>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</si>
  <si>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</si>
  <si>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</si>
  <si>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</si>
  <si>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</si>
  <si>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</si>
  <si>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</si>
  <si>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</si>
  <si>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</si>
  <si>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</si>
  <si>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</si>
  <si>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</si>
  <si>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</si>
  <si>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</si>
  <si>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</si>
  <si>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</si>
  <si>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</si>
  <si>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</si>
  <si>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</si>
  <si>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</si>
  <si>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</si>
  <si>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</si>
  <si>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</si>
  <si>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</si>
  <si>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</si>
  <si>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</si>
  <si>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</si>
  <si>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</si>
  <si>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</si>
  <si>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</si>
  <si>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</si>
  <si>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</si>
  <si>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</si>
  <si>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</si>
  <si>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</si>
  <si>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</si>
  <si>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</si>
  <si>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</si>
  <si>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</si>
  <si>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</si>
  <si>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</si>
  <si>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</si>
  <si>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</si>
  <si>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</si>
  <si>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</si>
  <si>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</si>
  <si>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</si>
  <si>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</si>
  <si>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</si>
  <si>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</si>
  <si>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</si>
  <si>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</si>
  <si>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</si>
  <si>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</si>
  <si>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</si>
  <si>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</si>
  <si>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</si>
  <si>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</si>
  <si>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</si>
  <si>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</si>
  <si>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</si>
  <si>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</si>
  <si>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</si>
  <si>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</si>
  <si>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</si>
  <si>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</si>
  <si>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</si>
  <si>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</si>
  <si>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NO</t>
  </si>
  <si>
    <t>ANA MARIA LAMINOS</t>
  </si>
  <si>
    <t>+569 6300 8207</t>
  </si>
  <si>
    <t>FRANCO DONOSO</t>
  </si>
  <si>
    <t>CORTE Z</t>
  </si>
  <si>
    <t>50% ABONO, 50% C/ENTREGA</t>
  </si>
  <si>
    <t>PIETRA ADOBE 2716 BR</t>
  </si>
  <si>
    <t>CUB MESA R6 2L FALDON</t>
  </si>
  <si>
    <t xml:space="preserve">CUB S/R R6 FALDON </t>
  </si>
  <si>
    <t>CENEFA R6 1V</t>
  </si>
  <si>
    <t>REGRUESOS</t>
  </si>
  <si>
    <t>N° 10894</t>
  </si>
  <si>
    <t>VER FALDONES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</si>
</sst>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3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6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8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7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166" fontId="3" fillId="0" borderId="29" xfId="1" applyNumberFormat="1" applyFont="1" applyFill="1" applyBorder="1" applyAlignment="1">
      <alignment horizontal="center" vertical="center"/>
    </xf>
    <xf numFmtId="42" fontId="15" fillId="0" borderId="12" xfId="3" applyFont="1" applyBorder="1" applyAlignment="1">
      <alignment horizontal="center" vertical="center"/>
    </xf>
    <xf numFmtId="42" fontId="15" fillId="0" borderId="28" xfId="3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42" fontId="15" fillId="0" borderId="27" xfId="3" applyFont="1" applyBorder="1" applyAlignment="1">
      <alignment horizontal="center" vertical="center"/>
    </xf>
    <xf numFmtId="0" fontId="5" fillId="3" borderId="0" xfId="0" applyFont="1" applyFill="1"/>
    <xf numFmtId="0" fontId="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5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166" fontId="3" fillId="0" borderId="33" xfId="1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" fillId="8" borderId="35" xfId="0" applyFont="1" applyFill="1" applyBorder="1" applyAlignment="1">
      <alignment horizontal="center" vertical="center"/>
    </xf>
    <xf numFmtId="0" fontId="1" fillId="8" borderId="36" xfId="0" applyFont="1" applyFill="1" applyBorder="1" applyAlignment="1">
      <alignment horizontal="center" vertical="center"/>
    </xf>
    <xf numFmtId="0" fontId="1" fillId="8" borderId="37" xfId="0" applyFont="1" applyFill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27</xdr:row>
      <xdr:rowOff>9525</xdr:rowOff>
    </xdr:from>
    <xdr:to>
      <xdr:col>5</xdr:col>
      <xdr:colOff>1390650</xdr:colOff>
      <xdr:row>30</xdr:row>
      <xdr:rowOff>15240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648325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TRANSFERENCIA $150.000</a:t>
          </a:r>
          <a:r>
            <a:rPr lang="es-CL" sz="900" b="1" i="1" baseline="0"/>
            <a:t> + $78.000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49</xdr:row>
      <xdr:rowOff>171450</xdr:rowOff>
    </xdr:from>
    <xdr:to>
      <xdr:col>5</xdr:col>
      <xdr:colOff>1685924</xdr:colOff>
      <xdr:row>51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38100</xdr:rowOff>
    </xdr:from>
    <xdr:to>
      <xdr:col>6</xdr:col>
      <xdr:colOff>0</xdr:colOff>
      <xdr:row>46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61</xdr:row>
      <xdr:rowOff>0</xdr:rowOff>
    </xdr:from>
    <xdr:to>
      <xdr:col>2</xdr:col>
      <xdr:colOff>38100</xdr:colOff>
      <xdr:row>62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61</xdr:row>
      <xdr:rowOff>0</xdr:rowOff>
    </xdr:from>
    <xdr:to>
      <xdr:col>2</xdr:col>
      <xdr:colOff>1019175</xdr:colOff>
      <xdr:row>61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61</xdr:row>
      <xdr:rowOff>0</xdr:rowOff>
    </xdr:from>
    <xdr:to>
      <xdr:col>3</xdr:col>
      <xdr:colOff>352425</xdr:colOff>
      <xdr:row>62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61</xdr:row>
      <xdr:rowOff>0</xdr:rowOff>
    </xdr:from>
    <xdr:to>
      <xdr:col>4</xdr:col>
      <xdr:colOff>257175</xdr:colOff>
      <xdr:row>62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61</xdr:row>
      <xdr:rowOff>0</xdr:rowOff>
    </xdr:from>
    <xdr:to>
      <xdr:col>5</xdr:col>
      <xdr:colOff>447675</xdr:colOff>
      <xdr:row>61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61</xdr:row>
      <xdr:rowOff>0</xdr:rowOff>
    </xdr:from>
    <xdr:to>
      <xdr:col>6</xdr:col>
      <xdr:colOff>0</xdr:colOff>
      <xdr:row>61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61</xdr:row>
      <xdr:rowOff>190500</xdr:rowOff>
    </xdr:from>
    <xdr:to>
      <xdr:col>2</xdr:col>
      <xdr:colOff>304800</xdr:colOff>
      <xdr:row>63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61</xdr:row>
      <xdr:rowOff>190500</xdr:rowOff>
    </xdr:from>
    <xdr:to>
      <xdr:col>2</xdr:col>
      <xdr:colOff>1276350</xdr:colOff>
      <xdr:row>63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61</xdr:row>
      <xdr:rowOff>190500</xdr:rowOff>
    </xdr:from>
    <xdr:to>
      <xdr:col>3</xdr:col>
      <xdr:colOff>619125</xdr:colOff>
      <xdr:row>63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61</xdr:row>
      <xdr:rowOff>190500</xdr:rowOff>
    </xdr:from>
    <xdr:to>
      <xdr:col>4</xdr:col>
      <xdr:colOff>523875</xdr:colOff>
      <xdr:row>63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61</xdr:row>
      <xdr:rowOff>190500</xdr:rowOff>
    </xdr:from>
    <xdr:to>
      <xdr:col>5</xdr:col>
      <xdr:colOff>723900</xdr:colOff>
      <xdr:row>63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61</xdr:row>
      <xdr:rowOff>190500</xdr:rowOff>
    </xdr:from>
    <xdr:to>
      <xdr:col>6</xdr:col>
      <xdr:colOff>0</xdr:colOff>
      <xdr:row>63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36</xdr:row>
      <xdr:rowOff>15239</xdr:rowOff>
    </xdr:from>
    <xdr:to>
      <xdr:col>6</xdr:col>
      <xdr:colOff>0</xdr:colOff>
      <xdr:row>40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7193279"/>
          <a:ext cx="8050530" cy="77724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POSTFORMADOS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SEGUN DIBUJO, COSTADOS ENCHAPADOS CON REGRUESO Y MISMA LAMINA SEGUN DIBUJO, CORTES SEGUN DIBUJO.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25</xdr:row>
      <xdr:rowOff>200025</xdr:rowOff>
    </xdr:from>
    <xdr:to>
      <xdr:col>6</xdr:col>
      <xdr:colOff>19049</xdr:colOff>
      <xdr:row>27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64</xdr:row>
      <xdr:rowOff>32385</xdr:rowOff>
    </xdr:from>
    <xdr:to>
      <xdr:col>6</xdr:col>
      <xdr:colOff>19050</xdr:colOff>
      <xdr:row>68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POSTFORMADOS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SEGUN DIBUJO, COSTADOS ENCHAPADOS CON REGRUESO Y MISMA LAMINA SEGUN DIBUJO, CORTES SEGUN DIBUJO.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41</xdr:row>
      <xdr:rowOff>194310</xdr:rowOff>
    </xdr:from>
    <xdr:to>
      <xdr:col>2</xdr:col>
      <xdr:colOff>100723</xdr:colOff>
      <xdr:row>48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topLeftCell="A16" workbookViewId="0">
      <selection activeCell="L25" sqref="L2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4" t="s">
        <v>16</v>
      </c>
      <c r="C8" s="85"/>
      <c r="D8" s="86" t="s">
        <v>146</v>
      </c>
      <c r="E8" s="1"/>
      <c r="F8" s="87" t="s">
        <v>27</v>
      </c>
      <c r="G8" s="88">
        <v>7064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129</v>
      </c>
      <c r="C10" s="81" t="s">
        <v>136</v>
      </c>
      <c r="D10" s="54"/>
      <c r="E10" s="54"/>
      <c r="F10" s="55" t="s">
        <v>28</v>
      </c>
      <c r="G10" s="56">
        <v>45383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"/>
      <c r="D11" s="59"/>
      <c r="E11" s="59"/>
      <c r="F11" s="59" t="s">
        <v>124</v>
      </c>
      <c r="G11" s="60">
        <v>45387</v>
      </c>
      <c r="H11" s="61"/>
      <c r="I11" s="1"/>
    </row>
    <row r="12" spans="1:17" ht="16.2" thickBot="1" x14ac:dyDescent="0.35">
      <c r="A12" s="1"/>
      <c r="B12" s="62" t="s">
        <v>131</v>
      </c>
      <c r="D12" s="43"/>
      <c r="E12" s="43"/>
      <c r="F12" s="43" t="s">
        <v>30</v>
      </c>
      <c r="G12" s="63"/>
      <c r="H12" s="64"/>
      <c r="I12" s="1"/>
    </row>
    <row r="13" spans="1:17" ht="15.6" x14ac:dyDescent="0.3">
      <c r="A13" s="1"/>
      <c r="B13" s="62" t="s">
        <v>133</v>
      </c>
      <c r="C13" s="81"/>
      <c r="D13" s="43"/>
      <c r="E13" s="43"/>
      <c r="F13" s="43" t="s">
        <v>128</v>
      </c>
      <c r="G13" s="63" t="s">
        <v>138</v>
      </c>
      <c r="H13" s="64"/>
      <c r="I13" s="1"/>
    </row>
    <row r="14" spans="1:17" ht="15.6" x14ac:dyDescent="0.3">
      <c r="A14" s="1"/>
      <c r="B14" s="58" t="s">
        <v>17</v>
      </c>
      <c r="C14" s="98" t="s">
        <v>137</v>
      </c>
      <c r="D14" s="65"/>
      <c r="E14" s="59"/>
      <c r="F14" s="59" t="s">
        <v>29</v>
      </c>
      <c r="G14" s="59" t="s">
        <v>135</v>
      </c>
      <c r="H14" s="61"/>
      <c r="I14" s="1"/>
    </row>
    <row r="15" spans="1:17" ht="15.6" x14ac:dyDescent="0.3">
      <c r="A15" s="1"/>
      <c r="B15" s="62" t="s">
        <v>1</v>
      </c>
      <c r="C15" s="94"/>
      <c r="D15" s="43"/>
      <c r="E15" s="43"/>
      <c r="F15" s="66" t="s">
        <v>75</v>
      </c>
      <c r="G15" s="111" t="s">
        <v>140</v>
      </c>
      <c r="H15" s="64"/>
      <c r="I15" s="1"/>
    </row>
    <row r="16" spans="1:17" ht="16.2" thickBot="1" x14ac:dyDescent="0.35">
      <c r="A16" s="1"/>
      <c r="B16" s="67" t="s">
        <v>3</v>
      </c>
      <c r="C16" s="68" t="s">
        <v>132</v>
      </c>
      <c r="D16" s="68"/>
      <c r="E16" s="69"/>
      <c r="F16" s="115" t="s">
        <v>18</v>
      </c>
      <c r="G16" s="115"/>
      <c r="H16" s="116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7" t="s">
        <v>19</v>
      </c>
      <c r="C19" s="118"/>
      <c r="D19" s="118"/>
      <c r="E19" s="118"/>
      <c r="F19" s="118"/>
      <c r="G19" s="118"/>
      <c r="H19" s="119"/>
      <c r="I19" s="1"/>
    </row>
    <row r="20" spans="1:16" ht="16.2" thickBot="1" x14ac:dyDescent="0.35">
      <c r="A20" s="1"/>
      <c r="B20" s="131" t="s">
        <v>20</v>
      </c>
      <c r="C20" s="132" t="s">
        <v>21</v>
      </c>
      <c r="D20" s="132" t="s">
        <v>22</v>
      </c>
      <c r="E20" s="132" t="s">
        <v>8</v>
      </c>
      <c r="F20" s="133" t="s">
        <v>23</v>
      </c>
      <c r="G20" s="104" t="s">
        <v>24</v>
      </c>
      <c r="H20" s="105" t="s">
        <v>4</v>
      </c>
      <c r="I20" s="1"/>
    </row>
    <row r="21" spans="1:16" ht="18" customHeight="1" x14ac:dyDescent="0.3">
      <c r="A21" s="1"/>
      <c r="B21" s="99">
        <v>1</v>
      </c>
      <c r="C21" s="101" t="s">
        <v>142</v>
      </c>
      <c r="D21" s="102">
        <v>3100</v>
      </c>
      <c r="E21" s="102">
        <v>1286</v>
      </c>
      <c r="F21" s="99" t="s">
        <v>141</v>
      </c>
      <c r="G21" s="106">
        <v>419630</v>
      </c>
      <c r="H21" s="107">
        <f t="shared" ref="H21:H26" si="0">G21*B21</f>
        <v>419630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9">
        <v>1</v>
      </c>
      <c r="C22" s="101" t="s">
        <v>143</v>
      </c>
      <c r="D22" s="102">
        <v>950</v>
      </c>
      <c r="E22" s="102">
        <v>513</v>
      </c>
      <c r="F22" s="99" t="s">
        <v>141</v>
      </c>
      <c r="G22" s="100">
        <v>55761</v>
      </c>
      <c r="H22" s="108">
        <f t="shared" si="0"/>
        <v>55761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9">
        <v>2</v>
      </c>
      <c r="C23" s="103" t="s">
        <v>144</v>
      </c>
      <c r="D23" s="102">
        <v>2440</v>
      </c>
      <c r="E23" s="102">
        <v>40</v>
      </c>
      <c r="F23" s="99" t="s">
        <v>141</v>
      </c>
      <c r="G23" s="100">
        <v>28609</v>
      </c>
      <c r="H23" s="108">
        <f t="shared" si="0"/>
        <v>57218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9">
        <v>3</v>
      </c>
      <c r="C24" s="103" t="s">
        <v>145</v>
      </c>
      <c r="D24" s="102">
        <v>3100</v>
      </c>
      <c r="E24" s="102">
        <v>35</v>
      </c>
      <c r="F24" s="99" t="s">
        <v>130</v>
      </c>
      <c r="G24" s="128">
        <v>1250</v>
      </c>
      <c r="H24" s="108">
        <f t="shared" si="0"/>
        <v>3750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99">
        <v>2</v>
      </c>
      <c r="C25" s="103" t="s">
        <v>145</v>
      </c>
      <c r="D25" s="102">
        <v>95</v>
      </c>
      <c r="E25" s="102">
        <v>35</v>
      </c>
      <c r="F25" s="99" t="s">
        <v>130</v>
      </c>
      <c r="G25" s="128">
        <v>1250</v>
      </c>
      <c r="H25" s="108">
        <f t="shared" si="0"/>
        <v>2500</v>
      </c>
      <c r="I25" s="1"/>
      <c r="K25" s="17"/>
      <c r="L25" s="26"/>
      <c r="M25" s="17"/>
      <c r="N25" s="17"/>
      <c r="O25" s="26"/>
      <c r="P25" s="33"/>
    </row>
    <row r="26" spans="1:16" ht="18" customHeight="1" thickBot="1" x14ac:dyDescent="0.35">
      <c r="A26" s="1"/>
      <c r="B26" s="99">
        <v>1</v>
      </c>
      <c r="C26" s="103" t="s">
        <v>139</v>
      </c>
      <c r="D26" s="102"/>
      <c r="E26" s="102"/>
      <c r="F26" s="99"/>
      <c r="G26" s="109">
        <v>30000</v>
      </c>
      <c r="H26" s="110">
        <f t="shared" si="0"/>
        <v>30000</v>
      </c>
      <c r="I26" s="1"/>
      <c r="K26" s="17"/>
      <c r="L26" s="26"/>
      <c r="M26" s="17"/>
      <c r="N26" s="17"/>
      <c r="O26" s="26"/>
      <c r="P26" s="33"/>
    </row>
    <row r="27" spans="1:16" ht="18" customHeight="1" thickBot="1" x14ac:dyDescent="0.35">
      <c r="A27" s="1"/>
      <c r="B27" s="90"/>
      <c r="C27" s="90"/>
      <c r="D27" s="90"/>
      <c r="E27" s="90"/>
      <c r="F27" s="91"/>
      <c r="G27" s="92"/>
      <c r="H27" s="92"/>
      <c r="I27" s="1"/>
      <c r="K27" s="17"/>
      <c r="L27" s="26"/>
      <c r="M27" s="17"/>
      <c r="N27" s="17"/>
      <c r="O27" s="26"/>
      <c r="P27" s="33"/>
    </row>
    <row r="28" spans="1:16" ht="15.6" x14ac:dyDescent="0.3">
      <c r="A28" s="1"/>
      <c r="B28" s="1"/>
      <c r="C28" s="1"/>
      <c r="D28" s="1"/>
      <c r="E28" s="1"/>
      <c r="F28" s="1"/>
      <c r="G28" s="71" t="s">
        <v>5</v>
      </c>
      <c r="H28" s="72">
        <f>SUM(H21:H27)</f>
        <v>568859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3" t="s">
        <v>6</v>
      </c>
      <c r="H29" s="74"/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75" t="s">
        <v>4</v>
      </c>
      <c r="H30" s="76">
        <f>H28+H29</f>
        <v>568859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51"/>
      <c r="H31" s="93"/>
      <c r="I31" s="1"/>
    </row>
    <row r="32" spans="1:16" ht="15.6" x14ac:dyDescent="0.3">
      <c r="A32" s="1"/>
      <c r="B32" s="77" t="s">
        <v>123</v>
      </c>
      <c r="C32" s="78"/>
      <c r="D32" s="79"/>
      <c r="E32" s="79"/>
      <c r="F32" s="70"/>
      <c r="G32" s="1"/>
      <c r="H32" s="1"/>
      <c r="I32" s="1"/>
    </row>
    <row r="33" spans="1:9" ht="15.6" x14ac:dyDescent="0.3">
      <c r="A33" s="1"/>
      <c r="B33" s="77" t="s">
        <v>122</v>
      </c>
      <c r="C33" s="78"/>
      <c r="D33" s="79"/>
      <c r="E33" s="79"/>
      <c r="F33" s="70"/>
      <c r="G33" s="1"/>
      <c r="H33" s="1"/>
      <c r="I33" s="1"/>
    </row>
    <row r="34" spans="1:9" ht="15.6" x14ac:dyDescent="0.3">
      <c r="A34" s="1"/>
      <c r="B34" s="1" t="s">
        <v>25</v>
      </c>
      <c r="C34" s="1"/>
      <c r="D34" s="1"/>
      <c r="E34" s="80" t="s">
        <v>26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3"/>
  </sortState>
  <mergeCells count="2">
    <mergeCell ref="F16:H16"/>
    <mergeCell ref="B19:H19"/>
  </mergeCells>
  <phoneticPr fontId="10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0" t="s">
        <v>31</v>
      </c>
      <c r="C2" s="120"/>
      <c r="D2" s="120"/>
      <c r="E2" s="18"/>
      <c r="G2" s="120" t="s">
        <v>70</v>
      </c>
      <c r="H2" s="120"/>
      <c r="I2" s="120"/>
      <c r="P2" s="121" t="s">
        <v>58</v>
      </c>
      <c r="Q2" s="121"/>
      <c r="R2" s="121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1" t="s">
        <v>58</v>
      </c>
      <c r="M8" s="121"/>
      <c r="N8" s="121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2"/>
  <sheetViews>
    <sheetView tabSelected="1" topLeftCell="A11" zoomScaleNormal="100" workbookViewId="0">
      <selection activeCell="E17" sqref="E17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2" t="s">
        <v>61</v>
      </c>
      <c r="L3" s="122"/>
      <c r="M3" s="122" t="s">
        <v>14</v>
      </c>
      <c r="N3" s="122"/>
    </row>
    <row r="4" spans="1:14" ht="15.75" customHeight="1" x14ac:dyDescent="0.3">
      <c r="A4" s="1"/>
      <c r="B4" s="1"/>
      <c r="C4" s="40" t="s">
        <v>27</v>
      </c>
      <c r="D4" s="14">
        <f>'4637'!G8</f>
        <v>7064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ANA MARIA LAMINOS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2" t="str">
        <f>'4637'!F11</f>
        <v>FECHA LIMITE :</v>
      </c>
      <c r="D7" s="13">
        <f>'4637'!G11</f>
        <v>45387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3" t="s">
        <v>61</v>
      </c>
      <c r="B10" s="123"/>
      <c r="C10" s="123"/>
      <c r="D10" s="123"/>
      <c r="E10" s="123"/>
      <c r="F10" s="123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50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89" t="s">
        <v>130</v>
      </c>
      <c r="B14" s="25">
        <f t="shared" ref="B14" si="0">I14</f>
        <v>1</v>
      </c>
      <c r="C14" s="25" t="s">
        <v>147</v>
      </c>
      <c r="D14" s="25">
        <f>J14+D$13</f>
        <v>3150</v>
      </c>
      <c r="E14" s="35">
        <f>K14+E$13</f>
        <v>1286</v>
      </c>
      <c r="F14" s="96" t="str">
        <f>C30</f>
        <v>CUB MESA R6 2L FALDON</v>
      </c>
      <c r="G14" s="1"/>
      <c r="I14" s="3">
        <f>I23</f>
        <v>1</v>
      </c>
      <c r="J14" s="4">
        <f t="shared" ref="J14:K14" si="1">D30</f>
        <v>3100</v>
      </c>
      <c r="K14" s="4">
        <f t="shared" si="1"/>
        <v>1286</v>
      </c>
    </row>
    <row r="15" spans="1:14" ht="15.6" x14ac:dyDescent="0.3">
      <c r="A15" s="89"/>
      <c r="B15" s="25">
        <f t="shared" ref="B15" si="2">I15</f>
        <v>1</v>
      </c>
      <c r="C15" s="25" t="s">
        <v>147</v>
      </c>
      <c r="D15" s="25">
        <f>J15+D$13</f>
        <v>1000</v>
      </c>
      <c r="E15" s="35">
        <f>K15+E$13</f>
        <v>513</v>
      </c>
      <c r="F15" s="96" t="str">
        <f>C31</f>
        <v xml:space="preserve">CUB S/R R6 FALDON </v>
      </c>
      <c r="G15" s="1"/>
      <c r="I15" s="3">
        <f>I24</f>
        <v>1</v>
      </c>
      <c r="J15" s="4">
        <f t="shared" ref="J15" si="3">D31</f>
        <v>950</v>
      </c>
      <c r="K15" s="4">
        <f t="shared" ref="K15" si="4">E31</f>
        <v>513</v>
      </c>
    </row>
    <row r="16" spans="1:14" ht="15.6" x14ac:dyDescent="0.3">
      <c r="A16" s="89"/>
      <c r="B16" s="25">
        <f t="shared" ref="B16" si="5">I16</f>
        <v>2</v>
      </c>
      <c r="C16" s="25"/>
      <c r="D16" s="25">
        <f t="shared" ref="D16" si="6">J16+D$13</f>
        <v>2490</v>
      </c>
      <c r="E16" s="35">
        <v>100</v>
      </c>
      <c r="F16" s="96" t="str">
        <f t="shared" ref="F16" si="7">C32</f>
        <v>CENEFA R6 1V</v>
      </c>
      <c r="G16" s="1"/>
      <c r="I16" s="3">
        <f t="shared" ref="I16" si="8">I25</f>
        <v>2</v>
      </c>
      <c r="J16" s="4">
        <f t="shared" ref="J16" si="9">D32</f>
        <v>2440</v>
      </c>
      <c r="K16" s="4">
        <f t="shared" ref="K16" si="10">E32</f>
        <v>40</v>
      </c>
    </row>
    <row r="17" spans="1:11" ht="15.6" x14ac:dyDescent="0.3">
      <c r="A17" s="51"/>
      <c r="B17" s="6"/>
      <c r="C17" s="6"/>
      <c r="D17" s="6"/>
      <c r="E17" s="6"/>
      <c r="F17" s="112"/>
      <c r="G17" s="1"/>
      <c r="I17" s="114"/>
      <c r="J17" s="114"/>
      <c r="K17" s="114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23" t="s">
        <v>14</v>
      </c>
      <c r="B19" s="123"/>
      <c r="C19" s="123"/>
      <c r="D19" s="123"/>
      <c r="E19" s="123"/>
      <c r="F19" s="123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1" t="s">
        <v>7</v>
      </c>
      <c r="E21" s="51" t="s">
        <v>8</v>
      </c>
      <c r="F21" s="1"/>
      <c r="G21" s="1"/>
    </row>
    <row r="22" spans="1:11" ht="15.6" x14ac:dyDescent="0.3">
      <c r="A22" s="51" t="s">
        <v>9</v>
      </c>
      <c r="B22" s="36" t="s">
        <v>10</v>
      </c>
      <c r="C22" s="36" t="s">
        <v>11</v>
      </c>
      <c r="D22" s="21">
        <v>40</v>
      </c>
      <c r="E22" s="21">
        <v>260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89" t="s">
        <v>130</v>
      </c>
      <c r="B23" s="16">
        <f t="shared" ref="B23" si="11">I23</f>
        <v>1</v>
      </c>
      <c r="C23" s="16"/>
      <c r="D23" s="16">
        <f>J23+D$22</f>
        <v>3140</v>
      </c>
      <c r="E23" s="16">
        <f>K23+E$22</f>
        <v>1546</v>
      </c>
      <c r="F23" s="97" t="str">
        <f>C30</f>
        <v>CUB MESA R6 2L FALDON</v>
      </c>
      <c r="G23" s="1"/>
      <c r="I23" s="3">
        <f>B30</f>
        <v>1</v>
      </c>
      <c r="J23" s="4">
        <f>D30</f>
        <v>3100</v>
      </c>
      <c r="K23" s="4">
        <f>E30</f>
        <v>1286</v>
      </c>
    </row>
    <row r="24" spans="1:11" ht="15.6" x14ac:dyDescent="0.3">
      <c r="A24" s="89"/>
      <c r="B24" s="16">
        <f t="shared" ref="B24" si="12">I24</f>
        <v>1</v>
      </c>
      <c r="C24" s="16"/>
      <c r="D24" s="16">
        <f>J24+D$22</f>
        <v>990</v>
      </c>
      <c r="E24" s="16">
        <f>K24+E$22</f>
        <v>773</v>
      </c>
      <c r="F24" s="97" t="str">
        <f>C31</f>
        <v xml:space="preserve">CUB S/R R6 FALDON </v>
      </c>
      <c r="G24" s="1"/>
      <c r="I24" s="3">
        <f>B31</f>
        <v>1</v>
      </c>
      <c r="J24" s="4">
        <f>D31</f>
        <v>950</v>
      </c>
      <c r="K24" s="4">
        <f>E31</f>
        <v>513</v>
      </c>
    </row>
    <row r="25" spans="1:11" ht="15.6" x14ac:dyDescent="0.3">
      <c r="A25" s="89"/>
      <c r="B25" s="16">
        <f t="shared" ref="B25" si="13">I25</f>
        <v>2</v>
      </c>
      <c r="C25" s="16"/>
      <c r="D25" s="16">
        <f>J25+D$22</f>
        <v>2480</v>
      </c>
      <c r="E25" s="16">
        <v>120</v>
      </c>
      <c r="F25" s="97" t="str">
        <f t="shared" ref="F25" si="14">C32</f>
        <v>CENEFA R6 1V</v>
      </c>
      <c r="G25" s="1"/>
      <c r="I25" s="3">
        <f t="shared" ref="I25" si="15">B32</f>
        <v>2</v>
      </c>
      <c r="J25" s="4">
        <f t="shared" ref="J25:K25" si="16">D32</f>
        <v>2440</v>
      </c>
      <c r="K25" s="4">
        <f t="shared" si="16"/>
        <v>40</v>
      </c>
    </row>
    <row r="26" spans="1:11" ht="16.2" thickBot="1" x14ac:dyDescent="0.35">
      <c r="A26" s="51"/>
      <c r="B26" s="6"/>
      <c r="C26" s="6"/>
      <c r="D26" s="6"/>
      <c r="E26" s="6"/>
      <c r="F26" s="6"/>
      <c r="G26" s="1"/>
      <c r="I26" s="114"/>
      <c r="J26" s="114"/>
      <c r="K26" s="114"/>
    </row>
    <row r="27" spans="1:11" ht="16.2" thickBot="1" x14ac:dyDescent="0.35">
      <c r="A27" s="51"/>
      <c r="B27" s="22" t="s">
        <v>107</v>
      </c>
      <c r="C27" s="23"/>
      <c r="D27" s="23"/>
      <c r="E27" s="23"/>
      <c r="F27" s="24"/>
      <c r="G27" s="1"/>
      <c r="I27" s="2"/>
      <c r="J27" s="2"/>
      <c r="K27" s="2"/>
    </row>
    <row r="28" spans="1:11" ht="10.5" customHeight="1" x14ac:dyDescent="0.3">
      <c r="A28" s="1"/>
      <c r="B28" s="1"/>
      <c r="C28" s="1"/>
      <c r="D28" s="1"/>
      <c r="E28" s="1"/>
      <c r="F28" s="1"/>
      <c r="G28" s="1"/>
    </row>
    <row r="29" spans="1:11" ht="15.6" x14ac:dyDescent="0.3">
      <c r="A29" s="51" t="s">
        <v>9</v>
      </c>
      <c r="B29" s="83" t="s">
        <v>10</v>
      </c>
      <c r="C29" s="83" t="s">
        <v>110</v>
      </c>
      <c r="D29" s="83" t="s">
        <v>7</v>
      </c>
      <c r="E29" s="83" t="s">
        <v>8</v>
      </c>
      <c r="F29" s="83" t="s">
        <v>23</v>
      </c>
      <c r="G29" s="1"/>
      <c r="K29">
        <v>12</v>
      </c>
    </row>
    <row r="30" spans="1:11" ht="15.6" x14ac:dyDescent="0.3">
      <c r="A30" s="89" t="s">
        <v>134</v>
      </c>
      <c r="B30" s="25">
        <f>'4637'!B21</f>
        <v>1</v>
      </c>
      <c r="C30" s="96" t="str">
        <f>'4637'!C21</f>
        <v>CUB MESA R6 2L FALDON</v>
      </c>
      <c r="D30" s="25">
        <f>'4637'!D21</f>
        <v>3100</v>
      </c>
      <c r="E30" s="25">
        <f>'4637'!E21</f>
        <v>1286</v>
      </c>
      <c r="F30" s="25" t="str">
        <f>'4637'!F21</f>
        <v>PIETRA ADOBE 2716 BR</v>
      </c>
      <c r="G30" s="1"/>
    </row>
    <row r="31" spans="1:11" ht="15.6" x14ac:dyDescent="0.3">
      <c r="A31" s="89"/>
      <c r="B31" s="25">
        <f>'4637'!B22</f>
        <v>1</v>
      </c>
      <c r="C31" s="96" t="str">
        <f>'4637'!C22</f>
        <v xml:space="preserve">CUB S/R R6 FALDON </v>
      </c>
      <c r="D31" s="25">
        <f>'4637'!D22</f>
        <v>950</v>
      </c>
      <c r="E31" s="25">
        <f>'4637'!E22</f>
        <v>513</v>
      </c>
      <c r="F31" s="25" t="str">
        <f>'4637'!F22</f>
        <v>PIETRA ADOBE 2716 BR</v>
      </c>
      <c r="G31" s="1"/>
    </row>
    <row r="32" spans="1:11" ht="15.6" x14ac:dyDescent="0.3">
      <c r="A32" s="89"/>
      <c r="B32" s="25">
        <f>'4637'!B23</f>
        <v>2</v>
      </c>
      <c r="C32" s="96" t="str">
        <f>'4637'!C23</f>
        <v>CENEFA R6 1V</v>
      </c>
      <c r="D32" s="25">
        <f>'4637'!D23</f>
        <v>2440</v>
      </c>
      <c r="E32" s="25">
        <f>'4637'!E23</f>
        <v>40</v>
      </c>
      <c r="F32" s="25" t="str">
        <f>'4637'!F23</f>
        <v>PIETRA ADOBE 2716 BR</v>
      </c>
      <c r="G32" s="1"/>
    </row>
    <row r="33" spans="1:7" ht="15.6" x14ac:dyDescent="0.3">
      <c r="A33" s="89"/>
      <c r="B33" s="25">
        <f>'4637'!B24</f>
        <v>3</v>
      </c>
      <c r="C33" s="96" t="str">
        <f>'4637'!C24</f>
        <v>REGRUESOS</v>
      </c>
      <c r="D33" s="25">
        <f>'4637'!D24</f>
        <v>3100</v>
      </c>
      <c r="E33" s="25">
        <f>'4637'!E24</f>
        <v>35</v>
      </c>
      <c r="F33" s="25" t="str">
        <f>'4637'!F24</f>
        <v>MDF 18MM</v>
      </c>
      <c r="G33" s="1"/>
    </row>
    <row r="34" spans="1:7" ht="15.6" x14ac:dyDescent="0.3">
      <c r="A34" s="89"/>
      <c r="B34" s="25">
        <f>'4637'!B25</f>
        <v>2</v>
      </c>
      <c r="C34" s="96" t="str">
        <f>'4637'!C25</f>
        <v>REGRUESOS</v>
      </c>
      <c r="D34" s="25">
        <f>'4637'!D25</f>
        <v>95</v>
      </c>
      <c r="E34" s="25">
        <f>'4637'!E25</f>
        <v>35</v>
      </c>
      <c r="F34" s="25" t="str">
        <f>'4637'!F25</f>
        <v>MDF 18MM</v>
      </c>
      <c r="G34" s="1"/>
    </row>
    <row r="35" spans="1:7" ht="15.6" x14ac:dyDescent="0.3">
      <c r="A35" s="89"/>
      <c r="B35" s="129"/>
      <c r="C35" s="130"/>
      <c r="D35" s="129"/>
      <c r="E35" s="129"/>
      <c r="F35" s="129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40" t="s">
        <v>27</v>
      </c>
      <c r="D45" s="14">
        <f>'4637'!G8</f>
        <v>7064</v>
      </c>
      <c r="E45" s="1"/>
      <c r="F45" s="1"/>
      <c r="G45" s="1"/>
    </row>
    <row r="46" spans="1:7" ht="17.25" customHeight="1" x14ac:dyDescent="0.3">
      <c r="A46" s="1"/>
      <c r="B46" s="1"/>
      <c r="C46" s="41" t="s">
        <v>67</v>
      </c>
      <c r="D46" s="42" t="str">
        <f>'4637'!C10</f>
        <v>ANA MARIA LAMINOS</v>
      </c>
      <c r="E46" s="43"/>
      <c r="F46" s="43"/>
      <c r="G46" s="1"/>
    </row>
    <row r="47" spans="1:7" ht="4.5" customHeight="1" x14ac:dyDescent="0.3">
      <c r="A47" s="1"/>
      <c r="B47" s="1"/>
      <c r="C47" s="44"/>
      <c r="D47" s="45"/>
      <c r="E47" s="1"/>
      <c r="F47" s="1"/>
      <c r="G47" s="1"/>
    </row>
    <row r="48" spans="1:7" ht="15.6" x14ac:dyDescent="0.3">
      <c r="A48" s="1"/>
      <c r="B48" s="1"/>
      <c r="C48" s="46" t="str">
        <f>'4637'!F11</f>
        <v>FECHA LIMITE :</v>
      </c>
      <c r="D48" s="13">
        <f>'4637'!G11</f>
        <v>45387</v>
      </c>
      <c r="E48" s="1"/>
      <c r="F48" s="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23" t="s">
        <v>68</v>
      </c>
      <c r="B51" s="123"/>
      <c r="C51" s="123"/>
      <c r="D51" s="123"/>
      <c r="E51" s="123"/>
      <c r="F51" s="123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75" customHeight="1" x14ac:dyDescent="0.3">
      <c r="A53" s="1"/>
      <c r="B53" s="124" t="s">
        <v>69</v>
      </c>
      <c r="C53" s="125"/>
      <c r="D53" s="126"/>
      <c r="E53" s="126"/>
      <c r="F53" s="127"/>
      <c r="G53" s="1"/>
    </row>
    <row r="54" spans="1:7" s="15" customFormat="1" ht="12.75" customHeight="1" x14ac:dyDescent="0.3">
      <c r="A54" s="1"/>
      <c r="B54" s="36" t="s">
        <v>10</v>
      </c>
      <c r="C54" s="47" t="s">
        <v>11</v>
      </c>
      <c r="D54" s="48" t="s">
        <v>7</v>
      </c>
      <c r="E54" s="48" t="s">
        <v>8</v>
      </c>
      <c r="F54" s="49" t="s">
        <v>12</v>
      </c>
      <c r="G54" s="1"/>
    </row>
    <row r="55" spans="1:7" s="15" customFormat="1" ht="15" customHeight="1" x14ac:dyDescent="0.3">
      <c r="A55" s="89"/>
      <c r="B55" s="38">
        <f>'4637'!B21</f>
        <v>1</v>
      </c>
      <c r="C55" s="95" t="str">
        <f>'4637'!C21</f>
        <v>CUB MESA R6 2L FALDON</v>
      </c>
      <c r="D55" s="39">
        <f>'4637'!D21</f>
        <v>3100</v>
      </c>
      <c r="E55" s="39">
        <f>'4637'!E21</f>
        <v>1286</v>
      </c>
      <c r="F55" s="38" t="str">
        <f>'4637'!F21</f>
        <v>PIETRA ADOBE 2716 BR</v>
      </c>
      <c r="G55" s="1"/>
    </row>
    <row r="56" spans="1:7" s="15" customFormat="1" ht="15" customHeight="1" x14ac:dyDescent="0.3">
      <c r="A56" s="89"/>
      <c r="B56" s="38">
        <f>'4637'!B22</f>
        <v>1</v>
      </c>
      <c r="C56" s="95" t="str">
        <f>'4637'!C22</f>
        <v xml:space="preserve">CUB S/R R6 FALDON </v>
      </c>
      <c r="D56" s="39">
        <f>'4637'!D22</f>
        <v>950</v>
      </c>
      <c r="E56" s="39">
        <f>'4637'!E22</f>
        <v>513</v>
      </c>
      <c r="F56" s="38" t="str">
        <f>'4637'!F22</f>
        <v>PIETRA ADOBE 2716 BR</v>
      </c>
      <c r="G56" s="1"/>
    </row>
    <row r="57" spans="1:7" s="15" customFormat="1" ht="15" customHeight="1" x14ac:dyDescent="0.3">
      <c r="A57" s="89"/>
      <c r="B57" s="38">
        <f>'4637'!B23</f>
        <v>2</v>
      </c>
      <c r="C57" s="95" t="str">
        <f>'4637'!C23</f>
        <v>CENEFA R6 1V</v>
      </c>
      <c r="D57" s="39">
        <f>'4637'!D23</f>
        <v>2440</v>
      </c>
      <c r="E57" s="39">
        <f>'4637'!E23</f>
        <v>40</v>
      </c>
      <c r="F57" s="38" t="str">
        <f>'4637'!F23</f>
        <v>PIETRA ADOBE 2716 BR</v>
      </c>
      <c r="G57" s="1"/>
    </row>
    <row r="58" spans="1:7" s="15" customFormat="1" ht="15" customHeight="1" x14ac:dyDescent="0.3">
      <c r="A58" s="89"/>
      <c r="B58" s="38">
        <f>'4637'!B24</f>
        <v>3</v>
      </c>
      <c r="C58" s="95" t="str">
        <f>'4637'!C24</f>
        <v>REGRUESOS</v>
      </c>
      <c r="D58" s="39">
        <f>'4637'!D24</f>
        <v>3100</v>
      </c>
      <c r="E58" s="39">
        <f>'4637'!E24</f>
        <v>35</v>
      </c>
      <c r="F58" s="38" t="str">
        <f>'4637'!F24</f>
        <v>MDF 18MM</v>
      </c>
      <c r="G58" s="1"/>
    </row>
    <row r="59" spans="1:7" s="15" customFormat="1" ht="15" customHeight="1" x14ac:dyDescent="0.3">
      <c r="A59" s="89"/>
      <c r="B59" s="38">
        <f>'4637'!B25</f>
        <v>2</v>
      </c>
      <c r="C59" s="95" t="str">
        <f>'4637'!C25</f>
        <v>REGRUESOS</v>
      </c>
      <c r="D59" s="39">
        <f>'4637'!D25</f>
        <v>95</v>
      </c>
      <c r="E59" s="39">
        <f>'4637'!E25</f>
        <v>35</v>
      </c>
      <c r="F59" s="38" t="str">
        <f>'4637'!F25</f>
        <v>MDF 18MM</v>
      </c>
      <c r="G59" s="1"/>
    </row>
    <row r="60" spans="1:7" s="15" customFormat="1" ht="15" customHeight="1" x14ac:dyDescent="0.3">
      <c r="A60" s="89"/>
      <c r="B60" s="38">
        <f>'4637'!B26</f>
        <v>1</v>
      </c>
      <c r="C60" s="95" t="str">
        <f>'4637'!C26</f>
        <v>CORTE Z</v>
      </c>
      <c r="D60" s="39">
        <f>'4637'!D26</f>
        <v>0</v>
      </c>
      <c r="E60" s="39">
        <f>'4637'!E26</f>
        <v>0</v>
      </c>
      <c r="F60" s="38">
        <f>'4637'!F26</f>
        <v>0</v>
      </c>
      <c r="G60" s="1"/>
    </row>
    <row r="61" spans="1:7" s="15" customFormat="1" ht="15" customHeight="1" x14ac:dyDescent="0.3">
      <c r="A61" s="89"/>
      <c r="B61" s="51"/>
      <c r="C61" s="113"/>
      <c r="D61" s="51"/>
      <c r="E61" s="51"/>
      <c r="F61" s="51"/>
      <c r="G61" s="1"/>
    </row>
    <row r="62" spans="1:7" ht="15.6" x14ac:dyDescent="0.3">
      <c r="A62" s="6"/>
      <c r="B62" s="6"/>
      <c r="C62" s="1"/>
      <c r="D62" s="6"/>
      <c r="E62" s="6"/>
      <c r="F62" s="44"/>
      <c r="G62" s="1"/>
    </row>
    <row r="63" spans="1:7" ht="15.6" x14ac:dyDescent="0.3">
      <c r="A63" s="6"/>
      <c r="B63" s="6"/>
      <c r="C63" s="1"/>
      <c r="D63" s="6"/>
      <c r="E63" s="6"/>
      <c r="F63" s="6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" customHeight="1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6"/>
      <c r="B69" s="50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x14ac:dyDescent="0.3">
      <c r="B71" s="20"/>
      <c r="C71" s="20"/>
      <c r="D71" s="20"/>
      <c r="E71" s="20"/>
      <c r="F71" s="20"/>
    </row>
    <row r="72" spans="1:7" x14ac:dyDescent="0.3">
      <c r="B72" s="20"/>
      <c r="C72" s="20"/>
      <c r="E72" s="20"/>
      <c r="F72" s="20"/>
    </row>
  </sheetData>
  <mergeCells count="6">
    <mergeCell ref="M3:N3"/>
    <mergeCell ref="A19:F19"/>
    <mergeCell ref="A10:F10"/>
    <mergeCell ref="A51:F51"/>
    <mergeCell ref="B53:F53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2024-04-01T11:48:06Z</cp:lastPrinted>
  <dcterms:created xsi:type="dcterms:W3CDTF">2013-03-19T12:54:14Z</dcterms:created>
  <dcterms:modified xsi:type="dcterms:W3CDTF">2024-04-01T22:04:10Z</dcterms:modified>
</cp:coreProperties>
</file>