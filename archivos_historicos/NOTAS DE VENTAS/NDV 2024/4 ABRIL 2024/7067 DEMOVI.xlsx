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4 ABRIL 2024\"/>
    </mc:Choice>
  </mc:AlternateContent>
  <xr:revisionPtr revIDLastSave="0" documentId="13_ncr:1_{D9751EB2-AE9B-4E1A-98CC-7A5B5AEB81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'4637'!$A$1:$H$34</definedName>
    <definedName name="_xlnm.Print_Area" localSheetId="2">CUBIERTA!$A$43:$G$72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3" l="1"/>
  <c r="I15" i="3"/>
  <c r="B15" i="3" s="1"/>
  <c r="J15" i="3"/>
  <c r="D15" i="3" s="1"/>
  <c r="K15" i="3"/>
  <c r="E15" i="3" s="1"/>
  <c r="F16" i="3"/>
  <c r="I16" i="3"/>
  <c r="B16" i="3" s="1"/>
  <c r="J16" i="3"/>
  <c r="D16" i="3" s="1"/>
  <c r="K16" i="3"/>
  <c r="E16" i="3" s="1"/>
  <c r="B34" i="3"/>
  <c r="I25" i="3" s="1"/>
  <c r="B25" i="3" s="1"/>
  <c r="C34" i="3"/>
  <c r="F25" i="3" s="1"/>
  <c r="D34" i="3"/>
  <c r="J25" i="3" s="1"/>
  <c r="D25" i="3" s="1"/>
  <c r="E34" i="3"/>
  <c r="K25" i="3" s="1"/>
  <c r="E25" i="3" s="1"/>
  <c r="F34" i="3"/>
  <c r="B35" i="3"/>
  <c r="I26" i="3" s="1"/>
  <c r="B26" i="3" s="1"/>
  <c r="C35" i="3"/>
  <c r="F26" i="3" s="1"/>
  <c r="D35" i="3"/>
  <c r="J26" i="3" s="1"/>
  <c r="D26" i="3" s="1"/>
  <c r="E35" i="3"/>
  <c r="K26" i="3" s="1"/>
  <c r="E26" i="3" s="1"/>
  <c r="F35" i="3"/>
  <c r="B36" i="3"/>
  <c r="C36" i="3"/>
  <c r="D36" i="3"/>
  <c r="E36" i="3"/>
  <c r="F36" i="3"/>
  <c r="B58" i="3"/>
  <c r="C58" i="3"/>
  <c r="D58" i="3"/>
  <c r="E58" i="3"/>
  <c r="F58" i="3"/>
  <c r="B59" i="3"/>
  <c r="C59" i="3"/>
  <c r="D59" i="3"/>
  <c r="E59" i="3"/>
  <c r="F59" i="3"/>
  <c r="B60" i="3"/>
  <c r="C60" i="3"/>
  <c r="D60" i="3"/>
  <c r="E60" i="3"/>
  <c r="F60" i="3"/>
  <c r="H22" i="4"/>
  <c r="H23" i="4"/>
  <c r="H24" i="4"/>
  <c r="H21" i="4" l="1"/>
  <c r="H28" i="4" l="1"/>
  <c r="B57" i="3"/>
  <c r="C57" i="3"/>
  <c r="D57" i="3"/>
  <c r="E57" i="3"/>
  <c r="F57" i="3"/>
  <c r="B33" i="3"/>
  <c r="C33" i="3"/>
  <c r="F24" i="3" s="1"/>
  <c r="D33" i="3"/>
  <c r="J14" i="3" s="1"/>
  <c r="D14" i="3" s="1"/>
  <c r="E33" i="3"/>
  <c r="K14" i="3" s="1"/>
  <c r="E14" i="3" s="1"/>
  <c r="F33" i="3"/>
  <c r="H29" i="4" l="1"/>
  <c r="I24" i="3"/>
  <c r="F14" i="3"/>
  <c r="K24" i="3"/>
  <c r="E24" i="3" s="1"/>
  <c r="J24" i="3"/>
  <c r="D24" i="3" s="1"/>
  <c r="B24" i="3" l="1"/>
  <c r="I14" i="3"/>
  <c r="B14" i="3" s="1"/>
  <c r="H30" i="4"/>
  <c r="N5" i="3" l="1"/>
  <c r="M5" i="3" l="1"/>
  <c r="L5" i="3"/>
  <c r="K5" i="3"/>
  <c r="C50" i="3" l="1"/>
  <c r="C7" i="3"/>
  <c r="D48" i="3"/>
  <c r="D5" i="3"/>
  <c r="D50" i="3"/>
  <c r="D7" i="3"/>
  <c r="D47" i="3"/>
  <c r="D4" i="3"/>
</calcChain>
</file>

<file path=xl/sharedStrings.xml><?xml version="1.0" encoding="utf-8"?>
<sst xmlns="http://schemas.openxmlformats.org/spreadsheetml/2006/main" count="250" uniqueCount="144">
  <si>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</si>
  <si>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</si>
  <si>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</si>
  <si>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</si>
  <si>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</si>
  <si>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</si>
  <si>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</si>
  <si>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</si>
  <si>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</si>
  <si>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</si>
  <si>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</si>
  <si>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</si>
  <si>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</si>
  <si>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</si>
  <si>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</si>
  <si>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</si>
  <si>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</si>
  <si>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</si>
  <si>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</si>
  <si>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</si>
  <si>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</si>
  <si>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</si>
  <si>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</si>
  <si>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</si>
  <si>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</si>
  <si>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</si>
  <si>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</si>
  <si>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</si>
  <si>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</si>
  <si>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</si>
  <si>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</si>
  <si>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</si>
  <si>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</si>
  <si>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</si>
  <si>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</si>
  <si>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</si>
  <si>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</si>
  <si>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</si>
  <si>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</si>
  <si>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</si>
  <si>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</si>
  <si>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</si>
  <si>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</si>
  <si>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</si>
  <si>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</si>
  <si>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</si>
  <si>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</si>
  <si>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</si>
  <si>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</si>
  <si>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</si>
  <si>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</si>
  <si>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</si>
  <si>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</si>
  <si>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</si>
  <si>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</si>
  <si>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</si>
  <si>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</si>
  <si>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</si>
  <si>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</si>
  <si>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</si>
  <si>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</si>
  <si>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</si>
  <si>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</si>
  <si>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</si>
  <si>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</si>
  <si>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</si>
  <si>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</si>
  <si>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</si>
  <si>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</si>
  <si>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</si>
  <si>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</si>
  <si>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</si>
  <si>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</si>
  <si>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</si>
  <si>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</si>
  <si>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</si>
  <si>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</si>
  <si>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</si>
  <si>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</si>
  <si>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</si>
  <si>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</si>
  <si>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</si>
  <si>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</si>
  <si>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</si>
  <si>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</si>
  <si>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</si>
  <si>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</si>
  <si>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</si>
  <si>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</si>
  <si>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</si>
  <si>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</si>
  <si>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</si>
  <si>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</si>
  <si>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</si>
  <si>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</si>
  <si>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</si>
  <si>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</si>
  <si>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</si>
  <si>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</si>
  <si>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</si>
  <si>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</si>
  <si>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</si>
  <si>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</si>
  <si>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</si>
  <si>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</si>
  <si>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</si>
  <si>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</si>
  <si>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</si>
  <si>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</si>
  <si>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</si>
  <si>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</si>
  <si>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</si>
  <si>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</si>
  <si>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</si>
  <si>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</si>
  <si>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</si>
  <si>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</si>
  <si>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</si>
  <si>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</si>
  <si>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</si>
  <si>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</si>
  <si>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</si>
  <si>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</si>
  <si>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</si>
  <si>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</si>
  <si>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</si>
  <si>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</si>
  <si>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</si>
  <si>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</si>
  <si>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</si>
  <si>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</si>
  <si>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>FERNANDO DONOSO</t>
  </si>
  <si>
    <t xml:space="preserve">GIRO: </t>
  </si>
  <si>
    <t>SANTIAGO</t>
  </si>
  <si>
    <t>CONTACTO:</t>
  </si>
  <si>
    <t>MDF18MM</t>
  </si>
  <si>
    <t>NO</t>
  </si>
  <si>
    <t>CONTADO</t>
  </si>
  <si>
    <t>DEMOVI</t>
  </si>
  <si>
    <t>CUBIERTA CON RESPALDO R2</t>
  </si>
  <si>
    <t>GRAFITO MT 2174</t>
  </si>
  <si>
    <t>CORTE 45°</t>
  </si>
  <si>
    <t>N° 10898</t>
  </si>
  <si>
    <t>+56 9 8466 2944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</si>
</sst>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39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5" fillId="0" borderId="1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165" fontId="15" fillId="0" borderId="33" xfId="0" applyNumberFormat="1" applyFont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1" fontId="15" fillId="0" borderId="32" xfId="0" applyNumberFormat="1" applyFont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18" fillId="0" borderId="0" xfId="2" quotePrefix="1" applyFont="1" applyFill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3" borderId="0" xfId="0" applyFont="1" applyFill="1" applyBorder="1" applyAlignment="1">
      <alignment horizontal="center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27</xdr:row>
      <xdr:rowOff>9525</xdr:rowOff>
    </xdr:from>
    <xdr:to>
      <xdr:col>5</xdr:col>
      <xdr:colOff>1390650</xdr:colOff>
      <xdr:row>31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ABONO $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18</xdr:row>
      <xdr:rowOff>76200</xdr:rowOff>
    </xdr:from>
    <xdr:to>
      <xdr:col>5</xdr:col>
      <xdr:colOff>1676399</xdr:colOff>
      <xdr:row>20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51</xdr:row>
      <xdr:rowOff>171450</xdr:rowOff>
    </xdr:from>
    <xdr:to>
      <xdr:col>5</xdr:col>
      <xdr:colOff>1685924</xdr:colOff>
      <xdr:row>53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49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47</xdr:row>
      <xdr:rowOff>38100</xdr:rowOff>
    </xdr:from>
    <xdr:to>
      <xdr:col>6</xdr:col>
      <xdr:colOff>0</xdr:colOff>
      <xdr:row>48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46</xdr:row>
      <xdr:rowOff>0</xdr:rowOff>
    </xdr:from>
    <xdr:to>
      <xdr:col>6</xdr:col>
      <xdr:colOff>0</xdr:colOff>
      <xdr:row>47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62</xdr:row>
      <xdr:rowOff>0</xdr:rowOff>
    </xdr:from>
    <xdr:to>
      <xdr:col>2</xdr:col>
      <xdr:colOff>38100</xdr:colOff>
      <xdr:row>63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62</xdr:row>
      <xdr:rowOff>0</xdr:rowOff>
    </xdr:from>
    <xdr:to>
      <xdr:col>2</xdr:col>
      <xdr:colOff>1019175</xdr:colOff>
      <xdr:row>62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62</xdr:row>
      <xdr:rowOff>0</xdr:rowOff>
    </xdr:from>
    <xdr:to>
      <xdr:col>3</xdr:col>
      <xdr:colOff>352425</xdr:colOff>
      <xdr:row>63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62</xdr:row>
      <xdr:rowOff>0</xdr:rowOff>
    </xdr:from>
    <xdr:to>
      <xdr:col>4</xdr:col>
      <xdr:colOff>257175</xdr:colOff>
      <xdr:row>63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62</xdr:row>
      <xdr:rowOff>0</xdr:rowOff>
    </xdr:from>
    <xdr:to>
      <xdr:col>5</xdr:col>
      <xdr:colOff>447675</xdr:colOff>
      <xdr:row>62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62</xdr:row>
      <xdr:rowOff>0</xdr:rowOff>
    </xdr:from>
    <xdr:to>
      <xdr:col>6</xdr:col>
      <xdr:colOff>0</xdr:colOff>
      <xdr:row>62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62</xdr:row>
      <xdr:rowOff>190500</xdr:rowOff>
    </xdr:from>
    <xdr:to>
      <xdr:col>2</xdr:col>
      <xdr:colOff>304800</xdr:colOff>
      <xdr:row>64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62</xdr:row>
      <xdr:rowOff>190500</xdr:rowOff>
    </xdr:from>
    <xdr:to>
      <xdr:col>2</xdr:col>
      <xdr:colOff>1276350</xdr:colOff>
      <xdr:row>64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62</xdr:row>
      <xdr:rowOff>190500</xdr:rowOff>
    </xdr:from>
    <xdr:to>
      <xdr:col>3</xdr:col>
      <xdr:colOff>619125</xdr:colOff>
      <xdr:row>64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62</xdr:row>
      <xdr:rowOff>190500</xdr:rowOff>
    </xdr:from>
    <xdr:to>
      <xdr:col>4</xdr:col>
      <xdr:colOff>523875</xdr:colOff>
      <xdr:row>64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62</xdr:row>
      <xdr:rowOff>190500</xdr:rowOff>
    </xdr:from>
    <xdr:to>
      <xdr:col>5</xdr:col>
      <xdr:colOff>723900</xdr:colOff>
      <xdr:row>64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62</xdr:row>
      <xdr:rowOff>190500</xdr:rowOff>
    </xdr:from>
    <xdr:to>
      <xdr:col>6</xdr:col>
      <xdr:colOff>0</xdr:colOff>
      <xdr:row>64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369570</xdr:colOff>
      <xdr:row>38</xdr:row>
      <xdr:rowOff>15239</xdr:rowOff>
    </xdr:from>
    <xdr:to>
      <xdr:col>6</xdr:col>
      <xdr:colOff>45720</xdr:colOff>
      <xdr:row>42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69570" y="5410199"/>
          <a:ext cx="811911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OBSERVACIONES:LLEVA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CORTE 45 Y TERMINACIONES, PREGUNTAR A FRANCO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28</xdr:row>
      <xdr:rowOff>200025</xdr:rowOff>
    </xdr:from>
    <xdr:to>
      <xdr:col>6</xdr:col>
      <xdr:colOff>19049</xdr:colOff>
      <xdr:row>30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65</xdr:row>
      <xdr:rowOff>32385</xdr:rowOff>
    </xdr:from>
    <xdr:to>
      <xdr:col>6</xdr:col>
      <xdr:colOff>19050</xdr:colOff>
      <xdr:row>69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OBSERVACIONES:LLEVA CORTE 45 Y TERMINACIONES, PREGUNTAR A FRANCO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43</xdr:row>
      <xdr:rowOff>194310</xdr:rowOff>
    </xdr:from>
    <xdr:to>
      <xdr:col>2</xdr:col>
      <xdr:colOff>100723</xdr:colOff>
      <xdr:row>50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10405110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2</xdr:col>
      <xdr:colOff>79768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7"/>
  <sheetViews>
    <sheetView tabSelected="1" topLeftCell="A2" workbookViewId="0">
      <selection activeCell="J22" sqref="J2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8.88671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142</v>
      </c>
      <c r="E8" s="1"/>
      <c r="F8" s="94" t="s">
        <v>27</v>
      </c>
      <c r="G8" s="95">
        <v>7067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138</v>
      </c>
      <c r="D10" s="55"/>
      <c r="E10" s="55"/>
      <c r="F10" s="56" t="s">
        <v>28</v>
      </c>
      <c r="G10" s="57">
        <v>45391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/>
      <c r="D11" s="60"/>
      <c r="E11" s="60"/>
      <c r="F11" s="60" t="s">
        <v>124</v>
      </c>
      <c r="G11" s="61">
        <v>45394</v>
      </c>
      <c r="H11" s="62"/>
      <c r="I11" s="1"/>
    </row>
    <row r="12" spans="1:17" ht="16.2" thickBot="1" x14ac:dyDescent="0.35">
      <c r="A12" s="1"/>
      <c r="B12" s="63" t="s">
        <v>132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134</v>
      </c>
      <c r="C13" s="86"/>
      <c r="D13" s="43"/>
      <c r="E13" s="43"/>
      <c r="F13" s="43" t="s">
        <v>128</v>
      </c>
      <c r="G13" s="64" t="s">
        <v>131</v>
      </c>
      <c r="H13" s="65"/>
      <c r="I13" s="1"/>
    </row>
    <row r="14" spans="1:17" ht="15.6" x14ac:dyDescent="0.3">
      <c r="A14" s="1"/>
      <c r="B14" s="59" t="s">
        <v>17</v>
      </c>
      <c r="C14" s="133" t="s">
        <v>143</v>
      </c>
      <c r="D14" s="66"/>
      <c r="E14" s="60"/>
      <c r="F14" s="60" t="s">
        <v>29</v>
      </c>
      <c r="G14" s="60" t="s">
        <v>136</v>
      </c>
      <c r="H14" s="62"/>
      <c r="I14" s="1"/>
    </row>
    <row r="15" spans="1:17" ht="15.6" x14ac:dyDescent="0.3">
      <c r="A15" s="1"/>
      <c r="B15" s="63" t="s">
        <v>1</v>
      </c>
      <c r="C15" s="101"/>
      <c r="D15" s="43"/>
      <c r="E15" s="43"/>
      <c r="F15" s="67" t="s">
        <v>75</v>
      </c>
      <c r="G15" s="67" t="s">
        <v>137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133</v>
      </c>
      <c r="D16" s="69"/>
      <c r="E16" s="70"/>
      <c r="F16" s="109" t="s">
        <v>18</v>
      </c>
      <c r="G16" s="109"/>
      <c r="H16" s="110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1" t="s">
        <v>19</v>
      </c>
      <c r="C19" s="112"/>
      <c r="D19" s="112"/>
      <c r="E19" s="112"/>
      <c r="F19" s="112"/>
      <c r="G19" s="112"/>
      <c r="H19" s="113"/>
      <c r="I19" s="1"/>
    </row>
    <row r="20" spans="1:16" ht="16.2" thickBot="1" x14ac:dyDescent="0.35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22">
        <v>1</v>
      </c>
      <c r="C21" s="123" t="s">
        <v>139</v>
      </c>
      <c r="D21" s="131">
        <v>2700</v>
      </c>
      <c r="E21" s="131">
        <v>600</v>
      </c>
      <c r="F21" s="123" t="s">
        <v>140</v>
      </c>
      <c r="G21" s="124">
        <v>119162</v>
      </c>
      <c r="H21" s="106">
        <f>G21*B21</f>
        <v>119162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25">
        <v>1</v>
      </c>
      <c r="C22" s="105" t="s">
        <v>139</v>
      </c>
      <c r="D22" s="132">
        <v>2100</v>
      </c>
      <c r="E22" s="132">
        <v>600</v>
      </c>
      <c r="F22" s="105" t="s">
        <v>140</v>
      </c>
      <c r="G22" s="126">
        <v>101939</v>
      </c>
      <c r="H22" s="106">
        <f t="shared" ref="H22:H24" si="0">G22*B22</f>
        <v>101939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25">
        <v>1</v>
      </c>
      <c r="C23" s="105" t="s">
        <v>139</v>
      </c>
      <c r="D23" s="132">
        <v>2100</v>
      </c>
      <c r="E23" s="132">
        <v>550</v>
      </c>
      <c r="F23" s="105" t="s">
        <v>140</v>
      </c>
      <c r="G23" s="126">
        <v>93444</v>
      </c>
      <c r="H23" s="106">
        <f t="shared" si="0"/>
        <v>93444</v>
      </c>
      <c r="I23" s="1"/>
      <c r="K23" s="17"/>
      <c r="L23" s="26"/>
      <c r="M23" s="17"/>
      <c r="N23" s="17"/>
      <c r="O23" s="26"/>
      <c r="P23" s="33"/>
    </row>
    <row r="24" spans="1:16" ht="18" customHeight="1" thickBot="1" x14ac:dyDescent="0.35">
      <c r="A24" s="1"/>
      <c r="B24" s="127">
        <v>2</v>
      </c>
      <c r="C24" s="128" t="s">
        <v>141</v>
      </c>
      <c r="D24" s="129"/>
      <c r="E24" s="129"/>
      <c r="F24" s="128"/>
      <c r="G24" s="130">
        <v>7500</v>
      </c>
      <c r="H24" s="106">
        <f t="shared" si="0"/>
        <v>15000</v>
      </c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97"/>
      <c r="C25" s="98"/>
      <c r="D25" s="107"/>
      <c r="E25" s="107"/>
      <c r="F25" s="97"/>
      <c r="G25" s="75"/>
      <c r="H25" s="99"/>
      <c r="I25" s="1"/>
      <c r="K25" s="17"/>
      <c r="L25" s="26"/>
      <c r="M25" s="17"/>
      <c r="N25" s="17"/>
      <c r="O25" s="26"/>
      <c r="P25" s="33"/>
    </row>
    <row r="26" spans="1:16" ht="18" customHeight="1" x14ac:dyDescent="0.3">
      <c r="A26" s="1"/>
      <c r="B26" s="97"/>
      <c r="C26" s="97"/>
      <c r="D26" s="97"/>
      <c r="E26" s="97"/>
      <c r="F26" s="98"/>
      <c r="G26" s="99"/>
      <c r="H26" s="99"/>
      <c r="I26" s="1"/>
      <c r="K26" s="17"/>
      <c r="L26" s="26"/>
      <c r="M26" s="17"/>
      <c r="N26" s="17"/>
      <c r="O26" s="26"/>
      <c r="P26" s="33"/>
    </row>
    <row r="27" spans="1:16" ht="8.25" customHeight="1" thickBot="1" x14ac:dyDescent="0.35">
      <c r="A27" s="1"/>
      <c r="B27" s="74"/>
      <c r="C27" s="74"/>
      <c r="D27" s="74"/>
      <c r="E27" s="74"/>
      <c r="F27" s="74"/>
      <c r="G27" s="75"/>
      <c r="H27" s="75"/>
      <c r="I27" s="1"/>
    </row>
    <row r="28" spans="1:16" ht="15.6" x14ac:dyDescent="0.3">
      <c r="A28" s="1"/>
      <c r="B28" s="1"/>
      <c r="C28" s="1"/>
      <c r="D28" s="1"/>
      <c r="E28" s="1"/>
      <c r="F28" s="1"/>
      <c r="G28" s="76" t="s">
        <v>5</v>
      </c>
      <c r="H28" s="77">
        <f>SUM(H21:H27)</f>
        <v>329545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78" t="s">
        <v>6</v>
      </c>
      <c r="H29" s="79">
        <f>H28*19%</f>
        <v>62613.55</v>
      </c>
      <c r="I29" s="1"/>
    </row>
    <row r="30" spans="1:16" ht="16.2" thickBot="1" x14ac:dyDescent="0.35">
      <c r="A30" s="1"/>
      <c r="B30" s="1"/>
      <c r="C30" s="1"/>
      <c r="D30" s="1"/>
      <c r="E30" s="1"/>
      <c r="F30" s="1"/>
      <c r="G30" s="80" t="s">
        <v>4</v>
      </c>
      <c r="H30" s="81">
        <f>H28+H29</f>
        <v>392158.55</v>
      </c>
      <c r="I30" s="1"/>
    </row>
    <row r="31" spans="1:16" ht="15.6" x14ac:dyDescent="0.3">
      <c r="A31" s="1"/>
      <c r="B31" s="1"/>
      <c r="C31" s="1"/>
      <c r="D31" s="1"/>
      <c r="E31" s="1"/>
      <c r="F31" s="1"/>
      <c r="G31" s="52"/>
      <c r="H31" s="100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82" t="s">
        <v>123</v>
      </c>
      <c r="C33" s="83"/>
      <c r="D33" s="84"/>
      <c r="E33" s="84"/>
      <c r="F33" s="74"/>
      <c r="G33" s="1"/>
      <c r="H33" s="1"/>
      <c r="I33" s="1"/>
    </row>
    <row r="34" spans="1:9" ht="15.6" x14ac:dyDescent="0.3">
      <c r="A34" s="1"/>
      <c r="B34" s="82" t="s">
        <v>122</v>
      </c>
      <c r="C34" s="83"/>
      <c r="D34" s="84"/>
      <c r="E34" s="84"/>
      <c r="F34" s="74"/>
      <c r="G34" s="1"/>
      <c r="H34" s="1"/>
      <c r="I34" s="1"/>
    </row>
    <row r="35" spans="1:9" ht="15.6" x14ac:dyDescent="0.3">
      <c r="A35" s="1"/>
      <c r="B35" s="1" t="s">
        <v>25</v>
      </c>
      <c r="C35" s="1"/>
      <c r="D35" s="1"/>
      <c r="E35" s="85" t="s">
        <v>26</v>
      </c>
      <c r="F35" s="1"/>
      <c r="G35" s="1"/>
      <c r="H35" s="1"/>
      <c r="I35" s="1"/>
    </row>
    <row r="36" spans="1:9" ht="15.6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ht="15.6" x14ac:dyDescent="0.3">
      <c r="A37" s="1"/>
      <c r="B37" s="1"/>
      <c r="C37" s="1"/>
      <c r="D37" s="1"/>
      <c r="E37" s="1"/>
      <c r="F37" s="1"/>
      <c r="G37" s="1"/>
      <c r="H37" s="1"/>
      <c r="I37" s="1"/>
    </row>
  </sheetData>
  <sortState xmlns:xlrd2="http://schemas.microsoft.com/office/spreadsheetml/2017/richdata2" ref="B39">
    <sortCondition sortBy="fontColor" ref="B39" dxfId="3"/>
  </sortState>
  <mergeCells count="2">
    <mergeCell ref="F16:H16"/>
    <mergeCell ref="B19:H19"/>
  </mergeCells>
  <phoneticPr fontId="10" type="noConversion"/>
  <hyperlinks>
    <hyperlink ref="E35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4" t="s">
        <v>31</v>
      </c>
      <c r="C2" s="114"/>
      <c r="D2" s="114"/>
      <c r="E2" s="18"/>
      <c r="G2" s="114" t="s">
        <v>70</v>
      </c>
      <c r="H2" s="114"/>
      <c r="I2" s="114"/>
      <c r="P2" s="115" t="s">
        <v>58</v>
      </c>
      <c r="Q2" s="115"/>
      <c r="R2" s="115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5" t="s">
        <v>58</v>
      </c>
      <c r="M8" s="115"/>
      <c r="N8" s="115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3"/>
  <sheetViews>
    <sheetView topLeftCell="A7" zoomScaleNormal="100" workbookViewId="0">
      <selection activeCell="I44" sqref="I44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6" t="s">
        <v>61</v>
      </c>
      <c r="L3" s="116"/>
      <c r="M3" s="116" t="s">
        <v>14</v>
      </c>
      <c r="N3" s="116"/>
    </row>
    <row r="4" spans="1:14" ht="15.75" customHeight="1" x14ac:dyDescent="0.3">
      <c r="A4" s="1"/>
      <c r="B4" s="1"/>
      <c r="C4" s="40" t="s">
        <v>27</v>
      </c>
      <c r="D4" s="14">
        <f>'4637'!G8</f>
        <v>7067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DEMOVI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45394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7" t="s">
        <v>61</v>
      </c>
      <c r="B10" s="117"/>
      <c r="C10" s="117"/>
      <c r="D10" s="117"/>
      <c r="E10" s="117"/>
      <c r="F10" s="117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130</v>
      </c>
      <c r="B14" s="25">
        <f t="shared" ref="B14" si="0">I14</f>
        <v>1</v>
      </c>
      <c r="C14" s="25"/>
      <c r="D14" s="25">
        <f>J14+D$13</f>
        <v>2750</v>
      </c>
      <c r="E14" s="35">
        <f>K14+E$13</f>
        <v>570</v>
      </c>
      <c r="F14" s="103" t="str">
        <f>C33</f>
        <v>CUBIERTA CON RESPALDO R2</v>
      </c>
      <c r="G14" s="1"/>
      <c r="I14" s="3">
        <f>I24</f>
        <v>1</v>
      </c>
      <c r="J14" s="4">
        <f t="shared" ref="J14:K14" si="1">D33</f>
        <v>2700</v>
      </c>
      <c r="K14" s="4">
        <f t="shared" si="1"/>
        <v>600</v>
      </c>
    </row>
    <row r="15" spans="1:14" ht="15.6" x14ac:dyDescent="0.3">
      <c r="A15" s="96"/>
      <c r="B15" s="25">
        <f t="shared" ref="B15:B16" si="2">I15</f>
        <v>1</v>
      </c>
      <c r="C15" s="25"/>
      <c r="D15" s="25">
        <f t="shared" ref="D15:D16" si="3">J15+D$13</f>
        <v>2150</v>
      </c>
      <c r="E15" s="35">
        <f t="shared" ref="E15:E16" si="4">K15+E$13</f>
        <v>570</v>
      </c>
      <c r="F15" s="103" t="str">
        <f t="shared" ref="F15:F16" si="5">C34</f>
        <v>CUBIERTA CON RESPALDO R2</v>
      </c>
      <c r="G15" s="1"/>
      <c r="I15" s="3">
        <f t="shared" ref="I15:I16" si="6">I25</f>
        <v>1</v>
      </c>
      <c r="J15" s="4">
        <f t="shared" ref="J15:J16" si="7">D34</f>
        <v>2100</v>
      </c>
      <c r="K15" s="4">
        <f t="shared" ref="K15:K16" si="8">E34</f>
        <v>600</v>
      </c>
    </row>
    <row r="16" spans="1:14" ht="15.6" x14ac:dyDescent="0.3">
      <c r="A16" s="96"/>
      <c r="B16" s="25">
        <f t="shared" si="2"/>
        <v>1</v>
      </c>
      <c r="C16" s="25"/>
      <c r="D16" s="25">
        <f t="shared" si="3"/>
        <v>2150</v>
      </c>
      <c r="E16" s="35">
        <f t="shared" si="4"/>
        <v>520</v>
      </c>
      <c r="F16" s="103" t="str">
        <f t="shared" si="5"/>
        <v>CUBIERTA CON RESPALDO R2</v>
      </c>
      <c r="G16" s="1"/>
      <c r="I16" s="3">
        <f t="shared" si="6"/>
        <v>1</v>
      </c>
      <c r="J16" s="4">
        <f t="shared" si="7"/>
        <v>2100</v>
      </c>
      <c r="K16" s="4">
        <f t="shared" si="8"/>
        <v>550</v>
      </c>
    </row>
    <row r="17" spans="1:11" ht="15.6" x14ac:dyDescent="0.3">
      <c r="A17" s="96"/>
      <c r="B17" s="134"/>
      <c r="C17" s="134"/>
      <c r="D17" s="134"/>
      <c r="E17" s="138"/>
      <c r="F17" s="135"/>
      <c r="G17" s="1"/>
      <c r="I17" s="136"/>
      <c r="J17" s="137"/>
      <c r="K17" s="137"/>
    </row>
    <row r="18" spans="1:11" ht="15.6" x14ac:dyDescent="0.3">
      <c r="A18" s="52"/>
      <c r="B18" s="6"/>
      <c r="C18" s="6"/>
      <c r="D18" s="6"/>
      <c r="E18" s="89"/>
      <c r="F18" s="6"/>
      <c r="G18" s="1"/>
      <c r="I18" s="90"/>
      <c r="J18" s="2"/>
      <c r="K18" s="2"/>
    </row>
    <row r="19" spans="1:11" ht="6.75" customHeight="1" x14ac:dyDescent="0.3">
      <c r="A19" s="1"/>
      <c r="B19" s="1"/>
      <c r="C19" s="1"/>
      <c r="D19" s="1"/>
      <c r="E19" s="1"/>
      <c r="F19" s="1"/>
      <c r="G19" s="1"/>
    </row>
    <row r="20" spans="1:11" ht="15.6" x14ac:dyDescent="0.3">
      <c r="A20" s="117" t="s">
        <v>14</v>
      </c>
      <c r="B20" s="117"/>
      <c r="C20" s="117"/>
      <c r="D20" s="117"/>
      <c r="E20" s="117"/>
      <c r="F20" s="117"/>
      <c r="G20" s="1"/>
    </row>
    <row r="21" spans="1:11" ht="10.5" customHeight="1" x14ac:dyDescent="0.3">
      <c r="A21" s="1"/>
      <c r="B21" s="1"/>
      <c r="C21" s="12"/>
      <c r="D21" s="1"/>
      <c r="E21" s="1"/>
      <c r="F21" s="1"/>
      <c r="G21" s="1"/>
    </row>
    <row r="22" spans="1:11" ht="15.6" x14ac:dyDescent="0.3">
      <c r="A22" s="1"/>
      <c r="B22" s="1"/>
      <c r="C22" s="1"/>
      <c r="D22" s="52" t="s">
        <v>7</v>
      </c>
      <c r="E22" s="52" t="s">
        <v>8</v>
      </c>
      <c r="F22" s="1"/>
      <c r="G22" s="1"/>
    </row>
    <row r="23" spans="1:11" ht="15.6" x14ac:dyDescent="0.3">
      <c r="A23" s="52" t="s">
        <v>9</v>
      </c>
      <c r="B23" s="36" t="s">
        <v>10</v>
      </c>
      <c r="C23" s="36" t="s">
        <v>11</v>
      </c>
      <c r="D23" s="21">
        <v>40</v>
      </c>
      <c r="E23" s="21">
        <v>130</v>
      </c>
      <c r="F23" s="36" t="s">
        <v>110</v>
      </c>
      <c r="G23" s="1"/>
      <c r="J23" s="5" t="s">
        <v>7</v>
      </c>
      <c r="K23" s="5" t="s">
        <v>8</v>
      </c>
    </row>
    <row r="24" spans="1:11" ht="15.6" x14ac:dyDescent="0.3">
      <c r="A24" s="96" t="s">
        <v>130</v>
      </c>
      <c r="B24" s="16">
        <f t="shared" ref="B24" si="9">I24</f>
        <v>1</v>
      </c>
      <c r="C24" s="16"/>
      <c r="D24" s="16">
        <f>J24+D$23</f>
        <v>2740</v>
      </c>
      <c r="E24" s="16">
        <f>K24+E$23</f>
        <v>730</v>
      </c>
      <c r="F24" s="104" t="str">
        <f>C33</f>
        <v>CUBIERTA CON RESPALDO R2</v>
      </c>
      <c r="G24" s="1"/>
      <c r="I24" s="3">
        <f>B33</f>
        <v>1</v>
      </c>
      <c r="J24" s="4">
        <f>D33</f>
        <v>2700</v>
      </c>
      <c r="K24" s="4">
        <f>E33</f>
        <v>600</v>
      </c>
    </row>
    <row r="25" spans="1:11" ht="15.6" x14ac:dyDescent="0.3">
      <c r="A25" s="96"/>
      <c r="B25" s="16">
        <f t="shared" ref="B25:B26" si="10">I25</f>
        <v>1</v>
      </c>
      <c r="C25" s="16"/>
      <c r="D25" s="16">
        <f t="shared" ref="D25:D26" si="11">J25+D$23</f>
        <v>2140</v>
      </c>
      <c r="E25" s="16">
        <f t="shared" ref="E25:E26" si="12">K25+E$23</f>
        <v>730</v>
      </c>
      <c r="F25" s="104" t="str">
        <f t="shared" ref="F25:F26" si="13">C34</f>
        <v>CUBIERTA CON RESPALDO R2</v>
      </c>
      <c r="G25" s="1"/>
      <c r="I25" s="3">
        <f t="shared" ref="I25:I26" si="14">B34</f>
        <v>1</v>
      </c>
      <c r="J25" s="4">
        <f t="shared" ref="J25:K25" si="15">D34</f>
        <v>2100</v>
      </c>
      <c r="K25" s="4">
        <f t="shared" si="15"/>
        <v>600</v>
      </c>
    </row>
    <row r="26" spans="1:11" ht="15.6" x14ac:dyDescent="0.3">
      <c r="A26" s="96"/>
      <c r="B26" s="16">
        <f t="shared" si="10"/>
        <v>1</v>
      </c>
      <c r="C26" s="16"/>
      <c r="D26" s="16">
        <f t="shared" si="11"/>
        <v>2140</v>
      </c>
      <c r="E26" s="16">
        <f t="shared" si="12"/>
        <v>680</v>
      </c>
      <c r="F26" s="104" t="str">
        <f t="shared" si="13"/>
        <v>CUBIERTA CON RESPALDO R2</v>
      </c>
      <c r="G26" s="1"/>
      <c r="I26" s="3">
        <f t="shared" si="14"/>
        <v>1</v>
      </c>
      <c r="J26" s="4">
        <f t="shared" ref="J26:K26" si="16">D35</f>
        <v>2100</v>
      </c>
      <c r="K26" s="4">
        <f t="shared" si="16"/>
        <v>550</v>
      </c>
    </row>
    <row r="27" spans="1:11" ht="15.6" x14ac:dyDescent="0.3">
      <c r="A27" s="96"/>
      <c r="B27" s="134"/>
      <c r="C27" s="134"/>
      <c r="D27" s="134"/>
      <c r="E27" s="134"/>
      <c r="F27" s="135"/>
      <c r="G27" s="1"/>
      <c r="I27" s="136"/>
      <c r="J27" s="137"/>
      <c r="K27" s="137"/>
    </row>
    <row r="28" spans="1:11" ht="15.6" x14ac:dyDescent="0.3">
      <c r="A28" s="96"/>
      <c r="B28" s="6"/>
      <c r="C28" s="6"/>
      <c r="D28" s="6"/>
      <c r="E28" s="6"/>
      <c r="F28" s="6"/>
      <c r="G28" s="1"/>
      <c r="I28" s="90"/>
      <c r="J28" s="2"/>
      <c r="K28" s="2"/>
    </row>
    <row r="29" spans="1:11" ht="16.2" thickBot="1" x14ac:dyDescent="0.35">
      <c r="A29" s="52"/>
      <c r="B29" s="6"/>
      <c r="C29" s="6"/>
      <c r="D29" s="6"/>
      <c r="E29" s="6"/>
      <c r="F29" s="6"/>
      <c r="G29" s="1"/>
      <c r="I29" s="2"/>
      <c r="J29" s="2"/>
      <c r="K29" s="2"/>
    </row>
    <row r="30" spans="1:11" ht="16.2" thickBot="1" x14ac:dyDescent="0.35">
      <c r="A30" s="52"/>
      <c r="B30" s="22" t="s">
        <v>107</v>
      </c>
      <c r="C30" s="23"/>
      <c r="D30" s="23"/>
      <c r="E30" s="23"/>
      <c r="F30" s="24"/>
      <c r="G30" s="1"/>
      <c r="I30" s="2"/>
      <c r="J30" s="2"/>
      <c r="K30" s="2"/>
    </row>
    <row r="31" spans="1:11" ht="10.5" customHeight="1" x14ac:dyDescent="0.3">
      <c r="A31" s="1"/>
      <c r="B31" s="1"/>
      <c r="C31" s="1"/>
      <c r="D31" s="1"/>
      <c r="E31" s="1"/>
      <c r="F31" s="1"/>
      <c r="G31" s="1"/>
    </row>
    <row r="32" spans="1:11" ht="15.6" x14ac:dyDescent="0.3">
      <c r="A32" s="52" t="s">
        <v>9</v>
      </c>
      <c r="B32" s="88" t="s">
        <v>10</v>
      </c>
      <c r="C32" s="88" t="s">
        <v>110</v>
      </c>
      <c r="D32" s="88" t="s">
        <v>7</v>
      </c>
      <c r="E32" s="88" t="s">
        <v>8</v>
      </c>
      <c r="F32" s="88" t="s">
        <v>23</v>
      </c>
      <c r="G32" s="1"/>
    </row>
    <row r="33" spans="1:7" ht="15.6" x14ac:dyDescent="0.3">
      <c r="A33" s="96" t="s">
        <v>135</v>
      </c>
      <c r="B33" s="25">
        <f>'4637'!B21</f>
        <v>1</v>
      </c>
      <c r="C33" s="103" t="str">
        <f>'4637'!C21</f>
        <v>CUBIERTA CON RESPALDO R2</v>
      </c>
      <c r="D33" s="25">
        <f>'4637'!D21</f>
        <v>2700</v>
      </c>
      <c r="E33" s="25">
        <f>'4637'!E21</f>
        <v>600</v>
      </c>
      <c r="F33" s="25" t="str">
        <f>'4637'!F21</f>
        <v>GRAFITO MT 2174</v>
      </c>
      <c r="G33" s="1"/>
    </row>
    <row r="34" spans="1:7" ht="15.6" x14ac:dyDescent="0.3">
      <c r="A34" s="96"/>
      <c r="B34" s="25">
        <f>'4637'!B22</f>
        <v>1</v>
      </c>
      <c r="C34" s="103" t="str">
        <f>'4637'!C22</f>
        <v>CUBIERTA CON RESPALDO R2</v>
      </c>
      <c r="D34" s="25">
        <f>'4637'!D22</f>
        <v>2100</v>
      </c>
      <c r="E34" s="25">
        <f>'4637'!E22</f>
        <v>600</v>
      </c>
      <c r="F34" s="25" t="str">
        <f>'4637'!F22</f>
        <v>GRAFITO MT 2174</v>
      </c>
      <c r="G34" s="1"/>
    </row>
    <row r="35" spans="1:7" ht="15.6" x14ac:dyDescent="0.3">
      <c r="A35" s="96"/>
      <c r="B35" s="25">
        <f>'4637'!B23</f>
        <v>1</v>
      </c>
      <c r="C35" s="103" t="str">
        <f>'4637'!C23</f>
        <v>CUBIERTA CON RESPALDO R2</v>
      </c>
      <c r="D35" s="25">
        <f>'4637'!D23</f>
        <v>2100</v>
      </c>
      <c r="E35" s="25">
        <f>'4637'!E23</f>
        <v>550</v>
      </c>
      <c r="F35" s="25" t="str">
        <f>'4637'!F23</f>
        <v>GRAFITO MT 2174</v>
      </c>
      <c r="G35" s="1"/>
    </row>
    <row r="36" spans="1:7" ht="15.6" x14ac:dyDescent="0.3">
      <c r="A36" s="96"/>
      <c r="B36" s="25">
        <f>'4637'!B24</f>
        <v>2</v>
      </c>
      <c r="C36" s="103" t="str">
        <f>'4637'!C24</f>
        <v>CORTE 45°</v>
      </c>
      <c r="D36" s="25">
        <f>'4637'!D24</f>
        <v>0</v>
      </c>
      <c r="E36" s="25">
        <f>'4637'!E24</f>
        <v>0</v>
      </c>
      <c r="F36" s="25">
        <f>'4637'!F24</f>
        <v>0</v>
      </c>
      <c r="G36" s="1"/>
    </row>
    <row r="37" spans="1:7" ht="15.6" x14ac:dyDescent="0.3">
      <c r="A37" s="52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6"/>
      <c r="C43" s="6"/>
      <c r="D43" s="6"/>
      <c r="E43" s="6"/>
      <c r="F43" s="6"/>
      <c r="G43" s="1"/>
    </row>
    <row r="44" spans="1:7" ht="15.6" x14ac:dyDescent="0.3">
      <c r="A44" s="1"/>
      <c r="B44" s="6"/>
      <c r="C44" s="6"/>
      <c r="D44" s="6"/>
      <c r="E44" s="6"/>
      <c r="F44" s="6"/>
      <c r="G44" s="1"/>
    </row>
    <row r="45" spans="1:7" ht="15.6" x14ac:dyDescent="0.3">
      <c r="A45" s="1"/>
      <c r="B45" s="6"/>
      <c r="C45" s="6"/>
      <c r="D45" s="6"/>
      <c r="E45" s="6"/>
      <c r="F45" s="6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6" x14ac:dyDescent="0.3">
      <c r="A47" s="1"/>
      <c r="B47" s="1"/>
      <c r="C47" s="40" t="s">
        <v>27</v>
      </c>
      <c r="D47" s="14">
        <f>'4637'!G8</f>
        <v>7067</v>
      </c>
      <c r="E47" s="1"/>
      <c r="F47" s="1"/>
      <c r="G47" s="1"/>
    </row>
    <row r="48" spans="1:7" ht="17.25" customHeight="1" x14ac:dyDescent="0.3">
      <c r="A48" s="1"/>
      <c r="B48" s="1"/>
      <c r="C48" s="41" t="s">
        <v>67</v>
      </c>
      <c r="D48" s="42" t="str">
        <f>'4637'!C10</f>
        <v>DEMOVI</v>
      </c>
      <c r="E48" s="43"/>
      <c r="F48" s="43"/>
      <c r="G48" s="1"/>
    </row>
    <row r="49" spans="1:7" ht="4.5" customHeight="1" x14ac:dyDescent="0.3">
      <c r="A49" s="1"/>
      <c r="B49" s="1"/>
      <c r="C49" s="44"/>
      <c r="D49" s="45"/>
      <c r="E49" s="1"/>
      <c r="F49" s="1"/>
      <c r="G49" s="1"/>
    </row>
    <row r="50" spans="1:7" ht="15.6" x14ac:dyDescent="0.3">
      <c r="A50" s="1"/>
      <c r="B50" s="1"/>
      <c r="C50" s="46" t="str">
        <f>'4637'!F11</f>
        <v>FECHA LIMITE :</v>
      </c>
      <c r="D50" s="13">
        <f>'4637'!G11</f>
        <v>45394</v>
      </c>
      <c r="E50" s="1"/>
      <c r="F50" s="1"/>
      <c r="G50" s="1"/>
    </row>
    <row r="51" spans="1:7" ht="15.6" x14ac:dyDescent="0.3">
      <c r="A51" s="1"/>
      <c r="B51" s="1"/>
      <c r="C51" s="1"/>
      <c r="D51" s="1"/>
      <c r="E51" s="1"/>
      <c r="F51" s="1"/>
      <c r="G51" s="1"/>
    </row>
    <row r="52" spans="1:7" ht="15.6" x14ac:dyDescent="0.3">
      <c r="A52" s="1"/>
      <c r="B52" s="1"/>
      <c r="C52" s="1"/>
      <c r="D52" s="1"/>
      <c r="E52" s="1"/>
      <c r="F52" s="1"/>
      <c r="G52" s="1"/>
    </row>
    <row r="53" spans="1:7" ht="15.6" x14ac:dyDescent="0.3">
      <c r="A53" s="117" t="s">
        <v>68</v>
      </c>
      <c r="B53" s="117"/>
      <c r="C53" s="117"/>
      <c r="D53" s="117"/>
      <c r="E53" s="117"/>
      <c r="F53" s="117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75" customHeight="1" x14ac:dyDescent="0.3">
      <c r="A55" s="1"/>
      <c r="B55" s="118" t="s">
        <v>69</v>
      </c>
      <c r="C55" s="119"/>
      <c r="D55" s="120"/>
      <c r="E55" s="120"/>
      <c r="F55" s="121"/>
      <c r="G55" s="1"/>
    </row>
    <row r="56" spans="1:7" s="15" customFormat="1" ht="12.75" customHeight="1" x14ac:dyDescent="0.3">
      <c r="A56" s="1"/>
      <c r="B56" s="36" t="s">
        <v>10</v>
      </c>
      <c r="C56" s="47" t="s">
        <v>11</v>
      </c>
      <c r="D56" s="48" t="s">
        <v>7</v>
      </c>
      <c r="E56" s="48" t="s">
        <v>8</v>
      </c>
      <c r="F56" s="49" t="s">
        <v>12</v>
      </c>
      <c r="G56" s="1"/>
    </row>
    <row r="57" spans="1:7" s="15" customFormat="1" ht="15" customHeight="1" x14ac:dyDescent="0.3">
      <c r="A57" s="96"/>
      <c r="B57" s="38">
        <f>'4637'!B21</f>
        <v>1</v>
      </c>
      <c r="C57" s="102" t="str">
        <f>'4637'!C21</f>
        <v>CUBIERTA CON RESPALDO R2</v>
      </c>
      <c r="D57" s="39">
        <f>'4637'!D21</f>
        <v>2700</v>
      </c>
      <c r="E57" s="39">
        <f>'4637'!E21</f>
        <v>600</v>
      </c>
      <c r="F57" s="38" t="str">
        <f>'4637'!F21</f>
        <v>GRAFITO MT 2174</v>
      </c>
      <c r="G57" s="1"/>
    </row>
    <row r="58" spans="1:7" s="15" customFormat="1" ht="15" customHeight="1" x14ac:dyDescent="0.3">
      <c r="A58" s="96"/>
      <c r="B58" s="38">
        <f>'4637'!B22</f>
        <v>1</v>
      </c>
      <c r="C58" s="102" t="str">
        <f>'4637'!C22</f>
        <v>CUBIERTA CON RESPALDO R2</v>
      </c>
      <c r="D58" s="39">
        <f>'4637'!D22</f>
        <v>2100</v>
      </c>
      <c r="E58" s="39">
        <f>'4637'!E22</f>
        <v>600</v>
      </c>
      <c r="F58" s="38" t="str">
        <f>'4637'!F22</f>
        <v>GRAFITO MT 2174</v>
      </c>
      <c r="G58" s="1"/>
    </row>
    <row r="59" spans="1:7" s="15" customFormat="1" ht="15" customHeight="1" x14ac:dyDescent="0.3">
      <c r="A59" s="96"/>
      <c r="B59" s="38">
        <f>'4637'!B23</f>
        <v>1</v>
      </c>
      <c r="C59" s="102" t="str">
        <f>'4637'!C23</f>
        <v>CUBIERTA CON RESPALDO R2</v>
      </c>
      <c r="D59" s="39">
        <f>'4637'!D23</f>
        <v>2100</v>
      </c>
      <c r="E59" s="39">
        <f>'4637'!E23</f>
        <v>550</v>
      </c>
      <c r="F59" s="38" t="str">
        <f>'4637'!F23</f>
        <v>GRAFITO MT 2174</v>
      </c>
      <c r="G59" s="1"/>
    </row>
    <row r="60" spans="1:7" s="15" customFormat="1" ht="15" customHeight="1" x14ac:dyDescent="0.3">
      <c r="A60" s="96"/>
      <c r="B60" s="38">
        <f>'4637'!B24</f>
        <v>2</v>
      </c>
      <c r="C60" s="102" t="str">
        <f>'4637'!C24</f>
        <v>CORTE 45°</v>
      </c>
      <c r="D60" s="39">
        <f>'4637'!D24</f>
        <v>0</v>
      </c>
      <c r="E60" s="39">
        <f>'4637'!E24</f>
        <v>0</v>
      </c>
      <c r="F60" s="38">
        <f>'4637'!F24</f>
        <v>0</v>
      </c>
      <c r="G60" s="1"/>
    </row>
    <row r="61" spans="1:7" s="15" customFormat="1" ht="15" customHeight="1" x14ac:dyDescent="0.3">
      <c r="A61" s="96"/>
      <c r="B61" s="52"/>
      <c r="C61" s="108"/>
      <c r="D61" s="52"/>
      <c r="E61" s="52"/>
      <c r="F61" s="52"/>
      <c r="G61" s="1"/>
    </row>
    <row r="62" spans="1:7" s="15" customFormat="1" ht="15" customHeight="1" x14ac:dyDescent="0.3">
      <c r="A62" s="50"/>
      <c r="B62" s="52"/>
      <c r="C62" s="52"/>
      <c r="D62" s="52"/>
      <c r="E62" s="52"/>
      <c r="F62" s="52"/>
      <c r="G62" s="1"/>
    </row>
    <row r="63" spans="1:7" ht="15.6" x14ac:dyDescent="0.3">
      <c r="A63" s="6"/>
      <c r="B63" s="6"/>
      <c r="C63" s="1"/>
      <c r="D63" s="6"/>
      <c r="E63" s="6"/>
      <c r="F63" s="44"/>
      <c r="G63" s="1"/>
    </row>
    <row r="64" spans="1:7" ht="15.6" x14ac:dyDescent="0.3">
      <c r="A64" s="6"/>
      <c r="B64" s="6"/>
      <c r="C64" s="1"/>
      <c r="D64" s="6"/>
      <c r="E64" s="6"/>
      <c r="F64" s="6"/>
      <c r="G64" s="1"/>
    </row>
    <row r="65" spans="1:7" ht="15.6" x14ac:dyDescent="0.3">
      <c r="A65" s="1"/>
      <c r="B65" s="1"/>
      <c r="C65" s="1"/>
      <c r="D65" s="1"/>
      <c r="E65" s="1"/>
      <c r="F65" s="1"/>
      <c r="G65" s="1"/>
    </row>
    <row r="66" spans="1:7" ht="15.6" x14ac:dyDescent="0.3">
      <c r="A66" s="1"/>
      <c r="B66" s="1"/>
      <c r="C66" s="1"/>
      <c r="D66" s="1"/>
      <c r="E66" s="1"/>
      <c r="F66" s="1"/>
      <c r="G66" s="1"/>
    </row>
    <row r="67" spans="1:7" ht="15.6" x14ac:dyDescent="0.3">
      <c r="A67" s="1"/>
      <c r="B67" s="1"/>
      <c r="C67" s="1"/>
      <c r="D67" s="1"/>
      <c r="E67" s="1"/>
      <c r="F67" s="1"/>
      <c r="G67" s="1"/>
    </row>
    <row r="68" spans="1:7" ht="15" customHeight="1" x14ac:dyDescent="0.3">
      <c r="A68" s="1"/>
      <c r="B68" s="1"/>
      <c r="C68" s="1"/>
      <c r="D68" s="1"/>
      <c r="E68" s="1"/>
      <c r="F68" s="1"/>
      <c r="G68" s="1"/>
    </row>
    <row r="69" spans="1:7" ht="15.6" x14ac:dyDescent="0.3">
      <c r="A69" s="1"/>
      <c r="B69" s="1"/>
      <c r="C69" s="1"/>
      <c r="D69" s="1"/>
      <c r="E69" s="1"/>
      <c r="F69" s="1"/>
      <c r="G69" s="1"/>
    </row>
    <row r="70" spans="1:7" ht="15.6" x14ac:dyDescent="0.3">
      <c r="A70" s="6"/>
      <c r="B70" s="51"/>
      <c r="C70" s="1"/>
      <c r="D70" s="1"/>
      <c r="E70" s="1"/>
      <c r="F70" s="1"/>
      <c r="G70" s="1"/>
    </row>
    <row r="71" spans="1:7" ht="15.6" x14ac:dyDescent="0.3">
      <c r="A71" s="1"/>
      <c r="B71" s="1"/>
      <c r="C71" s="1"/>
      <c r="D71" s="1"/>
      <c r="E71" s="1"/>
      <c r="F71" s="1"/>
      <c r="G71" s="1"/>
    </row>
    <row r="72" spans="1:7" x14ac:dyDescent="0.3">
      <c r="B72" s="20"/>
      <c r="C72" s="20"/>
      <c r="D72" s="20"/>
      <c r="E72" s="20"/>
      <c r="F72" s="20"/>
    </row>
    <row r="73" spans="1:7" x14ac:dyDescent="0.3">
      <c r="B73" s="20"/>
      <c r="C73" s="20"/>
      <c r="E73" s="20"/>
      <c r="F73" s="20"/>
    </row>
  </sheetData>
  <mergeCells count="6">
    <mergeCell ref="M3:N3"/>
    <mergeCell ref="A20:F20"/>
    <mergeCell ref="A10:F10"/>
    <mergeCell ref="A53:F53"/>
    <mergeCell ref="B55:F55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8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2024-03-28T12:44:50Z</cp:lastPrinted>
  <dcterms:created xsi:type="dcterms:W3CDTF">2013-03-19T12:54:14Z</dcterms:created>
  <dcterms:modified xsi:type="dcterms:W3CDTF">2024-04-08T13:06:02Z</dcterms:modified>
</cp:coreProperties>
</file>