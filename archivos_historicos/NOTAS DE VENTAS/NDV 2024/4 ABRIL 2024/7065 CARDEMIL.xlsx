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8BDDC255-724D-44D5-9F1F-BF04B6698B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CUBIERTA!$A$34:$G$60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8" i="3"/>
  <c r="C48" i="3"/>
  <c r="D48" i="3"/>
  <c r="E48" i="3"/>
  <c r="F48" i="3"/>
  <c r="B27" i="3"/>
  <c r="C27" i="3"/>
  <c r="F21" i="3" s="1"/>
  <c r="D27" i="3"/>
  <c r="J14" i="3" s="1"/>
  <c r="D14" i="3" s="1"/>
  <c r="E27" i="3"/>
  <c r="K14" i="3" s="1"/>
  <c r="E14" i="3" s="1"/>
  <c r="F27" i="3"/>
  <c r="H26" i="4" l="1"/>
  <c r="I21" i="3"/>
  <c r="F14" i="3"/>
  <c r="K21" i="3"/>
  <c r="E21" i="3" s="1"/>
  <c r="J21" i="3"/>
  <c r="D21" i="3" s="1"/>
  <c r="B21" i="3" l="1"/>
  <c r="I14" i="3"/>
  <c r="B14" i="3" s="1"/>
  <c r="H27" i="4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<sst xmlns="http://schemas.openxmlformats.org/spreadsheetml/2006/main" count="247" uniqueCount="145">
  <si>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</si>
  <si>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</si>
  <si>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</si>
  <si>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</si>
  <si>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</si>
  <si>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</si>
  <si>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</si>
  <si>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</si>
  <si>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</si>
  <si>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</si>
  <si>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</si>
  <si>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</si>
  <si>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</si>
  <si>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</si>
  <si>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</si>
  <si>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</si>
  <si>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</si>
  <si>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</si>
  <si>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</si>
  <si>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</si>
  <si>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</si>
  <si>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</si>
  <si>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</si>
  <si>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</si>
  <si>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</si>
  <si>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</si>
  <si>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</si>
  <si>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</si>
  <si>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</si>
  <si>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</si>
  <si>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</si>
  <si>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</si>
  <si>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</si>
  <si>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</si>
  <si>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</si>
  <si>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</si>
  <si>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</si>
  <si>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</si>
  <si>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</si>
  <si>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</si>
  <si>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</si>
  <si>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</si>
  <si>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</si>
  <si>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</si>
  <si>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</si>
  <si>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</si>
  <si>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</si>
  <si>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</si>
  <si>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</si>
  <si>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</si>
  <si>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</si>
  <si>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</si>
  <si>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</si>
  <si>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</si>
  <si>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</si>
  <si>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</si>
  <si>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</si>
  <si>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</si>
  <si>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</si>
  <si>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</si>
  <si>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</si>
  <si>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</si>
  <si>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</si>
  <si>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</si>
  <si>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</si>
  <si>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</si>
  <si>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</si>
  <si>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</si>
  <si>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</si>
  <si>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</si>
  <si>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</si>
  <si>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</si>
  <si>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</si>
  <si>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</si>
  <si>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</si>
  <si>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</si>
  <si>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</si>
  <si>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</si>
  <si>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</si>
  <si>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</si>
  <si>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</si>
  <si>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</si>
  <si>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</si>
  <si>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</si>
  <si>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</si>
  <si>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</si>
  <si>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</si>
  <si>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</si>
  <si>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</si>
  <si>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</si>
  <si>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</si>
  <si>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</si>
  <si>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</si>
  <si>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</si>
  <si>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</si>
  <si>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</si>
  <si>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</si>
  <si>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</si>
  <si>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</si>
  <si>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</si>
  <si>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</si>
  <si>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</si>
  <si>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</si>
  <si>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</si>
  <si>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</si>
  <si>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</si>
  <si>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</si>
  <si>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</si>
  <si>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</si>
  <si>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</si>
  <si>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</si>
  <si>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</si>
  <si>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</si>
  <si>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</si>
  <si>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</si>
  <si>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</si>
  <si>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</si>
  <si>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</si>
  <si>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</si>
  <si>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</si>
  <si>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</si>
  <si>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</si>
  <si>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</si>
  <si>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</si>
  <si>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</si>
  <si>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</si>
  <si>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</si>
  <si>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</si>
  <si>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</si>
  <si>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</si>
  <si>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</si>
  <si>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</si>
  <si>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</si>
  <si>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</si>
  <si>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</si>
  <si>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</si>
  <si>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</t>
  </si>
  <si>
    <t>NO</t>
  </si>
  <si>
    <t>CERDEMIL  SPA</t>
  </si>
  <si>
    <t>FELIPE CARDEMIL</t>
  </si>
  <si>
    <t>+56 972189484</t>
  </si>
  <si>
    <t>N° 10884</t>
  </si>
  <si>
    <t>CUB C/R 90° R8</t>
  </si>
  <si>
    <t>GREY SLATE 3156 MT</t>
  </si>
  <si>
    <t>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</si>
</sst>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0" borderId="0" xfId="0" applyFont="1"/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$ 56.640.-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34</xdr:row>
      <xdr:rowOff>194310</xdr:rowOff>
    </xdr:from>
    <xdr:to>
      <xdr:col>2</xdr:col>
      <xdr:colOff>100723</xdr:colOff>
      <xdr:row>41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8" workbookViewId="0">
      <selection activeCell="F16" sqref="F16:H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141</v>
      </c>
      <c r="E8" s="1"/>
      <c r="F8" s="94" t="s">
        <v>27</v>
      </c>
      <c r="G8" s="95">
        <v>7065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45383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45385</v>
      </c>
      <c r="H11" s="62"/>
      <c r="I11" s="1"/>
    </row>
    <row r="12" spans="1:17" ht="16.2" thickBot="1" x14ac:dyDescent="0.35">
      <c r="A12" s="1"/>
      <c r="B12" s="63" t="s">
        <v>132</v>
      </c>
      <c r="C12" t="s">
        <v>136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 t="s">
        <v>139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22" t="s">
        <v>140</v>
      </c>
      <c r="D14" s="66"/>
      <c r="E14" s="60"/>
      <c r="F14" s="60" t="s">
        <v>29</v>
      </c>
      <c r="G14" s="60" t="s">
        <v>137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144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2</v>
      </c>
      <c r="C21" s="123" t="s">
        <v>142</v>
      </c>
      <c r="D21" s="125">
        <v>900</v>
      </c>
      <c r="E21" s="125">
        <v>440</v>
      </c>
      <c r="F21" s="123" t="s">
        <v>143</v>
      </c>
      <c r="G21" s="124">
        <v>66040</v>
      </c>
      <c r="H21" s="106">
        <f>G21*B21</f>
        <v>132080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8"/>
      <c r="D22" s="107"/>
      <c r="E22" s="107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132080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25095.200000000001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157175.20000000001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activeCell="A15" sqref="A15:XFD1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7065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CERDEMIL 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45385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/>
      <c r="D14" s="25">
        <f>J14+D$13</f>
        <v>950</v>
      </c>
      <c r="E14" s="35">
        <f>K14+E$13</f>
        <v>410</v>
      </c>
      <c r="F14" s="103" t="str">
        <f>C27</f>
        <v>CUB C/R 90° R8</v>
      </c>
      <c r="G14" s="1"/>
      <c r="I14" s="3">
        <f>I21</f>
        <v>2</v>
      </c>
      <c r="J14" s="4">
        <f t="shared" ref="J14:K14" si="1">D27</f>
        <v>900</v>
      </c>
      <c r="K14" s="4">
        <f t="shared" si="1"/>
        <v>440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7" t="s">
        <v>14</v>
      </c>
      <c r="B17" s="117"/>
      <c r="C17" s="117"/>
      <c r="D17" s="117"/>
      <c r="E17" s="117"/>
      <c r="F17" s="117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2">I21</f>
        <v>2</v>
      </c>
      <c r="C21" s="16"/>
      <c r="D21" s="16">
        <f>J21+D$20</f>
        <v>940</v>
      </c>
      <c r="E21" s="16">
        <f>K21+E$20</f>
        <v>570</v>
      </c>
      <c r="F21" s="104" t="str">
        <f>C27</f>
        <v>CUB C/R 90° R8</v>
      </c>
      <c r="G21" s="1"/>
      <c r="I21" s="3">
        <f>B27</f>
        <v>2</v>
      </c>
      <c r="J21" s="4">
        <f>D27</f>
        <v>900</v>
      </c>
      <c r="K21" s="4">
        <f>E27</f>
        <v>440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135</v>
      </c>
      <c r="B27" s="25">
        <f>'4637'!B21</f>
        <v>2</v>
      </c>
      <c r="C27" s="103" t="str">
        <f>'4637'!C21</f>
        <v>CUB C/R 90° R8</v>
      </c>
      <c r="D27" s="25">
        <f>'4637'!D21</f>
        <v>900</v>
      </c>
      <c r="E27" s="25">
        <f>'4637'!E21</f>
        <v>440</v>
      </c>
      <c r="F27" s="25" t="str">
        <f>'4637'!F21</f>
        <v>GREY SLATE 3156 MT</v>
      </c>
      <c r="G27" s="1"/>
    </row>
    <row r="28" spans="1:11" ht="15.6" x14ac:dyDescent="0.3">
      <c r="A28" s="52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7065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CERDEMIL  SPA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45385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7" t="s">
        <v>68</v>
      </c>
      <c r="B44" s="117"/>
      <c r="C44" s="117"/>
      <c r="D44" s="117"/>
      <c r="E44" s="117"/>
      <c r="F44" s="117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8" t="s">
        <v>69</v>
      </c>
      <c r="C46" s="119"/>
      <c r="D46" s="120"/>
      <c r="E46" s="120"/>
      <c r="F46" s="121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'4637'!B21</f>
        <v>2</v>
      </c>
      <c r="C48" s="102" t="str">
        <f>'4637'!C21</f>
        <v>CUB C/R 90° R8</v>
      </c>
      <c r="D48" s="39">
        <f>'4637'!D21</f>
        <v>900</v>
      </c>
      <c r="E48" s="39">
        <f>'4637'!E21</f>
        <v>440</v>
      </c>
      <c r="F48" s="38" t="str">
        <f>'4637'!F21</f>
        <v>GREY SLATE 3156 MT</v>
      </c>
      <c r="G48" s="1"/>
    </row>
    <row r="49" spans="1:7" s="15" customFormat="1" ht="15" customHeight="1" x14ac:dyDescent="0.3">
      <c r="A49" s="96"/>
      <c r="B49" s="52"/>
      <c r="C49" s="108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2024-03-28T12:44:50Z</cp:lastPrinted>
  <dcterms:created xsi:type="dcterms:W3CDTF">2013-03-19T12:54:14Z</dcterms:created>
  <dcterms:modified xsi:type="dcterms:W3CDTF">2024-04-01T22:10:02Z</dcterms:modified>
</cp:coreProperties>
</file>