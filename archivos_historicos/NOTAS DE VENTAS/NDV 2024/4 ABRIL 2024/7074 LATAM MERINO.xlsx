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5C52C35B-AEB8-4DC7-ABE3-3AE49F36E3C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'4637'!$A$1:$H$39</definedName>
    <definedName name="_xlnm.Print_Area" localSheetId="2">CUBIERTA!$A$60:$F$94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F19" i="3"/>
  <c r="F20" i="3"/>
  <c r="K20" i="3"/>
  <c r="E20" i="3" s="1"/>
  <c r="K21" i="3"/>
  <c r="E21" i="3" s="1"/>
  <c r="F22" i="3"/>
  <c r="F23" i="3"/>
  <c r="B49" i="3"/>
  <c r="I35" i="3" s="1"/>
  <c r="B35" i="3" s="1"/>
  <c r="C49" i="3"/>
  <c r="F35" i="3" s="1"/>
  <c r="D49" i="3"/>
  <c r="J35" i="3" s="1"/>
  <c r="D35" i="3" s="1"/>
  <c r="E49" i="3"/>
  <c r="K35" i="3" s="1"/>
  <c r="E35" i="3" s="1"/>
  <c r="F49" i="3"/>
  <c r="B50" i="3"/>
  <c r="I36" i="3" s="1"/>
  <c r="B36" i="3" s="1"/>
  <c r="C50" i="3"/>
  <c r="F36" i="3" s="1"/>
  <c r="D50" i="3"/>
  <c r="J36" i="3" s="1"/>
  <c r="D36" i="3" s="1"/>
  <c r="E50" i="3"/>
  <c r="K36" i="3" s="1"/>
  <c r="E36" i="3" s="1"/>
  <c r="F50" i="3"/>
  <c r="B51" i="3"/>
  <c r="I37" i="3" s="1"/>
  <c r="B37" i="3" s="1"/>
  <c r="C51" i="3"/>
  <c r="F37" i="3" s="1"/>
  <c r="D51" i="3"/>
  <c r="J37" i="3" s="1"/>
  <c r="D37" i="3" s="1"/>
  <c r="E51" i="3"/>
  <c r="K37" i="3" s="1"/>
  <c r="E37" i="3" s="1"/>
  <c r="F51" i="3"/>
  <c r="B52" i="3"/>
  <c r="I38" i="3" s="1"/>
  <c r="B38" i="3" s="1"/>
  <c r="C52" i="3"/>
  <c r="F38" i="3" s="1"/>
  <c r="D52" i="3"/>
  <c r="J38" i="3" s="1"/>
  <c r="D38" i="3" s="1"/>
  <c r="E52" i="3"/>
  <c r="K38" i="3" s="1"/>
  <c r="F52" i="3"/>
  <c r="B53" i="3"/>
  <c r="I39" i="3" s="1"/>
  <c r="B39" i="3" s="1"/>
  <c r="C53" i="3"/>
  <c r="F39" i="3" s="1"/>
  <c r="D53" i="3"/>
  <c r="J39" i="3" s="1"/>
  <c r="D39" i="3" s="1"/>
  <c r="E53" i="3"/>
  <c r="K39" i="3" s="1"/>
  <c r="F53" i="3"/>
  <c r="B54" i="3"/>
  <c r="I40" i="3" s="1"/>
  <c r="B40" i="3" s="1"/>
  <c r="C54" i="3"/>
  <c r="F40" i="3" s="1"/>
  <c r="D54" i="3"/>
  <c r="J40" i="3" s="1"/>
  <c r="D40" i="3" s="1"/>
  <c r="E54" i="3"/>
  <c r="K40" i="3" s="1"/>
  <c r="F54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H33" i="4"/>
  <c r="H25" i="4"/>
  <c r="H26" i="4"/>
  <c r="H27" i="4"/>
  <c r="H28" i="4"/>
  <c r="H29" i="4"/>
  <c r="H30" i="4"/>
  <c r="K22" i="3" l="1"/>
  <c r="E22" i="3" s="1"/>
  <c r="J23" i="3"/>
  <c r="D23" i="3" s="1"/>
  <c r="J22" i="3"/>
  <c r="D22" i="3" s="1"/>
  <c r="J21" i="3"/>
  <c r="D21" i="3" s="1"/>
  <c r="J20" i="3"/>
  <c r="D20" i="3" s="1"/>
  <c r="J19" i="3"/>
  <c r="D19" i="3" s="1"/>
  <c r="J18" i="3"/>
  <c r="D18" i="3" s="1"/>
  <c r="F21" i="3"/>
  <c r="K23" i="3"/>
  <c r="E23" i="3" s="1"/>
  <c r="K19" i="3"/>
  <c r="E19" i="3" s="1"/>
  <c r="K18" i="3"/>
  <c r="E18" i="3" s="1"/>
  <c r="I23" i="3"/>
  <c r="B23" i="3" s="1"/>
  <c r="I22" i="3"/>
  <c r="B22" i="3" s="1"/>
  <c r="I21" i="3"/>
  <c r="B21" i="3" s="1"/>
  <c r="I20" i="3"/>
  <c r="B20" i="3" s="1"/>
  <c r="I19" i="3"/>
  <c r="B19" i="3" s="1"/>
  <c r="I18" i="3"/>
  <c r="B18" i="3" s="1"/>
  <c r="B47" i="3"/>
  <c r="I33" i="3" s="1"/>
  <c r="B33" i="3" s="1"/>
  <c r="C47" i="3"/>
  <c r="F33" i="3" s="1"/>
  <c r="D47" i="3"/>
  <c r="J33" i="3" s="1"/>
  <c r="D33" i="3" s="1"/>
  <c r="E47" i="3"/>
  <c r="K33" i="3" s="1"/>
  <c r="E33" i="3" s="1"/>
  <c r="F47" i="3"/>
  <c r="B48" i="3"/>
  <c r="C48" i="3"/>
  <c r="D48" i="3"/>
  <c r="E48" i="3"/>
  <c r="F48" i="3"/>
  <c r="B76" i="3"/>
  <c r="C76" i="3"/>
  <c r="D76" i="3"/>
  <c r="E76" i="3"/>
  <c r="F76" i="3"/>
  <c r="B77" i="3"/>
  <c r="C77" i="3"/>
  <c r="D77" i="3"/>
  <c r="E77" i="3"/>
  <c r="F77" i="3"/>
  <c r="H24" i="4"/>
  <c r="H23" i="4"/>
  <c r="H22" i="4"/>
  <c r="H21" i="4"/>
  <c r="F34" i="3" l="1"/>
  <c r="F17" i="3"/>
  <c r="I34" i="3"/>
  <c r="B34" i="3" s="1"/>
  <c r="I17" i="3"/>
  <c r="B17" i="3" s="1"/>
  <c r="J34" i="3"/>
  <c r="D34" i="3" s="1"/>
  <c r="J17" i="3"/>
  <c r="D17" i="3" s="1"/>
  <c r="K34" i="3"/>
  <c r="E34" i="3" s="1"/>
  <c r="K17" i="3"/>
  <c r="E17" i="3" s="1"/>
  <c r="I16" i="3"/>
  <c r="B16" i="3" s="1"/>
  <c r="F16" i="3"/>
  <c r="J16" i="3"/>
  <c r="D16" i="3" s="1"/>
  <c r="K16" i="3"/>
  <c r="E16" i="3" s="1"/>
  <c r="C75" i="3"/>
  <c r="B46" i="3" l="1"/>
  <c r="I32" i="3" s="1"/>
  <c r="C46" i="3"/>
  <c r="F15" i="3" s="1"/>
  <c r="D46" i="3"/>
  <c r="J15" i="3" s="1"/>
  <c r="D15" i="3" s="1"/>
  <c r="E46" i="3"/>
  <c r="K15" i="3" s="1"/>
  <c r="E15" i="3" s="1"/>
  <c r="F46" i="3"/>
  <c r="B75" i="3"/>
  <c r="D75" i="3"/>
  <c r="E75" i="3"/>
  <c r="F75" i="3"/>
  <c r="B74" i="3"/>
  <c r="C74" i="3"/>
  <c r="D74" i="3"/>
  <c r="E74" i="3"/>
  <c r="F74" i="3"/>
  <c r="B45" i="3"/>
  <c r="C45" i="3"/>
  <c r="F31" i="3" s="1"/>
  <c r="D45" i="3"/>
  <c r="J14" i="3" s="1"/>
  <c r="D14" i="3" s="1"/>
  <c r="E45" i="3"/>
  <c r="K14" i="3" s="1"/>
  <c r="E14" i="3" s="1"/>
  <c r="F45" i="3"/>
  <c r="B32" i="3" l="1"/>
  <c r="I15" i="3"/>
  <c r="B15" i="3" s="1"/>
  <c r="J32" i="3"/>
  <c r="D32" i="3" s="1"/>
  <c r="K32" i="3"/>
  <c r="E32" i="3" s="1"/>
  <c r="F32" i="3"/>
  <c r="H34" i="4"/>
  <c r="I31" i="3"/>
  <c r="F14" i="3"/>
  <c r="K31" i="3"/>
  <c r="E31" i="3" s="1"/>
  <c r="J31" i="3"/>
  <c r="D31" i="3" s="1"/>
  <c r="B31" i="3" l="1"/>
  <c r="I14" i="3"/>
  <c r="B14" i="3" s="1"/>
  <c r="H35" i="4"/>
  <c r="N5" i="3" l="1"/>
  <c r="M5" i="3" l="1"/>
  <c r="L5" i="3"/>
  <c r="K5" i="3"/>
  <c r="C67" i="3" l="1"/>
  <c r="C7" i="3"/>
  <c r="D65" i="3"/>
  <c r="D5" i="3"/>
  <c r="D67" i="3"/>
  <c r="D7" i="3"/>
  <c r="D64" i="3"/>
  <c r="D4" i="3"/>
</calcChain>
</file>

<file path=xl/sharedStrings.xml><?xml version="1.0" encoding="utf-8"?>
<sst xmlns="http://schemas.openxmlformats.org/spreadsheetml/2006/main" count="272" uniqueCount="155">
  <si>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</si>
  <si>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</si>
  <si>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</si>
  <si>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</si>
  <si>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</si>
  <si>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</si>
  <si>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</si>
  <si>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</si>
  <si>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</si>
  <si>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</si>
  <si>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</si>
  <si>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</si>
  <si>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</si>
  <si>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</si>
  <si>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</si>
  <si>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</si>
  <si>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</si>
  <si>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</si>
  <si>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</si>
  <si>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</si>
  <si>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</si>
  <si>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</si>
  <si>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</si>
  <si>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</si>
  <si>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</si>
  <si>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</si>
  <si>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</si>
  <si>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</si>
  <si>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</si>
  <si>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</si>
  <si>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</si>
  <si>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</si>
  <si>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</si>
  <si>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</si>
  <si>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</si>
  <si>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</si>
  <si>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</si>
  <si>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</si>
  <si>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</si>
  <si>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</si>
  <si>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</si>
  <si>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</si>
  <si>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</si>
  <si>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</si>
  <si>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</si>
  <si>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</si>
  <si>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</si>
  <si>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</si>
  <si>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</si>
  <si>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</si>
  <si>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</si>
  <si>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</si>
  <si>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</si>
  <si>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</si>
  <si>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</si>
  <si>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</si>
  <si>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</si>
  <si>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</si>
  <si>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</si>
  <si>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</si>
  <si>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</si>
  <si>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</si>
  <si>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</si>
  <si>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</si>
  <si>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</si>
  <si>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</si>
  <si>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</si>
  <si>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</si>
  <si>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</si>
  <si>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</si>
  <si>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</si>
  <si>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</si>
  <si>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</si>
  <si>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</si>
  <si>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</si>
  <si>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</si>
  <si>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</si>
  <si>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</si>
  <si>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</si>
  <si>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</si>
  <si>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</si>
  <si>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</si>
  <si>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</si>
  <si>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</si>
  <si>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</si>
  <si>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</si>
  <si>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</si>
  <si>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</si>
  <si>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</si>
  <si>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</si>
  <si>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</si>
  <si>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</si>
  <si>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</si>
  <si>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</si>
  <si>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</si>
  <si>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</si>
  <si>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</si>
  <si>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</si>
  <si>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</si>
  <si>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</si>
  <si>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</si>
  <si>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</si>
  <si>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</si>
  <si>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</si>
  <si>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</si>
  <si>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</si>
  <si>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</si>
  <si>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</si>
  <si>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</si>
  <si>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</si>
  <si>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</si>
  <si>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</si>
  <si>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</si>
  <si>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</si>
  <si>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</si>
  <si>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</si>
  <si>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</si>
  <si>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</si>
  <si>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</si>
  <si>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</si>
  <si>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</si>
  <si>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</si>
  <si>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</si>
  <si>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</si>
  <si>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</si>
  <si>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</si>
  <si>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</si>
  <si>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</si>
  <si>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</si>
  <si>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</si>
  <si>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</si>
  <si>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</si>
  <si>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</si>
  <si>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</si>
  <si>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</si>
  <si>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</si>
  <si>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</si>
  <si>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N°10899</t>
  </si>
  <si>
    <t>LATAM TRADING GROUP S.A.</t>
  </si>
  <si>
    <t>RUT: 76.124.996-7</t>
  </si>
  <si>
    <t>JORGE PEREZ</t>
  </si>
  <si>
    <t>+56 9 8228 4875</t>
  </si>
  <si>
    <t>CUB CON RESPALDO R6</t>
  </si>
  <si>
    <t>CUB SIN RESPALDO R6</t>
  </si>
  <si>
    <t>CASTER TERRAZO 4002 BR</t>
  </si>
  <si>
    <t>CLOUD TERRAZA 4001 BR</t>
  </si>
  <si>
    <t>ASHES GRANITE 40265 MT</t>
  </si>
  <si>
    <t>EBONY MARBLE 40419 BR</t>
  </si>
  <si>
    <t>LUNAR MARBLE 10493  BR</t>
  </si>
  <si>
    <t>NEW BLACK GRANITE 42009 BR</t>
  </si>
  <si>
    <t>NEO LUNA GRANITE 42003 BR</t>
  </si>
  <si>
    <t>FORT GRANITE 42008 BR</t>
  </si>
  <si>
    <t>ROBE GRANITE 42007 BR</t>
  </si>
  <si>
    <t>PUNK STONE 40289 BR</t>
  </si>
  <si>
    <t>CORTAR RESPALDO A 4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</si>
</sst>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2"/>
      <color theme="3" tint="0.399975585192419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6" fillId="9" borderId="0" xfId="0" applyFont="1" applyFill="1"/>
    <xf numFmtId="0" fontId="1" fillId="8" borderId="9" xfId="2" applyFont="1" applyFill="1" applyBorder="1" applyAlignment="1">
      <alignment horizontal="left"/>
    </xf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4" fontId="0" fillId="0" borderId="4" xfId="0" applyNumberFormat="1" applyBorder="1"/>
    <xf numFmtId="0" fontId="19" fillId="0" borderId="0" xfId="2" quotePrefix="1" applyFont="1" applyFill="1" applyBorder="1" applyAlignment="1">
      <alignment horizontal="left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32</xdr:row>
      <xdr:rowOff>9525</xdr:rowOff>
    </xdr:from>
    <xdr:to>
      <xdr:col>5</xdr:col>
      <xdr:colOff>1390650</xdr:colOff>
      <xdr:row>36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CLIENTE APORTA LAMINADO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25</xdr:row>
      <xdr:rowOff>76200</xdr:rowOff>
    </xdr:from>
    <xdr:to>
      <xdr:col>5</xdr:col>
      <xdr:colOff>1676399</xdr:colOff>
      <xdr:row>27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68</xdr:row>
      <xdr:rowOff>171450</xdr:rowOff>
    </xdr:from>
    <xdr:to>
      <xdr:col>5</xdr:col>
      <xdr:colOff>1685924</xdr:colOff>
      <xdr:row>70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66</xdr:row>
      <xdr:rowOff>0</xdr:rowOff>
    </xdr:from>
    <xdr:to>
      <xdr:col>6</xdr:col>
      <xdr:colOff>0</xdr:colOff>
      <xdr:row>67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64</xdr:row>
      <xdr:rowOff>38100</xdr:rowOff>
    </xdr:from>
    <xdr:to>
      <xdr:col>6</xdr:col>
      <xdr:colOff>0</xdr:colOff>
      <xdr:row>65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63</xdr:row>
      <xdr:rowOff>0</xdr:rowOff>
    </xdr:from>
    <xdr:to>
      <xdr:col>6</xdr:col>
      <xdr:colOff>0</xdr:colOff>
      <xdr:row>64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2</xdr:col>
      <xdr:colOff>38100</xdr:colOff>
      <xdr:row>85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84</xdr:row>
      <xdr:rowOff>0</xdr:rowOff>
    </xdr:from>
    <xdr:to>
      <xdr:col>2</xdr:col>
      <xdr:colOff>1019175</xdr:colOff>
      <xdr:row>84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0</xdr:rowOff>
    </xdr:from>
    <xdr:to>
      <xdr:col>3</xdr:col>
      <xdr:colOff>352425</xdr:colOff>
      <xdr:row>85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0</xdr:rowOff>
    </xdr:from>
    <xdr:to>
      <xdr:col>4</xdr:col>
      <xdr:colOff>257175</xdr:colOff>
      <xdr:row>85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0</xdr:rowOff>
    </xdr:from>
    <xdr:to>
      <xdr:col>5</xdr:col>
      <xdr:colOff>447675</xdr:colOff>
      <xdr:row>84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0</xdr:rowOff>
    </xdr:from>
    <xdr:to>
      <xdr:col>6</xdr:col>
      <xdr:colOff>0</xdr:colOff>
      <xdr:row>84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84</xdr:row>
      <xdr:rowOff>190500</xdr:rowOff>
    </xdr:from>
    <xdr:to>
      <xdr:col>2</xdr:col>
      <xdr:colOff>304800</xdr:colOff>
      <xdr:row>86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84</xdr:row>
      <xdr:rowOff>190500</xdr:rowOff>
    </xdr:from>
    <xdr:to>
      <xdr:col>2</xdr:col>
      <xdr:colOff>1276350</xdr:colOff>
      <xdr:row>86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84</xdr:row>
      <xdr:rowOff>190500</xdr:rowOff>
    </xdr:from>
    <xdr:to>
      <xdr:col>3</xdr:col>
      <xdr:colOff>619125</xdr:colOff>
      <xdr:row>86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84</xdr:row>
      <xdr:rowOff>190500</xdr:rowOff>
    </xdr:from>
    <xdr:to>
      <xdr:col>4</xdr:col>
      <xdr:colOff>523875</xdr:colOff>
      <xdr:row>86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84</xdr:row>
      <xdr:rowOff>190500</xdr:rowOff>
    </xdr:from>
    <xdr:to>
      <xdr:col>5</xdr:col>
      <xdr:colOff>723900</xdr:colOff>
      <xdr:row>86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84</xdr:row>
      <xdr:rowOff>190500</xdr:rowOff>
    </xdr:from>
    <xdr:to>
      <xdr:col>6</xdr:col>
      <xdr:colOff>0</xdr:colOff>
      <xdr:row>86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55</xdr:row>
      <xdr:rowOff>15239</xdr:rowOff>
    </xdr:from>
    <xdr:to>
      <xdr:col>6</xdr:col>
      <xdr:colOff>68580</xdr:colOff>
      <xdr:row>59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LAMINA 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MITAD AL LARGO PARA LAS CUBIERTAS DE 500, RESPALDOS CORTAR A 4CMS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40</xdr:row>
      <xdr:rowOff>200025</xdr:rowOff>
    </xdr:from>
    <xdr:to>
      <xdr:col>6</xdr:col>
      <xdr:colOff>19049</xdr:colOff>
      <xdr:row>42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5715</xdr:colOff>
      <xdr:row>87</xdr:row>
      <xdr:rowOff>24765</xdr:rowOff>
    </xdr:from>
    <xdr:to>
      <xdr:col>5</xdr:col>
      <xdr:colOff>2404110</xdr:colOff>
      <xdr:row>91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9615" y="1243012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APORTA LAMINAS,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LAMINA A LA MITAD AL LARGO DE LAS DE 500 MM GUARDAR DESPUNTE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CORTAR A 4 CMS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60</xdr:row>
      <xdr:rowOff>163830</xdr:rowOff>
    </xdr:from>
    <xdr:to>
      <xdr:col>1</xdr:col>
      <xdr:colOff>908443</xdr:colOff>
      <xdr:row>67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5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9.55468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137</v>
      </c>
      <c r="E8" s="1"/>
      <c r="F8" s="88" t="s">
        <v>27</v>
      </c>
      <c r="G8" s="89">
        <v>7074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125" t="s">
        <v>138</v>
      </c>
      <c r="D10" s="50"/>
      <c r="E10" s="50"/>
      <c r="F10" s="51" t="s">
        <v>28</v>
      </c>
      <c r="G10" s="52">
        <v>45404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t="s">
        <v>139</v>
      </c>
      <c r="D11" s="55"/>
      <c r="E11" s="55"/>
      <c r="F11" s="55" t="s">
        <v>124</v>
      </c>
      <c r="G11" s="56">
        <v>45411</v>
      </c>
      <c r="H11" s="57"/>
      <c r="I11" s="1"/>
    </row>
    <row r="12" spans="1:17" ht="15.6" x14ac:dyDescent="0.3">
      <c r="A12" s="1"/>
      <c r="B12" s="58" t="s">
        <v>132</v>
      </c>
      <c r="C12" s="97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C13" s="97" t="s">
        <v>140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26" t="s">
        <v>141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C15" s="95"/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6" t="s">
        <v>133</v>
      </c>
      <c r="D16" s="64"/>
      <c r="E16" s="65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thickBot="1" x14ac:dyDescent="0.35">
      <c r="A21" s="1"/>
      <c r="B21" s="98">
        <v>1</v>
      </c>
      <c r="C21" s="109" t="s">
        <v>142</v>
      </c>
      <c r="D21" s="110">
        <v>3000</v>
      </c>
      <c r="E21" s="110">
        <v>500</v>
      </c>
      <c r="F21" s="99" t="s">
        <v>147</v>
      </c>
      <c r="G21" s="111">
        <v>51500</v>
      </c>
      <c r="H21" s="94">
        <f>G21*B21</f>
        <v>51500</v>
      </c>
      <c r="I21" s="1"/>
      <c r="K21" s="16"/>
      <c r="L21" s="24"/>
      <c r="M21" s="16"/>
      <c r="N21" s="16"/>
      <c r="O21" s="24"/>
      <c r="P21" s="31"/>
    </row>
    <row r="22" spans="1:16" ht="18" customHeight="1" thickBot="1" x14ac:dyDescent="0.35">
      <c r="A22" s="1"/>
      <c r="B22" s="100">
        <v>1</v>
      </c>
      <c r="C22" s="109" t="s">
        <v>142</v>
      </c>
      <c r="D22" s="110">
        <v>3000</v>
      </c>
      <c r="E22" s="110">
        <v>500</v>
      </c>
      <c r="F22" s="99" t="s">
        <v>148</v>
      </c>
      <c r="G22" s="111">
        <v>51500</v>
      </c>
      <c r="H22" s="101">
        <f>G22*B22</f>
        <v>51500</v>
      </c>
      <c r="I22" s="1"/>
      <c r="K22" s="16"/>
      <c r="L22" s="24"/>
      <c r="M22" s="16"/>
      <c r="N22" s="16"/>
      <c r="O22" s="24"/>
      <c r="P22" s="31"/>
    </row>
    <row r="23" spans="1:16" ht="18" customHeight="1" thickBot="1" x14ac:dyDescent="0.35">
      <c r="A23" s="1"/>
      <c r="B23" s="100">
        <v>1</v>
      </c>
      <c r="C23" s="109" t="s">
        <v>142</v>
      </c>
      <c r="D23" s="110">
        <v>3000</v>
      </c>
      <c r="E23" s="110">
        <v>500</v>
      </c>
      <c r="F23" s="99" t="s">
        <v>149</v>
      </c>
      <c r="G23" s="111">
        <v>51500</v>
      </c>
      <c r="H23" s="101">
        <f>G23*B23</f>
        <v>51500</v>
      </c>
      <c r="I23" s="1"/>
      <c r="K23" s="16"/>
      <c r="L23" s="24"/>
      <c r="M23" s="16"/>
      <c r="N23" s="16"/>
      <c r="O23" s="24"/>
      <c r="P23" s="31"/>
    </row>
    <row r="24" spans="1:16" ht="18" customHeight="1" thickBot="1" x14ac:dyDescent="0.35">
      <c r="A24" s="1"/>
      <c r="B24" s="98">
        <v>1</v>
      </c>
      <c r="C24" s="109" t="s">
        <v>142</v>
      </c>
      <c r="D24" s="110">
        <v>3000</v>
      </c>
      <c r="E24" s="110">
        <v>500</v>
      </c>
      <c r="F24" s="99" t="s">
        <v>150</v>
      </c>
      <c r="G24" s="111">
        <v>51500</v>
      </c>
      <c r="H24" s="101">
        <f>G24*B24</f>
        <v>51500</v>
      </c>
      <c r="I24" s="1"/>
      <c r="K24" s="16"/>
      <c r="L24" s="24"/>
      <c r="M24" s="16"/>
      <c r="N24" s="16"/>
      <c r="O24" s="24"/>
      <c r="P24" s="31"/>
    </row>
    <row r="25" spans="1:16" ht="18" customHeight="1" thickBot="1" x14ac:dyDescent="0.35">
      <c r="A25" s="1"/>
      <c r="B25" s="98">
        <v>1</v>
      </c>
      <c r="C25" s="109" t="s">
        <v>142</v>
      </c>
      <c r="D25" s="110">
        <v>3000</v>
      </c>
      <c r="E25" s="110">
        <v>500</v>
      </c>
      <c r="F25" s="99" t="s">
        <v>151</v>
      </c>
      <c r="G25" s="111">
        <v>51500</v>
      </c>
      <c r="H25" s="101">
        <f t="shared" ref="H25:H30" si="0">G25*B25</f>
        <v>51500</v>
      </c>
      <c r="I25" s="1"/>
      <c r="K25" s="16"/>
      <c r="L25" s="24"/>
      <c r="M25" s="16"/>
      <c r="N25" s="16"/>
      <c r="O25" s="24"/>
      <c r="P25" s="31"/>
    </row>
    <row r="26" spans="1:16" ht="18" customHeight="1" thickBot="1" x14ac:dyDescent="0.35">
      <c r="A26" s="1"/>
      <c r="B26" s="98">
        <v>1</v>
      </c>
      <c r="C26" s="109" t="s">
        <v>142</v>
      </c>
      <c r="D26" s="110">
        <v>3000</v>
      </c>
      <c r="E26" s="110">
        <v>500</v>
      </c>
      <c r="F26" s="99" t="s">
        <v>152</v>
      </c>
      <c r="G26" s="111">
        <v>51500</v>
      </c>
      <c r="H26" s="101">
        <f t="shared" si="0"/>
        <v>51500</v>
      </c>
      <c r="I26" s="1"/>
      <c r="K26" s="16"/>
      <c r="L26" s="24"/>
      <c r="M26" s="16"/>
      <c r="N26" s="16"/>
      <c r="O26" s="24"/>
      <c r="P26" s="31"/>
    </row>
    <row r="27" spans="1:16" ht="18" customHeight="1" thickBot="1" x14ac:dyDescent="0.35">
      <c r="A27" s="1"/>
      <c r="B27" s="98">
        <v>1</v>
      </c>
      <c r="C27" s="109" t="s">
        <v>142</v>
      </c>
      <c r="D27" s="110">
        <v>3000</v>
      </c>
      <c r="E27" s="110">
        <v>500</v>
      </c>
      <c r="F27" s="99" t="s">
        <v>153</v>
      </c>
      <c r="G27" s="111">
        <v>51500</v>
      </c>
      <c r="H27" s="101">
        <f t="shared" si="0"/>
        <v>51500</v>
      </c>
      <c r="I27" s="1"/>
      <c r="K27" s="16"/>
      <c r="L27" s="24"/>
      <c r="M27" s="16"/>
      <c r="N27" s="16"/>
      <c r="O27" s="24"/>
      <c r="P27" s="31"/>
    </row>
    <row r="28" spans="1:16" ht="18" customHeight="1" thickBot="1" x14ac:dyDescent="0.35">
      <c r="A28" s="1"/>
      <c r="B28" s="98">
        <v>1</v>
      </c>
      <c r="C28" s="109" t="s">
        <v>143</v>
      </c>
      <c r="D28" s="110">
        <v>3000</v>
      </c>
      <c r="E28" s="110">
        <v>600</v>
      </c>
      <c r="F28" s="99" t="s">
        <v>144</v>
      </c>
      <c r="G28" s="111">
        <v>44590</v>
      </c>
      <c r="H28" s="101">
        <f t="shared" si="0"/>
        <v>44590</v>
      </c>
      <c r="I28" s="1"/>
      <c r="K28" s="16"/>
      <c r="L28" s="24"/>
      <c r="M28" s="16"/>
      <c r="N28" s="16"/>
      <c r="O28" s="24"/>
      <c r="P28" s="31"/>
    </row>
    <row r="29" spans="1:16" ht="18" customHeight="1" thickBot="1" x14ac:dyDescent="0.35">
      <c r="A29" s="1"/>
      <c r="B29" s="98">
        <v>1</v>
      </c>
      <c r="C29" s="109" t="s">
        <v>143</v>
      </c>
      <c r="D29" s="110">
        <v>3000</v>
      </c>
      <c r="E29" s="110">
        <v>600</v>
      </c>
      <c r="F29" s="99" t="s">
        <v>145</v>
      </c>
      <c r="G29" s="111">
        <v>44590</v>
      </c>
      <c r="H29" s="101">
        <f t="shared" si="0"/>
        <v>44590</v>
      </c>
      <c r="I29" s="1"/>
      <c r="K29" s="16"/>
      <c r="L29" s="24"/>
      <c r="M29" s="16"/>
      <c r="N29" s="16"/>
      <c r="O29" s="24"/>
      <c r="P29" s="31"/>
    </row>
    <row r="30" spans="1:16" ht="18" customHeight="1" thickBot="1" x14ac:dyDescent="0.35">
      <c r="A30" s="1"/>
      <c r="B30" s="98">
        <v>1</v>
      </c>
      <c r="C30" s="109" t="s">
        <v>143</v>
      </c>
      <c r="D30" s="110">
        <v>3000</v>
      </c>
      <c r="E30" s="110">
        <v>600</v>
      </c>
      <c r="F30" s="99" t="s">
        <v>146</v>
      </c>
      <c r="G30" s="111">
        <v>44590</v>
      </c>
      <c r="H30" s="101">
        <f t="shared" si="0"/>
        <v>44590</v>
      </c>
      <c r="I30" s="1"/>
      <c r="K30" s="16"/>
      <c r="L30" s="24"/>
      <c r="M30" s="16"/>
      <c r="N30" s="16"/>
      <c r="O30" s="24"/>
      <c r="P30" s="31"/>
    </row>
    <row r="31" spans="1:16" ht="18" customHeight="1" x14ac:dyDescent="0.3">
      <c r="A31" s="1"/>
      <c r="B31" s="93"/>
      <c r="C31" s="93"/>
      <c r="D31" s="93"/>
      <c r="E31" s="93"/>
      <c r="F31" s="93"/>
      <c r="G31" s="91"/>
      <c r="H31" s="91"/>
      <c r="I31" s="1"/>
      <c r="K31" s="16"/>
      <c r="L31" s="24"/>
      <c r="M31" s="16"/>
      <c r="N31" s="16"/>
      <c r="O31" s="24"/>
      <c r="P31" s="31"/>
    </row>
    <row r="32" spans="1:16" ht="8.25" customHeight="1" thickBot="1" x14ac:dyDescent="0.35">
      <c r="A32" s="1"/>
      <c r="B32" s="69"/>
      <c r="C32" s="69"/>
      <c r="D32" s="69"/>
      <c r="E32" s="69"/>
      <c r="F32" s="69"/>
      <c r="G32" s="70"/>
      <c r="H32" s="70"/>
      <c r="I32" s="1"/>
    </row>
    <row r="33" spans="1:9" ht="15.6" x14ac:dyDescent="0.3">
      <c r="A33" s="1"/>
      <c r="B33" s="1"/>
      <c r="C33" s="1"/>
      <c r="D33" s="1"/>
      <c r="E33" s="1"/>
      <c r="F33" s="1"/>
      <c r="G33" s="71" t="s">
        <v>5</v>
      </c>
      <c r="H33" s="72">
        <f>SUM(H21:H32)</f>
        <v>494270</v>
      </c>
      <c r="I33" s="1"/>
    </row>
    <row r="34" spans="1:9" ht="15.6" x14ac:dyDescent="0.3">
      <c r="A34" s="1"/>
      <c r="B34" s="1"/>
      <c r="C34" s="1"/>
      <c r="D34" s="1"/>
      <c r="E34" s="1"/>
      <c r="F34" s="1"/>
      <c r="G34" s="73" t="s">
        <v>6</v>
      </c>
      <c r="H34" s="74">
        <f>H33*19%</f>
        <v>93911.3</v>
      </c>
      <c r="I34" s="1"/>
    </row>
    <row r="35" spans="1:9" ht="16.2" thickBot="1" x14ac:dyDescent="0.35">
      <c r="A35" s="1"/>
      <c r="B35" s="1"/>
      <c r="C35" s="1"/>
      <c r="D35" s="1"/>
      <c r="E35" s="1"/>
      <c r="F35" s="1"/>
      <c r="G35" s="75" t="s">
        <v>4</v>
      </c>
      <c r="H35" s="76">
        <f>H33+H34</f>
        <v>588181.30000000005</v>
      </c>
      <c r="I35" s="1"/>
    </row>
    <row r="36" spans="1:9" ht="15.6" x14ac:dyDescent="0.3">
      <c r="A36" s="1"/>
      <c r="B36" s="1"/>
      <c r="C36" s="1"/>
      <c r="D36" s="1"/>
      <c r="E36" s="1"/>
      <c r="F36" s="1"/>
      <c r="G36" s="47"/>
      <c r="H36" s="92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77" t="s">
        <v>123</v>
      </c>
      <c r="C38" s="78"/>
      <c r="D38" s="79"/>
      <c r="E38" s="79"/>
      <c r="F38" s="69"/>
      <c r="G38" s="1"/>
      <c r="H38" s="1"/>
      <c r="I38" s="1"/>
    </row>
    <row r="39" spans="1:9" ht="15.6" x14ac:dyDescent="0.3">
      <c r="A39" s="1"/>
      <c r="B39" s="77" t="s">
        <v>122</v>
      </c>
      <c r="C39" s="78"/>
      <c r="D39" s="79"/>
      <c r="E39" s="79"/>
      <c r="F39" s="69"/>
      <c r="G39" s="1"/>
      <c r="H39" s="1"/>
      <c r="I39" s="1"/>
    </row>
    <row r="40" spans="1:9" ht="15.6" x14ac:dyDescent="0.3">
      <c r="A40" s="1"/>
      <c r="B40" s="1" t="s">
        <v>25</v>
      </c>
      <c r="C40" s="1"/>
      <c r="D40" s="1"/>
      <c r="E40" s="80" t="s">
        <v>26</v>
      </c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</sheetData>
  <sortState xmlns:xlrd2="http://schemas.microsoft.com/office/spreadsheetml/2017/richdata2" ref="B44">
    <sortCondition sortBy="fontColor" ref="B44" dxfId="0"/>
  </sortState>
  <mergeCells count="2">
    <mergeCell ref="F16:H16"/>
    <mergeCell ref="B19:H19"/>
  </mergeCells>
  <phoneticPr fontId="10" type="noConversion"/>
  <hyperlinks>
    <hyperlink ref="E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7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5"/>
  <sheetViews>
    <sheetView tabSelected="1" topLeftCell="A49" zoomScaleNormal="100" workbookViewId="0">
      <selection activeCell="A60" sqref="A60:F9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35" t="s">
        <v>27</v>
      </c>
      <c r="D4" s="14">
        <f>'4637'!G8</f>
        <v>7074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LATAM TRADING GROUP S.A.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45411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04">
        <f t="shared" ref="B14" si="0">I14</f>
        <v>1</v>
      </c>
      <c r="C14" s="104"/>
      <c r="D14" s="104">
        <f>J14+D$13</f>
        <v>3050</v>
      </c>
      <c r="E14" s="106">
        <f>K14+E$13</f>
        <v>470</v>
      </c>
      <c r="F14" s="104" t="str">
        <f>C45</f>
        <v>CUB CON RESPALDO R6</v>
      </c>
      <c r="G14" s="1"/>
      <c r="I14" s="3">
        <f>I31</f>
        <v>1</v>
      </c>
      <c r="J14" s="4">
        <f t="shared" ref="J14:K14" si="1">D45</f>
        <v>3000</v>
      </c>
      <c r="K14" s="4">
        <f t="shared" si="1"/>
        <v>500</v>
      </c>
    </row>
    <row r="15" spans="1:14" ht="18" x14ac:dyDescent="0.35">
      <c r="A15" s="90"/>
      <c r="B15" s="104">
        <f t="shared" ref="B15" si="2">I15</f>
        <v>1</v>
      </c>
      <c r="C15" s="104"/>
      <c r="D15" s="104">
        <f t="shared" ref="D15:D17" si="3">J15+D$13</f>
        <v>3050</v>
      </c>
      <c r="E15" s="106">
        <f t="shared" ref="E15:E17" si="4">K15+E$13</f>
        <v>470</v>
      </c>
      <c r="F15" s="104" t="str">
        <f t="shared" ref="F15" si="5">C46</f>
        <v>CUB CON RESPALDO R6</v>
      </c>
      <c r="G15" s="1"/>
      <c r="I15" s="3">
        <f t="shared" ref="I15" si="6">B46</f>
        <v>1</v>
      </c>
      <c r="J15" s="4">
        <f t="shared" ref="J15" si="7">D46</f>
        <v>3000</v>
      </c>
      <c r="K15" s="4">
        <f t="shared" ref="K15" si="8">E46</f>
        <v>500</v>
      </c>
    </row>
    <row r="16" spans="1:14" ht="18" x14ac:dyDescent="0.35">
      <c r="A16" s="90"/>
      <c r="B16" s="104">
        <f t="shared" ref="B16" si="9">I16</f>
        <v>1</v>
      </c>
      <c r="C16" s="104"/>
      <c r="D16" s="104">
        <f t="shared" si="3"/>
        <v>3050</v>
      </c>
      <c r="E16" s="106">
        <f t="shared" si="4"/>
        <v>470</v>
      </c>
      <c r="F16" s="104" t="str">
        <f t="shared" ref="F16" si="10">C47</f>
        <v>CUB CON RESPALDO R6</v>
      </c>
      <c r="G16" s="1"/>
      <c r="I16" s="3">
        <f t="shared" ref="I16" si="11">B47</f>
        <v>1</v>
      </c>
      <c r="J16" s="4">
        <f t="shared" ref="J16" si="12">D47</f>
        <v>3000</v>
      </c>
      <c r="K16" s="4">
        <f t="shared" ref="K16" si="13">E47</f>
        <v>500</v>
      </c>
    </row>
    <row r="17" spans="1:11" ht="18" x14ac:dyDescent="0.35">
      <c r="A17" s="90"/>
      <c r="B17" s="104">
        <f t="shared" ref="B17" si="14">I17</f>
        <v>1</v>
      </c>
      <c r="C17" s="104"/>
      <c r="D17" s="104">
        <f t="shared" si="3"/>
        <v>3050</v>
      </c>
      <c r="E17" s="106">
        <f t="shared" si="4"/>
        <v>470</v>
      </c>
      <c r="F17" s="104" t="str">
        <f t="shared" ref="F17" si="15">C48</f>
        <v>CUB CON RESPALDO R6</v>
      </c>
      <c r="G17" s="1"/>
      <c r="I17" s="3">
        <f t="shared" ref="I17" si="16">B48</f>
        <v>1</v>
      </c>
      <c r="J17" s="4">
        <f t="shared" ref="J17" si="17">D48</f>
        <v>3000</v>
      </c>
      <c r="K17" s="4">
        <f t="shared" ref="K17" si="18">E48</f>
        <v>500</v>
      </c>
    </row>
    <row r="18" spans="1:11" ht="18" x14ac:dyDescent="0.35">
      <c r="A18" s="90"/>
      <c r="B18" s="104">
        <f t="shared" ref="B18:B23" si="19">I18</f>
        <v>1</v>
      </c>
      <c r="C18" s="104"/>
      <c r="D18" s="104">
        <f t="shared" ref="D18:D23" si="20">J18+D$13</f>
        <v>3050</v>
      </c>
      <c r="E18" s="106">
        <f t="shared" ref="E18:E20" si="21">K18+E$13</f>
        <v>470</v>
      </c>
      <c r="F18" s="104" t="str">
        <f>C49</f>
        <v>CUB CON RESPALDO R6</v>
      </c>
      <c r="G18" s="1"/>
      <c r="I18" s="3">
        <f>B49</f>
        <v>1</v>
      </c>
      <c r="J18" s="4">
        <f>D49</f>
        <v>3000</v>
      </c>
      <c r="K18" s="4">
        <f>E49</f>
        <v>500</v>
      </c>
    </row>
    <row r="19" spans="1:11" ht="18" x14ac:dyDescent="0.35">
      <c r="A19" s="90"/>
      <c r="B19" s="104">
        <f t="shared" si="19"/>
        <v>1</v>
      </c>
      <c r="C19" s="104"/>
      <c r="D19" s="104">
        <f t="shared" si="20"/>
        <v>3050</v>
      </c>
      <c r="E19" s="106">
        <f t="shared" si="21"/>
        <v>470</v>
      </c>
      <c r="F19" s="104" t="str">
        <f>C50</f>
        <v>CUB CON RESPALDO R6</v>
      </c>
      <c r="G19" s="1"/>
      <c r="I19" s="3">
        <f>B50</f>
        <v>1</v>
      </c>
      <c r="J19" s="4">
        <f>D50</f>
        <v>3000</v>
      </c>
      <c r="K19" s="4">
        <f>E50</f>
        <v>500</v>
      </c>
    </row>
    <row r="20" spans="1:11" ht="18" x14ac:dyDescent="0.35">
      <c r="A20" s="90"/>
      <c r="B20" s="104">
        <f t="shared" si="19"/>
        <v>1</v>
      </c>
      <c r="C20" s="104"/>
      <c r="D20" s="104">
        <f t="shared" si="20"/>
        <v>3050</v>
      </c>
      <c r="E20" s="106">
        <f t="shared" si="21"/>
        <v>470</v>
      </c>
      <c r="F20" s="104" t="str">
        <f>C51</f>
        <v>CUB CON RESPALDO R6</v>
      </c>
      <c r="G20" s="1"/>
      <c r="I20" s="3">
        <f>B51</f>
        <v>1</v>
      </c>
      <c r="J20" s="4">
        <f>D51</f>
        <v>3000</v>
      </c>
      <c r="K20" s="4">
        <f>E51</f>
        <v>500</v>
      </c>
    </row>
    <row r="21" spans="1:11" ht="18" x14ac:dyDescent="0.35">
      <c r="A21" s="90"/>
      <c r="B21" s="104">
        <f t="shared" si="19"/>
        <v>1</v>
      </c>
      <c r="C21" s="104"/>
      <c r="D21" s="104">
        <f t="shared" si="20"/>
        <v>3050</v>
      </c>
      <c r="E21" s="106">
        <f>K21</f>
        <v>600</v>
      </c>
      <c r="F21" s="104" t="str">
        <f>C52</f>
        <v>CUB SIN RESPALDO R6</v>
      </c>
      <c r="G21" s="1"/>
      <c r="I21" s="3">
        <f>B52</f>
        <v>1</v>
      </c>
      <c r="J21" s="4">
        <f>D52</f>
        <v>3000</v>
      </c>
      <c r="K21" s="4">
        <f>E52</f>
        <v>600</v>
      </c>
    </row>
    <row r="22" spans="1:11" ht="18" x14ac:dyDescent="0.35">
      <c r="A22" s="90"/>
      <c r="B22" s="104">
        <f t="shared" si="19"/>
        <v>1</v>
      </c>
      <c r="C22" s="104"/>
      <c r="D22" s="104">
        <f t="shared" si="20"/>
        <v>3050</v>
      </c>
      <c r="E22" s="106">
        <f t="shared" ref="E22:E23" si="22">K22</f>
        <v>600</v>
      </c>
      <c r="F22" s="104" t="str">
        <f>C53</f>
        <v>CUB SIN RESPALDO R6</v>
      </c>
      <c r="G22" s="1"/>
      <c r="I22" s="3">
        <f>B53</f>
        <v>1</v>
      </c>
      <c r="J22" s="4">
        <f>D53</f>
        <v>3000</v>
      </c>
      <c r="K22" s="4">
        <f>E53</f>
        <v>600</v>
      </c>
    </row>
    <row r="23" spans="1:11" ht="18" x14ac:dyDescent="0.35">
      <c r="A23" s="90"/>
      <c r="B23" s="104">
        <f t="shared" si="19"/>
        <v>1</v>
      </c>
      <c r="C23" s="104"/>
      <c r="D23" s="104">
        <f t="shared" si="20"/>
        <v>3050</v>
      </c>
      <c r="E23" s="106">
        <f t="shared" si="22"/>
        <v>600</v>
      </c>
      <c r="F23" s="104" t="str">
        <f>C54</f>
        <v>CUB SIN RESPALDO R6</v>
      </c>
      <c r="G23" s="1"/>
      <c r="I23" s="3">
        <f>B54</f>
        <v>1</v>
      </c>
      <c r="J23" s="4">
        <f>D54</f>
        <v>3000</v>
      </c>
      <c r="K23" s="4">
        <f>E54</f>
        <v>600</v>
      </c>
    </row>
    <row r="24" spans="1:11" ht="18" x14ac:dyDescent="0.35">
      <c r="A24" s="90"/>
      <c r="B24" s="107"/>
      <c r="C24" s="107"/>
      <c r="D24" s="107"/>
      <c r="E24" s="108"/>
      <c r="F24" s="107"/>
      <c r="G24" s="1"/>
      <c r="I24" s="84"/>
      <c r="J24" s="2"/>
      <c r="K24" s="2"/>
    </row>
    <row r="25" spans="1:11" ht="15.6" x14ac:dyDescent="0.3">
      <c r="A25" s="47"/>
      <c r="B25" s="6"/>
      <c r="C25" s="6"/>
      <c r="D25" s="6"/>
      <c r="E25" s="83"/>
      <c r="F25" s="6"/>
      <c r="G25" s="1"/>
      <c r="I25" s="84"/>
      <c r="J25" s="2"/>
      <c r="K25" s="2"/>
    </row>
    <row r="26" spans="1:11" ht="6.7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120" t="s">
        <v>14</v>
      </c>
      <c r="B27" s="120"/>
      <c r="C27" s="120"/>
      <c r="D27" s="120"/>
      <c r="E27" s="120"/>
      <c r="F27" s="120"/>
      <c r="G27" s="1"/>
    </row>
    <row r="28" spans="1:11" ht="10.5" customHeight="1" x14ac:dyDescent="0.3">
      <c r="A28" s="1"/>
      <c r="B28" s="1"/>
      <c r="C28" s="12"/>
      <c r="D28" s="1"/>
      <c r="E28" s="1"/>
      <c r="F28" s="1"/>
      <c r="G28" s="1"/>
    </row>
    <row r="29" spans="1:11" ht="15.6" x14ac:dyDescent="0.3">
      <c r="A29" s="1"/>
      <c r="B29" s="1"/>
      <c r="C29" s="1"/>
      <c r="D29" s="47" t="s">
        <v>7</v>
      </c>
      <c r="E29" s="47" t="s">
        <v>8</v>
      </c>
      <c r="F29" s="1"/>
      <c r="G29" s="1"/>
    </row>
    <row r="30" spans="1:11" ht="15.6" x14ac:dyDescent="0.3">
      <c r="A30" s="47" t="s">
        <v>9</v>
      </c>
      <c r="B30" s="33" t="s">
        <v>10</v>
      </c>
      <c r="C30" s="33" t="s">
        <v>11</v>
      </c>
      <c r="D30" s="20">
        <v>40</v>
      </c>
      <c r="E30" s="20">
        <v>110</v>
      </c>
      <c r="F30" s="33" t="s">
        <v>110</v>
      </c>
      <c r="G30" s="1"/>
      <c r="J30" s="5" t="s">
        <v>7</v>
      </c>
      <c r="K30" s="5" t="s">
        <v>8</v>
      </c>
    </row>
    <row r="31" spans="1:11" ht="18" x14ac:dyDescent="0.35">
      <c r="A31" s="90" t="s">
        <v>135</v>
      </c>
      <c r="B31" s="105">
        <f t="shared" ref="B31" si="23">I31</f>
        <v>1</v>
      </c>
      <c r="C31" s="105" t="s">
        <v>154</v>
      </c>
      <c r="D31" s="105">
        <f>J31+D$30</f>
        <v>3040</v>
      </c>
      <c r="E31" s="105">
        <f>K31+E$30</f>
        <v>610</v>
      </c>
      <c r="F31" s="105" t="str">
        <f>C45</f>
        <v>CUB CON RESPALDO R6</v>
      </c>
      <c r="G31" s="1"/>
      <c r="I31" s="3">
        <f>B45</f>
        <v>1</v>
      </c>
      <c r="J31" s="4">
        <f>D45</f>
        <v>3000</v>
      </c>
      <c r="K31" s="4">
        <f>E45</f>
        <v>500</v>
      </c>
    </row>
    <row r="32" spans="1:11" ht="18" x14ac:dyDescent="0.35">
      <c r="A32" s="90"/>
      <c r="B32" s="105">
        <f t="shared" ref="B32" si="24">I32</f>
        <v>1</v>
      </c>
      <c r="C32" s="105" t="s">
        <v>154</v>
      </c>
      <c r="D32" s="105">
        <f t="shared" ref="D32:D34" si="25">J32+D$30</f>
        <v>3040</v>
      </c>
      <c r="E32" s="105">
        <f t="shared" ref="E32:E34" si="26">K32+E$30</f>
        <v>610</v>
      </c>
      <c r="F32" s="105" t="str">
        <f t="shared" ref="F32" si="27">C46</f>
        <v>CUB CON RESPALDO R6</v>
      </c>
      <c r="G32" s="1"/>
      <c r="I32" s="3">
        <f t="shared" ref="I32" si="28">B46</f>
        <v>1</v>
      </c>
      <c r="J32" s="4">
        <f t="shared" ref="J32:K32" si="29">D46</f>
        <v>3000</v>
      </c>
      <c r="K32" s="4">
        <f t="shared" si="29"/>
        <v>500</v>
      </c>
    </row>
    <row r="33" spans="1:11" ht="18" x14ac:dyDescent="0.35">
      <c r="A33" s="90"/>
      <c r="B33" s="105">
        <f t="shared" ref="B33" si="30">I33</f>
        <v>1</v>
      </c>
      <c r="C33" s="105" t="s">
        <v>154</v>
      </c>
      <c r="D33" s="105">
        <f t="shared" si="25"/>
        <v>3040</v>
      </c>
      <c r="E33" s="105">
        <f t="shared" si="26"/>
        <v>610</v>
      </c>
      <c r="F33" s="105" t="str">
        <f t="shared" ref="F33" si="31">C47</f>
        <v>CUB CON RESPALDO R6</v>
      </c>
      <c r="G33" s="1"/>
      <c r="I33" s="3">
        <f t="shared" ref="I33" si="32">B47</f>
        <v>1</v>
      </c>
      <c r="J33" s="4">
        <f t="shared" ref="J33" si="33">D47</f>
        <v>3000</v>
      </c>
      <c r="K33" s="4">
        <f t="shared" ref="K33" si="34">E47</f>
        <v>500</v>
      </c>
    </row>
    <row r="34" spans="1:11" ht="18" x14ac:dyDescent="0.35">
      <c r="A34" s="90"/>
      <c r="B34" s="105">
        <f t="shared" ref="B34" si="35">I34</f>
        <v>1</v>
      </c>
      <c r="C34" s="105" t="s">
        <v>154</v>
      </c>
      <c r="D34" s="105">
        <f t="shared" si="25"/>
        <v>3040</v>
      </c>
      <c r="E34" s="105">
        <f t="shared" si="26"/>
        <v>610</v>
      </c>
      <c r="F34" s="105" t="str">
        <f t="shared" ref="F34" si="36">C48</f>
        <v>CUB CON RESPALDO R6</v>
      </c>
      <c r="G34" s="1"/>
      <c r="I34" s="3">
        <f t="shared" ref="I34" si="37">B48</f>
        <v>1</v>
      </c>
      <c r="J34" s="4">
        <f t="shared" ref="J34" si="38">D48</f>
        <v>3000</v>
      </c>
      <c r="K34" s="4">
        <f t="shared" ref="K34" si="39">E48</f>
        <v>500</v>
      </c>
    </row>
    <row r="35" spans="1:11" ht="18" x14ac:dyDescent="0.35">
      <c r="A35" s="90"/>
      <c r="B35" s="105">
        <f t="shared" ref="B35:B38" si="40">I35</f>
        <v>1</v>
      </c>
      <c r="C35" s="105" t="s">
        <v>154</v>
      </c>
      <c r="D35" s="105">
        <f t="shared" ref="D35:D38" si="41">J35+D$30</f>
        <v>3040</v>
      </c>
      <c r="E35" s="105">
        <f>K35+E$30</f>
        <v>610</v>
      </c>
      <c r="F35" s="105" t="str">
        <f t="shared" ref="F35:F38" si="42">C49</f>
        <v>CUB CON RESPALDO R6</v>
      </c>
      <c r="G35" s="1"/>
      <c r="I35" s="3">
        <f t="shared" ref="I35:I38" si="43">B49</f>
        <v>1</v>
      </c>
      <c r="J35" s="4">
        <f t="shared" ref="J35:J38" si="44">D49</f>
        <v>3000</v>
      </c>
      <c r="K35" s="4">
        <f t="shared" ref="K35:K38" si="45">E49</f>
        <v>500</v>
      </c>
    </row>
    <row r="36" spans="1:11" ht="18" x14ac:dyDescent="0.35">
      <c r="A36" s="90"/>
      <c r="B36" s="105">
        <f t="shared" si="40"/>
        <v>1</v>
      </c>
      <c r="C36" s="105" t="s">
        <v>154</v>
      </c>
      <c r="D36" s="105">
        <f t="shared" si="41"/>
        <v>3040</v>
      </c>
      <c r="E36" s="105">
        <f>K36+E$30</f>
        <v>610</v>
      </c>
      <c r="F36" s="105" t="str">
        <f t="shared" si="42"/>
        <v>CUB CON RESPALDO R6</v>
      </c>
      <c r="G36" s="1"/>
      <c r="I36" s="3">
        <f t="shared" si="43"/>
        <v>1</v>
      </c>
      <c r="J36" s="4">
        <f t="shared" si="44"/>
        <v>3000</v>
      </c>
      <c r="K36" s="4">
        <f t="shared" si="45"/>
        <v>500</v>
      </c>
    </row>
    <row r="37" spans="1:11" ht="18" x14ac:dyDescent="0.35">
      <c r="A37" s="90"/>
      <c r="B37" s="105">
        <f t="shared" si="40"/>
        <v>1</v>
      </c>
      <c r="C37" s="105" t="s">
        <v>154</v>
      </c>
      <c r="D37" s="105">
        <f t="shared" si="41"/>
        <v>3040</v>
      </c>
      <c r="E37" s="105">
        <f>K37+E$30</f>
        <v>610</v>
      </c>
      <c r="F37" s="105" t="str">
        <f t="shared" si="42"/>
        <v>CUB CON RESPALDO R6</v>
      </c>
      <c r="G37" s="1"/>
      <c r="I37" s="3">
        <f t="shared" si="43"/>
        <v>1</v>
      </c>
      <c r="J37" s="4">
        <f t="shared" si="44"/>
        <v>3000</v>
      </c>
      <c r="K37" s="4">
        <f t="shared" si="45"/>
        <v>500</v>
      </c>
    </row>
    <row r="38" spans="1:11" ht="18" x14ac:dyDescent="0.35">
      <c r="A38" s="90"/>
      <c r="B38" s="105">
        <f t="shared" si="40"/>
        <v>1</v>
      </c>
      <c r="C38" s="105"/>
      <c r="D38" s="105">
        <f t="shared" si="41"/>
        <v>3040</v>
      </c>
      <c r="E38" s="105">
        <v>660</v>
      </c>
      <c r="F38" s="105" t="str">
        <f t="shared" si="42"/>
        <v>CUB SIN RESPALDO R6</v>
      </c>
      <c r="G38" s="1"/>
      <c r="I38" s="3">
        <f t="shared" si="43"/>
        <v>1</v>
      </c>
      <c r="J38" s="4">
        <f t="shared" si="44"/>
        <v>3000</v>
      </c>
      <c r="K38" s="4">
        <f t="shared" si="45"/>
        <v>600</v>
      </c>
    </row>
    <row r="39" spans="1:11" ht="18" x14ac:dyDescent="0.35">
      <c r="A39" s="90"/>
      <c r="B39" s="105">
        <f t="shared" ref="B39:B40" si="46">I39</f>
        <v>1</v>
      </c>
      <c r="C39" s="105"/>
      <c r="D39" s="105">
        <f t="shared" ref="D39:D40" si="47">J39+D$30</f>
        <v>3040</v>
      </c>
      <c r="E39" s="105">
        <v>660</v>
      </c>
      <c r="F39" s="105" t="str">
        <f t="shared" ref="F39:F40" si="48">C53</f>
        <v>CUB SIN RESPALDO R6</v>
      </c>
      <c r="G39" s="1"/>
      <c r="I39" s="3">
        <f t="shared" ref="I39:I40" si="49">B53</f>
        <v>1</v>
      </c>
      <c r="J39" s="4">
        <f t="shared" ref="J39:J40" si="50">D53</f>
        <v>3000</v>
      </c>
      <c r="K39" s="4">
        <f t="shared" ref="K39:K40" si="51">E53</f>
        <v>600</v>
      </c>
    </row>
    <row r="40" spans="1:11" ht="18" x14ac:dyDescent="0.35">
      <c r="A40" s="90"/>
      <c r="B40" s="105">
        <f t="shared" si="46"/>
        <v>1</v>
      </c>
      <c r="C40" s="105"/>
      <c r="D40" s="105">
        <f t="shared" si="47"/>
        <v>3040</v>
      </c>
      <c r="E40" s="105">
        <v>660</v>
      </c>
      <c r="F40" s="105" t="str">
        <f t="shared" si="48"/>
        <v>CUB SIN RESPALDO R6</v>
      </c>
      <c r="G40" s="1"/>
      <c r="I40" s="3">
        <f t="shared" si="49"/>
        <v>1</v>
      </c>
      <c r="J40" s="4">
        <f t="shared" si="50"/>
        <v>3000</v>
      </c>
      <c r="K40" s="4">
        <f t="shared" si="51"/>
        <v>600</v>
      </c>
    </row>
    <row r="41" spans="1:11" ht="16.2" thickBot="1" x14ac:dyDescent="0.35">
      <c r="A41" s="47"/>
      <c r="B41" s="6"/>
      <c r="C41" s="6"/>
      <c r="D41" s="6"/>
      <c r="E41" s="6"/>
      <c r="F41" s="6"/>
      <c r="G41" s="1"/>
      <c r="I41" s="2"/>
      <c r="J41" s="2"/>
      <c r="K41" s="2"/>
    </row>
    <row r="42" spans="1:11" ht="16.2" thickBot="1" x14ac:dyDescent="0.35">
      <c r="A42" s="47"/>
      <c r="B42" s="21" t="s">
        <v>107</v>
      </c>
      <c r="C42" s="22"/>
      <c r="D42" s="22"/>
      <c r="E42" s="22"/>
      <c r="F42" s="23"/>
      <c r="G42" s="1"/>
      <c r="I42" s="2"/>
      <c r="J42" s="2"/>
      <c r="K42" s="2"/>
    </row>
    <row r="43" spans="1:11" ht="10.5" customHeight="1" x14ac:dyDescent="0.3">
      <c r="A43" s="1"/>
      <c r="B43" s="1"/>
      <c r="C43" s="1"/>
      <c r="D43" s="1"/>
      <c r="E43" s="1"/>
      <c r="F43" s="1"/>
      <c r="G43" s="1"/>
    </row>
    <row r="44" spans="1:11" ht="15.6" x14ac:dyDescent="0.3">
      <c r="A44" s="47" t="s">
        <v>9</v>
      </c>
      <c r="B44" s="82" t="s">
        <v>10</v>
      </c>
      <c r="C44" s="82" t="s">
        <v>110</v>
      </c>
      <c r="D44" s="82" t="s">
        <v>7</v>
      </c>
      <c r="E44" s="82" t="s">
        <v>8</v>
      </c>
      <c r="F44" s="82" t="s">
        <v>23</v>
      </c>
      <c r="G44" s="1"/>
    </row>
    <row r="45" spans="1:11" ht="18" x14ac:dyDescent="0.35">
      <c r="A45" s="90" t="s">
        <v>135</v>
      </c>
      <c r="B45" s="104">
        <f>'4637'!B21</f>
        <v>1</v>
      </c>
      <c r="C45" s="104" t="str">
        <f>'4637'!C21</f>
        <v>CUB CON RESPALDO R6</v>
      </c>
      <c r="D45" s="104">
        <f>'4637'!D21</f>
        <v>3000</v>
      </c>
      <c r="E45" s="104">
        <f>'4637'!E21</f>
        <v>500</v>
      </c>
      <c r="F45" s="104" t="str">
        <f>'4637'!F21</f>
        <v>EBONY MARBLE 40419 BR</v>
      </c>
      <c r="G45" s="1"/>
    </row>
    <row r="46" spans="1:11" ht="18" x14ac:dyDescent="0.35">
      <c r="A46" s="90"/>
      <c r="B46" s="104">
        <f>'4637'!B22</f>
        <v>1</v>
      </c>
      <c r="C46" s="104" t="str">
        <f>'4637'!C22</f>
        <v>CUB CON RESPALDO R6</v>
      </c>
      <c r="D46" s="104">
        <f>'4637'!D22</f>
        <v>3000</v>
      </c>
      <c r="E46" s="104">
        <f>'4637'!E22</f>
        <v>500</v>
      </c>
      <c r="F46" s="104" t="str">
        <f>'4637'!F22</f>
        <v>LUNAR MARBLE 10493  BR</v>
      </c>
      <c r="G46" s="1"/>
    </row>
    <row r="47" spans="1:11" ht="18" x14ac:dyDescent="0.35">
      <c r="A47" s="90"/>
      <c r="B47" s="104">
        <f>'4637'!B23</f>
        <v>1</v>
      </c>
      <c r="C47" s="104" t="str">
        <f>'4637'!C23</f>
        <v>CUB CON RESPALDO R6</v>
      </c>
      <c r="D47" s="104">
        <f>'4637'!D23</f>
        <v>3000</v>
      </c>
      <c r="E47" s="104">
        <f>'4637'!E23</f>
        <v>500</v>
      </c>
      <c r="F47" s="104" t="str">
        <f>'4637'!F23</f>
        <v>NEW BLACK GRANITE 42009 BR</v>
      </c>
      <c r="G47" s="1"/>
    </row>
    <row r="48" spans="1:11" ht="18" x14ac:dyDescent="0.35">
      <c r="A48" s="90"/>
      <c r="B48" s="104">
        <f>'4637'!B24</f>
        <v>1</v>
      </c>
      <c r="C48" s="104" t="str">
        <f>'4637'!C24</f>
        <v>CUB CON RESPALDO R6</v>
      </c>
      <c r="D48" s="104">
        <f>'4637'!D24</f>
        <v>3000</v>
      </c>
      <c r="E48" s="104">
        <f>'4637'!E24</f>
        <v>500</v>
      </c>
      <c r="F48" s="104" t="str">
        <f>'4637'!F24</f>
        <v>NEO LUNA GRANITE 42003 BR</v>
      </c>
      <c r="G48" s="1"/>
    </row>
    <row r="49" spans="1:7" ht="18" x14ac:dyDescent="0.35">
      <c r="A49" s="90"/>
      <c r="B49" s="104">
        <f>'4637'!B25</f>
        <v>1</v>
      </c>
      <c r="C49" s="104" t="str">
        <f>'4637'!C25</f>
        <v>CUB CON RESPALDO R6</v>
      </c>
      <c r="D49" s="104">
        <f>'4637'!D25</f>
        <v>3000</v>
      </c>
      <c r="E49" s="104">
        <f>'4637'!E25</f>
        <v>500</v>
      </c>
      <c r="F49" s="104" t="str">
        <f>'4637'!F25</f>
        <v>FORT GRANITE 42008 BR</v>
      </c>
      <c r="G49" s="1"/>
    </row>
    <row r="50" spans="1:7" ht="18" x14ac:dyDescent="0.35">
      <c r="A50" s="90"/>
      <c r="B50" s="104">
        <f>'4637'!B26</f>
        <v>1</v>
      </c>
      <c r="C50" s="104" t="str">
        <f>'4637'!C26</f>
        <v>CUB CON RESPALDO R6</v>
      </c>
      <c r="D50" s="104">
        <f>'4637'!D26</f>
        <v>3000</v>
      </c>
      <c r="E50" s="104">
        <f>'4637'!E26</f>
        <v>500</v>
      </c>
      <c r="F50" s="104" t="str">
        <f>'4637'!F26</f>
        <v>ROBE GRANITE 42007 BR</v>
      </c>
      <c r="G50" s="1"/>
    </row>
    <row r="51" spans="1:7" ht="18" x14ac:dyDescent="0.35">
      <c r="A51" s="90"/>
      <c r="B51" s="104">
        <f>'4637'!B27</f>
        <v>1</v>
      </c>
      <c r="C51" s="104" t="str">
        <f>'4637'!C27</f>
        <v>CUB CON RESPALDO R6</v>
      </c>
      <c r="D51" s="104">
        <f>'4637'!D27</f>
        <v>3000</v>
      </c>
      <c r="E51" s="104">
        <f>'4637'!E27</f>
        <v>500</v>
      </c>
      <c r="F51" s="104" t="str">
        <f>'4637'!F27</f>
        <v>PUNK STONE 40289 BR</v>
      </c>
      <c r="G51" s="1"/>
    </row>
    <row r="52" spans="1:7" ht="18" x14ac:dyDescent="0.35">
      <c r="A52" s="90"/>
      <c r="B52" s="104">
        <f>'4637'!B28</f>
        <v>1</v>
      </c>
      <c r="C52" s="104" t="str">
        <f>'4637'!C28</f>
        <v>CUB SIN RESPALDO R6</v>
      </c>
      <c r="D52" s="104">
        <f>'4637'!D28</f>
        <v>3000</v>
      </c>
      <c r="E52" s="104">
        <f>'4637'!E28</f>
        <v>600</v>
      </c>
      <c r="F52" s="104" t="str">
        <f>'4637'!F28</f>
        <v>CASTER TERRAZO 4002 BR</v>
      </c>
      <c r="G52" s="1"/>
    </row>
    <row r="53" spans="1:7" ht="18" x14ac:dyDescent="0.35">
      <c r="A53" s="90"/>
      <c r="B53" s="104">
        <f>'4637'!B29</f>
        <v>1</v>
      </c>
      <c r="C53" s="104" t="str">
        <f>'4637'!C29</f>
        <v>CUB SIN RESPALDO R6</v>
      </c>
      <c r="D53" s="104">
        <f>'4637'!D29</f>
        <v>3000</v>
      </c>
      <c r="E53" s="104">
        <f>'4637'!E29</f>
        <v>600</v>
      </c>
      <c r="F53" s="104" t="str">
        <f>'4637'!F29</f>
        <v>CLOUD TERRAZA 4001 BR</v>
      </c>
      <c r="G53" s="1"/>
    </row>
    <row r="54" spans="1:7" ht="18" x14ac:dyDescent="0.35">
      <c r="A54" s="47"/>
      <c r="B54" s="104">
        <f>'4637'!B30</f>
        <v>1</v>
      </c>
      <c r="C54" s="104" t="str">
        <f>'4637'!C30</f>
        <v>CUB SIN RESPALDO R6</v>
      </c>
      <c r="D54" s="104">
        <f>'4637'!D30</f>
        <v>3000</v>
      </c>
      <c r="E54" s="104">
        <f>'4637'!E30</f>
        <v>600</v>
      </c>
      <c r="F54" s="104" t="str">
        <f>'4637'!F30</f>
        <v>ASHES GRANITE 40265 MT</v>
      </c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6"/>
      <c r="C61" s="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35" t="s">
        <v>27</v>
      </c>
      <c r="D64" s="14">
        <f>'4637'!G8</f>
        <v>7074</v>
      </c>
      <c r="E64" s="1"/>
      <c r="F64" s="1"/>
      <c r="G64" s="1"/>
    </row>
    <row r="65" spans="1:7" ht="17.25" customHeight="1" x14ac:dyDescent="0.3">
      <c r="A65" s="1"/>
      <c r="B65" s="1"/>
      <c r="C65" s="36" t="s">
        <v>67</v>
      </c>
      <c r="D65" s="37" t="str">
        <f>'4637'!C10</f>
        <v>LATAM TRADING GROUP S.A.</v>
      </c>
      <c r="E65" s="38"/>
      <c r="F65" s="38"/>
      <c r="G65" s="1"/>
    </row>
    <row r="66" spans="1:7" ht="4.5" customHeight="1" x14ac:dyDescent="0.3">
      <c r="A66" s="1"/>
      <c r="B66" s="1"/>
      <c r="C66" s="39"/>
      <c r="D66" s="40"/>
      <c r="E66" s="1"/>
      <c r="F66" s="1"/>
      <c r="G66" s="1"/>
    </row>
    <row r="67" spans="1:7" ht="15.6" x14ac:dyDescent="0.3">
      <c r="A67" s="1"/>
      <c r="B67" s="1"/>
      <c r="C67" s="41" t="str">
        <f>'4637'!F11</f>
        <v>FECHA LIMITE :</v>
      </c>
      <c r="D67" s="13">
        <f>'4637'!G11</f>
        <v>45411</v>
      </c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20" t="s">
        <v>68</v>
      </c>
      <c r="B70" s="120"/>
      <c r="C70" s="120"/>
      <c r="D70" s="120"/>
      <c r="E70" s="120"/>
      <c r="F70" s="120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75" customHeight="1" x14ac:dyDescent="0.3">
      <c r="A72" s="1"/>
      <c r="B72" s="121" t="s">
        <v>69</v>
      </c>
      <c r="C72" s="122"/>
      <c r="D72" s="123"/>
      <c r="E72" s="123"/>
      <c r="F72" s="124"/>
      <c r="G72" s="1"/>
    </row>
    <row r="73" spans="1:7" s="15" customFormat="1" ht="12.75" customHeight="1" x14ac:dyDescent="0.3">
      <c r="A73" s="1"/>
      <c r="B73" s="33" t="s">
        <v>10</v>
      </c>
      <c r="C73" s="42" t="s">
        <v>11</v>
      </c>
      <c r="D73" s="43" t="s">
        <v>7</v>
      </c>
      <c r="E73" s="43" t="s">
        <v>8</v>
      </c>
      <c r="F73" s="44" t="s">
        <v>12</v>
      </c>
      <c r="G73" s="1"/>
    </row>
    <row r="74" spans="1:7" s="15" customFormat="1" ht="15" customHeight="1" x14ac:dyDescent="0.35">
      <c r="A74" s="90" t="s">
        <v>135</v>
      </c>
      <c r="B74" s="102">
        <f>'4637'!B21</f>
        <v>1</v>
      </c>
      <c r="C74" s="102" t="str">
        <f>'4637'!C21</f>
        <v>CUB CON RESPALDO R6</v>
      </c>
      <c r="D74" s="103">
        <f>'4637'!D21</f>
        <v>3000</v>
      </c>
      <c r="E74" s="103">
        <f>'4637'!E21</f>
        <v>500</v>
      </c>
      <c r="F74" s="102" t="str">
        <f>'4637'!F21</f>
        <v>EBONY MARBLE 40419 BR</v>
      </c>
      <c r="G74" s="1"/>
    </row>
    <row r="75" spans="1:7" s="15" customFormat="1" ht="15" customHeight="1" x14ac:dyDescent="0.35">
      <c r="A75" s="90"/>
      <c r="B75" s="102">
        <f>'4637'!B22</f>
        <v>1</v>
      </c>
      <c r="C75" s="102" t="str">
        <f>'4637'!C22</f>
        <v>CUB CON RESPALDO R6</v>
      </c>
      <c r="D75" s="103">
        <f>'4637'!D22</f>
        <v>3000</v>
      </c>
      <c r="E75" s="103">
        <f>'4637'!E22</f>
        <v>500</v>
      </c>
      <c r="F75" s="102" t="str">
        <f>'4637'!F22</f>
        <v>LUNAR MARBLE 10493  BR</v>
      </c>
      <c r="G75" s="1"/>
    </row>
    <row r="76" spans="1:7" s="15" customFormat="1" ht="15" customHeight="1" x14ac:dyDescent="0.35">
      <c r="A76" s="90"/>
      <c r="B76" s="102">
        <f>'4637'!B23</f>
        <v>1</v>
      </c>
      <c r="C76" s="102" t="str">
        <f>'4637'!C23</f>
        <v>CUB CON RESPALDO R6</v>
      </c>
      <c r="D76" s="103">
        <f>'4637'!D23</f>
        <v>3000</v>
      </c>
      <c r="E76" s="103">
        <f>'4637'!E23</f>
        <v>500</v>
      </c>
      <c r="F76" s="102" t="str">
        <f>'4637'!F23</f>
        <v>NEW BLACK GRANITE 42009 BR</v>
      </c>
      <c r="G76" s="1"/>
    </row>
    <row r="77" spans="1:7" s="15" customFormat="1" ht="15" customHeight="1" x14ac:dyDescent="0.35">
      <c r="A77" s="90"/>
      <c r="B77" s="102">
        <f>'4637'!B24</f>
        <v>1</v>
      </c>
      <c r="C77" s="102" t="str">
        <f>'4637'!C24</f>
        <v>CUB CON RESPALDO R6</v>
      </c>
      <c r="D77" s="103">
        <f>'4637'!D24</f>
        <v>3000</v>
      </c>
      <c r="E77" s="103">
        <f>'4637'!E24</f>
        <v>500</v>
      </c>
      <c r="F77" s="102" t="str">
        <f>'4637'!F24</f>
        <v>NEO LUNA GRANITE 42003 BR</v>
      </c>
      <c r="G77" s="1"/>
    </row>
    <row r="78" spans="1:7" s="15" customFormat="1" ht="15" customHeight="1" x14ac:dyDescent="0.35">
      <c r="A78" s="90"/>
      <c r="B78" s="102">
        <f>'4637'!B25</f>
        <v>1</v>
      </c>
      <c r="C78" s="102" t="str">
        <f>'4637'!C25</f>
        <v>CUB CON RESPALDO R6</v>
      </c>
      <c r="D78" s="103">
        <f>'4637'!D25</f>
        <v>3000</v>
      </c>
      <c r="E78" s="103">
        <f>'4637'!E25</f>
        <v>500</v>
      </c>
      <c r="F78" s="102" t="str">
        <f>'4637'!F25</f>
        <v>FORT GRANITE 42008 BR</v>
      </c>
      <c r="G78" s="1"/>
    </row>
    <row r="79" spans="1:7" s="15" customFormat="1" ht="15" customHeight="1" x14ac:dyDescent="0.35">
      <c r="A79" s="90"/>
      <c r="B79" s="102">
        <f>'4637'!B26</f>
        <v>1</v>
      </c>
      <c r="C79" s="102" t="str">
        <f>'4637'!C26</f>
        <v>CUB CON RESPALDO R6</v>
      </c>
      <c r="D79" s="103">
        <f>'4637'!D26</f>
        <v>3000</v>
      </c>
      <c r="E79" s="103">
        <f>'4637'!E26</f>
        <v>500</v>
      </c>
      <c r="F79" s="102" t="str">
        <f>'4637'!F26</f>
        <v>ROBE GRANITE 42007 BR</v>
      </c>
      <c r="G79" s="1"/>
    </row>
    <row r="80" spans="1:7" s="15" customFormat="1" ht="15" customHeight="1" x14ac:dyDescent="0.35">
      <c r="A80" s="90"/>
      <c r="B80" s="102">
        <f>'4637'!B27</f>
        <v>1</v>
      </c>
      <c r="C80" s="102" t="str">
        <f>'4637'!C27</f>
        <v>CUB CON RESPALDO R6</v>
      </c>
      <c r="D80" s="103">
        <f>'4637'!D27</f>
        <v>3000</v>
      </c>
      <c r="E80" s="103">
        <f>'4637'!E27</f>
        <v>500</v>
      </c>
      <c r="F80" s="102" t="str">
        <f>'4637'!F27</f>
        <v>PUNK STONE 40289 BR</v>
      </c>
      <c r="G80" s="1"/>
    </row>
    <row r="81" spans="1:7" s="15" customFormat="1" ht="15" customHeight="1" x14ac:dyDescent="0.35">
      <c r="A81" s="90"/>
      <c r="B81" s="102">
        <f>'4637'!B28</f>
        <v>1</v>
      </c>
      <c r="C81" s="102" t="str">
        <f>'4637'!C28</f>
        <v>CUB SIN RESPALDO R6</v>
      </c>
      <c r="D81" s="103">
        <f>'4637'!D28</f>
        <v>3000</v>
      </c>
      <c r="E81" s="103">
        <f>'4637'!E28</f>
        <v>600</v>
      </c>
      <c r="F81" s="102" t="str">
        <f>'4637'!F28</f>
        <v>CASTER TERRAZO 4002 BR</v>
      </c>
      <c r="G81" s="1"/>
    </row>
    <row r="82" spans="1:7" s="15" customFormat="1" ht="15" customHeight="1" x14ac:dyDescent="0.35">
      <c r="A82" s="90"/>
      <c r="B82" s="102">
        <f>'4637'!B29</f>
        <v>1</v>
      </c>
      <c r="C82" s="102" t="str">
        <f>'4637'!C29</f>
        <v>CUB SIN RESPALDO R6</v>
      </c>
      <c r="D82" s="103">
        <f>'4637'!D29</f>
        <v>3000</v>
      </c>
      <c r="E82" s="103">
        <f>'4637'!E29</f>
        <v>600</v>
      </c>
      <c r="F82" s="102" t="str">
        <f>'4637'!F29</f>
        <v>CLOUD TERRAZA 4001 BR</v>
      </c>
      <c r="G82" s="1"/>
    </row>
    <row r="83" spans="1:7" s="15" customFormat="1" ht="15" customHeight="1" x14ac:dyDescent="0.35">
      <c r="A83" s="90"/>
      <c r="B83" s="102">
        <f>'4637'!B30</f>
        <v>1</v>
      </c>
      <c r="C83" s="102" t="str">
        <f>'4637'!C30</f>
        <v>CUB SIN RESPALDO R6</v>
      </c>
      <c r="D83" s="103">
        <f>'4637'!D30</f>
        <v>3000</v>
      </c>
      <c r="E83" s="103">
        <f>'4637'!E30</f>
        <v>600</v>
      </c>
      <c r="F83" s="102" t="str">
        <f>'4637'!F30</f>
        <v>ASHES GRANITE 40265 MT</v>
      </c>
      <c r="G83" s="1"/>
    </row>
    <row r="84" spans="1:7" s="15" customFormat="1" ht="15" customHeight="1" x14ac:dyDescent="0.3">
      <c r="A84" s="45"/>
      <c r="B84" s="47"/>
      <c r="C84" s="47"/>
      <c r="D84" s="47"/>
      <c r="E84" s="47"/>
      <c r="F84" s="47"/>
      <c r="G84" s="1"/>
    </row>
    <row r="85" spans="1:7" ht="15.6" x14ac:dyDescent="0.3">
      <c r="A85" s="6"/>
      <c r="B85" s="6"/>
      <c r="C85" s="1"/>
      <c r="D85" s="6"/>
      <c r="E85" s="6"/>
      <c r="F85" s="39"/>
      <c r="G85" s="1"/>
    </row>
    <row r="86" spans="1:7" ht="15.6" x14ac:dyDescent="0.3">
      <c r="A86" s="6"/>
      <c r="B86" s="6"/>
      <c r="C86" s="1"/>
      <c r="D86" s="6"/>
      <c r="E86" s="6"/>
      <c r="F86" s="6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.6" x14ac:dyDescent="0.3">
      <c r="A88" s="1"/>
      <c r="B88" s="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" customHeight="1" x14ac:dyDescent="0.3">
      <c r="A90" s="1"/>
      <c r="B90" s="1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ht="15.6" x14ac:dyDescent="0.3">
      <c r="A92" s="6"/>
      <c r="B92" s="46"/>
      <c r="C92" s="1"/>
      <c r="D92" s="1"/>
      <c r="E92" s="1"/>
      <c r="F92" s="1"/>
      <c r="G92" s="1"/>
    </row>
    <row r="93" spans="1:7" ht="15.6" x14ac:dyDescent="0.3">
      <c r="A93" s="1"/>
      <c r="B93" s="1"/>
      <c r="C93" s="1"/>
      <c r="D93" s="1"/>
      <c r="E93" s="1"/>
      <c r="F93" s="1"/>
      <c r="G93" s="1"/>
    </row>
    <row r="94" spans="1:7" x14ac:dyDescent="0.3">
      <c r="B94" s="19"/>
      <c r="C94" s="19"/>
      <c r="D94" s="19"/>
      <c r="E94" s="19"/>
      <c r="F94" s="19"/>
    </row>
    <row r="95" spans="1:7" x14ac:dyDescent="0.3">
      <c r="B95" s="19"/>
      <c r="C95" s="19"/>
      <c r="E95" s="19"/>
      <c r="F95" s="19"/>
    </row>
  </sheetData>
  <mergeCells count="6">
    <mergeCell ref="M3:N3"/>
    <mergeCell ref="A27:F27"/>
    <mergeCell ref="A10:F10"/>
    <mergeCell ref="A70:F70"/>
    <mergeCell ref="B72:F72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2024-04-23T20:35:06Z</cp:lastPrinted>
  <dcterms:created xsi:type="dcterms:W3CDTF">2013-03-19T12:54:14Z</dcterms:created>
  <dcterms:modified xsi:type="dcterms:W3CDTF">2024-04-23T20:36:53Z</dcterms:modified>
</cp:coreProperties>
</file>