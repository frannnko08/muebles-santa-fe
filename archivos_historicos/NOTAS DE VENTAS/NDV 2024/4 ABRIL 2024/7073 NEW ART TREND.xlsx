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A73C564D-7874-4D2C-8EA1-A0364317FF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50" i="3"/>
  <c r="C50" i="3"/>
  <c r="D50" i="3"/>
  <c r="E50" i="3"/>
  <c r="F50" i="3"/>
  <c r="B29" i="3"/>
  <c r="C29" i="3"/>
  <c r="F22" i="3" s="1"/>
  <c r="D29" i="3"/>
  <c r="J14" i="3" s="1"/>
  <c r="D14" i="3" s="1"/>
  <c r="E29" i="3"/>
  <c r="K14" i="3" s="1"/>
  <c r="E14" i="3" s="1"/>
  <c r="F29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<sst xmlns="http://schemas.openxmlformats.org/spreadsheetml/2006/main" count="246" uniqueCount="144">
  <si>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</si>
  <si>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</si>
  <si>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</si>
  <si>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</si>
  <si>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</si>
  <si>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</si>
  <si>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</si>
  <si>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</si>
  <si>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</si>
  <si>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</si>
  <si>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</si>
  <si>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</si>
  <si>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</si>
  <si>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</si>
  <si>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</si>
  <si>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</si>
  <si>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</si>
  <si>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</si>
  <si>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</si>
  <si>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</si>
  <si>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</si>
  <si>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</si>
  <si>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</si>
  <si>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</si>
  <si>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</si>
  <si>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</si>
  <si>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</si>
  <si>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</si>
  <si>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</si>
  <si>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</si>
  <si>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</si>
  <si>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</si>
  <si>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</si>
  <si>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</si>
  <si>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</si>
  <si>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</si>
  <si>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</si>
  <si>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</si>
  <si>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</si>
  <si>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</si>
  <si>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</si>
  <si>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</si>
  <si>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</si>
  <si>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</si>
  <si>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</si>
  <si>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</si>
  <si>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</si>
  <si>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</si>
  <si>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</si>
  <si>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</si>
  <si>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</si>
  <si>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</si>
  <si>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</si>
  <si>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</si>
  <si>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</si>
  <si>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</si>
  <si>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</si>
  <si>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</si>
  <si>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</si>
  <si>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</si>
  <si>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</si>
  <si>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</si>
  <si>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</si>
  <si>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</si>
  <si>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</si>
  <si>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</si>
  <si>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</si>
  <si>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</si>
  <si>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</si>
  <si>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</si>
  <si>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</si>
  <si>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</si>
  <si>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</si>
  <si>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</si>
  <si>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</si>
  <si>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</si>
  <si>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</si>
  <si>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</si>
  <si>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</si>
  <si>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</si>
  <si>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</si>
  <si>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</si>
  <si>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</si>
  <si>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</si>
  <si>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</si>
  <si>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</si>
  <si>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</si>
  <si>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</si>
  <si>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</si>
  <si>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</si>
  <si>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</si>
  <si>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</si>
  <si>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</si>
  <si>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</si>
  <si>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</si>
  <si>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</si>
  <si>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</si>
  <si>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</si>
  <si>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</si>
  <si>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</si>
  <si>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</si>
  <si>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</si>
  <si>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</si>
  <si>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</si>
  <si>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</si>
  <si>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</si>
  <si>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</si>
  <si>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</si>
  <si>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</si>
  <si>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</si>
  <si>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</si>
  <si>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</si>
  <si>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</si>
  <si>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</si>
  <si>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</si>
  <si>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</si>
  <si>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</si>
  <si>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</si>
  <si>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</si>
  <si>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</si>
  <si>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</si>
  <si>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</si>
  <si>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</si>
  <si>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</si>
  <si>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</si>
  <si>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</si>
  <si>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</si>
  <si>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</si>
  <si>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</si>
  <si>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</si>
  <si>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</si>
  <si>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</si>
  <si>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</si>
  <si>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</si>
  <si>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</si>
  <si>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</si>
  <si>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</si>
  <si>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CONTADO</t>
  </si>
  <si>
    <t>CORTAR RESPALDO A 4CMS</t>
  </si>
  <si>
    <t>+569 5216 2705</t>
  </si>
  <si>
    <t>N° 10930</t>
  </si>
  <si>
    <t>CORNISA 2L R8</t>
  </si>
  <si>
    <t>PINK L555 BRILLO</t>
  </si>
  <si>
    <t>INSIDE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</si>
</sst>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8" fillId="0" borderId="0" xfId="2" quotePrefix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369570</xdr:colOff>
      <xdr:row>31</xdr:row>
      <xdr:rowOff>15239</xdr:rowOff>
    </xdr:from>
    <xdr:to>
      <xdr:col>6</xdr:col>
      <xdr:colOff>45720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69570" y="5410199"/>
          <a:ext cx="81191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ENCHAPAR SIN REGRUESO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AMBOS LADOS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SIN REGRUESO AMBOS LADOS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194310</xdr:rowOff>
    </xdr:from>
    <xdr:to>
      <xdr:col>2</xdr:col>
      <xdr:colOff>100723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3" workbookViewId="0">
      <selection activeCell="L8" sqref="L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88671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7072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143</v>
      </c>
      <c r="D10" s="55"/>
      <c r="E10" s="55"/>
      <c r="F10" s="56" t="s">
        <v>28</v>
      </c>
      <c r="G10" s="57">
        <v>45404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45407</v>
      </c>
      <c r="H11" s="62"/>
      <c r="I11" s="1"/>
    </row>
    <row r="12" spans="1:17" ht="16.2" thickBot="1" x14ac:dyDescent="0.35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/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2" t="s">
        <v>139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1</v>
      </c>
      <c r="C21" s="109" t="s">
        <v>141</v>
      </c>
      <c r="D21" s="111">
        <v>2000</v>
      </c>
      <c r="E21" s="111">
        <v>250</v>
      </c>
      <c r="F21" s="109" t="s">
        <v>142</v>
      </c>
      <c r="G21" s="110">
        <v>82109</v>
      </c>
      <c r="H21" s="105">
        <f>G21*B21</f>
        <v>82109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6"/>
      <c r="E22" s="106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82109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15600.710000000001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97709.71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36" zoomScaleNormal="100" workbookViewId="0">
      <selection activeCell="A37" sqref="A37:F62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7072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INSIDE WORK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45407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138</v>
      </c>
      <c r="D14" s="25">
        <f>J14+D$13</f>
        <v>2050</v>
      </c>
      <c r="E14" s="35">
        <f>K14+E$13</f>
        <v>250</v>
      </c>
      <c r="F14" s="103" t="str">
        <f>C29</f>
        <v>CORNISA 2L R8</v>
      </c>
      <c r="G14" s="1"/>
      <c r="I14" s="3">
        <f>I22</f>
        <v>1</v>
      </c>
      <c r="J14" s="4">
        <f t="shared" ref="J14:K14" si="1">D29</f>
        <v>2000</v>
      </c>
      <c r="K14" s="4">
        <f t="shared" si="1"/>
        <v>250</v>
      </c>
    </row>
    <row r="15" spans="1:14" ht="15.6" x14ac:dyDescent="0.3">
      <c r="A15" s="96"/>
      <c r="B15" s="6"/>
      <c r="C15" s="6"/>
      <c r="D15" s="6"/>
      <c r="E15" s="89"/>
      <c r="F15" s="113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110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>J22+D$21</f>
        <v>2040</v>
      </c>
      <c r="E22" s="16">
        <f>K22+E$21</f>
        <v>360</v>
      </c>
      <c r="F22" s="104" t="str">
        <f>C29</f>
        <v>CORNISA 2L R8</v>
      </c>
      <c r="G22" s="1"/>
      <c r="I22" s="3">
        <f>B29</f>
        <v>1</v>
      </c>
      <c r="J22" s="4">
        <f>D29</f>
        <v>2000</v>
      </c>
      <c r="K22" s="4">
        <f>E29</f>
        <v>250</v>
      </c>
    </row>
    <row r="23" spans="1:11" ht="15.6" x14ac:dyDescent="0.3">
      <c r="A23" s="96"/>
      <c r="B23" s="6"/>
      <c r="C23" s="6"/>
      <c r="D23" s="6"/>
      <c r="E23" s="6"/>
      <c r="F23" s="113"/>
      <c r="G23" s="1"/>
      <c r="I23" s="90"/>
      <c r="J23" s="2"/>
      <c r="K23" s="2"/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135</v>
      </c>
      <c r="B29" s="25">
        <f>'4637'!B21</f>
        <v>1</v>
      </c>
      <c r="C29" s="103" t="str">
        <f>'4637'!C21</f>
        <v>CORNISA 2L R8</v>
      </c>
      <c r="D29" s="25">
        <f>'4637'!D21</f>
        <v>2000</v>
      </c>
      <c r="E29" s="25">
        <f>'4637'!E21</f>
        <v>250</v>
      </c>
      <c r="F29" s="25" t="str">
        <f>'4637'!F21</f>
        <v>PINK L555 BRILLO</v>
      </c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7072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INSIDE WORK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45407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2" t="s">
        <v>68</v>
      </c>
      <c r="B46" s="122"/>
      <c r="C46" s="122"/>
      <c r="D46" s="122"/>
      <c r="E46" s="122"/>
      <c r="F46" s="122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3" t="s">
        <v>69</v>
      </c>
      <c r="C48" s="124"/>
      <c r="D48" s="125"/>
      <c r="E48" s="125"/>
      <c r="F48" s="126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1</v>
      </c>
      <c r="C50" s="102" t="str">
        <f>'4637'!C21</f>
        <v>CORNISA 2L R8</v>
      </c>
      <c r="D50" s="39">
        <f>'4637'!D21</f>
        <v>2000</v>
      </c>
      <c r="E50" s="39">
        <f>'4637'!E21</f>
        <v>250</v>
      </c>
      <c r="F50" s="38" t="str">
        <f>'4637'!F21</f>
        <v>PINK L555 BRILLO</v>
      </c>
      <c r="G50" s="1"/>
    </row>
    <row r="51" spans="1:7" s="15" customFormat="1" ht="15" customHeight="1" x14ac:dyDescent="0.3">
      <c r="A51" s="96"/>
      <c r="B51" s="52"/>
      <c r="C51" s="107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2024-04-23T20:15:13Z</cp:lastPrinted>
  <dcterms:created xsi:type="dcterms:W3CDTF">2013-03-19T12:54:14Z</dcterms:created>
  <dcterms:modified xsi:type="dcterms:W3CDTF">2024-04-29T13:38:40Z</dcterms:modified>
</cp:coreProperties>
</file>