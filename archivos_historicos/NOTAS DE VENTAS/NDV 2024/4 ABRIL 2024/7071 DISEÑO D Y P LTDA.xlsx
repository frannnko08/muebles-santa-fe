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4 ABRIL 2024\"/>
    </mc:Choice>
  </mc:AlternateContent>
  <xr:revisionPtr revIDLastSave="0" documentId="13_ncr:1_{A3D07B70-1F84-43EF-B3BC-4D08FE7C18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'4637'!$A$1:$H$33</definedName>
    <definedName name="_xlnm.Print_Area" localSheetId="2">CUBIERTA!$A$1:$F$44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3" l="1"/>
  <c r="D27" i="3"/>
  <c r="D28" i="3"/>
  <c r="D15" i="3"/>
  <c r="D16" i="3"/>
  <c r="D17" i="3"/>
  <c r="E15" i="3"/>
  <c r="E16" i="3"/>
  <c r="E17" i="3"/>
  <c r="E26" i="3"/>
  <c r="E27" i="3"/>
  <c r="E28" i="3"/>
  <c r="B36" i="3" l="1"/>
  <c r="I27" i="3" s="1"/>
  <c r="B27" i="3" s="1"/>
  <c r="C36" i="3"/>
  <c r="F27" i="3" s="1"/>
  <c r="D36" i="3"/>
  <c r="J27" i="3" s="1"/>
  <c r="E36" i="3"/>
  <c r="K27" i="3" s="1"/>
  <c r="F36" i="3"/>
  <c r="B37" i="3"/>
  <c r="C37" i="3"/>
  <c r="D37" i="3"/>
  <c r="E37" i="3"/>
  <c r="F37" i="3"/>
  <c r="B60" i="3"/>
  <c r="C60" i="3"/>
  <c r="D60" i="3"/>
  <c r="E60" i="3"/>
  <c r="F60" i="3"/>
  <c r="B61" i="3"/>
  <c r="C61" i="3"/>
  <c r="D61" i="3"/>
  <c r="E61" i="3"/>
  <c r="F61" i="3"/>
  <c r="H24" i="4"/>
  <c r="H23" i="4"/>
  <c r="H22" i="4"/>
  <c r="H21" i="4"/>
  <c r="F28" i="3" l="1"/>
  <c r="F17" i="3"/>
  <c r="I28" i="3"/>
  <c r="B28" i="3" s="1"/>
  <c r="I17" i="3"/>
  <c r="B17" i="3" s="1"/>
  <c r="J28" i="3"/>
  <c r="J17" i="3"/>
  <c r="K28" i="3"/>
  <c r="K17" i="3"/>
  <c r="I16" i="3"/>
  <c r="B16" i="3" s="1"/>
  <c r="F16" i="3"/>
  <c r="J16" i="3"/>
  <c r="K16" i="3"/>
  <c r="C59" i="3"/>
  <c r="H27" i="4" l="1"/>
  <c r="B35" i="3"/>
  <c r="I26" i="3" s="1"/>
  <c r="C35" i="3"/>
  <c r="F15" i="3" s="1"/>
  <c r="D35" i="3"/>
  <c r="J15" i="3" s="1"/>
  <c r="E35" i="3"/>
  <c r="K15" i="3" s="1"/>
  <c r="F35" i="3"/>
  <c r="B59" i="3"/>
  <c r="D59" i="3"/>
  <c r="E59" i="3"/>
  <c r="F59" i="3"/>
  <c r="B58" i="3"/>
  <c r="C58" i="3"/>
  <c r="D58" i="3"/>
  <c r="E58" i="3"/>
  <c r="F58" i="3"/>
  <c r="B34" i="3"/>
  <c r="C34" i="3"/>
  <c r="F25" i="3" s="1"/>
  <c r="D34" i="3"/>
  <c r="J14" i="3" s="1"/>
  <c r="D14" i="3" s="1"/>
  <c r="E34" i="3"/>
  <c r="K14" i="3" s="1"/>
  <c r="E14" i="3" s="1"/>
  <c r="F34" i="3"/>
  <c r="B26" i="3" l="1"/>
  <c r="I15" i="3"/>
  <c r="B15" i="3" s="1"/>
  <c r="J26" i="3"/>
  <c r="K26" i="3"/>
  <c r="F26" i="3"/>
  <c r="H28" i="4"/>
  <c r="I25" i="3"/>
  <c r="F14" i="3"/>
  <c r="K25" i="3"/>
  <c r="E25" i="3" s="1"/>
  <c r="J25" i="3"/>
  <c r="D25" i="3" s="1"/>
  <c r="B25" i="3" l="1"/>
  <c r="I14" i="3"/>
  <c r="B14" i="3" s="1"/>
  <c r="H29" i="4"/>
  <c r="N5" i="3" l="1"/>
  <c r="M5" i="3" l="1"/>
  <c r="L5" i="3"/>
  <c r="K5" i="3"/>
  <c r="C51" i="3" l="1"/>
  <c r="C7" i="3"/>
  <c r="D49" i="3"/>
  <c r="D5" i="3"/>
  <c r="D51" i="3"/>
  <c r="D7" i="3"/>
  <c r="D48" i="3"/>
  <c r="D4" i="3"/>
</calcChain>
</file>

<file path=xl/sharedStrings.xml><?xml version="1.0" encoding="utf-8"?>
<sst xmlns="http://schemas.openxmlformats.org/spreadsheetml/2006/main" count="254" uniqueCount="145">
  <si>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</si>
  <si>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</si>
  <si>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</si>
  <si>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</si>
  <si>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</si>
  <si>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</si>
  <si>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</si>
  <si>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</si>
  <si>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</si>
  <si>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</si>
  <si>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</si>
  <si>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</si>
  <si>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</si>
  <si>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</si>
  <si>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</si>
  <si>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</si>
  <si>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</si>
  <si>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</si>
  <si>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</si>
  <si>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</si>
  <si>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</si>
  <si>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</si>
  <si>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</si>
  <si>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</si>
  <si>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</si>
  <si>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</si>
  <si>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</si>
  <si>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</si>
  <si>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</si>
  <si>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</si>
  <si>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</si>
  <si>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</si>
  <si>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</si>
  <si>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</si>
  <si>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</si>
  <si>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</si>
  <si>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</si>
  <si>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</si>
  <si>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</si>
  <si>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</si>
  <si>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</si>
  <si>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</si>
  <si>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</si>
  <si>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</si>
  <si>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</si>
  <si>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</si>
  <si>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</si>
  <si>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</si>
  <si>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</si>
  <si>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</si>
  <si>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</si>
  <si>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</si>
  <si>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</si>
  <si>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</si>
  <si>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</si>
  <si>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</si>
  <si>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</si>
  <si>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</si>
  <si>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</si>
  <si>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</si>
  <si>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</si>
  <si>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</si>
  <si>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</si>
  <si>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</si>
  <si>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</si>
  <si>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</si>
  <si>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</si>
  <si>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</si>
  <si>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</si>
  <si>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</si>
  <si>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</si>
  <si>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</si>
  <si>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</si>
  <si>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</si>
  <si>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</si>
  <si>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</si>
  <si>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</si>
  <si>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</si>
  <si>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</si>
  <si>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</si>
  <si>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</si>
  <si>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</si>
  <si>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</si>
  <si>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</si>
  <si>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</si>
  <si>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</si>
  <si>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</si>
  <si>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</si>
  <si>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</si>
  <si>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</si>
  <si>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</si>
  <si>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</si>
  <si>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</si>
  <si>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</si>
  <si>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</si>
  <si>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</si>
  <si>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</si>
  <si>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</si>
  <si>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</si>
  <si>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</si>
  <si>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</si>
  <si>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</si>
  <si>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</si>
  <si>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</si>
  <si>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</si>
  <si>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</si>
  <si>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</si>
  <si>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</si>
  <si>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</si>
  <si>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</si>
  <si>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</si>
  <si>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</si>
  <si>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</si>
  <si>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</si>
  <si>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</si>
  <si>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</si>
  <si>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</si>
  <si>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</si>
  <si>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</si>
  <si>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</si>
  <si>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</si>
  <si>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</si>
  <si>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</si>
  <si>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</si>
  <si>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</si>
  <si>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</si>
  <si>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</si>
  <si>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</si>
  <si>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</si>
  <si>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</si>
  <si>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</si>
  <si>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FERNANDO DONOSO</t>
  </si>
  <si>
    <t xml:space="preserve">GIRO: </t>
  </si>
  <si>
    <t>SANTIAGO</t>
  </si>
  <si>
    <t>CONTACTO:</t>
  </si>
  <si>
    <t>MDF 18MM</t>
  </si>
  <si>
    <t>MDF18MM</t>
  </si>
  <si>
    <t>N°10624</t>
  </si>
  <si>
    <t>DISEÑO D Y P LTDA</t>
  </si>
  <si>
    <t>77.895.648-9</t>
  </si>
  <si>
    <t>PAULA CAMPOS</t>
  </si>
  <si>
    <t>CUB CON RESPALDO R2</t>
  </si>
  <si>
    <t>VAINILLA 2109 MT</t>
  </si>
  <si>
    <t>BENAVENTE 13 DP BB ÑUÑOA</t>
  </si>
  <si>
    <t>+56 9 9678 7442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</si>
</sst>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1F497D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5" fillId="0" borderId="0" xfId="0" applyFont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5" fillId="9" borderId="4" xfId="0" applyFont="1" applyFill="1" applyBorder="1"/>
    <xf numFmtId="0" fontId="1" fillId="8" borderId="0" xfId="0" applyFont="1" applyFill="1"/>
    <xf numFmtId="0" fontId="17" fillId="9" borderId="0" xfId="0" applyFont="1" applyFill="1"/>
    <xf numFmtId="0" fontId="1" fillId="8" borderId="9" xfId="2" applyFont="1" applyFill="1" applyBorder="1" applyAlignment="1">
      <alignment horizontal="left"/>
    </xf>
    <xf numFmtId="0" fontId="18" fillId="0" borderId="0" xfId="0" quotePrefix="1" applyFont="1"/>
    <xf numFmtId="0" fontId="5" fillId="9" borderId="0" xfId="0" applyFont="1" applyFill="1"/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0" fillId="3" borderId="2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3" borderId="0" xfId="0" applyFont="1" applyFill="1" applyAlignment="1">
      <alignment horizontal="center"/>
    </xf>
    <xf numFmtId="0" fontId="15" fillId="0" borderId="33" xfId="0" applyFont="1" applyBorder="1" applyAlignment="1">
      <alignment horizontal="center" vertical="center"/>
    </xf>
    <xf numFmtId="1" fontId="15" fillId="0" borderId="33" xfId="0" applyNumberFormat="1" applyFont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26</xdr:row>
      <xdr:rowOff>9525</xdr:rowOff>
    </xdr:from>
    <xdr:to>
      <xdr:col>5</xdr:col>
      <xdr:colOff>1390650</xdr:colOff>
      <xdr:row>30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 $  231.091.-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19</xdr:row>
      <xdr:rowOff>76200</xdr:rowOff>
    </xdr:from>
    <xdr:to>
      <xdr:col>5</xdr:col>
      <xdr:colOff>1676399</xdr:colOff>
      <xdr:row>21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52</xdr:row>
      <xdr:rowOff>171450</xdr:rowOff>
    </xdr:from>
    <xdr:to>
      <xdr:col>5</xdr:col>
      <xdr:colOff>1685924</xdr:colOff>
      <xdr:row>54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50</xdr:row>
      <xdr:rowOff>0</xdr:rowOff>
    </xdr:from>
    <xdr:to>
      <xdr:col>6</xdr:col>
      <xdr:colOff>0</xdr:colOff>
      <xdr:row>51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48</xdr:row>
      <xdr:rowOff>38100</xdr:rowOff>
    </xdr:from>
    <xdr:to>
      <xdr:col>6</xdr:col>
      <xdr:colOff>0</xdr:colOff>
      <xdr:row>49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47</xdr:row>
      <xdr:rowOff>0</xdr:rowOff>
    </xdr:from>
    <xdr:to>
      <xdr:col>6</xdr:col>
      <xdr:colOff>0</xdr:colOff>
      <xdr:row>48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63</xdr:row>
      <xdr:rowOff>0</xdr:rowOff>
    </xdr:from>
    <xdr:to>
      <xdr:col>2</xdr:col>
      <xdr:colOff>38100</xdr:colOff>
      <xdr:row>64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63</xdr:row>
      <xdr:rowOff>0</xdr:rowOff>
    </xdr:from>
    <xdr:to>
      <xdr:col>2</xdr:col>
      <xdr:colOff>1019175</xdr:colOff>
      <xdr:row>63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63</xdr:row>
      <xdr:rowOff>0</xdr:rowOff>
    </xdr:from>
    <xdr:to>
      <xdr:col>3</xdr:col>
      <xdr:colOff>352425</xdr:colOff>
      <xdr:row>64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63</xdr:row>
      <xdr:rowOff>0</xdr:rowOff>
    </xdr:from>
    <xdr:to>
      <xdr:col>4</xdr:col>
      <xdr:colOff>257175</xdr:colOff>
      <xdr:row>64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63</xdr:row>
      <xdr:rowOff>0</xdr:rowOff>
    </xdr:from>
    <xdr:to>
      <xdr:col>5</xdr:col>
      <xdr:colOff>447675</xdr:colOff>
      <xdr:row>63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63</xdr:row>
      <xdr:rowOff>0</xdr:rowOff>
    </xdr:from>
    <xdr:to>
      <xdr:col>6</xdr:col>
      <xdr:colOff>0</xdr:colOff>
      <xdr:row>63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63</xdr:row>
      <xdr:rowOff>190500</xdr:rowOff>
    </xdr:from>
    <xdr:to>
      <xdr:col>2</xdr:col>
      <xdr:colOff>304800</xdr:colOff>
      <xdr:row>65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63</xdr:row>
      <xdr:rowOff>190500</xdr:rowOff>
    </xdr:from>
    <xdr:to>
      <xdr:col>2</xdr:col>
      <xdr:colOff>1276350</xdr:colOff>
      <xdr:row>65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63</xdr:row>
      <xdr:rowOff>190500</xdr:rowOff>
    </xdr:from>
    <xdr:to>
      <xdr:col>3</xdr:col>
      <xdr:colOff>619125</xdr:colOff>
      <xdr:row>65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63</xdr:row>
      <xdr:rowOff>190500</xdr:rowOff>
    </xdr:from>
    <xdr:to>
      <xdr:col>4</xdr:col>
      <xdr:colOff>523875</xdr:colOff>
      <xdr:row>65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63</xdr:row>
      <xdr:rowOff>190500</xdr:rowOff>
    </xdr:from>
    <xdr:to>
      <xdr:col>5</xdr:col>
      <xdr:colOff>723900</xdr:colOff>
      <xdr:row>65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63</xdr:row>
      <xdr:rowOff>190500</xdr:rowOff>
    </xdr:from>
    <xdr:to>
      <xdr:col>6</xdr:col>
      <xdr:colOff>0</xdr:colOff>
      <xdr:row>65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39</xdr:row>
      <xdr:rowOff>15239</xdr:rowOff>
    </xdr:from>
    <xdr:to>
      <xdr:col>6</xdr:col>
      <xdr:colOff>68580</xdr:colOff>
      <xdr:row>43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29</xdr:row>
      <xdr:rowOff>200025</xdr:rowOff>
    </xdr:from>
    <xdr:to>
      <xdr:col>6</xdr:col>
      <xdr:colOff>19049</xdr:colOff>
      <xdr:row>31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5715</xdr:colOff>
      <xdr:row>66</xdr:row>
      <xdr:rowOff>24765</xdr:rowOff>
    </xdr:from>
    <xdr:to>
      <xdr:col>5</xdr:col>
      <xdr:colOff>2404110</xdr:colOff>
      <xdr:row>70</xdr:row>
      <xdr:rowOff>144780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9615" y="12430125"/>
          <a:ext cx="771715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sz="1100" b="1" i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38100</xdr:colOff>
      <xdr:row>44</xdr:row>
      <xdr:rowOff>163830</xdr:rowOff>
    </xdr:from>
    <xdr:to>
      <xdr:col>1</xdr:col>
      <xdr:colOff>908443</xdr:colOff>
      <xdr:row>51</xdr:row>
      <xdr:rowOff>60960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734187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6"/>
  <sheetViews>
    <sheetView tabSelected="1" topLeftCell="A8" workbookViewId="0">
      <selection activeCell="B23" sqref="B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42.777343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5" t="s">
        <v>16</v>
      </c>
      <c r="C8" s="86"/>
      <c r="D8" s="87" t="s">
        <v>137</v>
      </c>
      <c r="E8" s="1"/>
      <c r="F8" s="88" t="s">
        <v>27</v>
      </c>
      <c r="G8" s="89">
        <v>7071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49" t="s">
        <v>130</v>
      </c>
      <c r="C10" s="95" t="s">
        <v>138</v>
      </c>
      <c r="D10" s="50"/>
      <c r="E10" s="50"/>
      <c r="F10" s="51" t="s">
        <v>28</v>
      </c>
      <c r="G10" s="52">
        <v>45400</v>
      </c>
      <c r="H10" s="53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4" t="s">
        <v>2</v>
      </c>
      <c r="C11" s="96" t="s">
        <v>139</v>
      </c>
      <c r="D11" s="55"/>
      <c r="E11" s="55"/>
      <c r="F11" s="55" t="s">
        <v>124</v>
      </c>
      <c r="G11" s="56">
        <v>45407</v>
      </c>
      <c r="H11" s="57"/>
      <c r="I11" s="1"/>
    </row>
    <row r="12" spans="1:17" ht="15.6" x14ac:dyDescent="0.3">
      <c r="A12" s="1"/>
      <c r="B12" s="58" t="s">
        <v>132</v>
      </c>
      <c r="C12" s="100"/>
      <c r="D12" s="38"/>
      <c r="E12" s="38"/>
      <c r="F12" s="38" t="s">
        <v>30</v>
      </c>
      <c r="G12" s="59"/>
      <c r="H12" s="60"/>
      <c r="I12" s="1"/>
    </row>
    <row r="13" spans="1:17" ht="15.6" x14ac:dyDescent="0.3">
      <c r="A13" s="1"/>
      <c r="B13" s="58" t="s">
        <v>134</v>
      </c>
      <c r="C13" s="100" t="s">
        <v>140</v>
      </c>
      <c r="D13" s="38"/>
      <c r="E13" s="38"/>
      <c r="F13" s="38" t="s">
        <v>129</v>
      </c>
      <c r="G13" s="59" t="s">
        <v>131</v>
      </c>
      <c r="H13" s="60"/>
      <c r="I13" s="1"/>
    </row>
    <row r="14" spans="1:17" ht="15.6" x14ac:dyDescent="0.3">
      <c r="A14" s="1"/>
      <c r="B14" s="54" t="s">
        <v>17</v>
      </c>
      <c r="C14" s="99" t="s">
        <v>144</v>
      </c>
      <c r="D14" s="61"/>
      <c r="E14" s="55"/>
      <c r="F14" s="55" t="s">
        <v>29</v>
      </c>
      <c r="G14" s="55"/>
      <c r="H14" s="57"/>
      <c r="I14" s="1"/>
    </row>
    <row r="15" spans="1:17" ht="15.6" x14ac:dyDescent="0.3">
      <c r="A15" s="1"/>
      <c r="B15" s="58" t="s">
        <v>1</v>
      </c>
      <c r="C15" s="97" t="s">
        <v>143</v>
      </c>
      <c r="D15" s="38"/>
      <c r="E15" s="38"/>
      <c r="F15" s="62" t="s">
        <v>75</v>
      </c>
      <c r="G15" s="62" t="s">
        <v>127</v>
      </c>
      <c r="H15" s="60"/>
      <c r="I15" s="1"/>
    </row>
    <row r="16" spans="1:17" ht="16.2" thickBot="1" x14ac:dyDescent="0.35">
      <c r="A16" s="1"/>
      <c r="B16" s="63" t="s">
        <v>3</v>
      </c>
      <c r="C16" s="98" t="s">
        <v>133</v>
      </c>
      <c r="D16" s="64"/>
      <c r="E16" s="65"/>
      <c r="F16" s="116" t="s">
        <v>18</v>
      </c>
      <c r="G16" s="116"/>
      <c r="H16" s="117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8" t="s">
        <v>19</v>
      </c>
      <c r="C19" s="119"/>
      <c r="D19" s="119"/>
      <c r="E19" s="119"/>
      <c r="F19" s="119"/>
      <c r="G19" s="119"/>
      <c r="H19" s="120"/>
      <c r="I19" s="1"/>
    </row>
    <row r="20" spans="1:16" ht="16.2" thickBot="1" x14ac:dyDescent="0.35">
      <c r="A20" s="1"/>
      <c r="B20" s="66" t="s">
        <v>20</v>
      </c>
      <c r="C20" s="67" t="s">
        <v>21</v>
      </c>
      <c r="D20" s="67" t="s">
        <v>22</v>
      </c>
      <c r="E20" s="67" t="s">
        <v>8</v>
      </c>
      <c r="F20" s="68" t="s">
        <v>23</v>
      </c>
      <c r="G20" s="66" t="s">
        <v>24</v>
      </c>
      <c r="H20" s="68" t="s">
        <v>4</v>
      </c>
      <c r="I20" s="1"/>
    </row>
    <row r="21" spans="1:16" ht="18" customHeight="1" thickBot="1" x14ac:dyDescent="0.35">
      <c r="A21" s="1"/>
      <c r="B21" s="101">
        <v>1</v>
      </c>
      <c r="C21" s="113" t="s">
        <v>141</v>
      </c>
      <c r="D21" s="114">
        <v>2280</v>
      </c>
      <c r="E21" s="114">
        <v>520</v>
      </c>
      <c r="F21" s="102" t="s">
        <v>142</v>
      </c>
      <c r="G21" s="115">
        <v>102762</v>
      </c>
      <c r="H21" s="94">
        <f>G21*B21</f>
        <v>102762</v>
      </c>
      <c r="I21" s="1"/>
      <c r="K21" s="16"/>
      <c r="L21" s="24"/>
      <c r="M21" s="16"/>
      <c r="N21" s="16"/>
      <c r="O21" s="24"/>
      <c r="P21" s="31"/>
    </row>
    <row r="22" spans="1:16" ht="18" customHeight="1" thickBot="1" x14ac:dyDescent="0.35">
      <c r="A22" s="1"/>
      <c r="B22" s="103">
        <v>1</v>
      </c>
      <c r="C22" s="113" t="s">
        <v>141</v>
      </c>
      <c r="D22" s="114">
        <v>2630</v>
      </c>
      <c r="E22" s="114">
        <v>520</v>
      </c>
      <c r="F22" s="102" t="s">
        <v>142</v>
      </c>
      <c r="G22" s="115">
        <v>118199</v>
      </c>
      <c r="H22" s="104">
        <f>G22*B22</f>
        <v>118199</v>
      </c>
      <c r="I22" s="1"/>
      <c r="K22" s="16"/>
      <c r="L22" s="24"/>
      <c r="M22" s="16"/>
      <c r="N22" s="16"/>
      <c r="O22" s="24"/>
      <c r="P22" s="31"/>
    </row>
    <row r="23" spans="1:16" ht="18" customHeight="1" thickBot="1" x14ac:dyDescent="0.35">
      <c r="A23" s="1"/>
      <c r="B23" s="103">
        <v>1</v>
      </c>
      <c r="C23" s="113" t="s">
        <v>141</v>
      </c>
      <c r="D23" s="114">
        <v>2350</v>
      </c>
      <c r="E23" s="114">
        <v>520</v>
      </c>
      <c r="F23" s="102" t="s">
        <v>142</v>
      </c>
      <c r="G23" s="115">
        <v>105850</v>
      </c>
      <c r="H23" s="104">
        <f>G23*B23</f>
        <v>105850</v>
      </c>
      <c r="I23" s="1"/>
      <c r="K23" s="16"/>
      <c r="L23" s="24"/>
      <c r="M23" s="16"/>
      <c r="N23" s="16"/>
      <c r="O23" s="24"/>
      <c r="P23" s="31"/>
    </row>
    <row r="24" spans="1:16" ht="18" customHeight="1" thickBot="1" x14ac:dyDescent="0.35">
      <c r="A24" s="1"/>
      <c r="B24" s="101">
        <v>1</v>
      </c>
      <c r="C24" s="113" t="s">
        <v>141</v>
      </c>
      <c r="D24" s="114">
        <v>1270</v>
      </c>
      <c r="E24" s="114">
        <v>550</v>
      </c>
      <c r="F24" s="102" t="s">
        <v>142</v>
      </c>
      <c r="G24" s="115">
        <v>61576</v>
      </c>
      <c r="H24" s="104">
        <f>G24*B24</f>
        <v>61576</v>
      </c>
      <c r="I24" s="1"/>
      <c r="K24" s="16"/>
      <c r="L24" s="24"/>
      <c r="M24" s="16"/>
      <c r="N24" s="16"/>
      <c r="O24" s="24"/>
      <c r="P24" s="31"/>
    </row>
    <row r="25" spans="1:16" ht="18" customHeight="1" x14ac:dyDescent="0.3">
      <c r="A25" s="1"/>
      <c r="B25" s="93"/>
      <c r="C25" s="93"/>
      <c r="D25" s="93"/>
      <c r="E25" s="93"/>
      <c r="F25" s="93"/>
      <c r="G25" s="91"/>
      <c r="H25" s="91"/>
      <c r="I25" s="1"/>
      <c r="K25" s="16"/>
      <c r="L25" s="24"/>
      <c r="M25" s="16"/>
      <c r="N25" s="16"/>
      <c r="O25" s="24"/>
      <c r="P25" s="31"/>
    </row>
    <row r="26" spans="1:16" ht="8.25" customHeight="1" thickBot="1" x14ac:dyDescent="0.35">
      <c r="A26" s="1"/>
      <c r="B26" s="69"/>
      <c r="C26" s="69"/>
      <c r="D26" s="69"/>
      <c r="E26" s="69"/>
      <c r="F26" s="69"/>
      <c r="G26" s="70"/>
      <c r="H26" s="70"/>
      <c r="I26" s="1"/>
    </row>
    <row r="27" spans="1:16" ht="15.6" x14ac:dyDescent="0.3">
      <c r="A27" s="1"/>
      <c r="B27" s="1"/>
      <c r="C27" s="1"/>
      <c r="D27" s="1"/>
      <c r="E27" s="1"/>
      <c r="F27" s="1"/>
      <c r="G27" s="71" t="s">
        <v>5</v>
      </c>
      <c r="H27" s="72">
        <f>SUM(H21:H26)</f>
        <v>388387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73" t="s">
        <v>6</v>
      </c>
      <c r="H28" s="74">
        <f>H27*19%</f>
        <v>73793.53</v>
      </c>
      <c r="I28" s="1"/>
    </row>
    <row r="29" spans="1:16" ht="16.2" thickBot="1" x14ac:dyDescent="0.35">
      <c r="A29" s="1"/>
      <c r="B29" s="1"/>
      <c r="C29" s="1"/>
      <c r="D29" s="1"/>
      <c r="E29" s="1"/>
      <c r="F29" s="1"/>
      <c r="G29" s="75" t="s">
        <v>4</v>
      </c>
      <c r="H29" s="76">
        <f>H27+H28</f>
        <v>462180.53</v>
      </c>
      <c r="I29" s="1"/>
    </row>
    <row r="30" spans="1:16" ht="15.6" x14ac:dyDescent="0.3">
      <c r="A30" s="1"/>
      <c r="B30" s="1"/>
      <c r="C30" s="1"/>
      <c r="D30" s="1"/>
      <c r="E30" s="1"/>
      <c r="F30" s="1"/>
      <c r="G30" s="47"/>
      <c r="H30" s="92"/>
      <c r="I30" s="1"/>
    </row>
    <row r="31" spans="1:16" ht="15.6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16" ht="15.6" x14ac:dyDescent="0.3">
      <c r="A32" s="1"/>
      <c r="B32" s="77" t="s">
        <v>123</v>
      </c>
      <c r="C32" s="78"/>
      <c r="D32" s="79"/>
      <c r="E32" s="79"/>
      <c r="F32" s="69"/>
      <c r="G32" s="1"/>
      <c r="H32" s="1"/>
      <c r="I32" s="1"/>
    </row>
    <row r="33" spans="1:9" ht="15.6" x14ac:dyDescent="0.3">
      <c r="A33" s="1"/>
      <c r="B33" s="77" t="s">
        <v>122</v>
      </c>
      <c r="C33" s="78"/>
      <c r="D33" s="79"/>
      <c r="E33" s="79"/>
      <c r="F33" s="69"/>
      <c r="G33" s="1"/>
      <c r="H33" s="1"/>
      <c r="I33" s="1"/>
    </row>
    <row r="34" spans="1:9" ht="15.6" x14ac:dyDescent="0.3">
      <c r="A34" s="1"/>
      <c r="B34" s="1" t="s">
        <v>25</v>
      </c>
      <c r="C34" s="1"/>
      <c r="D34" s="1"/>
      <c r="E34" s="80" t="s">
        <v>26</v>
      </c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</sheetData>
  <sortState xmlns:xlrd2="http://schemas.microsoft.com/office/spreadsheetml/2017/richdata2" ref="B38">
    <sortCondition sortBy="fontColor" ref="B38" dxfId="0"/>
  </sortState>
  <mergeCells count="2">
    <mergeCell ref="F16:H16"/>
    <mergeCell ref="B19:H19"/>
  </mergeCells>
  <phoneticPr fontId="10" type="noConversion"/>
  <hyperlinks>
    <hyperlink ref="E3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1" t="s">
        <v>31</v>
      </c>
      <c r="C2" s="121"/>
      <c r="D2" s="121"/>
      <c r="E2" s="17"/>
      <c r="G2" s="121" t="s">
        <v>70</v>
      </c>
      <c r="H2" s="121"/>
      <c r="I2" s="121"/>
      <c r="P2" s="122" t="s">
        <v>58</v>
      </c>
      <c r="Q2" s="122"/>
      <c r="R2" s="122"/>
    </row>
    <row r="3" spans="2:18" x14ac:dyDescent="0.3">
      <c r="B3" s="11" t="s">
        <v>7</v>
      </c>
      <c r="C3" s="11" t="s">
        <v>8</v>
      </c>
      <c r="D3" s="11" t="s">
        <v>21</v>
      </c>
      <c r="E3" s="18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7">
        <v>50</v>
      </c>
      <c r="H4" s="27">
        <v>100</v>
      </c>
      <c r="I4" s="28" t="s">
        <v>113</v>
      </c>
      <c r="J4" s="29" t="s">
        <v>109</v>
      </c>
      <c r="K4" s="29"/>
      <c r="L4" s="29"/>
      <c r="M4" s="29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7">
        <v>50</v>
      </c>
      <c r="H5" s="27"/>
      <c r="I5" s="28" t="s">
        <v>115</v>
      </c>
      <c r="J5" s="29" t="s">
        <v>117</v>
      </c>
      <c r="K5" s="29"/>
      <c r="L5" s="29"/>
      <c r="M5" s="29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2" t="s">
        <v>58</v>
      </c>
      <c r="M8" s="122"/>
      <c r="N8" s="122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29" t="s">
        <v>111</v>
      </c>
      <c r="K20" s="29"/>
      <c r="L20" s="29"/>
      <c r="M20" s="29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7"/>
      <c r="H22" s="27"/>
      <c r="I22" s="28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5">
        <v>40</v>
      </c>
      <c r="C36" s="25">
        <v>90</v>
      </c>
      <c r="D36" s="26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5">
        <v>40</v>
      </c>
      <c r="C37" s="25">
        <v>90</v>
      </c>
      <c r="D37" s="26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4"/>
  <sheetViews>
    <sheetView zoomScaleNormal="100" workbookViewId="0">
      <selection sqref="A1:F44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6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2" t="s">
        <v>126</v>
      </c>
      <c r="L2" s="32"/>
      <c r="M2" s="32"/>
    </row>
    <row r="3" spans="1:14" ht="15.6" x14ac:dyDescent="0.3">
      <c r="A3" s="1"/>
      <c r="B3" s="1"/>
      <c r="C3" s="1"/>
      <c r="D3" s="1"/>
      <c r="E3" s="1"/>
      <c r="F3" s="1"/>
      <c r="G3" s="1"/>
      <c r="K3" s="123" t="s">
        <v>61</v>
      </c>
      <c r="L3" s="123"/>
      <c r="M3" s="123" t="s">
        <v>14</v>
      </c>
      <c r="N3" s="123"/>
    </row>
    <row r="4" spans="1:14" ht="15.75" customHeight="1" x14ac:dyDescent="0.3">
      <c r="A4" s="1"/>
      <c r="B4" s="1"/>
      <c r="C4" s="35" t="s">
        <v>27</v>
      </c>
      <c r="D4" s="14">
        <f>'4637'!G8</f>
        <v>7071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36" t="s">
        <v>67</v>
      </c>
      <c r="D5" s="37" t="str">
        <f>'4637'!C10</f>
        <v>DISEÑO D Y P LTDA</v>
      </c>
      <c r="E5" s="38"/>
      <c r="F5" s="38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39"/>
      <c r="D6" s="40"/>
      <c r="E6" s="1"/>
      <c r="F6" s="1"/>
      <c r="G6" s="1"/>
    </row>
    <row r="7" spans="1:14" ht="15.6" x14ac:dyDescent="0.3">
      <c r="A7" s="1"/>
      <c r="B7" s="1"/>
      <c r="C7" s="81" t="str">
        <f>'4637'!F11</f>
        <v>FECHA LIMITE :</v>
      </c>
      <c r="D7" s="13">
        <f>'4637'!G11</f>
        <v>45407</v>
      </c>
      <c r="E7" s="1"/>
      <c r="F7" s="1"/>
      <c r="G7" s="1"/>
    </row>
    <row r="8" spans="1:14" ht="15.6" x14ac:dyDescent="0.3">
      <c r="A8" s="1"/>
      <c r="B8" s="1"/>
      <c r="C8" s="48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4" t="s">
        <v>61</v>
      </c>
      <c r="B10" s="124"/>
      <c r="C10" s="124"/>
      <c r="D10" s="124"/>
      <c r="E10" s="124"/>
      <c r="F10" s="124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47" t="s">
        <v>7</v>
      </c>
      <c r="E12" s="47" t="s">
        <v>8</v>
      </c>
      <c r="F12" s="1"/>
      <c r="G12" s="1"/>
    </row>
    <row r="13" spans="1:14" ht="15.6" x14ac:dyDescent="0.3">
      <c r="A13" s="47" t="s">
        <v>9</v>
      </c>
      <c r="B13" s="34" t="s">
        <v>10</v>
      </c>
      <c r="C13" s="34" t="s">
        <v>11</v>
      </c>
      <c r="D13" s="30">
        <v>50</v>
      </c>
      <c r="E13" s="30">
        <v>-30</v>
      </c>
      <c r="F13" s="34" t="s">
        <v>110</v>
      </c>
      <c r="G13" s="1"/>
      <c r="J13" s="5" t="s">
        <v>7</v>
      </c>
      <c r="K13" s="5" t="s">
        <v>8</v>
      </c>
    </row>
    <row r="14" spans="1:14" ht="18" x14ac:dyDescent="0.35">
      <c r="A14" s="90" t="s">
        <v>136</v>
      </c>
      <c r="B14" s="108">
        <f t="shared" ref="B14" si="0">I14</f>
        <v>1</v>
      </c>
      <c r="C14" s="108"/>
      <c r="D14" s="108">
        <f>J14+D$13</f>
        <v>2330</v>
      </c>
      <c r="E14" s="110">
        <f>K14+E$13</f>
        <v>490</v>
      </c>
      <c r="F14" s="108" t="str">
        <f>C34</f>
        <v>CUB CON RESPALDO R2</v>
      </c>
      <c r="G14" s="1"/>
      <c r="I14" s="3">
        <f>I25</f>
        <v>1</v>
      </c>
      <c r="J14" s="4">
        <f t="shared" ref="J14:K14" si="1">D34</f>
        <v>2280</v>
      </c>
      <c r="K14" s="4">
        <f t="shared" si="1"/>
        <v>520</v>
      </c>
    </row>
    <row r="15" spans="1:14" ht="18" x14ac:dyDescent="0.35">
      <c r="A15" s="90"/>
      <c r="B15" s="108">
        <f t="shared" ref="B15" si="2">I15</f>
        <v>1</v>
      </c>
      <c r="C15" s="108"/>
      <c r="D15" s="108">
        <f t="shared" ref="D15:D17" si="3">J15+D$13</f>
        <v>2680</v>
      </c>
      <c r="E15" s="110">
        <f t="shared" ref="E15:E17" si="4">K15+E$13</f>
        <v>490</v>
      </c>
      <c r="F15" s="108" t="str">
        <f t="shared" ref="F15" si="5">C35</f>
        <v>CUB CON RESPALDO R2</v>
      </c>
      <c r="G15" s="1"/>
      <c r="I15" s="3">
        <f t="shared" ref="I15" si="6">B35</f>
        <v>1</v>
      </c>
      <c r="J15" s="4">
        <f t="shared" ref="J15" si="7">D35</f>
        <v>2630</v>
      </c>
      <c r="K15" s="4">
        <f t="shared" ref="K15" si="8">E35</f>
        <v>520</v>
      </c>
    </row>
    <row r="16" spans="1:14" ht="18" x14ac:dyDescent="0.35">
      <c r="A16" s="90"/>
      <c r="B16" s="108">
        <f t="shared" ref="B16" si="9">I16</f>
        <v>1</v>
      </c>
      <c r="C16" s="108"/>
      <c r="D16" s="108">
        <f t="shared" si="3"/>
        <v>2400</v>
      </c>
      <c r="E16" s="110">
        <f t="shared" si="4"/>
        <v>490</v>
      </c>
      <c r="F16" s="108" t="str">
        <f t="shared" ref="F16" si="10">C36</f>
        <v>CUB CON RESPALDO R2</v>
      </c>
      <c r="G16" s="1"/>
      <c r="I16" s="3">
        <f t="shared" ref="I16" si="11">B36</f>
        <v>1</v>
      </c>
      <c r="J16" s="4">
        <f t="shared" ref="J16" si="12">D36</f>
        <v>2350</v>
      </c>
      <c r="K16" s="4">
        <f t="shared" ref="K16" si="13">E36</f>
        <v>520</v>
      </c>
    </row>
    <row r="17" spans="1:11" ht="18" x14ac:dyDescent="0.35">
      <c r="A17" s="90"/>
      <c r="B17" s="108">
        <f t="shared" ref="B17" si="14">I17</f>
        <v>1</v>
      </c>
      <c r="C17" s="108"/>
      <c r="D17" s="108">
        <f t="shared" si="3"/>
        <v>1320</v>
      </c>
      <c r="E17" s="110">
        <f t="shared" si="4"/>
        <v>520</v>
      </c>
      <c r="F17" s="108" t="str">
        <f t="shared" ref="F17" si="15">C37</f>
        <v>CUB CON RESPALDO R2</v>
      </c>
      <c r="G17" s="1"/>
      <c r="I17" s="3">
        <f t="shared" ref="I17" si="16">B37</f>
        <v>1</v>
      </c>
      <c r="J17" s="4">
        <f t="shared" ref="J17" si="17">D37</f>
        <v>1270</v>
      </c>
      <c r="K17" s="4">
        <f t="shared" ref="K17" si="18">E37</f>
        <v>550</v>
      </c>
    </row>
    <row r="18" spans="1:11" ht="18" x14ac:dyDescent="0.35">
      <c r="A18" s="90"/>
      <c r="B18" s="111"/>
      <c r="C18" s="111"/>
      <c r="D18" s="111"/>
      <c r="E18" s="112"/>
      <c r="F18" s="111"/>
      <c r="G18" s="1"/>
      <c r="I18" s="84"/>
      <c r="J18" s="2"/>
      <c r="K18" s="2"/>
    </row>
    <row r="19" spans="1:11" ht="15.6" x14ac:dyDescent="0.3">
      <c r="A19" s="47"/>
      <c r="B19" s="6"/>
      <c r="C19" s="6"/>
      <c r="D19" s="6"/>
      <c r="E19" s="83"/>
      <c r="F19" s="6"/>
      <c r="G19" s="1"/>
      <c r="I19" s="84"/>
      <c r="J19" s="2"/>
      <c r="K19" s="2"/>
    </row>
    <row r="20" spans="1:11" ht="6.75" customHeight="1" x14ac:dyDescent="0.3">
      <c r="A20" s="1"/>
      <c r="B20" s="1"/>
      <c r="C20" s="1"/>
      <c r="D20" s="1"/>
      <c r="E20" s="1"/>
      <c r="F20" s="1"/>
      <c r="G20" s="1"/>
    </row>
    <row r="21" spans="1:11" ht="15.6" x14ac:dyDescent="0.3">
      <c r="A21" s="124" t="s">
        <v>14</v>
      </c>
      <c r="B21" s="124"/>
      <c r="C21" s="124"/>
      <c r="D21" s="124"/>
      <c r="E21" s="124"/>
      <c r="F21" s="124"/>
      <c r="G21" s="1"/>
    </row>
    <row r="22" spans="1:11" ht="10.5" customHeight="1" x14ac:dyDescent="0.3">
      <c r="A22" s="1"/>
      <c r="B22" s="1"/>
      <c r="C22" s="12"/>
      <c r="D22" s="1"/>
      <c r="E22" s="1"/>
      <c r="F22" s="1"/>
      <c r="G22" s="1"/>
    </row>
    <row r="23" spans="1:11" ht="15.6" x14ac:dyDescent="0.3">
      <c r="A23" s="1"/>
      <c r="B23" s="1"/>
      <c r="C23" s="1"/>
      <c r="D23" s="47" t="s">
        <v>7</v>
      </c>
      <c r="E23" s="47" t="s">
        <v>8</v>
      </c>
      <c r="F23" s="1"/>
      <c r="G23" s="1"/>
    </row>
    <row r="24" spans="1:11" ht="15.6" x14ac:dyDescent="0.3">
      <c r="A24" s="47" t="s">
        <v>9</v>
      </c>
      <c r="B24" s="33" t="s">
        <v>10</v>
      </c>
      <c r="C24" s="33" t="s">
        <v>11</v>
      </c>
      <c r="D24" s="20">
        <v>40</v>
      </c>
      <c r="E24" s="20">
        <v>130</v>
      </c>
      <c r="F24" s="33" t="s">
        <v>110</v>
      </c>
      <c r="G24" s="1"/>
      <c r="J24" s="5" t="s">
        <v>7</v>
      </c>
      <c r="K24" s="5" t="s">
        <v>8</v>
      </c>
    </row>
    <row r="25" spans="1:11" ht="18" x14ac:dyDescent="0.35">
      <c r="A25" s="90" t="s">
        <v>135</v>
      </c>
      <c r="B25" s="109">
        <f t="shared" ref="B25" si="19">I25</f>
        <v>1</v>
      </c>
      <c r="C25" s="109"/>
      <c r="D25" s="109">
        <f>J25+D$24</f>
        <v>2320</v>
      </c>
      <c r="E25" s="109">
        <f>K25+E$24</f>
        <v>650</v>
      </c>
      <c r="F25" s="109" t="str">
        <f>C34</f>
        <v>CUB CON RESPALDO R2</v>
      </c>
      <c r="G25" s="1"/>
      <c r="I25" s="3">
        <f>B34</f>
        <v>1</v>
      </c>
      <c r="J25" s="4">
        <f>D34</f>
        <v>2280</v>
      </c>
      <c r="K25" s="4">
        <f>E34</f>
        <v>520</v>
      </c>
    </row>
    <row r="26" spans="1:11" ht="18" x14ac:dyDescent="0.35">
      <c r="A26" s="90"/>
      <c r="B26" s="109">
        <f t="shared" ref="B26" si="20">I26</f>
        <v>1</v>
      </c>
      <c r="C26" s="109"/>
      <c r="D26" s="109">
        <f t="shared" ref="D26:D28" si="21">J26+D$24</f>
        <v>2670</v>
      </c>
      <c r="E26" s="109">
        <f t="shared" ref="E26:E28" si="22">K26+E$24</f>
        <v>650</v>
      </c>
      <c r="F26" s="109" t="str">
        <f t="shared" ref="F26" si="23">C35</f>
        <v>CUB CON RESPALDO R2</v>
      </c>
      <c r="G26" s="1"/>
      <c r="I26" s="3">
        <f t="shared" ref="I26" si="24">B35</f>
        <v>1</v>
      </c>
      <c r="J26" s="4">
        <f t="shared" ref="J26:K26" si="25">D35</f>
        <v>2630</v>
      </c>
      <c r="K26" s="4">
        <f t="shared" si="25"/>
        <v>520</v>
      </c>
    </row>
    <row r="27" spans="1:11" ht="18" x14ac:dyDescent="0.35">
      <c r="A27" s="90"/>
      <c r="B27" s="109">
        <f t="shared" ref="B27" si="26">I27</f>
        <v>1</v>
      </c>
      <c r="C27" s="109"/>
      <c r="D27" s="109">
        <f t="shared" si="21"/>
        <v>2390</v>
      </c>
      <c r="E27" s="109">
        <f t="shared" si="22"/>
        <v>650</v>
      </c>
      <c r="F27" s="109" t="str">
        <f t="shared" ref="F27" si="27">C36</f>
        <v>CUB CON RESPALDO R2</v>
      </c>
      <c r="G27" s="1"/>
      <c r="I27" s="3">
        <f t="shared" ref="I27" si="28">B36</f>
        <v>1</v>
      </c>
      <c r="J27" s="4">
        <f t="shared" ref="J27" si="29">D36</f>
        <v>2350</v>
      </c>
      <c r="K27" s="4">
        <f t="shared" ref="K27" si="30">E36</f>
        <v>520</v>
      </c>
    </row>
    <row r="28" spans="1:11" ht="18" x14ac:dyDescent="0.35">
      <c r="A28" s="90"/>
      <c r="B28" s="109">
        <f t="shared" ref="B28" si="31">I28</f>
        <v>1</v>
      </c>
      <c r="C28" s="109"/>
      <c r="D28" s="109">
        <f t="shared" si="21"/>
        <v>1310</v>
      </c>
      <c r="E28" s="109">
        <f t="shared" si="22"/>
        <v>680</v>
      </c>
      <c r="F28" s="109" t="str">
        <f t="shared" ref="F28" si="32">C37</f>
        <v>CUB CON RESPALDO R2</v>
      </c>
      <c r="G28" s="1"/>
      <c r="I28" s="3">
        <f t="shared" ref="I28" si="33">B37</f>
        <v>1</v>
      </c>
      <c r="J28" s="4">
        <f t="shared" ref="J28" si="34">D37</f>
        <v>1270</v>
      </c>
      <c r="K28" s="4">
        <f t="shared" ref="K28" si="35">E37</f>
        <v>550</v>
      </c>
    </row>
    <row r="29" spans="1:11" ht="18" x14ac:dyDescent="0.35">
      <c r="A29" s="90"/>
      <c r="B29" s="111"/>
      <c r="C29" s="111"/>
      <c r="D29" s="111"/>
      <c r="E29" s="111"/>
      <c r="F29" s="111"/>
      <c r="G29" s="1"/>
      <c r="I29" s="84"/>
      <c r="J29" s="2"/>
      <c r="K29" s="2"/>
    </row>
    <row r="30" spans="1:11" ht="16.2" thickBot="1" x14ac:dyDescent="0.35">
      <c r="A30" s="47"/>
      <c r="B30" s="6"/>
      <c r="C30" s="6"/>
      <c r="D30" s="6"/>
      <c r="E30" s="6"/>
      <c r="F30" s="6"/>
      <c r="G30" s="1"/>
      <c r="I30" s="2"/>
      <c r="J30" s="2"/>
      <c r="K30" s="2"/>
    </row>
    <row r="31" spans="1:11" ht="16.2" thickBot="1" x14ac:dyDescent="0.35">
      <c r="A31" s="47"/>
      <c r="B31" s="21" t="s">
        <v>107</v>
      </c>
      <c r="C31" s="22"/>
      <c r="D31" s="22"/>
      <c r="E31" s="22"/>
      <c r="F31" s="23"/>
      <c r="G31" s="1"/>
      <c r="I31" s="2"/>
      <c r="J31" s="2"/>
      <c r="K31" s="2"/>
    </row>
    <row r="32" spans="1:11" ht="10.5" customHeight="1" x14ac:dyDescent="0.3">
      <c r="A32" s="1"/>
      <c r="B32" s="1"/>
      <c r="C32" s="1"/>
      <c r="D32" s="1"/>
      <c r="E32" s="1"/>
      <c r="F32" s="1"/>
      <c r="G32" s="1"/>
    </row>
    <row r="33" spans="1:7" ht="15.6" x14ac:dyDescent="0.3">
      <c r="A33" s="47" t="s">
        <v>9</v>
      </c>
      <c r="B33" s="82" t="s">
        <v>10</v>
      </c>
      <c r="C33" s="82" t="s">
        <v>110</v>
      </c>
      <c r="D33" s="82" t="s">
        <v>7</v>
      </c>
      <c r="E33" s="82" t="s">
        <v>8</v>
      </c>
      <c r="F33" s="82" t="s">
        <v>23</v>
      </c>
      <c r="G33" s="1"/>
    </row>
    <row r="34" spans="1:7" ht="18" x14ac:dyDescent="0.35">
      <c r="A34" s="90" t="s">
        <v>135</v>
      </c>
      <c r="B34" s="108">
        <f>'4637'!B21</f>
        <v>1</v>
      </c>
      <c r="C34" s="108" t="str">
        <f>'4637'!C21</f>
        <v>CUB CON RESPALDO R2</v>
      </c>
      <c r="D34" s="108">
        <f>'4637'!D21</f>
        <v>2280</v>
      </c>
      <c r="E34" s="108">
        <f>'4637'!E21</f>
        <v>520</v>
      </c>
      <c r="F34" s="108" t="str">
        <f>'4637'!F21</f>
        <v>VAINILLA 2109 MT</v>
      </c>
      <c r="G34" s="1"/>
    </row>
    <row r="35" spans="1:7" ht="18" x14ac:dyDescent="0.35">
      <c r="A35" s="90"/>
      <c r="B35" s="108">
        <f>'4637'!B22</f>
        <v>1</v>
      </c>
      <c r="C35" s="108" t="str">
        <f>'4637'!C22</f>
        <v>CUB CON RESPALDO R2</v>
      </c>
      <c r="D35" s="108">
        <f>'4637'!D22</f>
        <v>2630</v>
      </c>
      <c r="E35" s="108">
        <f>'4637'!E22</f>
        <v>520</v>
      </c>
      <c r="F35" s="108" t="str">
        <f>'4637'!F22</f>
        <v>VAINILLA 2109 MT</v>
      </c>
      <c r="G35" s="1"/>
    </row>
    <row r="36" spans="1:7" ht="18" x14ac:dyDescent="0.35">
      <c r="A36" s="90"/>
      <c r="B36" s="108">
        <f>'4637'!B23</f>
        <v>1</v>
      </c>
      <c r="C36" s="108" t="str">
        <f>'4637'!C23</f>
        <v>CUB CON RESPALDO R2</v>
      </c>
      <c r="D36" s="108">
        <f>'4637'!D23</f>
        <v>2350</v>
      </c>
      <c r="E36" s="108">
        <f>'4637'!E23</f>
        <v>520</v>
      </c>
      <c r="F36" s="108" t="str">
        <f>'4637'!F23</f>
        <v>VAINILLA 2109 MT</v>
      </c>
      <c r="G36" s="1"/>
    </row>
    <row r="37" spans="1:7" ht="18" x14ac:dyDescent="0.35">
      <c r="A37" s="90"/>
      <c r="B37" s="108">
        <f>'4637'!B24</f>
        <v>1</v>
      </c>
      <c r="C37" s="108" t="str">
        <f>'4637'!C24</f>
        <v>CUB CON RESPALDO R2</v>
      </c>
      <c r="D37" s="108">
        <f>'4637'!D24</f>
        <v>1270</v>
      </c>
      <c r="E37" s="108">
        <f>'4637'!E24</f>
        <v>550</v>
      </c>
      <c r="F37" s="108" t="str">
        <f>'4637'!F24</f>
        <v>VAINILLA 2109 MT</v>
      </c>
      <c r="G37" s="1"/>
    </row>
    <row r="38" spans="1:7" ht="15.6" x14ac:dyDescent="0.3">
      <c r="A38" s="47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6"/>
      <c r="C45" s="6"/>
      <c r="D45" s="6"/>
      <c r="E45" s="6"/>
      <c r="F45" s="6"/>
      <c r="G45" s="1"/>
    </row>
    <row r="46" spans="1:7" ht="15.6" x14ac:dyDescent="0.3">
      <c r="A46" s="1"/>
      <c r="B46" s="6"/>
      <c r="C46" s="6"/>
      <c r="D46" s="6"/>
      <c r="E46" s="6"/>
      <c r="F46" s="6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6" x14ac:dyDescent="0.3">
      <c r="A48" s="1"/>
      <c r="B48" s="1"/>
      <c r="C48" s="35" t="s">
        <v>27</v>
      </c>
      <c r="D48" s="14">
        <f>'4637'!G8</f>
        <v>7071</v>
      </c>
      <c r="E48" s="1"/>
      <c r="F48" s="1"/>
      <c r="G48" s="1"/>
    </row>
    <row r="49" spans="1:7" ht="17.25" customHeight="1" x14ac:dyDescent="0.3">
      <c r="A49" s="1"/>
      <c r="B49" s="1"/>
      <c r="C49" s="36" t="s">
        <v>67</v>
      </c>
      <c r="D49" s="37" t="str">
        <f>'4637'!C10</f>
        <v>DISEÑO D Y P LTDA</v>
      </c>
      <c r="E49" s="38"/>
      <c r="F49" s="38"/>
      <c r="G49" s="1"/>
    </row>
    <row r="50" spans="1:7" ht="4.5" customHeight="1" x14ac:dyDescent="0.3">
      <c r="A50" s="1"/>
      <c r="B50" s="1"/>
      <c r="C50" s="39"/>
      <c r="D50" s="40"/>
      <c r="E50" s="1"/>
      <c r="F50" s="1"/>
      <c r="G50" s="1"/>
    </row>
    <row r="51" spans="1:7" ht="15.6" x14ac:dyDescent="0.3">
      <c r="A51" s="1"/>
      <c r="B51" s="1"/>
      <c r="C51" s="41" t="str">
        <f>'4637'!F11</f>
        <v>FECHA LIMITE :</v>
      </c>
      <c r="D51" s="13">
        <f>'4637'!G11</f>
        <v>45407</v>
      </c>
      <c r="E51" s="1"/>
      <c r="F51" s="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24" t="s">
        <v>68</v>
      </c>
      <c r="B54" s="124"/>
      <c r="C54" s="124"/>
      <c r="D54" s="124"/>
      <c r="E54" s="124"/>
      <c r="F54" s="124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75" customHeight="1" x14ac:dyDescent="0.3">
      <c r="A56" s="1"/>
      <c r="B56" s="125" t="s">
        <v>69</v>
      </c>
      <c r="C56" s="126"/>
      <c r="D56" s="127"/>
      <c r="E56" s="127"/>
      <c r="F56" s="128"/>
      <c r="G56" s="1"/>
    </row>
    <row r="57" spans="1:7" s="15" customFormat="1" ht="12.75" customHeight="1" x14ac:dyDescent="0.3">
      <c r="A57" s="1"/>
      <c r="B57" s="33" t="s">
        <v>10</v>
      </c>
      <c r="C57" s="42" t="s">
        <v>11</v>
      </c>
      <c r="D57" s="43" t="s">
        <v>7</v>
      </c>
      <c r="E57" s="43" t="s">
        <v>8</v>
      </c>
      <c r="F57" s="44" t="s">
        <v>12</v>
      </c>
      <c r="G57" s="1"/>
    </row>
    <row r="58" spans="1:7" s="15" customFormat="1" ht="15" customHeight="1" x14ac:dyDescent="0.35">
      <c r="A58" s="90" t="s">
        <v>135</v>
      </c>
      <c r="B58" s="106">
        <f>'4637'!B21</f>
        <v>1</v>
      </c>
      <c r="C58" s="106" t="str">
        <f>'4637'!C21</f>
        <v>CUB CON RESPALDO R2</v>
      </c>
      <c r="D58" s="107">
        <f>'4637'!D21</f>
        <v>2280</v>
      </c>
      <c r="E58" s="107">
        <f>'4637'!E21</f>
        <v>520</v>
      </c>
      <c r="F58" s="106" t="str">
        <f>'4637'!F21</f>
        <v>VAINILLA 2109 MT</v>
      </c>
      <c r="G58" s="1"/>
    </row>
    <row r="59" spans="1:7" s="15" customFormat="1" ht="15" customHeight="1" x14ac:dyDescent="0.35">
      <c r="A59" s="90"/>
      <c r="B59" s="106">
        <f>'4637'!B22</f>
        <v>1</v>
      </c>
      <c r="C59" s="106" t="str">
        <f>'4637'!C22</f>
        <v>CUB CON RESPALDO R2</v>
      </c>
      <c r="D59" s="107">
        <f>'4637'!D22</f>
        <v>2630</v>
      </c>
      <c r="E59" s="107">
        <f>'4637'!E22</f>
        <v>520</v>
      </c>
      <c r="F59" s="106" t="str">
        <f>'4637'!F22</f>
        <v>VAINILLA 2109 MT</v>
      </c>
      <c r="G59" s="1"/>
    </row>
    <row r="60" spans="1:7" s="15" customFormat="1" ht="15" customHeight="1" x14ac:dyDescent="0.35">
      <c r="A60" s="90"/>
      <c r="B60" s="106">
        <f>'4637'!B23</f>
        <v>1</v>
      </c>
      <c r="C60" s="106" t="str">
        <f>'4637'!C23</f>
        <v>CUB CON RESPALDO R2</v>
      </c>
      <c r="D60" s="107">
        <f>'4637'!D23</f>
        <v>2350</v>
      </c>
      <c r="E60" s="107">
        <f>'4637'!E23</f>
        <v>520</v>
      </c>
      <c r="F60" s="106" t="str">
        <f>'4637'!F23</f>
        <v>VAINILLA 2109 MT</v>
      </c>
      <c r="G60" s="1"/>
    </row>
    <row r="61" spans="1:7" s="15" customFormat="1" ht="15" customHeight="1" x14ac:dyDescent="0.35">
      <c r="A61" s="90"/>
      <c r="B61" s="106">
        <f>'4637'!B24</f>
        <v>1</v>
      </c>
      <c r="C61" s="106" t="str">
        <f>'4637'!C24</f>
        <v>CUB CON RESPALDO R2</v>
      </c>
      <c r="D61" s="107">
        <f>'4637'!D24</f>
        <v>1270</v>
      </c>
      <c r="E61" s="107">
        <f>'4637'!E24</f>
        <v>550</v>
      </c>
      <c r="F61" s="106" t="str">
        <f>'4637'!F24</f>
        <v>VAINILLA 2109 MT</v>
      </c>
      <c r="G61" s="1"/>
    </row>
    <row r="62" spans="1:7" s="15" customFormat="1" ht="15" customHeight="1" x14ac:dyDescent="0.3">
      <c r="A62" s="90"/>
      <c r="B62" s="47"/>
      <c r="C62" s="105"/>
      <c r="D62" s="47"/>
      <c r="E62" s="47"/>
      <c r="F62" s="47"/>
      <c r="G62" s="1"/>
    </row>
    <row r="63" spans="1:7" s="15" customFormat="1" ht="15" customHeight="1" x14ac:dyDescent="0.3">
      <c r="A63" s="45"/>
      <c r="B63" s="47"/>
      <c r="C63" s="47"/>
      <c r="D63" s="47"/>
      <c r="E63" s="47"/>
      <c r="F63" s="47"/>
      <c r="G63" s="1"/>
    </row>
    <row r="64" spans="1:7" ht="15.6" x14ac:dyDescent="0.3">
      <c r="A64" s="6"/>
      <c r="B64" s="6"/>
      <c r="C64" s="1"/>
      <c r="D64" s="6"/>
      <c r="E64" s="6"/>
      <c r="F64" s="39"/>
      <c r="G64" s="1"/>
    </row>
    <row r="65" spans="1:7" ht="15.6" x14ac:dyDescent="0.3">
      <c r="A65" s="6"/>
      <c r="B65" s="6"/>
      <c r="C65" s="1"/>
      <c r="D65" s="6"/>
      <c r="E65" s="6"/>
      <c r="F65" s="6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ht="15" customHeight="1" x14ac:dyDescent="0.3">
      <c r="A69" s="1"/>
      <c r="B69" s="1"/>
      <c r="C69" s="1"/>
      <c r="D69" s="1"/>
      <c r="E69" s="1"/>
      <c r="F69" s="1"/>
      <c r="G69" s="1"/>
    </row>
    <row r="70" spans="1:7" ht="15.6" x14ac:dyDescent="0.3">
      <c r="A70" s="1"/>
      <c r="B70" s="1"/>
      <c r="C70" s="1"/>
      <c r="D70" s="1"/>
      <c r="E70" s="1"/>
      <c r="F70" s="1"/>
      <c r="G70" s="1"/>
    </row>
    <row r="71" spans="1:7" ht="15.6" x14ac:dyDescent="0.3">
      <c r="A71" s="6"/>
      <c r="B71" s="46"/>
      <c r="C71" s="1"/>
      <c r="D71" s="1"/>
      <c r="E71" s="1"/>
      <c r="F71" s="1"/>
      <c r="G71" s="1"/>
    </row>
    <row r="72" spans="1:7" ht="15.6" x14ac:dyDescent="0.3">
      <c r="A72" s="1"/>
      <c r="B72" s="1"/>
      <c r="C72" s="1"/>
      <c r="D72" s="1"/>
      <c r="E72" s="1"/>
      <c r="F72" s="1"/>
      <c r="G72" s="1"/>
    </row>
    <row r="73" spans="1:7" x14ac:dyDescent="0.3">
      <c r="B73" s="19"/>
      <c r="C73" s="19"/>
      <c r="D73" s="19"/>
      <c r="E73" s="19"/>
      <c r="F73" s="19"/>
    </row>
    <row r="74" spans="1:7" x14ac:dyDescent="0.3">
      <c r="B74" s="19"/>
      <c r="C74" s="19"/>
      <c r="E74" s="19"/>
      <c r="F74" s="19"/>
    </row>
  </sheetData>
  <mergeCells count="6">
    <mergeCell ref="M3:N3"/>
    <mergeCell ref="A21:F21"/>
    <mergeCell ref="A10:F10"/>
    <mergeCell ref="A54:F54"/>
    <mergeCell ref="B56:F56"/>
    <mergeCell ref="K3:L3"/>
  </mergeCells>
  <pageMargins left="0.70866141732283472" right="0.70866141732283472" top="0.74803149606299213" bottom="0.74803149606299213" header="0.31496062992125984" footer="0.31496062992125984"/>
  <pageSetup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2024-04-22T20:54:56Z</cp:lastPrinted>
  <dcterms:created xsi:type="dcterms:W3CDTF">2013-03-19T12:54:14Z</dcterms:created>
  <dcterms:modified xsi:type="dcterms:W3CDTF">2024-05-02T14:29:59Z</dcterms:modified>
</cp:coreProperties>
</file>