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6FC9124D-85F0-443C-A947-EACE8173AC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CUBIERTA!$A$49:$F$79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I17" i="3"/>
  <c r="B17" i="3" s="1"/>
  <c r="J17" i="3"/>
  <c r="D17" i="3" s="1"/>
  <c r="K17" i="3"/>
  <c r="F18" i="3"/>
  <c r="I18" i="3"/>
  <c r="B18" i="3" s="1"/>
  <c r="J18" i="3"/>
  <c r="K18" i="3"/>
  <c r="B40" i="3"/>
  <c r="I30" i="3" s="1"/>
  <c r="B30" i="3" s="1"/>
  <c r="C40" i="3"/>
  <c r="F30" i="3" s="1"/>
  <c r="D40" i="3"/>
  <c r="J30" i="3" s="1"/>
  <c r="E40" i="3"/>
  <c r="K30" i="3" s="1"/>
  <c r="E30" i="3" s="1"/>
  <c r="F40" i="3"/>
  <c r="B41" i="3"/>
  <c r="C41" i="3"/>
  <c r="D41" i="3"/>
  <c r="E41" i="3"/>
  <c r="F41" i="3"/>
  <c r="B66" i="3"/>
  <c r="C66" i="3"/>
  <c r="D66" i="3"/>
  <c r="E66" i="3"/>
  <c r="F66" i="3"/>
  <c r="B67" i="3"/>
  <c r="C67" i="3"/>
  <c r="D67" i="3"/>
  <c r="E67" i="3"/>
  <c r="F67" i="3"/>
  <c r="H25" i="4"/>
  <c r="H26" i="4"/>
  <c r="B38" i="3" l="1"/>
  <c r="I28" i="3" s="1"/>
  <c r="B28" i="3" s="1"/>
  <c r="C38" i="3"/>
  <c r="F28" i="3" s="1"/>
  <c r="D38" i="3"/>
  <c r="J28" i="3" s="1"/>
  <c r="E38" i="3"/>
  <c r="K28" i="3" s="1"/>
  <c r="E28" i="3" s="1"/>
  <c r="F38" i="3"/>
  <c r="B39" i="3"/>
  <c r="I29" i="3" s="1"/>
  <c r="B29" i="3" s="1"/>
  <c r="C39" i="3"/>
  <c r="F29" i="3" s="1"/>
  <c r="D39" i="3"/>
  <c r="J29" i="3" s="1"/>
  <c r="E39" i="3"/>
  <c r="K29" i="3" s="1"/>
  <c r="F39" i="3"/>
  <c r="B64" i="3"/>
  <c r="C64" i="3"/>
  <c r="D64" i="3"/>
  <c r="E64" i="3"/>
  <c r="F64" i="3"/>
  <c r="B65" i="3"/>
  <c r="C65" i="3"/>
  <c r="D65" i="3"/>
  <c r="E65" i="3"/>
  <c r="F65" i="3"/>
  <c r="H24" i="4"/>
  <c r="H23" i="4"/>
  <c r="H22" i="4"/>
  <c r="H21" i="4"/>
  <c r="I16" i="3" l="1"/>
  <c r="B16" i="3" s="1"/>
  <c r="F16" i="3"/>
  <c r="J16" i="3"/>
  <c r="K16" i="3"/>
  <c r="C63" i="3"/>
  <c r="H29" i="4" l="1"/>
  <c r="B37" i="3"/>
  <c r="I27" i="3" s="1"/>
  <c r="C37" i="3"/>
  <c r="F15" i="3" s="1"/>
  <c r="D37" i="3"/>
  <c r="J15" i="3" s="1"/>
  <c r="E37" i="3"/>
  <c r="K15" i="3" s="1"/>
  <c r="F37" i="3"/>
  <c r="B63" i="3"/>
  <c r="D63" i="3"/>
  <c r="E63" i="3"/>
  <c r="F63" i="3"/>
  <c r="B62" i="3"/>
  <c r="C62" i="3"/>
  <c r="D62" i="3"/>
  <c r="E62" i="3"/>
  <c r="F62" i="3"/>
  <c r="B36" i="3"/>
  <c r="C36" i="3"/>
  <c r="F26" i="3" s="1"/>
  <c r="D36" i="3"/>
  <c r="J14" i="3" s="1"/>
  <c r="D14" i="3" s="1"/>
  <c r="E36" i="3"/>
  <c r="K14" i="3" s="1"/>
  <c r="E14" i="3" s="1"/>
  <c r="F36" i="3"/>
  <c r="B27" i="3" l="1"/>
  <c r="I15" i="3"/>
  <c r="B15" i="3" s="1"/>
  <c r="J27" i="3"/>
  <c r="K27" i="3"/>
  <c r="E27" i="3" s="1"/>
  <c r="F27" i="3"/>
  <c r="H30" i="4"/>
  <c r="I26" i="3"/>
  <c r="F14" i="3"/>
  <c r="K26" i="3"/>
  <c r="E26" i="3" s="1"/>
  <c r="J26" i="3"/>
  <c r="D26" i="3" s="1"/>
  <c r="B26" i="3" l="1"/>
  <c r="I14" i="3"/>
  <c r="B14" i="3" s="1"/>
  <c r="H31" i="4"/>
  <c r="N5" i="3" l="1"/>
  <c r="M5" i="3" l="1"/>
  <c r="L5" i="3"/>
  <c r="K5" i="3"/>
  <c r="C55" i="3" l="1"/>
  <c r="C7" i="3"/>
  <c r="D53" i="3"/>
  <c r="D5" i="3"/>
  <c r="D55" i="3"/>
  <c r="D7" i="3"/>
  <c r="D52" i="3"/>
  <c r="D4" i="3"/>
</calcChain>
</file>

<file path=xl/sharedStrings.xml><?xml version="1.0" encoding="utf-8"?>
<sst xmlns="http://schemas.openxmlformats.org/spreadsheetml/2006/main" count="257" uniqueCount="148">
  <si>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</si>
  <si>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</si>
  <si>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</si>
  <si>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</si>
  <si>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</si>
  <si>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</si>
  <si>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</si>
  <si>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</si>
  <si>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</si>
  <si>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</si>
  <si>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</si>
  <si>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</si>
  <si>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</si>
  <si>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</si>
  <si>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</si>
  <si>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</si>
  <si>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</si>
  <si>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</si>
  <si>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</si>
  <si>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</si>
  <si>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</si>
  <si>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</si>
  <si>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</si>
  <si>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</si>
  <si>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</si>
  <si>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</si>
  <si>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</si>
  <si>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</si>
  <si>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</si>
  <si>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</si>
  <si>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</si>
  <si>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</si>
  <si>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</si>
  <si>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</si>
  <si>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</si>
  <si>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</si>
  <si>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</si>
  <si>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</si>
  <si>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</si>
  <si>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</si>
  <si>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</si>
  <si>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</si>
  <si>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</si>
  <si>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</si>
  <si>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</si>
  <si>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</si>
  <si>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</si>
  <si>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</si>
  <si>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</si>
  <si>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</si>
  <si>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</si>
  <si>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</si>
  <si>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</si>
  <si>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</si>
  <si>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</si>
  <si>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</si>
  <si>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</si>
  <si>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</si>
  <si>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</si>
  <si>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</si>
  <si>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</si>
  <si>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</si>
  <si>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</si>
  <si>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</si>
  <si>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</si>
  <si>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</si>
  <si>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</si>
  <si>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</si>
  <si>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</si>
  <si>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</si>
  <si>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</si>
  <si>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</si>
  <si>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</si>
  <si>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</si>
  <si>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</si>
  <si>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</si>
  <si>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</si>
  <si>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</si>
  <si>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</si>
  <si>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</si>
  <si>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</si>
  <si>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</si>
  <si>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</si>
  <si>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</si>
  <si>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</si>
  <si>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</si>
  <si>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</si>
  <si>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</si>
  <si>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</si>
  <si>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</si>
  <si>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</si>
  <si>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</si>
  <si>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</si>
  <si>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</si>
  <si>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</si>
  <si>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</si>
  <si>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</si>
  <si>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</si>
  <si>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</si>
  <si>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</si>
  <si>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</si>
  <si>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</si>
  <si>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</si>
  <si>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</si>
  <si>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</si>
  <si>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</si>
  <si>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</si>
  <si>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</si>
  <si>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</si>
  <si>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</si>
  <si>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</si>
  <si>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</si>
  <si>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</si>
  <si>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</si>
  <si>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</si>
  <si>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</si>
  <si>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</si>
  <si>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</si>
  <si>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</si>
  <si>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</si>
  <si>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</si>
  <si>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</si>
  <si>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</si>
  <si>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</si>
  <si>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</si>
  <si>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</si>
  <si>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</si>
  <si>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</si>
  <si>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</si>
  <si>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</si>
  <si>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</si>
  <si>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</si>
  <si>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</si>
  <si>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</si>
  <si>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</si>
  <si>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</si>
  <si>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</si>
  <si>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N°10624</t>
  </si>
  <si>
    <t>JAIME GONZALEZ</t>
  </si>
  <si>
    <t>+569 7884 9484</t>
  </si>
  <si>
    <t>HUMO 2108 MT</t>
  </si>
  <si>
    <t>E/R 1 CARA 18MM</t>
  </si>
  <si>
    <t>SERVICIO DE ENCHAPE</t>
  </si>
  <si>
    <t>DAILY FOODS S.A.</t>
  </si>
  <si>
    <t>77.278.060-5</t>
  </si>
  <si>
    <t>CUB C/R 180° MAS LADO IZQ.</t>
  </si>
  <si>
    <t>CUB C/R 180° ***</t>
  </si>
  <si>
    <t>LLEVA UNION DE LAMINADO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</si>
</sst>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1F497D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5" fillId="9" borderId="4" xfId="0" applyFont="1" applyFill="1" applyBorder="1"/>
    <xf numFmtId="0" fontId="1" fillId="8" borderId="0" xfId="0" applyFont="1" applyFill="1"/>
    <xf numFmtId="0" fontId="17" fillId="9" borderId="0" xfId="0" applyFont="1" applyFill="1"/>
    <xf numFmtId="0" fontId="1" fillId="8" borderId="9" xfId="2" applyFont="1" applyFill="1" applyBorder="1" applyAlignment="1">
      <alignment horizontal="left"/>
    </xf>
    <xf numFmtId="0" fontId="18" fillId="0" borderId="0" xfId="0" quotePrefix="1" applyFont="1"/>
    <xf numFmtId="0" fontId="5" fillId="9" borderId="0" xfId="0" applyFont="1" applyFill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165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0" fillId="3" borderId="0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28</xdr:row>
      <xdr:rowOff>9525</xdr:rowOff>
    </xdr:from>
    <xdr:to>
      <xdr:col>5</xdr:col>
      <xdr:colOff>1390650</xdr:colOff>
      <xdr:row>32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 250.000.-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56</xdr:row>
      <xdr:rowOff>171450</xdr:rowOff>
    </xdr:from>
    <xdr:to>
      <xdr:col>5</xdr:col>
      <xdr:colOff>1685924</xdr:colOff>
      <xdr:row>58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54</xdr:row>
      <xdr:rowOff>0</xdr:rowOff>
    </xdr:from>
    <xdr:to>
      <xdr:col>6</xdr:col>
      <xdr:colOff>0</xdr:colOff>
      <xdr:row>55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38100</xdr:rowOff>
    </xdr:from>
    <xdr:to>
      <xdr:col>6</xdr:col>
      <xdr:colOff>0</xdr:colOff>
      <xdr:row>53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2</xdr:col>
      <xdr:colOff>38100</xdr:colOff>
      <xdr:row>70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69</xdr:row>
      <xdr:rowOff>0</xdr:rowOff>
    </xdr:from>
    <xdr:to>
      <xdr:col>2</xdr:col>
      <xdr:colOff>1019175</xdr:colOff>
      <xdr:row>69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69</xdr:row>
      <xdr:rowOff>0</xdr:rowOff>
    </xdr:from>
    <xdr:to>
      <xdr:col>3</xdr:col>
      <xdr:colOff>352425</xdr:colOff>
      <xdr:row>70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69</xdr:row>
      <xdr:rowOff>0</xdr:rowOff>
    </xdr:from>
    <xdr:to>
      <xdr:col>4</xdr:col>
      <xdr:colOff>257175</xdr:colOff>
      <xdr:row>70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69</xdr:row>
      <xdr:rowOff>0</xdr:rowOff>
    </xdr:from>
    <xdr:to>
      <xdr:col>5</xdr:col>
      <xdr:colOff>447675</xdr:colOff>
      <xdr:row>69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69</xdr:row>
      <xdr:rowOff>0</xdr:rowOff>
    </xdr:from>
    <xdr:to>
      <xdr:col>6</xdr:col>
      <xdr:colOff>0</xdr:colOff>
      <xdr:row>69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69</xdr:row>
      <xdr:rowOff>190500</xdr:rowOff>
    </xdr:from>
    <xdr:to>
      <xdr:col>2</xdr:col>
      <xdr:colOff>304800</xdr:colOff>
      <xdr:row>71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69</xdr:row>
      <xdr:rowOff>190500</xdr:rowOff>
    </xdr:from>
    <xdr:to>
      <xdr:col>2</xdr:col>
      <xdr:colOff>1276350</xdr:colOff>
      <xdr:row>71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69</xdr:row>
      <xdr:rowOff>190500</xdr:rowOff>
    </xdr:from>
    <xdr:to>
      <xdr:col>3</xdr:col>
      <xdr:colOff>619125</xdr:colOff>
      <xdr:row>71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69</xdr:row>
      <xdr:rowOff>190500</xdr:rowOff>
    </xdr:from>
    <xdr:to>
      <xdr:col>4</xdr:col>
      <xdr:colOff>523875</xdr:colOff>
      <xdr:row>71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69</xdr:row>
      <xdr:rowOff>190500</xdr:rowOff>
    </xdr:from>
    <xdr:to>
      <xdr:col>5</xdr:col>
      <xdr:colOff>723900</xdr:colOff>
      <xdr:row>71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69</xdr:row>
      <xdr:rowOff>190500</xdr:rowOff>
    </xdr:from>
    <xdr:to>
      <xdr:col>6</xdr:col>
      <xdr:colOff>0</xdr:colOff>
      <xdr:row>71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43</xdr:row>
      <xdr:rowOff>15239</xdr:rowOff>
    </xdr:from>
    <xdr:to>
      <xdr:col>6</xdr:col>
      <xdr:colOff>68580</xdr:colOff>
      <xdr:row>47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 A LA MEDIDA Y  ENCHAPADAS , CUBIERTA DE 3200 LLEVA UNION DE LAMINADO LADO DERECHO AL IGUAL QUE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ENCHAPE RECTO, CUBIERTA DE 1700 X 600 LLEVA POSTFORMADO LADO IZQUIERDO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31</xdr:row>
      <xdr:rowOff>200025</xdr:rowOff>
    </xdr:from>
    <xdr:to>
      <xdr:col>6</xdr:col>
      <xdr:colOff>19049</xdr:colOff>
      <xdr:row>33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5715</xdr:colOff>
      <xdr:row>72</xdr:row>
      <xdr:rowOff>24765</xdr:rowOff>
    </xdr:from>
    <xdr:to>
      <xdr:col>5</xdr:col>
      <xdr:colOff>2404110</xdr:colOff>
      <xdr:row>76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9615" y="1243012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CORTADAS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 ENCHAPADAS  CUBIERTA DE 3200 UNION LADO DERECHO AL IGUAL QUE EL ENCHAPE, CUBIERTA DE 1700 X 600 POSTFORMAR LADO IZQUIERDO</a:t>
          </a:r>
        </a:p>
      </xdr:txBody>
    </xdr:sp>
    <xdr:clientData/>
  </xdr:twoCellAnchor>
  <xdr:twoCellAnchor editAs="oneCell">
    <xdr:from>
      <xdr:col>0</xdr:col>
      <xdr:colOff>38100</xdr:colOff>
      <xdr:row>48</xdr:row>
      <xdr:rowOff>163830</xdr:rowOff>
    </xdr:from>
    <xdr:to>
      <xdr:col>1</xdr:col>
      <xdr:colOff>908443</xdr:colOff>
      <xdr:row>55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opLeftCell="A3" workbookViewId="0">
      <selection activeCell="C22" sqref="C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137</v>
      </c>
      <c r="E8" s="1"/>
      <c r="F8" s="88" t="s">
        <v>27</v>
      </c>
      <c r="G8" s="89">
        <v>7070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96" t="s">
        <v>143</v>
      </c>
      <c r="D10" s="50"/>
      <c r="E10" s="50"/>
      <c r="F10" s="51" t="s">
        <v>28</v>
      </c>
      <c r="G10" s="52">
        <v>45400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7" t="s">
        <v>144</v>
      </c>
      <c r="D11" s="55"/>
      <c r="E11" s="55"/>
      <c r="F11" s="55" t="s">
        <v>124</v>
      </c>
      <c r="G11" s="56">
        <v>45407</v>
      </c>
      <c r="H11" s="57"/>
      <c r="I11" s="1"/>
    </row>
    <row r="12" spans="1:17" ht="15.6" x14ac:dyDescent="0.3">
      <c r="A12" s="1"/>
      <c r="B12" s="58" t="s">
        <v>132</v>
      </c>
      <c r="C12" s="101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134</v>
      </c>
      <c r="C13" s="101" t="s">
        <v>138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00" t="s">
        <v>139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C15" s="98"/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9" t="s">
        <v>133</v>
      </c>
      <c r="D16" s="64"/>
      <c r="E16" s="65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thickBot="1" x14ac:dyDescent="0.35">
      <c r="A21" s="1"/>
      <c r="B21" s="102">
        <v>1</v>
      </c>
      <c r="C21" s="103" t="s">
        <v>146</v>
      </c>
      <c r="D21" s="95">
        <v>3200</v>
      </c>
      <c r="E21" s="95">
        <v>600</v>
      </c>
      <c r="F21" s="103" t="s">
        <v>140</v>
      </c>
      <c r="G21" s="104">
        <v>144816</v>
      </c>
      <c r="H21" s="94">
        <f>G21*B21</f>
        <v>144816</v>
      </c>
      <c r="I21" s="1"/>
      <c r="K21" s="16"/>
      <c r="L21" s="24"/>
      <c r="M21" s="16"/>
      <c r="N21" s="16"/>
      <c r="O21" s="24"/>
      <c r="P21" s="31"/>
    </row>
    <row r="22" spans="1:16" ht="18" customHeight="1" thickBot="1" x14ac:dyDescent="0.35">
      <c r="A22" s="1"/>
      <c r="B22" s="105">
        <v>1</v>
      </c>
      <c r="C22" s="103" t="s">
        <v>141</v>
      </c>
      <c r="D22" s="109">
        <v>3200</v>
      </c>
      <c r="E22" s="109">
        <v>300</v>
      </c>
      <c r="F22" s="103" t="s">
        <v>140</v>
      </c>
      <c r="G22" s="107">
        <v>83858</v>
      </c>
      <c r="H22" s="108">
        <f>G22*B22</f>
        <v>83858</v>
      </c>
      <c r="I22" s="1"/>
      <c r="K22" s="16"/>
      <c r="L22" s="24"/>
      <c r="M22" s="16"/>
      <c r="N22" s="16"/>
      <c r="O22" s="24"/>
      <c r="P22" s="31"/>
    </row>
    <row r="23" spans="1:16" ht="18" customHeight="1" thickBot="1" x14ac:dyDescent="0.35">
      <c r="A23" s="1"/>
      <c r="B23" s="105">
        <v>1</v>
      </c>
      <c r="C23" s="103" t="s">
        <v>141</v>
      </c>
      <c r="D23" s="109">
        <v>600</v>
      </c>
      <c r="E23" s="109">
        <v>300</v>
      </c>
      <c r="F23" s="103" t="s">
        <v>140</v>
      </c>
      <c r="G23" s="107">
        <v>18569</v>
      </c>
      <c r="H23" s="108">
        <f>G23*B23</f>
        <v>18569</v>
      </c>
      <c r="I23" s="1"/>
      <c r="K23" s="16"/>
      <c r="L23" s="24"/>
      <c r="M23" s="16"/>
      <c r="N23" s="16"/>
      <c r="O23" s="24"/>
      <c r="P23" s="31"/>
    </row>
    <row r="24" spans="1:16" ht="18" customHeight="1" thickBot="1" x14ac:dyDescent="0.35">
      <c r="A24" s="1"/>
      <c r="B24" s="102">
        <v>1</v>
      </c>
      <c r="C24" s="103" t="s">
        <v>145</v>
      </c>
      <c r="D24" s="95">
        <v>1700</v>
      </c>
      <c r="E24" s="95">
        <v>600</v>
      </c>
      <c r="F24" s="103" t="s">
        <v>140</v>
      </c>
      <c r="G24" s="107">
        <v>96683</v>
      </c>
      <c r="H24" s="108">
        <f>G24*B24</f>
        <v>96683</v>
      </c>
      <c r="I24" s="1"/>
      <c r="K24" s="16"/>
      <c r="L24" s="24"/>
      <c r="M24" s="16"/>
      <c r="N24" s="16"/>
      <c r="O24" s="24"/>
      <c r="P24" s="31"/>
    </row>
    <row r="25" spans="1:16" ht="18" customHeight="1" thickBot="1" x14ac:dyDescent="0.35">
      <c r="A25" s="1"/>
      <c r="B25" s="105">
        <v>1</v>
      </c>
      <c r="C25" s="103" t="s">
        <v>141</v>
      </c>
      <c r="D25" s="109">
        <v>1700</v>
      </c>
      <c r="E25" s="109">
        <v>300</v>
      </c>
      <c r="F25" s="103" t="s">
        <v>140</v>
      </c>
      <c r="G25" s="107">
        <v>46191</v>
      </c>
      <c r="H25" s="108">
        <f t="shared" ref="H25:H26" si="0">G25*B25</f>
        <v>46191</v>
      </c>
      <c r="I25" s="1"/>
      <c r="K25" s="16"/>
      <c r="L25" s="24"/>
      <c r="M25" s="16"/>
      <c r="N25" s="16"/>
      <c r="O25" s="24"/>
      <c r="P25" s="31"/>
    </row>
    <row r="26" spans="1:16" ht="18" customHeight="1" thickBot="1" x14ac:dyDescent="0.35">
      <c r="A26" s="1"/>
      <c r="B26" s="105">
        <v>1</v>
      </c>
      <c r="C26" s="103" t="s">
        <v>142</v>
      </c>
      <c r="D26" s="106"/>
      <c r="E26" s="106"/>
      <c r="F26" s="103"/>
      <c r="G26" s="107">
        <v>20000</v>
      </c>
      <c r="H26" s="108">
        <f t="shared" si="0"/>
        <v>20000</v>
      </c>
      <c r="I26" s="1"/>
      <c r="K26" s="16"/>
      <c r="L26" s="24"/>
      <c r="M26" s="16"/>
      <c r="N26" s="16"/>
      <c r="O26" s="24"/>
      <c r="P26" s="31"/>
    </row>
    <row r="27" spans="1:16" ht="18" customHeight="1" x14ac:dyDescent="0.3">
      <c r="A27" s="1"/>
      <c r="B27" s="93"/>
      <c r="C27" s="93"/>
      <c r="D27" s="93"/>
      <c r="E27" s="93"/>
      <c r="F27" s="93"/>
      <c r="G27" s="91"/>
      <c r="H27" s="91"/>
      <c r="I27" s="1"/>
      <c r="K27" s="16"/>
      <c r="L27" s="24"/>
      <c r="M27" s="16"/>
      <c r="N27" s="16"/>
      <c r="O27" s="24"/>
      <c r="P27" s="31"/>
    </row>
    <row r="28" spans="1:16" ht="8.25" customHeight="1" thickBot="1" x14ac:dyDescent="0.35">
      <c r="A28" s="1"/>
      <c r="B28" s="69"/>
      <c r="C28" s="69"/>
      <c r="D28" s="69"/>
      <c r="E28" s="69"/>
      <c r="F28" s="69"/>
      <c r="G28" s="70"/>
      <c r="H28" s="70"/>
      <c r="I28" s="1"/>
    </row>
    <row r="29" spans="1:16" ht="15.6" x14ac:dyDescent="0.3">
      <c r="A29" s="1"/>
      <c r="B29" s="1"/>
      <c r="C29" s="1"/>
      <c r="D29" s="1"/>
      <c r="E29" s="1"/>
      <c r="F29" s="1"/>
      <c r="G29" s="71" t="s">
        <v>5</v>
      </c>
      <c r="H29" s="72">
        <f>SUM(H21:H28)</f>
        <v>410117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73" t="s">
        <v>6</v>
      </c>
      <c r="H30" s="74">
        <f>H29*19%</f>
        <v>77922.23</v>
      </c>
      <c r="I30" s="1"/>
    </row>
    <row r="31" spans="1:16" ht="16.2" thickBot="1" x14ac:dyDescent="0.35">
      <c r="A31" s="1"/>
      <c r="B31" s="1"/>
      <c r="C31" s="1"/>
      <c r="D31" s="1"/>
      <c r="E31" s="1"/>
      <c r="F31" s="1"/>
      <c r="G31" s="75" t="s">
        <v>4</v>
      </c>
      <c r="H31" s="76">
        <f>H29+H30</f>
        <v>488039.23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47"/>
      <c r="H32" s="92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77" t="s">
        <v>123</v>
      </c>
      <c r="C34" s="78"/>
      <c r="D34" s="79"/>
      <c r="E34" s="79"/>
      <c r="F34" s="69"/>
      <c r="G34" s="1"/>
      <c r="H34" s="1"/>
      <c r="I34" s="1"/>
    </row>
    <row r="35" spans="1:9" ht="15.6" x14ac:dyDescent="0.3">
      <c r="A35" s="1"/>
      <c r="B35" s="77" t="s">
        <v>122</v>
      </c>
      <c r="C35" s="78"/>
      <c r="D35" s="79"/>
      <c r="E35" s="79"/>
      <c r="F35" s="69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80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2"/>
  </sortState>
  <mergeCells count="2">
    <mergeCell ref="F16:H16"/>
    <mergeCell ref="B19:H19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7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0"/>
  <sheetViews>
    <sheetView tabSelected="1" topLeftCell="A38" zoomScaleNormal="100" workbookViewId="0">
      <selection activeCell="A49" sqref="A49:F79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35" t="s">
        <v>27</v>
      </c>
      <c r="D4" s="14">
        <f>'4637'!G8</f>
        <v>7070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DAILY FOODS S.A.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45407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>
        <v>-30</v>
      </c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13">
        <f t="shared" ref="B14" si="0">I14</f>
        <v>1</v>
      </c>
      <c r="C14" s="113"/>
      <c r="D14" s="113">
        <f>J14+D$13</f>
        <v>3250</v>
      </c>
      <c r="E14" s="115">
        <f>K14+E$13</f>
        <v>570</v>
      </c>
      <c r="F14" s="113" t="str">
        <f>C36</f>
        <v>CUB C/R 180° ***</v>
      </c>
      <c r="G14" s="1"/>
      <c r="I14" s="3">
        <f>I26</f>
        <v>1</v>
      </c>
      <c r="J14" s="4">
        <f t="shared" ref="J14:K14" si="1">D36</f>
        <v>3200</v>
      </c>
      <c r="K14" s="4">
        <f t="shared" si="1"/>
        <v>600</v>
      </c>
    </row>
    <row r="15" spans="1:14" ht="18" x14ac:dyDescent="0.35">
      <c r="A15" s="90"/>
      <c r="B15" s="113">
        <f t="shared" ref="B15" si="2">I15</f>
        <v>1</v>
      </c>
      <c r="C15" s="113"/>
      <c r="D15" s="113">
        <v>3220</v>
      </c>
      <c r="E15" s="115">
        <v>320</v>
      </c>
      <c r="F15" s="113" t="str">
        <f t="shared" ref="F15" si="3">C37</f>
        <v>E/R 1 CARA 18MM</v>
      </c>
      <c r="G15" s="1"/>
      <c r="I15" s="3">
        <f t="shared" ref="I15" si="4">B37</f>
        <v>1</v>
      </c>
      <c r="J15" s="4">
        <f t="shared" ref="J15" si="5">D37</f>
        <v>3200</v>
      </c>
      <c r="K15" s="4">
        <f t="shared" ref="K15" si="6">E37</f>
        <v>300</v>
      </c>
    </row>
    <row r="16" spans="1:14" ht="18" x14ac:dyDescent="0.35">
      <c r="A16" s="90"/>
      <c r="B16" s="113">
        <f t="shared" ref="B16" si="7">I16</f>
        <v>1</v>
      </c>
      <c r="C16" s="113"/>
      <c r="D16" s="113">
        <v>620</v>
      </c>
      <c r="E16" s="115">
        <v>320</v>
      </c>
      <c r="F16" s="113" t="str">
        <f t="shared" ref="F16" si="8">C38</f>
        <v>E/R 1 CARA 18MM</v>
      </c>
      <c r="G16" s="1"/>
      <c r="I16" s="3">
        <f t="shared" ref="I16" si="9">B38</f>
        <v>1</v>
      </c>
      <c r="J16" s="4">
        <f t="shared" ref="J16" si="10">D38</f>
        <v>600</v>
      </c>
      <c r="K16" s="4">
        <f t="shared" ref="K16" si="11">E38</f>
        <v>300</v>
      </c>
    </row>
    <row r="17" spans="1:11" ht="18" x14ac:dyDescent="0.35">
      <c r="A17" s="90"/>
      <c r="B17" s="113">
        <f t="shared" ref="B17:B18" si="12">I17</f>
        <v>1</v>
      </c>
      <c r="C17" s="113"/>
      <c r="D17" s="113">
        <f t="shared" ref="D17:D18" si="13">J17+D$13</f>
        <v>1750</v>
      </c>
      <c r="E17" s="115">
        <v>570</v>
      </c>
      <c r="F17" s="113" t="str">
        <f t="shared" ref="F17:F18" si="14">C39</f>
        <v>CUB C/R 180° MAS LADO IZQ.</v>
      </c>
      <c r="G17" s="1"/>
      <c r="I17" s="3">
        <f t="shared" ref="I17:I18" si="15">B39</f>
        <v>1</v>
      </c>
      <c r="J17" s="4">
        <f t="shared" ref="J17:J18" si="16">D39</f>
        <v>1700</v>
      </c>
      <c r="K17" s="4">
        <f t="shared" ref="K17:K18" si="17">E39</f>
        <v>600</v>
      </c>
    </row>
    <row r="18" spans="1:11" ht="18" x14ac:dyDescent="0.35">
      <c r="A18" s="90"/>
      <c r="B18" s="113">
        <f t="shared" si="12"/>
        <v>1</v>
      </c>
      <c r="C18" s="113"/>
      <c r="D18" s="113">
        <v>1720</v>
      </c>
      <c r="E18" s="115">
        <v>320</v>
      </c>
      <c r="F18" s="113" t="str">
        <f t="shared" si="14"/>
        <v>E/R 1 CARA 18MM</v>
      </c>
      <c r="G18" s="1"/>
      <c r="I18" s="3">
        <f t="shared" si="15"/>
        <v>1</v>
      </c>
      <c r="J18" s="4">
        <f t="shared" si="16"/>
        <v>1700</v>
      </c>
      <c r="K18" s="4">
        <f t="shared" si="17"/>
        <v>300</v>
      </c>
    </row>
    <row r="19" spans="1:11" ht="18" x14ac:dyDescent="0.35">
      <c r="A19" s="90"/>
      <c r="B19" s="129"/>
      <c r="C19" s="129"/>
      <c r="D19" s="129"/>
      <c r="E19" s="132"/>
      <c r="F19" s="129"/>
      <c r="G19" s="1"/>
      <c r="I19" s="130"/>
      <c r="J19" s="131"/>
      <c r="K19" s="131"/>
    </row>
    <row r="20" spans="1:11" ht="15.6" x14ac:dyDescent="0.3">
      <c r="A20" s="47"/>
      <c r="B20" s="6"/>
      <c r="C20" s="6"/>
      <c r="D20" s="6"/>
      <c r="E20" s="83"/>
      <c r="F20" s="6"/>
      <c r="G20" s="1"/>
      <c r="I20" s="84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24" t="s">
        <v>14</v>
      </c>
      <c r="B22" s="124"/>
      <c r="C22" s="124"/>
      <c r="D22" s="124"/>
      <c r="E22" s="124"/>
      <c r="F22" s="124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47" t="s">
        <v>7</v>
      </c>
      <c r="E24" s="47" t="s">
        <v>8</v>
      </c>
      <c r="F24" s="1"/>
      <c r="G24" s="1"/>
    </row>
    <row r="25" spans="1:11" ht="15.6" x14ac:dyDescent="0.3">
      <c r="A25" s="47" t="s">
        <v>9</v>
      </c>
      <c r="B25" s="33" t="s">
        <v>10</v>
      </c>
      <c r="C25" s="33" t="s">
        <v>11</v>
      </c>
      <c r="D25" s="20">
        <v>40</v>
      </c>
      <c r="E25" s="20">
        <v>150</v>
      </c>
      <c r="F25" s="33" t="s">
        <v>110</v>
      </c>
      <c r="G25" s="1"/>
      <c r="J25" s="5" t="s">
        <v>7</v>
      </c>
      <c r="K25" s="5" t="s">
        <v>8</v>
      </c>
    </row>
    <row r="26" spans="1:11" ht="18" x14ac:dyDescent="0.35">
      <c r="A26" s="90" t="s">
        <v>135</v>
      </c>
      <c r="B26" s="114">
        <f t="shared" ref="B26" si="18">I26</f>
        <v>1</v>
      </c>
      <c r="C26" s="114" t="s">
        <v>147</v>
      </c>
      <c r="D26" s="114">
        <f>J26+D$25</f>
        <v>3240</v>
      </c>
      <c r="E26" s="114">
        <f>K26+E$25</f>
        <v>750</v>
      </c>
      <c r="F26" s="114" t="str">
        <f>C36</f>
        <v>CUB C/R 180° ***</v>
      </c>
      <c r="G26" s="1"/>
      <c r="I26" s="3">
        <f>B36</f>
        <v>1</v>
      </c>
      <c r="J26" s="4">
        <f>D36</f>
        <v>3200</v>
      </c>
      <c r="K26" s="4">
        <f>E36</f>
        <v>600</v>
      </c>
    </row>
    <row r="27" spans="1:11" ht="18" x14ac:dyDescent="0.35">
      <c r="A27" s="90"/>
      <c r="B27" s="114">
        <f t="shared" ref="B27" si="19">I27</f>
        <v>1</v>
      </c>
      <c r="C27" s="114"/>
      <c r="D27" s="114">
        <v>3220</v>
      </c>
      <c r="E27" s="114">
        <f>K27+20</f>
        <v>320</v>
      </c>
      <c r="F27" s="114" t="str">
        <f t="shared" ref="F27" si="20">C37</f>
        <v>E/R 1 CARA 18MM</v>
      </c>
      <c r="G27" s="1"/>
      <c r="I27" s="3">
        <f t="shared" ref="I27" si="21">B37</f>
        <v>1</v>
      </c>
      <c r="J27" s="4">
        <f t="shared" ref="J27:K27" si="22">D37</f>
        <v>3200</v>
      </c>
      <c r="K27" s="4">
        <f t="shared" si="22"/>
        <v>300</v>
      </c>
    </row>
    <row r="28" spans="1:11" ht="18" x14ac:dyDescent="0.35">
      <c r="A28" s="90"/>
      <c r="B28" s="114">
        <f t="shared" ref="B28" si="23">I28</f>
        <v>1</v>
      </c>
      <c r="C28" s="114"/>
      <c r="D28" s="114">
        <v>620</v>
      </c>
      <c r="E28" s="114">
        <f>K28+20</f>
        <v>320</v>
      </c>
      <c r="F28" s="114" t="str">
        <f t="shared" ref="F28" si="24">C38</f>
        <v>E/R 1 CARA 18MM</v>
      </c>
      <c r="G28" s="1"/>
      <c r="I28" s="3">
        <f t="shared" ref="I28" si="25">B38</f>
        <v>1</v>
      </c>
      <c r="J28" s="4">
        <f t="shared" ref="J28" si="26">D38</f>
        <v>600</v>
      </c>
      <c r="K28" s="4">
        <f t="shared" ref="K28" si="27">E38</f>
        <v>300</v>
      </c>
    </row>
    <row r="29" spans="1:11" ht="18" x14ac:dyDescent="0.35">
      <c r="A29" s="90"/>
      <c r="B29" s="114">
        <f t="shared" ref="B29:B30" si="28">I29</f>
        <v>1</v>
      </c>
      <c r="C29" s="114"/>
      <c r="D29" s="114">
        <v>1810</v>
      </c>
      <c r="E29" s="114">
        <v>750</v>
      </c>
      <c r="F29" s="114" t="str">
        <f t="shared" ref="F29:F30" si="29">C39</f>
        <v>CUB C/R 180° MAS LADO IZQ.</v>
      </c>
      <c r="G29" s="1"/>
      <c r="I29" s="3">
        <f t="shared" ref="I29:I30" si="30">B39</f>
        <v>1</v>
      </c>
      <c r="J29" s="4">
        <f t="shared" ref="J29:J30" si="31">D39</f>
        <v>1700</v>
      </c>
      <c r="K29" s="4">
        <f t="shared" ref="K29:K30" si="32">E39</f>
        <v>600</v>
      </c>
    </row>
    <row r="30" spans="1:11" ht="18" x14ac:dyDescent="0.35">
      <c r="A30" s="90"/>
      <c r="B30" s="114">
        <f t="shared" si="28"/>
        <v>1</v>
      </c>
      <c r="C30" s="114"/>
      <c r="D30" s="114">
        <v>1720</v>
      </c>
      <c r="E30" s="114">
        <f t="shared" ref="E30" si="33">K30+20</f>
        <v>320</v>
      </c>
      <c r="F30" s="114" t="str">
        <f t="shared" si="29"/>
        <v>E/R 1 CARA 18MM</v>
      </c>
      <c r="G30" s="1"/>
      <c r="I30" s="3">
        <f t="shared" si="30"/>
        <v>1</v>
      </c>
      <c r="J30" s="4">
        <f t="shared" si="31"/>
        <v>1700</v>
      </c>
      <c r="K30" s="4">
        <f t="shared" si="32"/>
        <v>300</v>
      </c>
    </row>
    <row r="31" spans="1:11" ht="18" x14ac:dyDescent="0.35">
      <c r="A31" s="90"/>
      <c r="B31" s="129"/>
      <c r="C31" s="129"/>
      <c r="D31" s="129"/>
      <c r="E31" s="129"/>
      <c r="F31" s="129"/>
      <c r="G31" s="1"/>
      <c r="I31" s="130"/>
      <c r="J31" s="131"/>
      <c r="K31" s="131"/>
    </row>
    <row r="32" spans="1:11" ht="16.2" thickBot="1" x14ac:dyDescent="0.35">
      <c r="A32" s="47"/>
      <c r="B32" s="6"/>
      <c r="C32" s="6"/>
      <c r="D32" s="6"/>
      <c r="E32" s="6"/>
      <c r="F32" s="6"/>
      <c r="G32" s="1"/>
      <c r="I32" s="2"/>
      <c r="J32" s="2"/>
      <c r="K32" s="2"/>
    </row>
    <row r="33" spans="1:11" ht="16.2" thickBot="1" x14ac:dyDescent="0.35">
      <c r="A33" s="47"/>
      <c r="B33" s="21" t="s">
        <v>107</v>
      </c>
      <c r="C33" s="22"/>
      <c r="D33" s="22"/>
      <c r="E33" s="22"/>
      <c r="F33" s="23"/>
      <c r="G33" s="1"/>
      <c r="I33" s="2"/>
      <c r="J33" s="2"/>
      <c r="K33" s="2"/>
    </row>
    <row r="34" spans="1:11" ht="10.5" customHeight="1" x14ac:dyDescent="0.3">
      <c r="A34" s="1"/>
      <c r="B34" s="1"/>
      <c r="C34" s="1"/>
      <c r="D34" s="1"/>
      <c r="E34" s="1"/>
      <c r="F34" s="1"/>
      <c r="G34" s="1"/>
    </row>
    <row r="35" spans="1:11" ht="15.6" x14ac:dyDescent="0.3">
      <c r="A35" s="47" t="s">
        <v>9</v>
      </c>
      <c r="B35" s="82" t="s">
        <v>10</v>
      </c>
      <c r="C35" s="82" t="s">
        <v>110</v>
      </c>
      <c r="D35" s="82" t="s">
        <v>7</v>
      </c>
      <c r="E35" s="82" t="s">
        <v>8</v>
      </c>
      <c r="F35" s="82" t="s">
        <v>23</v>
      </c>
      <c r="G35" s="1"/>
    </row>
    <row r="36" spans="1:11" ht="18" x14ac:dyDescent="0.35">
      <c r="A36" s="90" t="s">
        <v>135</v>
      </c>
      <c r="B36" s="113">
        <f>'4637'!B21</f>
        <v>1</v>
      </c>
      <c r="C36" s="113" t="str">
        <f>'4637'!C21</f>
        <v>CUB C/R 180° ***</v>
      </c>
      <c r="D36" s="113">
        <f>'4637'!D21</f>
        <v>3200</v>
      </c>
      <c r="E36" s="113">
        <f>'4637'!E21</f>
        <v>600</v>
      </c>
      <c r="F36" s="113" t="str">
        <f>'4637'!F21</f>
        <v>HUMO 2108 MT</v>
      </c>
      <c r="G36" s="1"/>
    </row>
    <row r="37" spans="1:11" ht="18" x14ac:dyDescent="0.35">
      <c r="A37" s="90"/>
      <c r="B37" s="113">
        <f>'4637'!B22</f>
        <v>1</v>
      </c>
      <c r="C37" s="113" t="str">
        <f>'4637'!C22</f>
        <v>E/R 1 CARA 18MM</v>
      </c>
      <c r="D37" s="113">
        <f>'4637'!D22</f>
        <v>3200</v>
      </c>
      <c r="E37" s="113">
        <f>'4637'!E22</f>
        <v>300</v>
      </c>
      <c r="F37" s="113" t="str">
        <f>'4637'!F22</f>
        <v>HUMO 2108 MT</v>
      </c>
      <c r="G37" s="1"/>
    </row>
    <row r="38" spans="1:11" ht="18" x14ac:dyDescent="0.35">
      <c r="A38" s="90"/>
      <c r="B38" s="113">
        <f>'4637'!B23</f>
        <v>1</v>
      </c>
      <c r="C38" s="113" t="str">
        <f>'4637'!C23</f>
        <v>E/R 1 CARA 18MM</v>
      </c>
      <c r="D38" s="113">
        <f>'4637'!D23</f>
        <v>600</v>
      </c>
      <c r="E38" s="113">
        <f>'4637'!E23</f>
        <v>300</v>
      </c>
      <c r="F38" s="113" t="str">
        <f>'4637'!F23</f>
        <v>HUMO 2108 MT</v>
      </c>
      <c r="G38" s="1"/>
    </row>
    <row r="39" spans="1:11" ht="18" x14ac:dyDescent="0.35">
      <c r="A39" s="90"/>
      <c r="B39" s="113">
        <f>'4637'!B24</f>
        <v>1</v>
      </c>
      <c r="C39" s="113" t="str">
        <f>'4637'!C24</f>
        <v>CUB C/R 180° MAS LADO IZQ.</v>
      </c>
      <c r="D39" s="113">
        <f>'4637'!D24</f>
        <v>1700</v>
      </c>
      <c r="E39" s="113">
        <f>'4637'!E24</f>
        <v>600</v>
      </c>
      <c r="F39" s="113" t="str">
        <f>'4637'!F24</f>
        <v>HUMO 2108 MT</v>
      </c>
      <c r="G39" s="1"/>
    </row>
    <row r="40" spans="1:11" ht="18" x14ac:dyDescent="0.35">
      <c r="A40" s="90"/>
      <c r="B40" s="113">
        <f>'4637'!B25</f>
        <v>1</v>
      </c>
      <c r="C40" s="113" t="str">
        <f>'4637'!C25</f>
        <v>E/R 1 CARA 18MM</v>
      </c>
      <c r="D40" s="113">
        <f>'4637'!D25</f>
        <v>1700</v>
      </c>
      <c r="E40" s="113">
        <f>'4637'!E25</f>
        <v>300</v>
      </c>
      <c r="F40" s="113" t="str">
        <f>'4637'!F25</f>
        <v>HUMO 2108 MT</v>
      </c>
      <c r="G40" s="1"/>
    </row>
    <row r="41" spans="1:11" ht="18" x14ac:dyDescent="0.35">
      <c r="A41" s="90"/>
      <c r="B41" s="113">
        <f>'4637'!B26</f>
        <v>1</v>
      </c>
      <c r="C41" s="113" t="str">
        <f>'4637'!C26</f>
        <v>SERVICIO DE ENCHAPE</v>
      </c>
      <c r="D41" s="113">
        <f>'4637'!D26</f>
        <v>0</v>
      </c>
      <c r="E41" s="113">
        <f>'4637'!E26</f>
        <v>0</v>
      </c>
      <c r="F41" s="113">
        <f>'4637'!F26</f>
        <v>0</v>
      </c>
      <c r="G41" s="1"/>
    </row>
    <row r="42" spans="1:11" ht="15.6" x14ac:dyDescent="0.3">
      <c r="A42" s="47"/>
      <c r="B42" s="6"/>
      <c r="C42" s="6"/>
      <c r="D42" s="6"/>
      <c r="E42" s="6"/>
      <c r="F42" s="6"/>
      <c r="G42" s="1"/>
    </row>
    <row r="43" spans="1:11" ht="15.6" x14ac:dyDescent="0.3">
      <c r="A43" s="1"/>
      <c r="B43" s="6"/>
      <c r="C43" s="6"/>
      <c r="D43" s="6"/>
      <c r="E43" s="6"/>
      <c r="F43" s="6"/>
      <c r="G43" s="1"/>
    </row>
    <row r="44" spans="1:11" ht="15.6" x14ac:dyDescent="0.3">
      <c r="A44" s="1"/>
      <c r="B44" s="6"/>
      <c r="C44" s="6"/>
      <c r="D44" s="6"/>
      <c r="E44" s="6"/>
      <c r="F44" s="6"/>
      <c r="G44" s="1"/>
    </row>
    <row r="45" spans="1:11" ht="15.6" x14ac:dyDescent="0.3">
      <c r="A45" s="1"/>
      <c r="B45" s="6"/>
      <c r="C45" s="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35" t="s">
        <v>27</v>
      </c>
      <c r="D52" s="14">
        <f>'4637'!G8</f>
        <v>7070</v>
      </c>
      <c r="E52" s="1"/>
      <c r="F52" s="1"/>
      <c r="G52" s="1"/>
    </row>
    <row r="53" spans="1:7" ht="17.25" customHeight="1" x14ac:dyDescent="0.3">
      <c r="A53" s="1"/>
      <c r="B53" s="1"/>
      <c r="C53" s="36" t="s">
        <v>67</v>
      </c>
      <c r="D53" s="37" t="str">
        <f>'4637'!C10</f>
        <v>DAILY FOODS S.A.</v>
      </c>
      <c r="E53" s="38"/>
      <c r="F53" s="38"/>
      <c r="G53" s="1"/>
    </row>
    <row r="54" spans="1:7" ht="4.5" customHeight="1" x14ac:dyDescent="0.3">
      <c r="A54" s="1"/>
      <c r="B54" s="1"/>
      <c r="C54" s="39"/>
      <c r="D54" s="40"/>
      <c r="E54" s="1"/>
      <c r="F54" s="1"/>
      <c r="G54" s="1"/>
    </row>
    <row r="55" spans="1:7" ht="15.6" x14ac:dyDescent="0.3">
      <c r="A55" s="1"/>
      <c r="B55" s="1"/>
      <c r="C55" s="41" t="str">
        <f>'4637'!F11</f>
        <v>FECHA LIMITE :</v>
      </c>
      <c r="D55" s="13">
        <f>'4637'!G11</f>
        <v>45407</v>
      </c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24" t="s">
        <v>68</v>
      </c>
      <c r="B58" s="124"/>
      <c r="C58" s="124"/>
      <c r="D58" s="124"/>
      <c r="E58" s="124"/>
      <c r="F58" s="124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75" customHeight="1" x14ac:dyDescent="0.3">
      <c r="A60" s="1"/>
      <c r="B60" s="125" t="s">
        <v>69</v>
      </c>
      <c r="C60" s="126"/>
      <c r="D60" s="127"/>
      <c r="E60" s="127"/>
      <c r="F60" s="128"/>
      <c r="G60" s="1"/>
    </row>
    <row r="61" spans="1:7" s="15" customFormat="1" ht="12.75" customHeight="1" x14ac:dyDescent="0.3">
      <c r="A61" s="1"/>
      <c r="B61" s="33" t="s">
        <v>10</v>
      </c>
      <c r="C61" s="42" t="s">
        <v>11</v>
      </c>
      <c r="D61" s="43" t="s">
        <v>7</v>
      </c>
      <c r="E61" s="43" t="s">
        <v>8</v>
      </c>
      <c r="F61" s="44" t="s">
        <v>12</v>
      </c>
      <c r="G61" s="1"/>
    </row>
    <row r="62" spans="1:7" s="15" customFormat="1" ht="15" customHeight="1" x14ac:dyDescent="0.35">
      <c r="A62" s="90" t="s">
        <v>135</v>
      </c>
      <c r="B62" s="111">
        <f>'4637'!B21</f>
        <v>1</v>
      </c>
      <c r="C62" s="111" t="str">
        <f>'4637'!C21</f>
        <v>CUB C/R 180° ***</v>
      </c>
      <c r="D62" s="112">
        <f>'4637'!D21</f>
        <v>3200</v>
      </c>
      <c r="E62" s="112">
        <f>'4637'!E21</f>
        <v>600</v>
      </c>
      <c r="F62" s="111" t="str">
        <f>'4637'!F21</f>
        <v>HUMO 2108 MT</v>
      </c>
      <c r="G62" s="1"/>
    </row>
    <row r="63" spans="1:7" s="15" customFormat="1" ht="15" customHeight="1" x14ac:dyDescent="0.35">
      <c r="A63" s="90"/>
      <c r="B63" s="111">
        <f>'4637'!B22</f>
        <v>1</v>
      </c>
      <c r="C63" s="111" t="str">
        <f>'4637'!C22</f>
        <v>E/R 1 CARA 18MM</v>
      </c>
      <c r="D63" s="112">
        <f>'4637'!D22</f>
        <v>3200</v>
      </c>
      <c r="E63" s="112">
        <f>'4637'!E22</f>
        <v>300</v>
      </c>
      <c r="F63" s="111" t="str">
        <f>'4637'!F22</f>
        <v>HUMO 2108 MT</v>
      </c>
      <c r="G63" s="1"/>
    </row>
    <row r="64" spans="1:7" s="15" customFormat="1" ht="15" customHeight="1" x14ac:dyDescent="0.35">
      <c r="A64" s="90"/>
      <c r="B64" s="111">
        <f>'4637'!B23</f>
        <v>1</v>
      </c>
      <c r="C64" s="111" t="str">
        <f>'4637'!C23</f>
        <v>E/R 1 CARA 18MM</v>
      </c>
      <c r="D64" s="112">
        <f>'4637'!D23</f>
        <v>600</v>
      </c>
      <c r="E64" s="112">
        <f>'4637'!E23</f>
        <v>300</v>
      </c>
      <c r="F64" s="111" t="str">
        <f>'4637'!F23</f>
        <v>HUMO 2108 MT</v>
      </c>
      <c r="G64" s="1"/>
    </row>
    <row r="65" spans="1:7" s="15" customFormat="1" ht="15" customHeight="1" x14ac:dyDescent="0.35">
      <c r="A65" s="90"/>
      <c r="B65" s="111">
        <f>'4637'!B24</f>
        <v>1</v>
      </c>
      <c r="C65" s="111" t="str">
        <f>'4637'!C24</f>
        <v>CUB C/R 180° MAS LADO IZQ.</v>
      </c>
      <c r="D65" s="112">
        <f>'4637'!D24</f>
        <v>1700</v>
      </c>
      <c r="E65" s="112">
        <f>'4637'!E24</f>
        <v>600</v>
      </c>
      <c r="F65" s="111" t="str">
        <f>'4637'!F24</f>
        <v>HUMO 2108 MT</v>
      </c>
      <c r="G65" s="1"/>
    </row>
    <row r="66" spans="1:7" s="15" customFormat="1" ht="15" customHeight="1" x14ac:dyDescent="0.35">
      <c r="A66" s="90"/>
      <c r="B66" s="111">
        <f>'4637'!B25</f>
        <v>1</v>
      </c>
      <c r="C66" s="111" t="str">
        <f>'4637'!C25</f>
        <v>E/R 1 CARA 18MM</v>
      </c>
      <c r="D66" s="112">
        <f>'4637'!D25</f>
        <v>1700</v>
      </c>
      <c r="E66" s="112">
        <f>'4637'!E25</f>
        <v>300</v>
      </c>
      <c r="F66" s="111" t="str">
        <f>'4637'!F25</f>
        <v>HUMO 2108 MT</v>
      </c>
      <c r="G66" s="1"/>
    </row>
    <row r="67" spans="1:7" s="15" customFormat="1" ht="15" customHeight="1" x14ac:dyDescent="0.35">
      <c r="A67" s="90"/>
      <c r="B67" s="111">
        <f>'4637'!B26</f>
        <v>1</v>
      </c>
      <c r="C67" s="111" t="str">
        <f>'4637'!C26</f>
        <v>SERVICIO DE ENCHAPE</v>
      </c>
      <c r="D67" s="112">
        <f>'4637'!D26</f>
        <v>0</v>
      </c>
      <c r="E67" s="112">
        <f>'4637'!E26</f>
        <v>0</v>
      </c>
      <c r="F67" s="111">
        <f>'4637'!F26</f>
        <v>0</v>
      </c>
      <c r="G67" s="1"/>
    </row>
    <row r="68" spans="1:7" s="15" customFormat="1" ht="15" customHeight="1" x14ac:dyDescent="0.3">
      <c r="A68" s="90"/>
      <c r="B68" s="47"/>
      <c r="C68" s="110"/>
      <c r="D68" s="47"/>
      <c r="E68" s="47"/>
      <c r="F68" s="47"/>
      <c r="G68" s="1"/>
    </row>
    <row r="69" spans="1:7" s="15" customFormat="1" ht="15" customHeight="1" x14ac:dyDescent="0.3">
      <c r="A69" s="45"/>
      <c r="B69" s="47"/>
      <c r="C69" s="47"/>
      <c r="D69" s="47"/>
      <c r="E69" s="47"/>
      <c r="F69" s="47"/>
      <c r="G69" s="1"/>
    </row>
    <row r="70" spans="1:7" ht="15.6" x14ac:dyDescent="0.3">
      <c r="A70" s="6"/>
      <c r="B70" s="6"/>
      <c r="C70" s="1"/>
      <c r="D70" s="6"/>
      <c r="E70" s="6"/>
      <c r="F70" s="39"/>
      <c r="G70" s="1"/>
    </row>
    <row r="71" spans="1:7" ht="15.6" x14ac:dyDescent="0.3">
      <c r="A71" s="6"/>
      <c r="B71" s="6"/>
      <c r="C71" s="1"/>
      <c r="D71" s="6"/>
      <c r="E71" s="6"/>
      <c r="F71" s="6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" customHeight="1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6"/>
      <c r="B77" s="46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x14ac:dyDescent="0.3">
      <c r="B79" s="19"/>
      <c r="C79" s="19"/>
      <c r="D79" s="19"/>
      <c r="E79" s="19"/>
      <c r="F79" s="19"/>
    </row>
    <row r="80" spans="1:7" x14ac:dyDescent="0.3">
      <c r="B80" s="19"/>
      <c r="C80" s="19"/>
      <c r="E80" s="19"/>
      <c r="F80" s="19"/>
    </row>
  </sheetData>
  <mergeCells count="6">
    <mergeCell ref="M3:N3"/>
    <mergeCell ref="A22:F22"/>
    <mergeCell ref="A10:F10"/>
    <mergeCell ref="A58:F58"/>
    <mergeCell ref="B60:F60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2024-04-18T21:26:55Z</cp:lastPrinted>
  <dcterms:created xsi:type="dcterms:W3CDTF">2013-03-19T12:54:14Z</dcterms:created>
  <dcterms:modified xsi:type="dcterms:W3CDTF">2024-04-18T21:29:41Z</dcterms:modified>
</cp:coreProperties>
</file>