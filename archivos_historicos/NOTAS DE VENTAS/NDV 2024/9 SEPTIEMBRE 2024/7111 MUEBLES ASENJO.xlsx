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082BA4C5-F017-43D7-A355-53A98C311D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E16" i="3" s="1"/>
  <c r="J17" i="3"/>
  <c r="D17" i="3" s="1"/>
  <c r="K17" i="3"/>
  <c r="E17" i="3" s="1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4" i="4"/>
  <c r="H23" i="4"/>
  <c r="H22" i="4"/>
  <c r="H21" i="4"/>
  <c r="K15" i="3" l="1"/>
  <c r="E15" i="3" s="1"/>
  <c r="J15" i="3"/>
  <c r="D15" i="3" s="1"/>
  <c r="I17" i="3"/>
  <c r="B17" i="3" s="1"/>
  <c r="I16" i="3"/>
  <c r="B16" i="3" s="1"/>
  <c r="I15" i="3"/>
  <c r="B15" i="3" s="1"/>
  <c r="J16" i="3"/>
  <c r="D16" i="3" s="1"/>
  <c r="F17" i="3"/>
  <c r="F16" i="3"/>
  <c r="F15" i="3"/>
  <c r="H28" i="4"/>
  <c r="B58" i="3"/>
  <c r="C58" i="3"/>
  <c r="D58" i="3"/>
  <c r="E58" i="3"/>
  <c r="F58" i="3"/>
  <c r="B34" i="3"/>
  <c r="C34" i="3"/>
  <c r="F25" i="3" s="1"/>
  <c r="D34" i="3"/>
  <c r="J14" i="3" s="1"/>
  <c r="D14" i="3" s="1"/>
  <c r="E34" i="3"/>
  <c r="K14" i="3" s="1"/>
  <c r="E14" i="3" s="1"/>
  <c r="F34" i="3"/>
  <c r="H29" i="4" l="1"/>
  <c r="I25" i="3"/>
  <c r="F14" i="3"/>
  <c r="K25" i="3"/>
  <c r="E25" i="3" s="1"/>
  <c r="J25" i="3"/>
  <c r="D25" i="3" s="1"/>
  <c r="B25" i="3" l="1"/>
  <c r="I14" i="3"/>
  <c r="B14" i="3" s="1"/>
  <c r="H30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<sst xmlns="http://schemas.openxmlformats.org/spreadsheetml/2006/main" count="262" uniqueCount="151">
  <si>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</si>
  <si>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</si>
  <si>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</si>
  <si>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</si>
  <si>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</si>
  <si>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</si>
  <si>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</si>
  <si>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</si>
  <si>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</si>
  <si>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</si>
  <si>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</si>
  <si>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</si>
  <si>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</si>
  <si>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</si>
  <si>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</si>
  <si>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</si>
  <si>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</si>
  <si>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</si>
  <si>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</si>
  <si>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</si>
  <si>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</si>
  <si>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</si>
  <si>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</si>
  <si>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</si>
  <si>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</si>
  <si>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</si>
  <si>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</si>
  <si>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</si>
  <si>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</si>
  <si>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</si>
  <si>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</si>
  <si>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</si>
  <si>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</si>
  <si>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</si>
  <si>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</si>
  <si>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</si>
  <si>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</si>
  <si>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</si>
  <si>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</si>
  <si>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</si>
  <si>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</si>
  <si>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</si>
  <si>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</si>
  <si>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</si>
  <si>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</si>
  <si>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</si>
  <si>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</si>
  <si>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</si>
  <si>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</si>
  <si>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</si>
  <si>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</si>
  <si>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</si>
  <si>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</si>
  <si>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</si>
  <si>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</si>
  <si>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</si>
  <si>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</si>
  <si>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</si>
  <si>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</si>
  <si>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</si>
  <si>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</si>
  <si>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</si>
  <si>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</si>
  <si>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</si>
  <si>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</si>
  <si>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</si>
  <si>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</si>
  <si>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</si>
  <si>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</si>
  <si>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</si>
  <si>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</si>
  <si>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</si>
  <si>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</si>
  <si>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</si>
  <si>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</si>
  <si>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</si>
  <si>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</si>
  <si>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</si>
  <si>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</si>
  <si>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</si>
  <si>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</si>
  <si>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</si>
  <si>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</si>
  <si>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</si>
  <si>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</si>
  <si>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</si>
  <si>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</si>
  <si>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</si>
  <si>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</si>
  <si>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</si>
  <si>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</si>
  <si>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</si>
  <si>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</si>
  <si>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</si>
  <si>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</si>
  <si>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</si>
  <si>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</si>
  <si>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</si>
  <si>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</si>
  <si>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</si>
  <si>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</si>
  <si>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</si>
  <si>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</si>
  <si>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</si>
  <si>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</si>
  <si>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</si>
  <si>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</si>
  <si>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</si>
  <si>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</si>
  <si>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</si>
  <si>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</si>
  <si>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</si>
  <si>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</si>
  <si>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</si>
  <si>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</si>
  <si>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</si>
  <si>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</si>
  <si>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</si>
  <si>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</si>
  <si>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</si>
  <si>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</si>
  <si>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</si>
  <si>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</si>
  <si>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</si>
  <si>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</si>
  <si>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</si>
  <si>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</si>
  <si>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</si>
  <si>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</si>
  <si>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</si>
  <si>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</si>
  <si>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</si>
  <si>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</si>
  <si>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</si>
  <si>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</si>
  <si>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</si>
  <si>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</si>
  <si>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</si>
  <si>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</si>
  <si>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</si>
  <si>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SI</t>
  </si>
  <si>
    <t>N° 11103</t>
  </si>
  <si>
    <t>CUB PT 2 LADOS</t>
  </si>
  <si>
    <t>HAYA 1750 MT</t>
  </si>
  <si>
    <t>CUB PT 1 LADO</t>
  </si>
  <si>
    <t>CUB PT 1 LADO MDF 25MM</t>
  </si>
  <si>
    <t>descto.</t>
  </si>
  <si>
    <t>MDF30MM</t>
  </si>
  <si>
    <t>VER DESARROLLO DE LAMINA</t>
  </si>
  <si>
    <t>MDF25MM</t>
  </si>
  <si>
    <t>INVERTIDA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</si>
</sst>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 CUBIERTAS DE MDF 25MM SON INVERTIDAS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6</xdr:col>
      <xdr:colOff>19050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 CUBIERTAS DE MDF 25MM SON INVERTIDAS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194310</xdr:rowOff>
    </xdr:from>
    <xdr:to>
      <xdr:col>1</xdr:col>
      <xdr:colOff>748423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9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7111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45565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45476</v>
      </c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>
        <v>22381</v>
      </c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6">
        <v>9</v>
      </c>
      <c r="C21" s="107" t="s">
        <v>142</v>
      </c>
      <c r="D21" s="108">
        <v>1600</v>
      </c>
      <c r="E21" s="108">
        <v>700</v>
      </c>
      <c r="F21" s="124" t="s">
        <v>143</v>
      </c>
      <c r="G21" s="125">
        <v>57709</v>
      </c>
      <c r="H21" s="126">
        <f t="shared" ref="H21:H24" si="0">G21*B21</f>
        <v>519381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6">
        <v>4</v>
      </c>
      <c r="C22" s="107" t="s">
        <v>142</v>
      </c>
      <c r="D22" s="108">
        <v>1200</v>
      </c>
      <c r="E22" s="108">
        <v>700</v>
      </c>
      <c r="F22" s="124" t="s">
        <v>143</v>
      </c>
      <c r="G22" s="125">
        <v>44446</v>
      </c>
      <c r="H22" s="126">
        <f t="shared" si="0"/>
        <v>177784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6">
        <v>2</v>
      </c>
      <c r="C23" s="107" t="s">
        <v>144</v>
      </c>
      <c r="D23" s="108">
        <v>500</v>
      </c>
      <c r="E23" s="108">
        <v>500</v>
      </c>
      <c r="F23" s="124" t="s">
        <v>143</v>
      </c>
      <c r="G23" s="125">
        <v>16373</v>
      </c>
      <c r="H23" s="126">
        <f t="shared" si="0"/>
        <v>32746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4</v>
      </c>
      <c r="C24" s="107" t="s">
        <v>145</v>
      </c>
      <c r="D24" s="108">
        <v>600</v>
      </c>
      <c r="E24" s="108">
        <v>350</v>
      </c>
      <c r="F24" s="124" t="s">
        <v>143</v>
      </c>
      <c r="G24" s="125">
        <v>14494</v>
      </c>
      <c r="H24" s="126">
        <f t="shared" si="0"/>
        <v>57976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127"/>
      <c r="E25" s="127"/>
      <c r="F25" s="97"/>
      <c r="G25" s="128" t="s">
        <v>146</v>
      </c>
      <c r="H25" s="128">
        <v>-137887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650000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123500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773500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5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tabSelected="1" zoomScaleNormal="100" workbookViewId="0">
      <selection activeCell="J58" sqref="J58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7111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45476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147</v>
      </c>
      <c r="B14" s="25">
        <f t="shared" ref="B14" si="0">I14</f>
        <v>9</v>
      </c>
      <c r="C14" s="25"/>
      <c r="D14" s="25">
        <f>J14+D$13</f>
        <v>1650</v>
      </c>
      <c r="E14" s="35">
        <f>K14+E$13</f>
        <v>700</v>
      </c>
      <c r="F14" s="103" t="str">
        <f>C34</f>
        <v>CUB PT 2 LADOS</v>
      </c>
      <c r="G14" s="1"/>
      <c r="I14" s="3">
        <f>I25</f>
        <v>9</v>
      </c>
      <c r="J14" s="4">
        <f t="shared" ref="J14:K14" si="1">D34</f>
        <v>1600</v>
      </c>
      <c r="K14" s="4">
        <f t="shared" si="1"/>
        <v>700</v>
      </c>
    </row>
    <row r="15" spans="1:14" ht="15.6" x14ac:dyDescent="0.3">
      <c r="A15" s="96"/>
      <c r="B15" s="25">
        <f t="shared" ref="B15:B17" si="2">I15</f>
        <v>4</v>
      </c>
      <c r="C15" s="25"/>
      <c r="D15" s="25">
        <f t="shared" ref="D15:D17" si="3">J15+D$13</f>
        <v>1250</v>
      </c>
      <c r="E15" s="35">
        <f t="shared" ref="E15:E17" si="4">K15+E$13</f>
        <v>700</v>
      </c>
      <c r="F15" s="103" t="str">
        <f>C35</f>
        <v>CUB PT 2 LADOS</v>
      </c>
      <c r="G15" s="1"/>
      <c r="I15" s="3">
        <f>I26</f>
        <v>4</v>
      </c>
      <c r="J15" s="4">
        <f>D35</f>
        <v>1200</v>
      </c>
      <c r="K15" s="4">
        <f>E35</f>
        <v>700</v>
      </c>
    </row>
    <row r="16" spans="1:14" ht="15.6" x14ac:dyDescent="0.3">
      <c r="A16" s="96"/>
      <c r="B16" s="25">
        <f t="shared" si="2"/>
        <v>2</v>
      </c>
      <c r="C16" s="25"/>
      <c r="D16" s="25">
        <f t="shared" si="3"/>
        <v>550</v>
      </c>
      <c r="E16" s="35">
        <f t="shared" si="4"/>
        <v>500</v>
      </c>
      <c r="F16" s="103" t="str">
        <f>C36</f>
        <v>CUB PT 1 LADO</v>
      </c>
      <c r="G16" s="1"/>
      <c r="I16" s="3">
        <f>I27</f>
        <v>2</v>
      </c>
      <c r="J16" s="4">
        <f>D36</f>
        <v>500</v>
      </c>
      <c r="K16" s="4">
        <f>E36</f>
        <v>500</v>
      </c>
    </row>
    <row r="17" spans="1:11" ht="15.6" x14ac:dyDescent="0.3">
      <c r="A17" s="96" t="s">
        <v>149</v>
      </c>
      <c r="B17" s="25">
        <f t="shared" si="2"/>
        <v>4</v>
      </c>
      <c r="C17" s="25" t="s">
        <v>150</v>
      </c>
      <c r="D17" s="25">
        <f t="shared" si="3"/>
        <v>650</v>
      </c>
      <c r="E17" s="35">
        <f t="shared" si="4"/>
        <v>350</v>
      </c>
      <c r="F17" s="103" t="str">
        <f>C37</f>
        <v>CUB PT 1 LADO MDF 25MM</v>
      </c>
      <c r="G17" s="1"/>
      <c r="I17" s="3">
        <f>I28</f>
        <v>4</v>
      </c>
      <c r="J17" s="4">
        <f>D37</f>
        <v>600</v>
      </c>
      <c r="K17" s="4">
        <f>E37</f>
        <v>350</v>
      </c>
    </row>
    <row r="18" spans="1:11" ht="15.6" x14ac:dyDescent="0.3">
      <c r="A18" s="96"/>
      <c r="B18" s="6"/>
      <c r="C18" s="6"/>
      <c r="D18" s="6"/>
      <c r="E18" s="89"/>
      <c r="F18" s="110"/>
      <c r="G18" s="1"/>
      <c r="I18" s="90"/>
      <c r="J18" s="2"/>
      <c r="K18" s="2"/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9" t="s">
        <v>14</v>
      </c>
      <c r="B21" s="119"/>
      <c r="C21" s="119"/>
      <c r="D21" s="119"/>
      <c r="E21" s="119"/>
      <c r="F21" s="119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70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/>
      <c r="B25" s="16">
        <f t="shared" ref="B25" si="5">I25</f>
        <v>9</v>
      </c>
      <c r="C25" s="16" t="s">
        <v>148</v>
      </c>
      <c r="D25" s="16">
        <f>J25+D$24</f>
        <v>1640</v>
      </c>
      <c r="E25" s="16">
        <f>K25+E$24</f>
        <v>770</v>
      </c>
      <c r="F25" s="104" t="str">
        <f>C34</f>
        <v>CUB PT 2 LADOS</v>
      </c>
      <c r="G25" s="1"/>
      <c r="I25" s="3">
        <f>B34</f>
        <v>9</v>
      </c>
      <c r="J25" s="4">
        <f>D34</f>
        <v>1600</v>
      </c>
      <c r="K25" s="4">
        <f>E34</f>
        <v>700</v>
      </c>
    </row>
    <row r="26" spans="1:11" ht="15.6" x14ac:dyDescent="0.3">
      <c r="A26" s="96"/>
      <c r="B26" s="16">
        <f t="shared" ref="B26:B28" si="6">I26</f>
        <v>4</v>
      </c>
      <c r="C26" s="16" t="s">
        <v>148</v>
      </c>
      <c r="D26" s="16">
        <f>J26+D$24</f>
        <v>1240</v>
      </c>
      <c r="E26" s="16">
        <f>K26+E$24</f>
        <v>770</v>
      </c>
      <c r="F26" s="104" t="str">
        <f>C35</f>
        <v>CUB PT 2 LADOS</v>
      </c>
      <c r="G26" s="1"/>
      <c r="I26" s="3">
        <f>B35</f>
        <v>4</v>
      </c>
      <c r="J26" s="4">
        <f t="shared" ref="J26:K26" si="7">D35</f>
        <v>1200</v>
      </c>
      <c r="K26" s="4">
        <f t="shared" si="7"/>
        <v>700</v>
      </c>
    </row>
    <row r="27" spans="1:11" ht="15.6" x14ac:dyDescent="0.3">
      <c r="A27" s="96"/>
      <c r="B27" s="16">
        <f t="shared" si="6"/>
        <v>2</v>
      </c>
      <c r="C27" s="16" t="s">
        <v>148</v>
      </c>
      <c r="D27" s="16">
        <f>J27+D$24</f>
        <v>540</v>
      </c>
      <c r="E27" s="16">
        <v>540</v>
      </c>
      <c r="F27" s="104" t="str">
        <f>C36</f>
        <v>CUB PT 1 LADO</v>
      </c>
      <c r="G27" s="1"/>
      <c r="I27" s="3">
        <f>B36</f>
        <v>2</v>
      </c>
      <c r="J27" s="4">
        <f t="shared" ref="J27:K27" si="8">D36</f>
        <v>500</v>
      </c>
      <c r="K27" s="4">
        <f t="shared" si="8"/>
        <v>500</v>
      </c>
    </row>
    <row r="28" spans="1:11" ht="15.6" x14ac:dyDescent="0.3">
      <c r="A28" s="96"/>
      <c r="B28" s="16">
        <f t="shared" si="6"/>
        <v>4</v>
      </c>
      <c r="C28" s="16" t="s">
        <v>148</v>
      </c>
      <c r="D28" s="16">
        <f>J28+D$24</f>
        <v>640</v>
      </c>
      <c r="E28" s="16">
        <v>770</v>
      </c>
      <c r="F28" s="104" t="str">
        <f>C37</f>
        <v>CUB PT 1 LADO MDF 25MM</v>
      </c>
      <c r="G28" s="1"/>
      <c r="I28" s="3">
        <f>B37</f>
        <v>4</v>
      </c>
      <c r="J28" s="4">
        <f t="shared" ref="J28:K28" si="9">D37</f>
        <v>600</v>
      </c>
      <c r="K28" s="4">
        <f t="shared" si="9"/>
        <v>350</v>
      </c>
    </row>
    <row r="29" spans="1:11" ht="15.6" x14ac:dyDescent="0.3">
      <c r="A29" s="96"/>
      <c r="B29" s="6"/>
      <c r="C29" s="6"/>
      <c r="D29" s="6"/>
      <c r="E29" s="6"/>
      <c r="F29" s="6"/>
      <c r="G29" s="1"/>
      <c r="I29" s="90"/>
      <c r="J29" s="2"/>
      <c r="K29" s="2"/>
    </row>
    <row r="30" spans="1:11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</row>
    <row r="34" spans="1:7" ht="15.6" x14ac:dyDescent="0.3">
      <c r="A34" s="96" t="s">
        <v>147</v>
      </c>
      <c r="B34" s="25">
        <f>'4637'!B21</f>
        <v>9</v>
      </c>
      <c r="C34" s="103" t="str">
        <f>'4637'!C21</f>
        <v>CUB PT 2 LADOS</v>
      </c>
      <c r="D34" s="25">
        <f>'4637'!D21</f>
        <v>1600</v>
      </c>
      <c r="E34" s="25">
        <f>'4637'!E21</f>
        <v>700</v>
      </c>
      <c r="F34" s="25" t="str">
        <f>'4637'!F21</f>
        <v>HAYA 1750 MT</v>
      </c>
      <c r="G34" s="1"/>
    </row>
    <row r="35" spans="1:7" ht="15.6" x14ac:dyDescent="0.3">
      <c r="A35" s="96"/>
      <c r="B35" s="25">
        <f>'4637'!B22</f>
        <v>4</v>
      </c>
      <c r="C35" s="103" t="str">
        <f>'4637'!C22</f>
        <v>CUB PT 2 LADOS</v>
      </c>
      <c r="D35" s="25">
        <f>'4637'!D22</f>
        <v>1200</v>
      </c>
      <c r="E35" s="25">
        <f>'4637'!E22</f>
        <v>700</v>
      </c>
      <c r="F35" s="25" t="str">
        <f>'4637'!F22</f>
        <v>HAYA 1750 MT</v>
      </c>
      <c r="G35" s="1"/>
    </row>
    <row r="36" spans="1:7" ht="15.6" x14ac:dyDescent="0.3">
      <c r="A36" s="96"/>
      <c r="B36" s="25">
        <f>'4637'!B23</f>
        <v>2</v>
      </c>
      <c r="C36" s="103" t="str">
        <f>'4637'!C23</f>
        <v>CUB PT 1 LADO</v>
      </c>
      <c r="D36" s="25">
        <f>'4637'!D23</f>
        <v>500</v>
      </c>
      <c r="E36" s="25">
        <f>'4637'!E23</f>
        <v>500</v>
      </c>
      <c r="F36" s="25" t="str">
        <f>'4637'!F23</f>
        <v>HAYA 1750 MT</v>
      </c>
      <c r="G36" s="1"/>
    </row>
    <row r="37" spans="1:7" ht="15.6" x14ac:dyDescent="0.3">
      <c r="A37" s="96"/>
      <c r="B37" s="25">
        <f>'4637'!B24</f>
        <v>4</v>
      </c>
      <c r="C37" s="103" t="str">
        <f>'4637'!C24</f>
        <v>CUB PT 1 LADO MDF 25MM</v>
      </c>
      <c r="D37" s="25">
        <f>'4637'!D24</f>
        <v>600</v>
      </c>
      <c r="E37" s="25">
        <f>'4637'!E24</f>
        <v>350</v>
      </c>
      <c r="F37" s="25" t="str">
        <f>'4637'!F24</f>
        <v>HAYA 1750 MT</v>
      </c>
      <c r="G37" s="1"/>
    </row>
    <row r="38" spans="1:7" ht="15.6" x14ac:dyDescent="0.3">
      <c r="A38" s="52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40" t="s">
        <v>27</v>
      </c>
      <c r="D48" s="14">
        <f>'4637'!G8</f>
        <v>7111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MUEBLES ASENJO LTDA.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45476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19" t="s">
        <v>68</v>
      </c>
      <c r="B54" s="119"/>
      <c r="C54" s="119"/>
      <c r="D54" s="119"/>
      <c r="E54" s="119"/>
      <c r="F54" s="119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0" t="s">
        <v>69</v>
      </c>
      <c r="C56" s="121"/>
      <c r="D56" s="122"/>
      <c r="E56" s="122"/>
      <c r="F56" s="123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6" t="s">
        <v>147</v>
      </c>
      <c r="B58" s="38">
        <f>'4637'!B21</f>
        <v>9</v>
      </c>
      <c r="C58" s="102" t="str">
        <f>'4637'!C21</f>
        <v>CUB PT 2 LADOS</v>
      </c>
      <c r="D58" s="39">
        <f>'4637'!D21</f>
        <v>1600</v>
      </c>
      <c r="E58" s="39">
        <f>'4637'!E21</f>
        <v>700</v>
      </c>
      <c r="F58" s="38" t="str">
        <f>'4637'!F21</f>
        <v>HAYA 1750 MT</v>
      </c>
      <c r="G58" s="1"/>
    </row>
    <row r="59" spans="1:7" s="15" customFormat="1" ht="15" customHeight="1" x14ac:dyDescent="0.3">
      <c r="A59" s="96"/>
      <c r="B59" s="38">
        <f>'4637'!B22</f>
        <v>4</v>
      </c>
      <c r="C59" s="102" t="str">
        <f>'4637'!C22</f>
        <v>CUB PT 2 LADOS</v>
      </c>
      <c r="D59" s="39">
        <f>'4637'!D22</f>
        <v>1200</v>
      </c>
      <c r="E59" s="39">
        <f>'4637'!E22</f>
        <v>700</v>
      </c>
      <c r="F59" s="38" t="str">
        <f>'4637'!F22</f>
        <v>HAYA 1750 MT</v>
      </c>
      <c r="G59" s="1"/>
    </row>
    <row r="60" spans="1:7" s="15" customFormat="1" ht="15" customHeight="1" x14ac:dyDescent="0.3">
      <c r="A60" s="96"/>
      <c r="B60" s="38">
        <f>'4637'!B23</f>
        <v>2</v>
      </c>
      <c r="C60" s="102" t="str">
        <f>'4637'!C23</f>
        <v>CUB PT 1 LADO</v>
      </c>
      <c r="D60" s="39">
        <f>'4637'!D23</f>
        <v>500</v>
      </c>
      <c r="E60" s="39">
        <f>'4637'!E23</f>
        <v>500</v>
      </c>
      <c r="F60" s="38" t="str">
        <f>'4637'!F23</f>
        <v>HAYA 1750 MT</v>
      </c>
      <c r="G60" s="1"/>
    </row>
    <row r="61" spans="1:7" s="15" customFormat="1" ht="15" customHeight="1" x14ac:dyDescent="0.3">
      <c r="A61" s="96" t="s">
        <v>149</v>
      </c>
      <c r="B61" s="38">
        <f>'4637'!B24</f>
        <v>4</v>
      </c>
      <c r="C61" s="102" t="str">
        <f>'4637'!C24</f>
        <v>CUB PT 1 LADO MDF 25MM</v>
      </c>
      <c r="D61" s="39">
        <f>'4637'!D24</f>
        <v>600</v>
      </c>
      <c r="E61" s="39">
        <f>'4637'!E24</f>
        <v>350</v>
      </c>
      <c r="F61" s="38" t="str">
        <f>'4637'!F24</f>
        <v>HAYA 1750 MT</v>
      </c>
      <c r="G61" s="1"/>
    </row>
    <row r="62" spans="1:7" s="15" customFormat="1" ht="15" customHeight="1" x14ac:dyDescent="0.3">
      <c r="A62" s="96"/>
      <c r="B62" s="129"/>
      <c r="C62" s="130"/>
      <c r="D62" s="129"/>
      <c r="E62" s="129"/>
      <c r="F62" s="129"/>
      <c r="G62" s="1"/>
    </row>
    <row r="63" spans="1:7" s="15" customFormat="1" ht="15" customHeight="1" x14ac:dyDescent="0.3">
      <c r="A63" s="96"/>
      <c r="B63" s="52"/>
      <c r="C63" s="109"/>
      <c r="D63" s="52"/>
      <c r="E63" s="52"/>
      <c r="F63" s="52"/>
      <c r="G63" s="1"/>
    </row>
    <row r="64" spans="1:7" s="15" customFormat="1" ht="15" customHeight="1" x14ac:dyDescent="0.3">
      <c r="A64" s="50"/>
      <c r="B64" s="52"/>
      <c r="C64" s="52"/>
      <c r="D64" s="52"/>
      <c r="E64" s="52"/>
      <c r="F64" s="52"/>
      <c r="G64" s="1"/>
    </row>
    <row r="65" spans="1:7" ht="15.6" x14ac:dyDescent="0.3">
      <c r="A65" s="6"/>
      <c r="B65" s="6"/>
      <c r="C65" s="1"/>
      <c r="D65" s="6"/>
      <c r="E65" s="6"/>
      <c r="F65" s="44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1:F21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2024-06-18T13:15:10Z</cp:lastPrinted>
  <dcterms:created xsi:type="dcterms:W3CDTF">2013-03-19T12:54:14Z</dcterms:created>
  <dcterms:modified xsi:type="dcterms:W3CDTF">2024-09-30T13:08:27Z</dcterms:modified>
</cp:coreProperties>
</file>