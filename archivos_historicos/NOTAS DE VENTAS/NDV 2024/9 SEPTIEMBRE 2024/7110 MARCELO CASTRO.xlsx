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C879C3CC-A3B7-4107-9527-DDD9B1A542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3" l="1"/>
  <c r="F28" i="3" s="1"/>
  <c r="H22" i="4"/>
  <c r="L22" i="4" l="1"/>
  <c r="H24" i="4" l="1"/>
  <c r="H25" i="4" s="1"/>
  <c r="H26" i="4" l="1"/>
  <c r="E28" i="3"/>
  <c r="K22" i="3" s="1"/>
  <c r="D28" i="3"/>
  <c r="J22" i="3" s="1"/>
  <c r="C28" i="3"/>
  <c r="F22" i="3" s="1"/>
  <c r="F14" i="3" s="1"/>
  <c r="B28" i="3"/>
  <c r="I22" i="3" s="1"/>
  <c r="I14" i="3" s="1"/>
  <c r="E49" i="3"/>
  <c r="D49" i="3"/>
  <c r="C49" i="3"/>
  <c r="B49" i="3"/>
  <c r="J14" i="3" l="1"/>
  <c r="D22" i="3"/>
  <c r="K14" i="3"/>
  <c r="E14" i="3" s="1"/>
  <c r="E22" i="3"/>
  <c r="D14" i="3"/>
  <c r="N5" i="3"/>
  <c r="B22" i="3"/>
  <c r="B14" i="3"/>
  <c r="M5" i="3" l="1"/>
  <c r="L5" i="3"/>
  <c r="K5" i="3"/>
  <c r="C42" i="3" l="1"/>
  <c r="C7" i="3"/>
  <c r="D40" i="3"/>
  <c r="D5" i="3"/>
  <c r="D42" i="3"/>
  <c r="D7" i="3"/>
  <c r="D39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<sst xmlns="http://schemas.openxmlformats.org/spreadsheetml/2006/main" count="251" uniqueCount="147">
  <si>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</si>
  <si>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</si>
  <si>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</si>
  <si>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</si>
  <si>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</si>
  <si>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</si>
  <si>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</si>
  <si>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</si>
  <si>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</si>
  <si>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</si>
  <si>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</si>
  <si>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</si>
  <si>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</si>
  <si>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</si>
  <si>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</si>
  <si>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</si>
  <si>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</si>
  <si>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</si>
  <si>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</si>
  <si>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</si>
  <si>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</si>
  <si>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</si>
  <si>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</si>
  <si>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</si>
  <si>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</si>
  <si>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</si>
  <si>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</si>
  <si>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</si>
  <si>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</si>
  <si>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</si>
  <si>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</si>
  <si>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</si>
  <si>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</si>
  <si>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</si>
  <si>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</si>
  <si>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</si>
  <si>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</si>
  <si>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</si>
  <si>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</si>
  <si>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</si>
  <si>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</si>
  <si>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</si>
  <si>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</si>
  <si>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</si>
  <si>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</si>
  <si>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</si>
  <si>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</si>
  <si>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</si>
  <si>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</si>
  <si>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</si>
  <si>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</si>
  <si>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</si>
  <si>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</si>
  <si>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</si>
  <si>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</si>
  <si>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</si>
  <si>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</si>
  <si>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</si>
  <si>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</si>
  <si>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</si>
  <si>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</si>
  <si>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</si>
  <si>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</si>
  <si>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</si>
  <si>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</si>
  <si>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</si>
  <si>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</si>
  <si>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</si>
  <si>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</si>
  <si>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</si>
  <si>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</si>
  <si>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</si>
  <si>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</si>
  <si>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</si>
  <si>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</si>
  <si>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</si>
  <si>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</si>
  <si>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</si>
  <si>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</si>
  <si>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</si>
  <si>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</si>
  <si>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</si>
  <si>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</si>
  <si>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</si>
  <si>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</si>
  <si>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</si>
  <si>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</si>
  <si>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</si>
  <si>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</si>
  <si>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</si>
  <si>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</si>
  <si>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</si>
  <si>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</si>
  <si>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</si>
  <si>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</si>
  <si>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</si>
  <si>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</si>
  <si>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</si>
  <si>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</si>
  <si>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</si>
  <si>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</si>
  <si>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</si>
  <si>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</si>
  <si>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</si>
  <si>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</si>
  <si>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</si>
  <si>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</si>
  <si>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</si>
  <si>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</si>
  <si>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</si>
  <si>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</si>
  <si>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</si>
  <si>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</si>
  <si>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</si>
  <si>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</si>
  <si>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</si>
  <si>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</si>
  <si>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</si>
  <si>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</si>
  <si>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</si>
  <si>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</si>
  <si>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</si>
  <si>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</si>
  <si>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</si>
  <si>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</si>
  <si>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</si>
  <si>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</si>
  <si>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</si>
  <si>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</si>
  <si>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</si>
  <si>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</si>
  <si>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</si>
  <si>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</si>
  <si>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</si>
  <si>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</si>
  <si>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</si>
  <si>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</si>
  <si>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</si>
  <si>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ABONO 50% SALDO C/ENTREGA</t>
  </si>
  <si>
    <t>162x132</t>
  </si>
  <si>
    <t>SANTIAGO</t>
  </si>
  <si>
    <t>FABRICACION DE MUEBLES</t>
  </si>
  <si>
    <t>N°  11104</t>
  </si>
  <si>
    <t>CUB S/R F/E 180°</t>
  </si>
  <si>
    <t>NEGRO MERINO OPACO</t>
  </si>
  <si>
    <t>MARCELO CASTRO DISEÑO Y PRODUCCION E.I.R.L.</t>
  </si>
  <si>
    <t>+569 71379100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</si>
</sst>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6" fillId="3" borderId="0" xfId="2" applyFill="1"/>
    <xf numFmtId="0" fontId="22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23</xdr:row>
      <xdr:rowOff>0</xdr:rowOff>
    </xdr:from>
    <xdr:to>
      <xdr:col>5</xdr:col>
      <xdr:colOff>1522096</xdr:colOff>
      <xdr:row>26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$ 54.766.-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16</xdr:row>
      <xdr:rowOff>60960</xdr:rowOff>
    </xdr:from>
    <xdr:to>
      <xdr:col>5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15238</xdr:rowOff>
    </xdr:from>
    <xdr:to>
      <xdr:col>6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 DE 4 CMS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1905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 DE 4 CMS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37</xdr:row>
      <xdr:rowOff>175260</xdr:rowOff>
    </xdr:from>
    <xdr:to>
      <xdr:col>1</xdr:col>
      <xdr:colOff>654164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2"/>
  <sheetViews>
    <sheetView topLeftCell="A7" workbookViewId="0">
      <selection activeCell="C16" sqref="C16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142</v>
      </c>
      <c r="E8" s="1"/>
      <c r="F8" s="87" t="s">
        <v>27</v>
      </c>
      <c r="G8" s="88">
        <v>7110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9" t="s">
        <v>145</v>
      </c>
      <c r="D10" s="49"/>
      <c r="E10" s="49"/>
      <c r="F10" s="50" t="s">
        <v>28</v>
      </c>
      <c r="G10" s="51">
        <v>45560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9"/>
      <c r="D11" s="54"/>
      <c r="E11" s="54"/>
      <c r="F11" s="54" t="s">
        <v>125</v>
      </c>
      <c r="G11" s="55">
        <v>45562</v>
      </c>
      <c r="H11" s="56"/>
      <c r="I11" s="1"/>
    </row>
    <row r="12" spans="1:17" ht="15.6" x14ac:dyDescent="0.3">
      <c r="A12" s="1"/>
      <c r="B12" s="53" t="s">
        <v>132</v>
      </c>
      <c r="C12" t="s">
        <v>141</v>
      </c>
      <c r="D12" s="54"/>
      <c r="E12" s="54"/>
      <c r="F12" s="54"/>
      <c r="G12" s="91"/>
      <c r="H12" s="56"/>
      <c r="I12" s="1"/>
    </row>
    <row r="13" spans="1:17" ht="15.6" x14ac:dyDescent="0.3">
      <c r="A13" s="1"/>
      <c r="B13" s="57" t="s">
        <v>112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0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1" t="s">
        <v>146</v>
      </c>
      <c r="D15" s="60"/>
      <c r="E15" s="54"/>
      <c r="F15" s="54" t="s">
        <v>29</v>
      </c>
      <c r="G15" s="54" t="s">
        <v>137</v>
      </c>
      <c r="H15" s="56"/>
      <c r="I15" s="1"/>
    </row>
    <row r="16" spans="1:17" ht="15.6" x14ac:dyDescent="0.3">
      <c r="A16" s="1"/>
      <c r="B16" s="108" t="s">
        <v>1</v>
      </c>
      <c r="C16" s="38"/>
      <c r="D16" s="38"/>
      <c r="E16" s="38"/>
      <c r="F16" s="61" t="s">
        <v>75</v>
      </c>
      <c r="G16" s="92" t="s">
        <v>138</v>
      </c>
      <c r="H16" s="59"/>
      <c r="I16" s="1"/>
    </row>
    <row r="17" spans="1:19" ht="16.2" thickBot="1" x14ac:dyDescent="0.35">
      <c r="A17" s="1"/>
      <c r="B17" s="62" t="s">
        <v>3</v>
      </c>
      <c r="C17" s="63" t="s">
        <v>140</v>
      </c>
      <c r="D17" s="63"/>
      <c r="E17" s="64"/>
      <c r="F17" s="109" t="s">
        <v>18</v>
      </c>
      <c r="G17" s="109"/>
      <c r="H17" s="110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1" t="s">
        <v>19</v>
      </c>
      <c r="C20" s="112"/>
      <c r="D20" s="112"/>
      <c r="E20" s="112"/>
      <c r="F20" s="112"/>
      <c r="G20" s="112"/>
      <c r="H20" s="113"/>
      <c r="I20" s="1"/>
    </row>
    <row r="21" spans="1:19" ht="15.6" x14ac:dyDescent="0.3">
      <c r="A21" s="1"/>
      <c r="B21" s="65" t="s">
        <v>20</v>
      </c>
      <c r="C21" s="66" t="s">
        <v>21</v>
      </c>
      <c r="D21" s="66" t="s">
        <v>22</v>
      </c>
      <c r="E21" s="66" t="s">
        <v>8</v>
      </c>
      <c r="F21" s="67" t="s">
        <v>23</v>
      </c>
      <c r="G21" s="65" t="s">
        <v>24</v>
      </c>
      <c r="H21" s="67" t="s">
        <v>4</v>
      </c>
      <c r="I21" s="1"/>
      <c r="L21">
        <v>45000</v>
      </c>
    </row>
    <row r="22" spans="1:19" ht="18" customHeight="1" x14ac:dyDescent="0.3">
      <c r="A22" s="1"/>
      <c r="B22" s="94">
        <v>1</v>
      </c>
      <c r="C22" s="94" t="s">
        <v>143</v>
      </c>
      <c r="D22" s="93">
        <v>1400</v>
      </c>
      <c r="E22" s="93">
        <v>600</v>
      </c>
      <c r="F22" s="103" t="s">
        <v>144</v>
      </c>
      <c r="G22" s="102">
        <v>88039</v>
      </c>
      <c r="H22" s="102">
        <f>G22*B22</f>
        <v>88039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6.2" thickBot="1" x14ac:dyDescent="0.35">
      <c r="A23" s="1"/>
      <c r="B23" s="68"/>
      <c r="C23" s="68"/>
      <c r="D23" s="68"/>
      <c r="E23" s="68"/>
      <c r="F23" s="68"/>
      <c r="G23" s="90"/>
      <c r="H23" s="90"/>
      <c r="I23" s="1"/>
      <c r="L23" s="2"/>
      <c r="O23" s="2"/>
      <c r="P23">
        <v>2940</v>
      </c>
      <c r="Q23">
        <v>600</v>
      </c>
      <c r="S23" t="s">
        <v>139</v>
      </c>
    </row>
    <row r="24" spans="1:19" ht="15.6" x14ac:dyDescent="0.3">
      <c r="A24" s="1"/>
      <c r="B24" s="1"/>
      <c r="C24" s="1"/>
      <c r="D24" s="1"/>
      <c r="E24" s="1"/>
      <c r="F24" s="1"/>
      <c r="G24" s="69" t="s">
        <v>5</v>
      </c>
      <c r="H24" s="70">
        <f>SUM(H22:H23)</f>
        <v>88039</v>
      </c>
      <c r="I24" s="1"/>
      <c r="L24" s="2"/>
      <c r="O24" s="24"/>
      <c r="P24" s="31">
        <v>1890</v>
      </c>
      <c r="Q24">
        <v>600</v>
      </c>
    </row>
    <row r="25" spans="1:19" ht="15.6" x14ac:dyDescent="0.3">
      <c r="A25" s="1"/>
      <c r="B25" s="1"/>
      <c r="C25" s="1"/>
      <c r="D25" s="1"/>
      <c r="E25" s="1"/>
      <c r="F25" s="1"/>
      <c r="G25" s="71" t="s">
        <v>6</v>
      </c>
      <c r="H25" s="72">
        <f>H24*19%</f>
        <v>16727.41</v>
      </c>
      <c r="I25" s="1"/>
      <c r="L25" s="2"/>
    </row>
    <row r="26" spans="1:19" ht="16.2" thickBot="1" x14ac:dyDescent="0.35">
      <c r="A26" s="1"/>
      <c r="B26" s="1"/>
      <c r="C26" s="1"/>
      <c r="D26" s="1"/>
      <c r="E26" s="1"/>
      <c r="F26" s="1"/>
      <c r="G26" s="73" t="s">
        <v>4</v>
      </c>
      <c r="H26" s="74">
        <f>H24+H25</f>
        <v>104766.41</v>
      </c>
      <c r="I26" s="1"/>
      <c r="L26" s="2"/>
    </row>
    <row r="27" spans="1:19" ht="15.6" x14ac:dyDescent="0.3">
      <c r="A27" s="1"/>
      <c r="B27" s="1"/>
      <c r="C27" s="1"/>
      <c r="D27" s="1"/>
      <c r="E27" s="1"/>
      <c r="F27" s="1"/>
      <c r="H27" s="31"/>
      <c r="I27" s="1"/>
    </row>
    <row r="28" spans="1:19" ht="15.6" x14ac:dyDescent="0.3">
      <c r="A28" s="1"/>
      <c r="B28" s="75" t="s">
        <v>124</v>
      </c>
      <c r="C28" s="76"/>
      <c r="D28" s="77"/>
      <c r="E28" s="77"/>
      <c r="F28" s="68"/>
      <c r="I28" s="1"/>
    </row>
    <row r="29" spans="1:19" ht="15.6" x14ac:dyDescent="0.3">
      <c r="A29" s="1"/>
      <c r="B29" s="75" t="s">
        <v>123</v>
      </c>
      <c r="C29" s="76"/>
      <c r="D29" s="77"/>
      <c r="E29" s="77"/>
      <c r="F29" s="68"/>
      <c r="G29" s="1"/>
      <c r="H29" s="1"/>
      <c r="I29" s="1"/>
    </row>
    <row r="30" spans="1:19" ht="15.6" x14ac:dyDescent="0.3">
      <c r="A30" s="1"/>
      <c r="B30" s="1" t="s">
        <v>25</v>
      </c>
      <c r="C30" s="1"/>
      <c r="D30" s="1"/>
      <c r="E30" s="78" t="s">
        <v>26</v>
      </c>
      <c r="F30" s="1"/>
      <c r="G30" s="1"/>
      <c r="H30" s="1"/>
      <c r="I30" s="1"/>
    </row>
    <row r="31" spans="1:19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</sheetData>
  <sortState xmlns:xlrd2="http://schemas.microsoft.com/office/spreadsheetml/2017/richdata2" ref="B34">
    <sortCondition sortBy="fontColor" ref="B34" dxfId="0"/>
  </sortState>
  <mergeCells count="2">
    <mergeCell ref="F17:H17"/>
    <mergeCell ref="B20:H20"/>
  </mergeCells>
  <phoneticPr fontId="10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7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7" zoomScaleNormal="100" workbookViewId="0">
      <selection activeCell="A37" sqref="A37:F60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127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5" t="s">
        <v>27</v>
      </c>
      <c r="D4" s="14">
        <f>'4637'!G8</f>
        <v>7110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MARCELO CASTRO DISEÑO Y PRODUCCION E.I.R.L.</v>
      </c>
      <c r="E5" s="38"/>
      <c r="F5" s="38"/>
      <c r="G5" s="1"/>
      <c r="K5">
        <f>LOOKUP(F14,REGLAS!$I$4:$I$37,REGLAS!$G$4:$G$37)+J14</f>
        <v>1450</v>
      </c>
      <c r="L5">
        <f>LOOKUP(F14,REGLAS!$I$4:$I$37,REGLAS!$H$4:$H$37)+K14</f>
        <v>600</v>
      </c>
      <c r="M5" t="e">
        <f>LOOKUP(F22,REGLAS!$D$4:$D$37,REGLAS!$B$4:$B$37)+#REF!</f>
        <v>#REF!</v>
      </c>
      <c r="N5">
        <f>LOOKUP(F22,REGLAS!$D$4:$D$37,REGLAS!$C$4:$C$37)+J22</f>
        <v>1460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0" t="str">
        <f>'4637'!F11</f>
        <v>FECHA LIMITE :</v>
      </c>
      <c r="D7" s="13">
        <f>'4637'!G11</f>
        <v>45562</v>
      </c>
      <c r="E7" s="1"/>
      <c r="F7" s="1"/>
      <c r="G7" s="1"/>
    </row>
    <row r="8" spans="1:14" ht="15.6" x14ac:dyDescent="0.3">
      <c r="A8" s="1"/>
      <c r="B8" s="1"/>
      <c r="C8" s="47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46" t="s">
        <v>7</v>
      </c>
      <c r="E12" s="46" t="s">
        <v>8</v>
      </c>
      <c r="F12" s="1"/>
      <c r="G12" s="1"/>
    </row>
    <row r="13" spans="1:14" ht="15.6" x14ac:dyDescent="0.3">
      <c r="A13" s="46" t="s">
        <v>9</v>
      </c>
      <c r="B13" s="34" t="s">
        <v>10</v>
      </c>
      <c r="C13" s="34" t="s">
        <v>11</v>
      </c>
      <c r="D13" s="30">
        <v>50</v>
      </c>
      <c r="E13" s="30"/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89" t="s">
        <v>136</v>
      </c>
      <c r="B14" s="97">
        <f t="shared" ref="B14" si="0">I14</f>
        <v>1</v>
      </c>
      <c r="C14" s="98"/>
      <c r="D14" s="97">
        <f>J14+D$13</f>
        <v>1450</v>
      </c>
      <c r="E14" s="97">
        <f>K14+E$13</f>
        <v>600</v>
      </c>
      <c r="F14" s="97" t="str">
        <f>F22</f>
        <v>CUB S/R F/E 180°</v>
      </c>
      <c r="G14" s="1"/>
      <c r="I14" s="3">
        <f>I22</f>
        <v>1</v>
      </c>
      <c r="J14" s="4">
        <f>J22</f>
        <v>1400</v>
      </c>
      <c r="K14" s="4">
        <f>K22</f>
        <v>600</v>
      </c>
    </row>
    <row r="15" spans="1:14" ht="15.6" x14ac:dyDescent="0.3">
      <c r="A15" s="89"/>
      <c r="B15" s="6"/>
      <c r="C15" s="6"/>
      <c r="D15" s="6"/>
      <c r="E15" s="6"/>
      <c r="F15" s="6"/>
      <c r="G15" s="1"/>
      <c r="I15" s="83"/>
      <c r="J15" s="2"/>
      <c r="K15" s="2"/>
    </row>
    <row r="16" spans="1:14" ht="15.6" x14ac:dyDescent="0.3">
      <c r="A16" s="46"/>
      <c r="B16" s="6"/>
      <c r="C16" s="6"/>
      <c r="D16" s="6"/>
      <c r="E16" s="82"/>
      <c r="F16" s="6"/>
      <c r="G16" s="1"/>
      <c r="I16" s="2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7" t="s">
        <v>14</v>
      </c>
      <c r="B18" s="117"/>
      <c r="C18" s="117"/>
      <c r="D18" s="117"/>
      <c r="E18" s="117"/>
      <c r="F18" s="117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46" t="s">
        <v>7</v>
      </c>
      <c r="E20" s="46" t="s">
        <v>8</v>
      </c>
      <c r="F20" s="1"/>
      <c r="G20" s="1"/>
    </row>
    <row r="21" spans="1:11" ht="15.6" x14ac:dyDescent="0.3">
      <c r="A21" s="46" t="s">
        <v>9</v>
      </c>
      <c r="B21" s="33" t="s">
        <v>10</v>
      </c>
      <c r="C21" s="33" t="s">
        <v>11</v>
      </c>
      <c r="D21" s="20">
        <v>40</v>
      </c>
      <c r="E21" s="20">
        <v>80</v>
      </c>
      <c r="F21" s="33" t="s">
        <v>110</v>
      </c>
      <c r="G21" s="1"/>
      <c r="J21" s="5" t="s">
        <v>7</v>
      </c>
      <c r="K21" s="5" t="s">
        <v>8</v>
      </c>
    </row>
    <row r="22" spans="1:11" ht="18" x14ac:dyDescent="0.35">
      <c r="A22" s="89" t="s">
        <v>136</v>
      </c>
      <c r="B22" s="98">
        <f>I22</f>
        <v>1</v>
      </c>
      <c r="C22" s="98"/>
      <c r="D22" s="98">
        <f t="shared" ref="D22:E22" si="1">J22+D$21</f>
        <v>1440</v>
      </c>
      <c r="E22" s="98">
        <f t="shared" si="1"/>
        <v>680</v>
      </c>
      <c r="F22" s="98" t="str">
        <f>C28</f>
        <v>CUB S/R F/E 180°</v>
      </c>
      <c r="G22" s="1"/>
      <c r="I22" s="3">
        <f>B28</f>
        <v>1</v>
      </c>
      <c r="J22" s="4">
        <f>D28</f>
        <v>1400</v>
      </c>
      <c r="K22" s="4">
        <f>E28</f>
        <v>600</v>
      </c>
    </row>
    <row r="23" spans="1:11" ht="15.6" x14ac:dyDescent="0.3">
      <c r="A23" s="89"/>
      <c r="B23" s="6"/>
      <c r="C23" s="6"/>
      <c r="D23" s="6"/>
      <c r="E23" s="6"/>
      <c r="F23" s="6"/>
      <c r="G23" s="1"/>
      <c r="I23" s="83"/>
      <c r="J23" s="2"/>
      <c r="K23" s="2"/>
    </row>
    <row r="24" spans="1:11" ht="16.2" thickBot="1" x14ac:dyDescent="0.35">
      <c r="A24" s="46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46"/>
      <c r="B25" s="21" t="s">
        <v>107</v>
      </c>
      <c r="C25" s="22"/>
      <c r="D25" s="22"/>
      <c r="E25" s="22"/>
      <c r="F25" s="23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46" t="s">
        <v>9</v>
      </c>
      <c r="B27" s="81" t="s">
        <v>10</v>
      </c>
      <c r="C27" s="81" t="s">
        <v>110</v>
      </c>
      <c r="D27" s="81" t="s">
        <v>7</v>
      </c>
      <c r="E27" s="81" t="s">
        <v>8</v>
      </c>
      <c r="F27" s="81" t="s">
        <v>23</v>
      </c>
      <c r="G27" s="1"/>
    </row>
    <row r="28" spans="1:11" ht="18" x14ac:dyDescent="0.35">
      <c r="A28" s="89" t="s">
        <v>136</v>
      </c>
      <c r="B28" s="97">
        <f>'4637'!B22</f>
        <v>1</v>
      </c>
      <c r="C28" s="97" t="str">
        <f>'4637'!C22</f>
        <v>CUB S/R F/E 180°</v>
      </c>
      <c r="D28" s="97">
        <f>'4637'!D22</f>
        <v>1400</v>
      </c>
      <c r="E28" s="97">
        <f>'4637'!E22</f>
        <v>600</v>
      </c>
      <c r="F28" s="106" t="str">
        <f>F49</f>
        <v>NEGRO MERINO OPACO</v>
      </c>
      <c r="G28" s="1"/>
    </row>
    <row r="29" spans="1:11" ht="15.6" x14ac:dyDescent="0.3">
      <c r="A29" s="89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5" t="s">
        <v>27</v>
      </c>
      <c r="D39" s="14">
        <f>'4637'!G8</f>
        <v>7110</v>
      </c>
      <c r="E39" s="1"/>
      <c r="F39" s="1"/>
      <c r="G39" s="1"/>
    </row>
    <row r="40" spans="1:7" ht="17.25" customHeight="1" x14ac:dyDescent="0.3">
      <c r="A40" s="1"/>
      <c r="B40" s="1"/>
      <c r="C40" s="36" t="s">
        <v>67</v>
      </c>
      <c r="D40" s="37" t="str">
        <f>'4637'!C10</f>
        <v>MARCELO CASTRO DISEÑO Y PRODUCCION E.I.R.L.</v>
      </c>
      <c r="E40" s="38"/>
      <c r="F40" s="38"/>
      <c r="G40" s="1"/>
    </row>
    <row r="41" spans="1:7" ht="4.5" customHeight="1" x14ac:dyDescent="0.3">
      <c r="A41" s="1"/>
      <c r="B41" s="1"/>
      <c r="C41" s="39"/>
      <c r="D41" s="40"/>
      <c r="E41" s="1"/>
      <c r="F41" s="1"/>
      <c r="G41" s="1"/>
    </row>
    <row r="42" spans="1:7" ht="15.6" x14ac:dyDescent="0.3">
      <c r="A42" s="1"/>
      <c r="B42" s="1"/>
      <c r="C42" s="41" t="str">
        <f>'4637'!F11</f>
        <v>FECHA LIMITE :</v>
      </c>
      <c r="D42" s="13">
        <f>'4637'!G11</f>
        <v>45562</v>
      </c>
      <c r="E42" s="1"/>
      <c r="F42" s="1" t="s">
        <v>134</v>
      </c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7" t="s">
        <v>68</v>
      </c>
      <c r="B45" s="117"/>
      <c r="C45" s="117"/>
      <c r="D45" s="117"/>
      <c r="E45" s="117"/>
      <c r="F45" s="117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8" t="s">
        <v>69</v>
      </c>
      <c r="C47" s="119"/>
      <c r="D47" s="120"/>
      <c r="E47" s="120"/>
      <c r="F47" s="121"/>
      <c r="G47" s="1"/>
    </row>
    <row r="48" spans="1:7" s="15" customFormat="1" ht="12.75" customHeight="1" x14ac:dyDescent="0.3">
      <c r="A48" s="1"/>
      <c r="B48" s="33" t="s">
        <v>10</v>
      </c>
      <c r="C48" s="42" t="s">
        <v>11</v>
      </c>
      <c r="D48" s="43" t="s">
        <v>7</v>
      </c>
      <c r="E48" s="43" t="s">
        <v>8</v>
      </c>
      <c r="F48" s="105" t="s">
        <v>12</v>
      </c>
      <c r="G48" s="1"/>
    </row>
    <row r="49" spans="1:7" s="15" customFormat="1" ht="15" customHeight="1" x14ac:dyDescent="0.35">
      <c r="A49" s="89" t="s">
        <v>136</v>
      </c>
      <c r="B49" s="95">
        <f>'4637'!B22</f>
        <v>1</v>
      </c>
      <c r="C49" s="96" t="str">
        <f>'4637'!C22</f>
        <v>CUB S/R F/E 180°</v>
      </c>
      <c r="D49" s="96">
        <f>'4637'!D22</f>
        <v>1400</v>
      </c>
      <c r="E49" s="104">
        <f>'4637'!E22</f>
        <v>600</v>
      </c>
      <c r="F49" s="107" t="str">
        <f>'4637'!F22</f>
        <v>NEGRO MERINO OPACO</v>
      </c>
      <c r="G49" s="1"/>
    </row>
    <row r="50" spans="1:7" s="15" customFormat="1" ht="15" customHeight="1" x14ac:dyDescent="0.3">
      <c r="A50" s="44"/>
      <c r="B50" s="46"/>
      <c r="C50" s="46"/>
      <c r="D50" s="46"/>
      <c r="E50" s="46"/>
      <c r="F50" s="46"/>
      <c r="G50" s="1"/>
    </row>
    <row r="51" spans="1:7" ht="15.6" x14ac:dyDescent="0.3">
      <c r="A51" s="6"/>
      <c r="B51" s="6"/>
      <c r="C51" s="1"/>
      <c r="D51" s="6"/>
      <c r="E51" s="6"/>
      <c r="F51" s="39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5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19"/>
      <c r="C60" s="19"/>
      <c r="D60" s="19"/>
      <c r="E60" s="19"/>
      <c r="F60" s="19"/>
    </row>
    <row r="61" spans="1:7" x14ac:dyDescent="0.3">
      <c r="B61" s="19"/>
      <c r="C61" s="19"/>
      <c r="E61" s="19"/>
      <c r="F61" s="19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2024-09-25T13:02:11Z</cp:lastPrinted>
  <dcterms:created xsi:type="dcterms:W3CDTF">2013-03-19T12:54:14Z</dcterms:created>
  <dcterms:modified xsi:type="dcterms:W3CDTF">2024-09-25T13:02:24Z</dcterms:modified>
</cp:coreProperties>
</file>