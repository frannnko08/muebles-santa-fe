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9 SEPTIEMBRE 2024\"/>
    </mc:Choice>
  </mc:AlternateContent>
  <xr:revisionPtr revIDLastSave="0" documentId="13_ncr:1_{9CD0DE01-EA85-4159-81F3-776874CE94E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CUBIERTA!$A$37:$H$61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G49" i="3" l="1"/>
  <c r="G28" i="3" s="1"/>
  <c r="L22" i="4" l="1"/>
  <c r="H26" i="4" l="1"/>
  <c r="H27" i="4" s="1"/>
  <c r="H28" i="4" l="1"/>
  <c r="F28" i="3"/>
  <c r="L22" i="3" s="1"/>
  <c r="E28" i="3"/>
  <c r="K22" i="3" s="1"/>
  <c r="D28" i="3"/>
  <c r="G22" i="3" s="1"/>
  <c r="G14" i="3" s="1"/>
  <c r="C28" i="3"/>
  <c r="F49" i="3"/>
  <c r="E49" i="3"/>
  <c r="D49" i="3"/>
  <c r="C49" i="3"/>
  <c r="J22" i="3" l="1"/>
  <c r="J14" i="3" s="1"/>
  <c r="C14" i="3" s="1"/>
  <c r="K14" i="3"/>
  <c r="E14" i="3" s="1"/>
  <c r="E22" i="3"/>
  <c r="L14" i="3"/>
  <c r="F14" i="3" s="1"/>
  <c r="F22" i="3"/>
  <c r="O5" i="3"/>
  <c r="C2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<sst xmlns="http://schemas.openxmlformats.org/spreadsheetml/2006/main" count="255" uniqueCount="151">
  <si>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</si>
  <si>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</si>
  <si>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</si>
  <si>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</si>
  <si>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</si>
  <si>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</si>
  <si>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</si>
  <si>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</si>
  <si>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</si>
  <si>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</si>
  <si>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</si>
  <si>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</si>
  <si>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</si>
  <si>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</si>
  <si>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</si>
  <si>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</si>
  <si>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</si>
  <si>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</si>
  <si>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</si>
  <si>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</si>
  <si>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</si>
  <si>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</si>
  <si>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</si>
  <si>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</si>
  <si>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</si>
  <si>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</si>
  <si>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</si>
  <si>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</si>
  <si>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</si>
  <si>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</si>
  <si>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</si>
  <si>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</si>
  <si>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</si>
  <si>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</si>
  <si>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</si>
  <si>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</si>
  <si>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</si>
  <si>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</si>
  <si>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</si>
  <si>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</si>
  <si>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</si>
  <si>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</si>
  <si>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</si>
  <si>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</si>
  <si>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</si>
  <si>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</si>
  <si>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</si>
  <si>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</si>
  <si>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</si>
  <si>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</si>
  <si>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</si>
  <si>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</si>
  <si>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</si>
  <si>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</si>
  <si>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</si>
  <si>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</si>
  <si>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</si>
  <si>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</si>
  <si>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</si>
  <si>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</si>
  <si>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</si>
  <si>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</si>
  <si>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</si>
  <si>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</si>
  <si>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</si>
  <si>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</si>
  <si>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</si>
  <si>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</si>
  <si>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</si>
  <si>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</si>
  <si>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</si>
  <si>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</si>
  <si>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</si>
  <si>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</si>
  <si>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</si>
  <si>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</si>
  <si>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</si>
  <si>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</si>
  <si>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</si>
  <si>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</si>
  <si>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</si>
  <si>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</si>
  <si>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</si>
  <si>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</si>
  <si>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</si>
  <si>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</si>
  <si>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</si>
  <si>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</si>
  <si>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</si>
  <si>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</si>
  <si>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</si>
  <si>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</si>
  <si>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</si>
  <si>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</si>
  <si>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</si>
  <si>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</si>
  <si>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</si>
  <si>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</si>
  <si>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</si>
  <si>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</si>
  <si>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</si>
  <si>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</si>
  <si>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</si>
  <si>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</si>
  <si>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</si>
  <si>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</si>
  <si>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</si>
  <si>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</si>
  <si>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</si>
  <si>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</si>
  <si>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</si>
  <si>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</si>
  <si>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</si>
  <si>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</si>
  <si>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</si>
  <si>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</si>
  <si>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</si>
  <si>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</si>
  <si>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</si>
  <si>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</si>
  <si>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</si>
  <si>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</si>
  <si>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</si>
  <si>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</si>
  <si>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</si>
  <si>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</si>
  <si>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</si>
  <si>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</si>
  <si>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</si>
  <si>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</si>
  <si>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</si>
  <si>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</si>
  <si>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</si>
  <si>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</si>
  <si>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</si>
  <si>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</si>
  <si>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</si>
  <si>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162x132</t>
  </si>
  <si>
    <t>SANTIAGO</t>
  </si>
  <si>
    <t>MDF18MM</t>
  </si>
  <si>
    <t>NO</t>
  </si>
  <si>
    <t>N° 11066</t>
  </si>
  <si>
    <t>AGENCIA BOOKERS LTDA</t>
  </si>
  <si>
    <t>78.543.260-6</t>
  </si>
  <si>
    <t>PRODUCTORA</t>
  </si>
  <si>
    <t>CLAUDIA GUZMAN</t>
  </si>
  <si>
    <t>BORIS@BOOKERS.CL</t>
  </si>
  <si>
    <t>+569 98876537</t>
  </si>
  <si>
    <t>CERRO EL PLOMO 5931 OF 510 LAS CONDES</t>
  </si>
  <si>
    <t>CUB C/R R8</t>
  </si>
  <si>
    <t>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</si>
</sst>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9" fillId="0" borderId="0" xfId="0" applyFont="1" applyBorder="1" applyAlignment="1">
      <alignment horizontal="center"/>
    </xf>
    <xf numFmtId="0" fontId="3" fillId="0" borderId="0" xfId="0" applyFont="1" applyBorder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25</xdr:row>
      <xdr:rowOff>0</xdr:rowOff>
    </xdr:from>
    <xdr:to>
      <xdr:col>5</xdr:col>
      <xdr:colOff>1522096</xdr:colOff>
      <xdr:row>28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PAGADO FACTURA 1287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16</xdr:row>
      <xdr:rowOff>60960</xdr:rowOff>
    </xdr:from>
    <xdr:to>
      <xdr:col>6</xdr:col>
      <xdr:colOff>2240279</xdr:colOff>
      <xdr:row>18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43</xdr:row>
      <xdr:rowOff>171450</xdr:rowOff>
    </xdr:from>
    <xdr:to>
      <xdr:col>6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39</xdr:row>
      <xdr:rowOff>38100</xdr:rowOff>
    </xdr:from>
    <xdr:to>
      <xdr:col>7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38</xdr:row>
      <xdr:rowOff>0</xdr:rowOff>
    </xdr:from>
    <xdr:to>
      <xdr:col>7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30</xdr:row>
      <xdr:rowOff>15238</xdr:rowOff>
    </xdr:from>
    <xdr:to>
      <xdr:col>7</xdr:col>
      <xdr:colOff>68580</xdr:colOff>
      <xdr:row>34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24</xdr:row>
      <xdr:rowOff>1905</xdr:rowOff>
    </xdr:from>
    <xdr:to>
      <xdr:col>7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54</xdr:row>
      <xdr:rowOff>32385</xdr:rowOff>
    </xdr:from>
    <xdr:to>
      <xdr:col>7</xdr:col>
      <xdr:colOff>19050</xdr:colOff>
      <xdr:row>59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37</xdr:row>
      <xdr:rowOff>175260</xdr:rowOff>
    </xdr:from>
    <xdr:to>
      <xdr:col>2</xdr:col>
      <xdr:colOff>433184</xdr:colOff>
      <xdr:row>43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ORIS@BOOKER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4"/>
  <sheetViews>
    <sheetView topLeftCell="A8" workbookViewId="0">
      <selection activeCell="K27" sqref="K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141</v>
      </c>
      <c r="E8" s="1"/>
      <c r="F8" s="85" t="s">
        <v>27</v>
      </c>
      <c r="G8" s="86">
        <v>7103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142</v>
      </c>
      <c r="D10" s="49"/>
      <c r="E10" s="49"/>
      <c r="F10" s="50" t="s">
        <v>28</v>
      </c>
      <c r="G10" s="51">
        <v>45537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 t="s">
        <v>143</v>
      </c>
      <c r="D11" s="54"/>
      <c r="E11" s="54"/>
      <c r="F11" s="54" t="s">
        <v>125</v>
      </c>
      <c r="G11" s="55">
        <v>45538</v>
      </c>
      <c r="H11" s="56"/>
      <c r="I11" s="1"/>
    </row>
    <row r="12" spans="1:17" ht="17.399999999999999" thickBot="1" x14ac:dyDescent="0.45">
      <c r="A12" s="1"/>
      <c r="B12" s="53" t="s">
        <v>132</v>
      </c>
      <c r="C12" s="95" t="s">
        <v>144</v>
      </c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s="77" t="s">
        <v>145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3" t="s">
        <v>146</v>
      </c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4" t="s">
        <v>147</v>
      </c>
      <c r="D15" s="60"/>
      <c r="E15" s="54"/>
      <c r="F15" s="54" t="s">
        <v>29</v>
      </c>
      <c r="G15" s="54" t="s">
        <v>140</v>
      </c>
      <c r="H15" s="56"/>
      <c r="I15" s="1"/>
    </row>
    <row r="16" spans="1:17" ht="16.8" x14ac:dyDescent="0.4">
      <c r="A16" s="1"/>
      <c r="B16" s="100" t="s">
        <v>1</v>
      </c>
      <c r="C16" s="95" t="s">
        <v>148</v>
      </c>
      <c r="D16" s="38"/>
      <c r="E16" s="38"/>
      <c r="F16" s="61" t="s">
        <v>75</v>
      </c>
      <c r="G16" s="90" t="s">
        <v>136</v>
      </c>
      <c r="H16" s="59"/>
      <c r="I16" s="1"/>
    </row>
    <row r="17" spans="1:19" ht="16.2" thickBot="1" x14ac:dyDescent="0.35">
      <c r="A17" s="1"/>
      <c r="B17" s="62" t="s">
        <v>3</v>
      </c>
      <c r="C17" s="105" t="s">
        <v>138</v>
      </c>
      <c r="D17" s="63"/>
      <c r="E17" s="64"/>
      <c r="F17" s="118" t="s">
        <v>18</v>
      </c>
      <c r="G17" s="118"/>
      <c r="H17" s="119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20" t="s">
        <v>19</v>
      </c>
      <c r="C20" s="121"/>
      <c r="D20" s="121"/>
      <c r="E20" s="121"/>
      <c r="F20" s="121"/>
      <c r="G20" s="121"/>
      <c r="H20" s="122"/>
      <c r="I20" s="1"/>
    </row>
    <row r="21" spans="1:19" ht="16.2" thickBot="1" x14ac:dyDescent="0.35">
      <c r="A21" s="1"/>
      <c r="B21" s="65" t="s">
        <v>20</v>
      </c>
      <c r="C21" s="106" t="s">
        <v>21</v>
      </c>
      <c r="D21" s="106" t="s">
        <v>22</v>
      </c>
      <c r="E21" s="106" t="s">
        <v>8</v>
      </c>
      <c r="F21" s="107" t="s">
        <v>23</v>
      </c>
      <c r="G21" s="108" t="s">
        <v>24</v>
      </c>
      <c r="H21" s="107" t="s">
        <v>4</v>
      </c>
      <c r="I21" s="1"/>
      <c r="L21">
        <v>45000</v>
      </c>
    </row>
    <row r="22" spans="1:19" ht="18" customHeight="1" x14ac:dyDescent="0.3">
      <c r="A22" s="1"/>
      <c r="B22" s="113">
        <v>1</v>
      </c>
      <c r="C22" s="114" t="s">
        <v>149</v>
      </c>
      <c r="D22" s="117">
        <v>1700</v>
      </c>
      <c r="E22" s="117">
        <v>500</v>
      </c>
      <c r="F22" s="112" t="s">
        <v>150</v>
      </c>
      <c r="G22" s="115">
        <v>63229</v>
      </c>
      <c r="H22" s="116">
        <f t="shared" ref="H22" si="0">G22*B22</f>
        <v>63229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09"/>
      <c r="C23" s="109"/>
      <c r="D23" s="111"/>
      <c r="E23" s="111"/>
      <c r="F23" s="109"/>
      <c r="G23" s="88"/>
      <c r="H23" s="88"/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09"/>
      <c r="C24" s="110"/>
      <c r="D24" s="111"/>
      <c r="E24" s="111"/>
      <c r="F24" s="109"/>
      <c r="G24" s="88"/>
      <c r="H24" s="88"/>
      <c r="K24" s="16"/>
      <c r="L24" s="24"/>
      <c r="M24" s="16"/>
      <c r="N24" s="16"/>
      <c r="O24" s="24"/>
      <c r="P24" s="31"/>
    </row>
    <row r="25" spans="1:19" ht="16.2" thickBot="1" x14ac:dyDescent="0.35">
      <c r="A25" s="1"/>
      <c r="B25" s="66"/>
      <c r="C25" s="66"/>
      <c r="D25" s="66"/>
      <c r="E25" s="66"/>
      <c r="F25" s="66"/>
      <c r="G25" s="88"/>
      <c r="H25" s="88"/>
      <c r="I25" s="1"/>
      <c r="L25" s="2"/>
      <c r="O25" s="2"/>
      <c r="P25">
        <v>2940</v>
      </c>
      <c r="Q25">
        <v>600</v>
      </c>
      <c r="S25" t="s">
        <v>137</v>
      </c>
    </row>
    <row r="26" spans="1:19" ht="15.6" x14ac:dyDescent="0.3">
      <c r="A26" s="1"/>
      <c r="B26" s="1"/>
      <c r="C26" s="1"/>
      <c r="D26" s="1"/>
      <c r="E26" s="1"/>
      <c r="F26" s="1"/>
      <c r="G26" s="67" t="s">
        <v>5</v>
      </c>
      <c r="H26" s="68">
        <f>SUM(H22:H25)</f>
        <v>63229</v>
      </c>
      <c r="I26" s="1"/>
      <c r="L26" s="2"/>
      <c r="O26" s="24"/>
      <c r="P26" s="31">
        <v>1890</v>
      </c>
      <c r="Q26">
        <v>600</v>
      </c>
    </row>
    <row r="27" spans="1:19" ht="15.6" x14ac:dyDescent="0.3">
      <c r="A27" s="1"/>
      <c r="B27" s="1"/>
      <c r="C27" s="1"/>
      <c r="D27" s="1"/>
      <c r="E27" s="1"/>
      <c r="F27" s="1"/>
      <c r="G27" s="69" t="s">
        <v>6</v>
      </c>
      <c r="H27" s="70">
        <f>H26*19%</f>
        <v>12013.51</v>
      </c>
      <c r="I27" s="1"/>
      <c r="L27" s="2"/>
    </row>
    <row r="28" spans="1:19" ht="16.2" thickBot="1" x14ac:dyDescent="0.35">
      <c r="A28" s="1"/>
      <c r="B28" s="1"/>
      <c r="C28" s="1"/>
      <c r="D28" s="1"/>
      <c r="E28" s="1"/>
      <c r="F28" s="1"/>
      <c r="G28" s="71" t="s">
        <v>4</v>
      </c>
      <c r="H28" s="72">
        <f>H26+H27</f>
        <v>75242.509999999995</v>
      </c>
      <c r="I28" s="1"/>
      <c r="L28" s="2"/>
    </row>
    <row r="29" spans="1:19" ht="15.6" x14ac:dyDescent="0.3">
      <c r="A29" s="1"/>
      <c r="B29" s="1"/>
      <c r="C29" s="1"/>
      <c r="D29" s="1"/>
      <c r="E29" s="1"/>
      <c r="F29" s="1"/>
      <c r="H29" s="31"/>
      <c r="I29" s="1"/>
    </row>
    <row r="30" spans="1:19" ht="15.6" x14ac:dyDescent="0.3">
      <c r="A30" s="1"/>
      <c r="B30" s="73" t="s">
        <v>124</v>
      </c>
      <c r="C30" s="74"/>
      <c r="D30" s="75"/>
      <c r="E30" s="75"/>
      <c r="F30" s="66"/>
      <c r="I30" s="1"/>
    </row>
    <row r="31" spans="1:19" ht="15.6" x14ac:dyDescent="0.3">
      <c r="A31" s="1"/>
      <c r="B31" s="73" t="s">
        <v>123</v>
      </c>
      <c r="C31" s="74"/>
      <c r="D31" s="75"/>
      <c r="E31" s="75"/>
      <c r="F31" s="66"/>
      <c r="G31" s="1"/>
      <c r="H31" s="1"/>
      <c r="I31" s="1"/>
    </row>
    <row r="32" spans="1:19" ht="15.6" x14ac:dyDescent="0.3">
      <c r="A32" s="1"/>
      <c r="B32" s="1" t="s">
        <v>25</v>
      </c>
      <c r="C32" s="1"/>
      <c r="D32" s="1"/>
      <c r="E32" s="76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  <hyperlink ref="C14" r:id="rId2" xr:uid="{1F070BBD-D527-4B10-B921-D0E260FEFBA5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7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abSelected="1" topLeftCell="A25" zoomScaleNormal="100" workbookViewId="0">
      <selection activeCell="A38" sqref="A37:H61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5" t="s">
        <v>61</v>
      </c>
      <c r="M3" s="125"/>
      <c r="N3" s="125" t="s">
        <v>14</v>
      </c>
      <c r="O3" s="125"/>
    </row>
    <row r="4" spans="1:15" ht="15.75" customHeight="1" x14ac:dyDescent="0.3">
      <c r="B4" s="1"/>
      <c r="C4" s="1"/>
      <c r="D4" s="35" t="s">
        <v>27</v>
      </c>
      <c r="E4" s="14">
        <f>'4637'!G8</f>
        <v>7103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AGENCIA BOOKERS LTDA</v>
      </c>
      <c r="F5" s="38"/>
      <c r="G5" s="38"/>
      <c r="H5" s="1"/>
      <c r="L5">
        <f>LOOKUP(G14,REGLAS!$I$4:$I$37,REGLAS!$G$4:$G$37)+K14</f>
        <v>1750</v>
      </c>
      <c r="M5">
        <f>LOOKUP(G14,REGLAS!$I$4:$I$37,REGLAS!$H$4:$H$37)+L14</f>
        <v>470</v>
      </c>
      <c r="N5" t="e">
        <f>LOOKUP(G22,REGLAS!$D$4:$D$37,REGLAS!$B$4:$B$37)+#REF!</f>
        <v>#REF!</v>
      </c>
      <c r="O5">
        <f>LOOKUP(G22,REGLAS!$D$4:$D$37,REGLAS!$C$4:$C$37)+K22</f>
        <v>1830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45538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6" t="s">
        <v>61</v>
      </c>
      <c r="C10" s="126"/>
      <c r="D10" s="126"/>
      <c r="E10" s="126"/>
      <c r="F10" s="126"/>
      <c r="G10" s="126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-2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2">
        <v>1</v>
      </c>
      <c r="B14" s="101" t="s">
        <v>139</v>
      </c>
      <c r="C14" s="93">
        <f t="shared" ref="C14" si="0">J14</f>
        <v>1</v>
      </c>
      <c r="D14" s="94"/>
      <c r="E14" s="93">
        <f>K14+E$13</f>
        <v>1750</v>
      </c>
      <c r="F14" s="93">
        <f>L14+F$13</f>
        <v>498</v>
      </c>
      <c r="G14" s="93" t="str">
        <f>G22</f>
        <v>CUB C/R R8</v>
      </c>
      <c r="H14" s="1"/>
      <c r="J14" s="3">
        <f>J22</f>
        <v>1</v>
      </c>
      <c r="K14" s="4">
        <f>K22</f>
        <v>1700</v>
      </c>
      <c r="L14" s="4">
        <f>L22</f>
        <v>500</v>
      </c>
    </row>
    <row r="15" spans="1:15" ht="15.6" x14ac:dyDescent="0.3">
      <c r="B15" s="87"/>
      <c r="C15" s="6"/>
      <c r="D15" s="6"/>
      <c r="E15" s="6"/>
      <c r="F15" s="6"/>
      <c r="G15" s="6"/>
      <c r="H15" s="1"/>
      <c r="J15" s="81"/>
      <c r="K15" s="2"/>
      <c r="L15" s="2"/>
    </row>
    <row r="16" spans="1:15" ht="15.6" x14ac:dyDescent="0.3">
      <c r="B16" s="46"/>
      <c r="C16" s="6"/>
      <c r="D16" s="6"/>
      <c r="E16" s="6"/>
      <c r="F16" s="80"/>
      <c r="G16" s="6"/>
      <c r="H16" s="1"/>
      <c r="J16" s="2"/>
      <c r="K16" s="2"/>
      <c r="L16" s="2"/>
    </row>
    <row r="17" spans="1:12" ht="6.75" customHeight="1" x14ac:dyDescent="0.3">
      <c r="B17" s="1"/>
      <c r="C17" s="1"/>
      <c r="D17" s="1"/>
      <c r="E17" s="1"/>
      <c r="F17" s="1"/>
      <c r="G17" s="1"/>
      <c r="H17" s="1"/>
    </row>
    <row r="18" spans="1:12" ht="15.6" x14ac:dyDescent="0.3">
      <c r="B18" s="126" t="s">
        <v>14</v>
      </c>
      <c r="C18" s="126"/>
      <c r="D18" s="126"/>
      <c r="E18" s="126"/>
      <c r="F18" s="126"/>
      <c r="G18" s="126"/>
      <c r="H18" s="1"/>
    </row>
    <row r="19" spans="1:12" ht="10.5" customHeight="1" x14ac:dyDescent="0.3">
      <c r="B19" s="1"/>
      <c r="C19" s="1"/>
      <c r="D19" s="12"/>
      <c r="E19" s="1"/>
      <c r="F19" s="1"/>
      <c r="G19" s="1"/>
      <c r="H19" s="1"/>
    </row>
    <row r="20" spans="1:12" ht="15.6" x14ac:dyDescent="0.3">
      <c r="B20" s="1"/>
      <c r="C20" s="1"/>
      <c r="D20" s="1"/>
      <c r="E20" s="46" t="s">
        <v>7</v>
      </c>
      <c r="F20" s="46" t="s">
        <v>8</v>
      </c>
      <c r="G20" s="1"/>
      <c r="H20" s="1"/>
    </row>
    <row r="21" spans="1:12" ht="15.6" x14ac:dyDescent="0.3">
      <c r="B21" s="46" t="s">
        <v>9</v>
      </c>
      <c r="C21" s="33" t="s">
        <v>10</v>
      </c>
      <c r="D21" s="33" t="s">
        <v>11</v>
      </c>
      <c r="E21" s="20">
        <v>40</v>
      </c>
      <c r="F21" s="20">
        <v>90</v>
      </c>
      <c r="G21" s="33" t="s">
        <v>110</v>
      </c>
      <c r="H21" s="1"/>
      <c r="K21" s="5" t="s">
        <v>7</v>
      </c>
      <c r="L21" s="5" t="s">
        <v>8</v>
      </c>
    </row>
    <row r="22" spans="1:12" ht="18" x14ac:dyDescent="0.35">
      <c r="A22" s="102">
        <v>1</v>
      </c>
      <c r="B22" s="101" t="s">
        <v>139</v>
      </c>
      <c r="C22" s="94">
        <f>J22</f>
        <v>1</v>
      </c>
      <c r="D22" s="94"/>
      <c r="E22" s="94">
        <f>K22+E$21</f>
        <v>1740</v>
      </c>
      <c r="F22" s="94">
        <f>L22+F$21</f>
        <v>590</v>
      </c>
      <c r="G22" s="94" t="str">
        <f>D28</f>
        <v>CUB C/R R8</v>
      </c>
      <c r="H22" s="1"/>
      <c r="J22" s="3">
        <f>C28</f>
        <v>1</v>
      </c>
      <c r="K22" s="4">
        <f>E28</f>
        <v>1700</v>
      </c>
      <c r="L22" s="4">
        <f>F28</f>
        <v>500</v>
      </c>
    </row>
    <row r="23" spans="1:12" ht="15.6" x14ac:dyDescent="0.3">
      <c r="B23" s="87"/>
      <c r="C23" s="6"/>
      <c r="D23" s="6"/>
      <c r="E23" s="6"/>
      <c r="F23" s="6"/>
      <c r="G23" s="6"/>
      <c r="H23" s="1"/>
      <c r="J23" s="81"/>
      <c r="K23" s="2"/>
      <c r="L23" s="2"/>
    </row>
    <row r="24" spans="1:12" ht="16.2" thickBot="1" x14ac:dyDescent="0.35">
      <c r="B24" s="46"/>
      <c r="C24" s="6"/>
      <c r="D24" s="6"/>
      <c r="E24" s="6"/>
      <c r="F24" s="6"/>
      <c r="G24" s="6"/>
      <c r="H24" s="1"/>
      <c r="J24" s="2"/>
      <c r="K24" s="2"/>
      <c r="L24" s="2"/>
    </row>
    <row r="25" spans="1:12" ht="16.2" thickBot="1" x14ac:dyDescent="0.35">
      <c r="B25" s="46"/>
      <c r="C25" s="21" t="s">
        <v>107</v>
      </c>
      <c r="D25" s="22"/>
      <c r="E25" s="22"/>
      <c r="F25" s="22"/>
      <c r="G25" s="23"/>
      <c r="H25" s="1"/>
      <c r="J25" s="2"/>
      <c r="K25" s="2"/>
      <c r="L25" s="2"/>
    </row>
    <row r="26" spans="1:12" ht="10.5" customHeight="1" x14ac:dyDescent="0.3">
      <c r="B26" s="1"/>
      <c r="C26" s="1"/>
      <c r="D26" s="1"/>
      <c r="E26" s="1"/>
      <c r="F26" s="1"/>
      <c r="G26" s="1"/>
      <c r="H26" s="1"/>
    </row>
    <row r="27" spans="1:12" ht="15.6" x14ac:dyDescent="0.3">
      <c r="B27" s="46" t="s">
        <v>9</v>
      </c>
      <c r="C27" s="79" t="s">
        <v>10</v>
      </c>
      <c r="D27" s="79" t="s">
        <v>110</v>
      </c>
      <c r="E27" s="79" t="s">
        <v>7</v>
      </c>
      <c r="F27" s="79" t="s">
        <v>8</v>
      </c>
      <c r="G27" s="79" t="s">
        <v>23</v>
      </c>
      <c r="H27" s="1"/>
    </row>
    <row r="28" spans="1:12" ht="18" x14ac:dyDescent="0.35">
      <c r="A28" s="102">
        <v>1</v>
      </c>
      <c r="B28" s="101" t="s">
        <v>139</v>
      </c>
      <c r="C28" s="93">
        <f>'4637'!B22</f>
        <v>1</v>
      </c>
      <c r="D28" s="93" t="str">
        <f>'4637'!C22</f>
        <v>CUB C/R R8</v>
      </c>
      <c r="E28" s="93">
        <f>'4637'!D22</f>
        <v>1700</v>
      </c>
      <c r="F28" s="93">
        <f>'4637'!E22</f>
        <v>500</v>
      </c>
      <c r="G28" s="98" t="str">
        <f>G49</f>
        <v>BLANCO BRILLO</v>
      </c>
      <c r="H28" s="1"/>
    </row>
    <row r="29" spans="1:12" ht="15.6" x14ac:dyDescent="0.3">
      <c r="B29" s="87"/>
      <c r="C29" s="6"/>
      <c r="D29" s="6"/>
      <c r="E29" s="6"/>
      <c r="F29" s="6"/>
      <c r="G29" s="6"/>
      <c r="H29" s="1"/>
    </row>
    <row r="30" spans="1:12" ht="15.6" x14ac:dyDescent="0.3">
      <c r="B30" s="1"/>
      <c r="C30" s="6"/>
      <c r="D30" s="6"/>
      <c r="E30" s="6"/>
      <c r="F30" s="6"/>
      <c r="G30" s="6"/>
      <c r="H30" s="1"/>
    </row>
    <row r="31" spans="1:12" ht="15.6" x14ac:dyDescent="0.3">
      <c r="B31" s="1"/>
      <c r="C31" s="6"/>
      <c r="D31" s="6"/>
      <c r="E31" s="6"/>
      <c r="F31" s="6"/>
      <c r="G31" s="6"/>
      <c r="H31" s="1"/>
    </row>
    <row r="32" spans="1:12" ht="15.6" x14ac:dyDescent="0.3">
      <c r="B32" s="1"/>
      <c r="C32" s="6"/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1"/>
      <c r="D38" s="1"/>
      <c r="E38" s="1"/>
      <c r="F38" s="1"/>
      <c r="G38" s="1"/>
      <c r="H38" s="1"/>
    </row>
    <row r="39" spans="2:8" ht="15.6" x14ac:dyDescent="0.3">
      <c r="B39" s="1"/>
      <c r="C39" s="1"/>
      <c r="D39" s="35" t="s">
        <v>27</v>
      </c>
      <c r="E39" s="14">
        <f>'4637'!G8</f>
        <v>7103</v>
      </c>
      <c r="F39" s="1"/>
      <c r="G39" s="1"/>
      <c r="H39" s="1"/>
    </row>
    <row r="40" spans="2:8" ht="17.25" customHeight="1" x14ac:dyDescent="0.3">
      <c r="B40" s="1"/>
      <c r="C40" s="1"/>
      <c r="D40" s="36" t="s">
        <v>67</v>
      </c>
      <c r="E40" s="37" t="str">
        <f>'4637'!C10</f>
        <v>AGENCIA BOOKERS LTDA</v>
      </c>
      <c r="F40" s="38"/>
      <c r="G40" s="38"/>
      <c r="H40" s="1"/>
    </row>
    <row r="41" spans="2:8" ht="4.5" customHeight="1" x14ac:dyDescent="0.3">
      <c r="B41" s="1"/>
      <c r="C41" s="1"/>
      <c r="D41" s="39"/>
      <c r="E41" s="40"/>
      <c r="F41" s="1"/>
      <c r="G41" s="1"/>
      <c r="H41" s="1"/>
    </row>
    <row r="42" spans="2:8" ht="15.6" x14ac:dyDescent="0.3">
      <c r="B42" s="1"/>
      <c r="C42" s="1"/>
      <c r="D42" s="41" t="str">
        <f>'4637'!F11</f>
        <v>FECHA LIMITE :</v>
      </c>
      <c r="E42" s="13">
        <f>'4637'!G11</f>
        <v>45538</v>
      </c>
      <c r="F42" s="1"/>
      <c r="G42" s="1" t="s">
        <v>134</v>
      </c>
      <c r="H42" s="1"/>
    </row>
    <row r="43" spans="2:8" ht="15.6" x14ac:dyDescent="0.3">
      <c r="B43" s="1"/>
      <c r="C43" s="1"/>
      <c r="D43" s="1"/>
      <c r="E43" s="1"/>
      <c r="F43" s="1"/>
      <c r="G43" s="1"/>
      <c r="H43" s="1"/>
    </row>
    <row r="44" spans="2:8" ht="15.6" x14ac:dyDescent="0.3">
      <c r="B44" s="1"/>
      <c r="C44" s="1"/>
      <c r="D44" s="1"/>
      <c r="E44" s="1"/>
      <c r="F44" s="1"/>
      <c r="G44" s="1"/>
      <c r="H44" s="1"/>
    </row>
    <row r="45" spans="2:8" ht="15.6" x14ac:dyDescent="0.3">
      <c r="B45" s="126" t="s">
        <v>68</v>
      </c>
      <c r="C45" s="126"/>
      <c r="D45" s="126"/>
      <c r="E45" s="126"/>
      <c r="F45" s="126"/>
      <c r="G45" s="126"/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75" customHeight="1" x14ac:dyDescent="0.3">
      <c r="B47" s="1"/>
      <c r="C47" s="127" t="s">
        <v>69</v>
      </c>
      <c r="D47" s="128"/>
      <c r="E47" s="129"/>
      <c r="F47" s="129"/>
      <c r="G47" s="130"/>
      <c r="H47" s="1"/>
    </row>
    <row r="48" spans="2:8" s="15" customFormat="1" ht="12.75" customHeight="1" x14ac:dyDescent="0.3">
      <c r="B48" s="1"/>
      <c r="C48" s="33" t="s">
        <v>10</v>
      </c>
      <c r="D48" s="42" t="s">
        <v>11</v>
      </c>
      <c r="E48" s="43" t="s">
        <v>7</v>
      </c>
      <c r="F48" s="43" t="s">
        <v>8</v>
      </c>
      <c r="G48" s="97" t="s">
        <v>12</v>
      </c>
      <c r="H48" s="1"/>
    </row>
    <row r="49" spans="2:8" s="15" customFormat="1" ht="15" customHeight="1" x14ac:dyDescent="0.35">
      <c r="B49" s="101" t="s">
        <v>139</v>
      </c>
      <c r="C49" s="91">
        <f>'4637'!B22</f>
        <v>1</v>
      </c>
      <c r="D49" s="92" t="str">
        <f>'4637'!C22</f>
        <v>CUB C/R R8</v>
      </c>
      <c r="E49" s="92">
        <f>'4637'!D22</f>
        <v>1700</v>
      </c>
      <c r="F49" s="96">
        <f>'4637'!E22</f>
        <v>500</v>
      </c>
      <c r="G49" s="99" t="str">
        <f>'4637'!F22</f>
        <v>BLANCO BRILLO</v>
      </c>
      <c r="H49" s="1"/>
    </row>
    <row r="50" spans="2:8" s="15" customFormat="1" ht="15" customHeight="1" x14ac:dyDescent="0.35">
      <c r="B50" s="101"/>
      <c r="C50" s="131"/>
      <c r="D50" s="131"/>
      <c r="E50" s="131"/>
      <c r="F50" s="131"/>
      <c r="G50" s="132"/>
      <c r="H50" s="1"/>
    </row>
    <row r="51" spans="2:8" s="15" customFormat="1" ht="15" customHeight="1" x14ac:dyDescent="0.3">
      <c r="B51" s="44"/>
      <c r="C51" s="46"/>
      <c r="D51" s="46"/>
      <c r="E51" s="46"/>
      <c r="F51" s="46"/>
      <c r="G51" s="46"/>
      <c r="H51" s="1"/>
    </row>
    <row r="52" spans="2:8" ht="15.6" x14ac:dyDescent="0.3">
      <c r="B52" s="6"/>
      <c r="C52" s="6"/>
      <c r="D52" s="1"/>
      <c r="E52" s="6"/>
      <c r="F52" s="6"/>
      <c r="G52" s="39"/>
      <c r="H52" s="1"/>
    </row>
    <row r="53" spans="2:8" ht="15.6" x14ac:dyDescent="0.3">
      <c r="B53" s="6"/>
      <c r="C53" s="6"/>
      <c r="D53" s="1"/>
      <c r="E53" s="6"/>
      <c r="F53" s="6"/>
      <c r="G53" s="6"/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.6" x14ac:dyDescent="0.3">
      <c r="B56" s="1"/>
      <c r="C56" s="1"/>
      <c r="D56" s="1"/>
      <c r="E56" s="1"/>
      <c r="F56" s="1"/>
      <c r="G56" s="1"/>
      <c r="H56" s="1"/>
    </row>
    <row r="57" spans="2:8" ht="15" customHeight="1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1"/>
      <c r="C58" s="1"/>
      <c r="D58" s="1"/>
      <c r="E58" s="1"/>
      <c r="F58" s="1"/>
      <c r="G58" s="1"/>
      <c r="H58" s="1"/>
    </row>
    <row r="59" spans="2:8" ht="15.6" x14ac:dyDescent="0.3">
      <c r="B59" s="6"/>
      <c r="C59" s="45"/>
      <c r="D59" s="1"/>
      <c r="E59" s="1"/>
      <c r="F59" s="1"/>
      <c r="G59" s="1"/>
      <c r="H59" s="1"/>
    </row>
    <row r="60" spans="2:8" ht="15.6" x14ac:dyDescent="0.3">
      <c r="B60" s="1"/>
      <c r="C60" s="1"/>
      <c r="D60" s="1"/>
      <c r="E60" s="1"/>
      <c r="F60" s="1"/>
      <c r="G60" s="1"/>
      <c r="H60" s="1"/>
    </row>
    <row r="61" spans="2:8" x14ac:dyDescent="0.3">
      <c r="C61" s="19"/>
      <c r="D61" s="19"/>
      <c r="E61" s="19"/>
      <c r="F61" s="19"/>
      <c r="G61" s="19"/>
    </row>
    <row r="62" spans="2:8" x14ac:dyDescent="0.3">
      <c r="C62" s="19"/>
      <c r="D62" s="19"/>
      <c r="F62" s="19"/>
      <c r="G62" s="19"/>
    </row>
  </sheetData>
  <mergeCells count="6">
    <mergeCell ref="N3:O3"/>
    <mergeCell ref="B18:G18"/>
    <mergeCell ref="B10:G10"/>
    <mergeCell ref="B45:G45"/>
    <mergeCell ref="C47:G4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1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2024-09-02T14:43:03Z</cp:lastPrinted>
  <dcterms:created xsi:type="dcterms:W3CDTF">2013-03-19T12:54:14Z</dcterms:created>
  <dcterms:modified xsi:type="dcterms:W3CDTF">2024-09-02T15:16:17Z</dcterms:modified>
</cp:coreProperties>
</file>