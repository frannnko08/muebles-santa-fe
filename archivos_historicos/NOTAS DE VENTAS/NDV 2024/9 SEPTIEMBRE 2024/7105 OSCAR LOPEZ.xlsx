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9 SEPTIEMBRE 2024\"/>
    </mc:Choice>
  </mc:AlternateContent>
  <xr:revisionPtr revIDLastSave="0" documentId="13_ncr:1_{5EFBE262-3E1F-4AAF-B1F6-E31688522395}" xr6:coauthVersionLast="47" xr6:coauthVersionMax="47" xr10:uidLastSave="{00000000-0000-0000-0000-000000000000}"/>
  <bookViews>
    <workbookView minimized="1" xWindow="17412" yWindow="11136" windowWidth="5976" windowHeight="145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'4637'!$A$1:$H$39</definedName>
    <definedName name="_xlnm.Print_Area" localSheetId="2">CUBIERTA!$A$2:$G$53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J15" i="3"/>
  <c r="C15" i="3" s="1"/>
  <c r="K15" i="3"/>
  <c r="E15" i="3" s="1"/>
  <c r="L15" i="3"/>
  <c r="F15" i="3" s="1"/>
  <c r="G16" i="3"/>
  <c r="J16" i="3"/>
  <c r="C16" i="3" s="1"/>
  <c r="K16" i="3"/>
  <c r="E16" i="3" s="1"/>
  <c r="L16" i="3"/>
  <c r="F16" i="3" s="1"/>
  <c r="G17" i="3"/>
  <c r="J17" i="3"/>
  <c r="C17" i="3" s="1"/>
  <c r="K17" i="3"/>
  <c r="E17" i="3" s="1"/>
  <c r="L17" i="3"/>
  <c r="F17" i="3" s="1"/>
  <c r="G18" i="3"/>
  <c r="J18" i="3"/>
  <c r="C18" i="3" s="1"/>
  <c r="K18" i="3"/>
  <c r="E18" i="3" s="1"/>
  <c r="L18" i="3"/>
  <c r="G19" i="3"/>
  <c r="J19" i="3"/>
  <c r="C19" i="3" s="1"/>
  <c r="K19" i="3"/>
  <c r="E19" i="3" s="1"/>
  <c r="L19" i="3"/>
  <c r="G20" i="3"/>
  <c r="J20" i="3"/>
  <c r="C20" i="3" s="1"/>
  <c r="K20" i="3"/>
  <c r="E20" i="3" s="1"/>
  <c r="L20" i="3"/>
  <c r="C39" i="3"/>
  <c r="J28" i="3" s="1"/>
  <c r="C28" i="3" s="1"/>
  <c r="D39" i="3"/>
  <c r="G28" i="3" s="1"/>
  <c r="E39" i="3"/>
  <c r="K28" i="3" s="1"/>
  <c r="E28" i="3" s="1"/>
  <c r="F39" i="3"/>
  <c r="L28" i="3" s="1"/>
  <c r="F28" i="3" s="1"/>
  <c r="C40" i="3"/>
  <c r="J29" i="3" s="1"/>
  <c r="C29" i="3" s="1"/>
  <c r="D40" i="3"/>
  <c r="G29" i="3" s="1"/>
  <c r="E40" i="3"/>
  <c r="K29" i="3" s="1"/>
  <c r="E29" i="3" s="1"/>
  <c r="F40" i="3"/>
  <c r="L29" i="3" s="1"/>
  <c r="F29" i="3" s="1"/>
  <c r="C41" i="3"/>
  <c r="J30" i="3" s="1"/>
  <c r="C30" i="3" s="1"/>
  <c r="D41" i="3"/>
  <c r="G30" i="3" s="1"/>
  <c r="E41" i="3"/>
  <c r="K30" i="3" s="1"/>
  <c r="E30" i="3" s="1"/>
  <c r="F41" i="3"/>
  <c r="L30" i="3" s="1"/>
  <c r="F30" i="3" s="1"/>
  <c r="C42" i="3"/>
  <c r="J31" i="3" s="1"/>
  <c r="C31" i="3" s="1"/>
  <c r="D42" i="3"/>
  <c r="G31" i="3" s="1"/>
  <c r="E42" i="3"/>
  <c r="K31" i="3" s="1"/>
  <c r="E31" i="3" s="1"/>
  <c r="F42" i="3"/>
  <c r="L31" i="3" s="1"/>
  <c r="C43" i="3"/>
  <c r="J32" i="3" s="1"/>
  <c r="C32" i="3" s="1"/>
  <c r="D43" i="3"/>
  <c r="G32" i="3" s="1"/>
  <c r="E43" i="3"/>
  <c r="K32" i="3" s="1"/>
  <c r="E32" i="3" s="1"/>
  <c r="F43" i="3"/>
  <c r="L32" i="3" s="1"/>
  <c r="C44" i="3"/>
  <c r="J33" i="3" s="1"/>
  <c r="C33" i="3" s="1"/>
  <c r="D44" i="3"/>
  <c r="G33" i="3" s="1"/>
  <c r="E44" i="3"/>
  <c r="K33" i="3" s="1"/>
  <c r="E33" i="3" s="1"/>
  <c r="F44" i="3"/>
  <c r="L33" i="3" s="1"/>
  <c r="C67" i="3"/>
  <c r="D67" i="3"/>
  <c r="E67" i="3"/>
  <c r="F67" i="3"/>
  <c r="G67" i="3"/>
  <c r="G39" i="3" s="1"/>
  <c r="C68" i="3"/>
  <c r="D68" i="3"/>
  <c r="E68" i="3"/>
  <c r="F68" i="3"/>
  <c r="G68" i="3"/>
  <c r="G40" i="3" s="1"/>
  <c r="C69" i="3"/>
  <c r="D69" i="3"/>
  <c r="E69" i="3"/>
  <c r="F69" i="3"/>
  <c r="G69" i="3"/>
  <c r="G41" i="3" s="1"/>
  <c r="C70" i="3"/>
  <c r="D70" i="3"/>
  <c r="E70" i="3"/>
  <c r="F70" i="3"/>
  <c r="G70" i="3"/>
  <c r="G42" i="3" s="1"/>
  <c r="C71" i="3"/>
  <c r="D71" i="3"/>
  <c r="E71" i="3"/>
  <c r="F71" i="3"/>
  <c r="G71" i="3"/>
  <c r="G43" i="3" s="1"/>
  <c r="C72" i="3"/>
  <c r="D72" i="3"/>
  <c r="E72" i="3"/>
  <c r="F72" i="3"/>
  <c r="G72" i="3"/>
  <c r="G44" i="3" s="1"/>
  <c r="H31" i="4"/>
  <c r="H28" i="4"/>
  <c r="H27" i="4"/>
  <c r="H26" i="4"/>
  <c r="H25" i="4"/>
  <c r="H24" i="4"/>
  <c r="H23" i="4"/>
  <c r="H22" i="4"/>
  <c r="H32" i="4" l="1"/>
  <c r="H33" i="4" s="1"/>
  <c r="G66" i="3"/>
  <c r="G38" i="3" s="1"/>
  <c r="L22" i="4" l="1"/>
  <c r="F38" i="3" l="1"/>
  <c r="L27" i="3" s="1"/>
  <c r="E38" i="3"/>
  <c r="K27" i="3" s="1"/>
  <c r="D38" i="3"/>
  <c r="G27" i="3" s="1"/>
  <c r="G14" i="3" s="1"/>
  <c r="C38" i="3"/>
  <c r="F66" i="3"/>
  <c r="E66" i="3"/>
  <c r="D66" i="3"/>
  <c r="C66" i="3"/>
  <c r="J27" i="3" l="1"/>
  <c r="J14" i="3" s="1"/>
  <c r="C14" i="3" s="1"/>
  <c r="K14" i="3"/>
  <c r="E14" i="3" s="1"/>
  <c r="E27" i="3"/>
  <c r="L14" i="3"/>
  <c r="F14" i="3" s="1"/>
  <c r="O5" i="3"/>
  <c r="C27" i="3" l="1"/>
  <c r="N5" i="3"/>
  <c r="M5" i="3"/>
  <c r="L5" i="3"/>
  <c r="D59" i="3" l="1"/>
  <c r="D7" i="3"/>
  <c r="E57" i="3"/>
  <c r="E5" i="3"/>
  <c r="E59" i="3"/>
  <c r="E7" i="3"/>
  <c r="E56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<sst xmlns="http://schemas.openxmlformats.org/spreadsheetml/2006/main" count="264" uniqueCount="150">
  <si>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</si>
  <si>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</si>
  <si>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</si>
  <si>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</si>
  <si>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</si>
  <si>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</si>
  <si>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</si>
  <si>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</si>
  <si>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</si>
  <si>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</si>
  <si>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</si>
  <si>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</si>
  <si>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</si>
  <si>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</si>
  <si>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</si>
  <si>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</si>
  <si>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</si>
  <si>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</si>
  <si>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</si>
  <si>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</si>
  <si>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</si>
  <si>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</si>
  <si>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</si>
  <si>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</si>
  <si>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</si>
  <si>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</si>
  <si>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</si>
  <si>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</si>
  <si>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</si>
  <si>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</si>
  <si>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</si>
  <si>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</si>
  <si>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</si>
  <si>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</si>
  <si>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</si>
  <si>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</si>
  <si>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</si>
  <si>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</si>
  <si>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</si>
  <si>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</si>
  <si>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</si>
  <si>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</si>
  <si>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</si>
  <si>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</si>
  <si>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</si>
  <si>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</si>
  <si>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</si>
  <si>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</si>
  <si>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</si>
  <si>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</si>
  <si>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</si>
  <si>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</si>
  <si>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</si>
  <si>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</si>
  <si>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</si>
  <si>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</si>
  <si>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</si>
  <si>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</si>
  <si>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</si>
  <si>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</si>
  <si>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</si>
  <si>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</si>
  <si>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</si>
  <si>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</si>
  <si>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</si>
  <si>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</si>
  <si>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</si>
  <si>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</si>
  <si>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</si>
  <si>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</si>
  <si>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</si>
  <si>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</si>
  <si>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</si>
  <si>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</si>
  <si>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</si>
  <si>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</si>
  <si>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</si>
  <si>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</si>
  <si>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</si>
  <si>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</si>
  <si>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</si>
  <si>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</si>
  <si>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</si>
  <si>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</si>
  <si>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</si>
  <si>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</si>
  <si>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</si>
  <si>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</si>
  <si>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</si>
  <si>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</si>
  <si>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</si>
  <si>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</si>
  <si>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</si>
  <si>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</si>
  <si>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</si>
  <si>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</si>
  <si>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</si>
  <si>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</si>
  <si>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</si>
  <si>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</si>
  <si>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</si>
  <si>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</si>
  <si>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</si>
  <si>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</si>
  <si>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</si>
  <si>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</si>
  <si>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</si>
  <si>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</si>
  <si>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</si>
  <si>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</si>
  <si>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</si>
  <si>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</si>
  <si>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</si>
  <si>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</si>
  <si>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</si>
  <si>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</si>
  <si>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</si>
  <si>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</si>
  <si>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</si>
  <si>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</si>
  <si>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</si>
  <si>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</si>
  <si>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</si>
  <si>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</si>
  <si>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</si>
  <si>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</si>
  <si>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</si>
  <si>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</si>
  <si>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</si>
  <si>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</si>
  <si>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</si>
  <si>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</si>
  <si>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</si>
  <si>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</si>
  <si>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</si>
  <si>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ABONO 50% SALDO C/ENTREGA</t>
  </si>
  <si>
    <t>162x132</t>
  </si>
  <si>
    <t>MDF18MM</t>
  </si>
  <si>
    <t>NO</t>
  </si>
  <si>
    <t>OSCAR LOPEZ</t>
  </si>
  <si>
    <t>VILLARRICA</t>
  </si>
  <si>
    <t>N° 11035</t>
  </si>
  <si>
    <t>+569 7150 2245</t>
  </si>
  <si>
    <t>CUBIERTA MESA 2 LADOS R2</t>
  </si>
  <si>
    <t>MARINA DI CARRARA</t>
  </si>
  <si>
    <t>CUB SIN RESPALDO R2</t>
  </si>
  <si>
    <t>RESPALDO</t>
  </si>
  <si>
    <t>SUBTOTAL</t>
  </si>
  <si>
    <t>DESCTO. 5%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</si>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</sst>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19" fillId="0" borderId="2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2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6" fillId="0" borderId="0" xfId="2"/>
    <xf numFmtId="0" fontId="23" fillId="0" borderId="0" xfId="2" quotePrefix="1" applyFont="1" applyFill="1" applyBorder="1" applyAlignment="1">
      <alignment horizontal="left"/>
    </xf>
    <xf numFmtId="0" fontId="22" fillId="3" borderId="9" xfId="2" applyFont="1" applyFill="1" applyBorder="1" applyAlignment="1">
      <alignment horizontal="left"/>
    </xf>
    <xf numFmtId="0" fontId="1" fillId="8" borderId="30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7" fillId="0" borderId="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6" fontId="3" fillId="0" borderId="28" xfId="1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center"/>
    </xf>
    <xf numFmtId="42" fontId="25" fillId="0" borderId="35" xfId="3" applyFont="1" applyFill="1" applyBorder="1"/>
    <xf numFmtId="3" fontId="3" fillId="9" borderId="13" xfId="0" applyNumberFormat="1" applyFont="1" applyFill="1" applyBorder="1" applyAlignment="1">
      <alignment horizontal="center"/>
    </xf>
    <xf numFmtId="42" fontId="25" fillId="9" borderId="28" xfId="3" applyFont="1" applyFill="1" applyBorder="1"/>
    <xf numFmtId="0" fontId="1" fillId="0" borderId="0" xfId="0" applyFont="1" applyBorder="1" applyAlignment="1">
      <alignment horizontal="center"/>
    </xf>
    <xf numFmtId="166" fontId="1" fillId="0" borderId="0" xfId="1" applyNumberFormat="1" applyFont="1" applyFill="1" applyBorder="1"/>
    <xf numFmtId="0" fontId="3" fillId="0" borderId="13" xfId="0" applyFont="1" applyBorder="1" applyAlignment="1">
      <alignment horizontal="center"/>
    </xf>
    <xf numFmtId="42" fontId="25" fillId="0" borderId="28" xfId="3" applyFont="1" applyFill="1" applyBorder="1"/>
    <xf numFmtId="1" fontId="3" fillId="0" borderId="30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/>
    </xf>
    <xf numFmtId="0" fontId="0" fillId="0" borderId="0" xfId="0" applyBorder="1"/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31</xdr:row>
      <xdr:rowOff>0</xdr:rowOff>
    </xdr:from>
    <xdr:to>
      <xdr:col>5</xdr:col>
      <xdr:colOff>1522096</xdr:colOff>
      <xdr:row>34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PAGADO 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21</xdr:row>
      <xdr:rowOff>60960</xdr:rowOff>
    </xdr:from>
    <xdr:to>
      <xdr:col>6</xdr:col>
      <xdr:colOff>2240279</xdr:colOff>
      <xdr:row>23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60</xdr:row>
      <xdr:rowOff>171450</xdr:rowOff>
    </xdr:from>
    <xdr:to>
      <xdr:col>6</xdr:col>
      <xdr:colOff>1685924</xdr:colOff>
      <xdr:row>62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58</xdr:row>
      <xdr:rowOff>0</xdr:rowOff>
    </xdr:from>
    <xdr:to>
      <xdr:col>7</xdr:col>
      <xdr:colOff>0</xdr:colOff>
      <xdr:row>59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56</xdr:row>
      <xdr:rowOff>38100</xdr:rowOff>
    </xdr:from>
    <xdr:to>
      <xdr:col>7</xdr:col>
      <xdr:colOff>0</xdr:colOff>
      <xdr:row>57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55</xdr:row>
      <xdr:rowOff>0</xdr:rowOff>
    </xdr:from>
    <xdr:to>
      <xdr:col>7</xdr:col>
      <xdr:colOff>0</xdr:colOff>
      <xdr:row>56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74</xdr:row>
      <xdr:rowOff>0</xdr:rowOff>
    </xdr:from>
    <xdr:to>
      <xdr:col>3</xdr:col>
      <xdr:colOff>38100</xdr:colOff>
      <xdr:row>75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74</xdr:row>
      <xdr:rowOff>0</xdr:rowOff>
    </xdr:from>
    <xdr:to>
      <xdr:col>3</xdr:col>
      <xdr:colOff>1019175</xdr:colOff>
      <xdr:row>75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74</xdr:row>
      <xdr:rowOff>0</xdr:rowOff>
    </xdr:from>
    <xdr:to>
      <xdr:col>4</xdr:col>
      <xdr:colOff>352425</xdr:colOff>
      <xdr:row>75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74</xdr:row>
      <xdr:rowOff>0</xdr:rowOff>
    </xdr:from>
    <xdr:to>
      <xdr:col>5</xdr:col>
      <xdr:colOff>257175</xdr:colOff>
      <xdr:row>75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74</xdr:row>
      <xdr:rowOff>0</xdr:rowOff>
    </xdr:from>
    <xdr:to>
      <xdr:col>6</xdr:col>
      <xdr:colOff>447675</xdr:colOff>
      <xdr:row>75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74</xdr:row>
      <xdr:rowOff>0</xdr:rowOff>
    </xdr:from>
    <xdr:to>
      <xdr:col>7</xdr:col>
      <xdr:colOff>0</xdr:colOff>
      <xdr:row>75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75</xdr:row>
      <xdr:rowOff>0</xdr:rowOff>
    </xdr:from>
    <xdr:to>
      <xdr:col>3</xdr:col>
      <xdr:colOff>304800</xdr:colOff>
      <xdr:row>76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75</xdr:row>
      <xdr:rowOff>0</xdr:rowOff>
    </xdr:from>
    <xdr:to>
      <xdr:col>3</xdr:col>
      <xdr:colOff>1276350</xdr:colOff>
      <xdr:row>76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75</xdr:row>
      <xdr:rowOff>0</xdr:rowOff>
    </xdr:from>
    <xdr:to>
      <xdr:col>4</xdr:col>
      <xdr:colOff>619125</xdr:colOff>
      <xdr:row>76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75</xdr:row>
      <xdr:rowOff>0</xdr:rowOff>
    </xdr:from>
    <xdr:to>
      <xdr:col>5</xdr:col>
      <xdr:colOff>523875</xdr:colOff>
      <xdr:row>76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75</xdr:row>
      <xdr:rowOff>0</xdr:rowOff>
    </xdr:from>
    <xdr:to>
      <xdr:col>6</xdr:col>
      <xdr:colOff>723900</xdr:colOff>
      <xdr:row>76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75</xdr:row>
      <xdr:rowOff>0</xdr:rowOff>
    </xdr:from>
    <xdr:to>
      <xdr:col>7</xdr:col>
      <xdr:colOff>0</xdr:colOff>
      <xdr:row>76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47</xdr:row>
      <xdr:rowOff>15238</xdr:rowOff>
    </xdr:from>
    <xdr:to>
      <xdr:col>7</xdr:col>
      <xdr:colOff>68580</xdr:colOff>
      <xdr:row>51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OBSERVACIONES:EMBALAR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POR TRANSPORTE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34</xdr:row>
      <xdr:rowOff>1905</xdr:rowOff>
    </xdr:from>
    <xdr:to>
      <xdr:col>7</xdr:col>
      <xdr:colOff>19049</xdr:colOff>
      <xdr:row>35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77</xdr:row>
      <xdr:rowOff>32385</xdr:rowOff>
    </xdr:from>
    <xdr:to>
      <xdr:col>7</xdr:col>
      <xdr:colOff>19050</xdr:colOff>
      <xdr:row>82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OBSERVACIONES:EMBALAR SON POR TRANSPORTE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54</xdr:row>
      <xdr:rowOff>175260</xdr:rowOff>
    </xdr:from>
    <xdr:to>
      <xdr:col>2</xdr:col>
      <xdr:colOff>433184</xdr:colOff>
      <xdr:row>60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0"/>
  <sheetViews>
    <sheetView tabSelected="1" topLeftCell="A14" workbookViewId="0">
      <selection activeCell="J25" sqref="J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4.5546875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14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12</v>
      </c>
      <c r="G7" s="1"/>
      <c r="H7" s="1"/>
      <c r="I7" s="1"/>
    </row>
    <row r="8" spans="1:17" ht="16.2" thickBot="1" x14ac:dyDescent="0.35">
      <c r="A8" s="1"/>
      <c r="B8" s="75" t="s">
        <v>15</v>
      </c>
      <c r="C8" s="76"/>
      <c r="D8" s="77" t="s">
        <v>141</v>
      </c>
      <c r="E8" s="1"/>
      <c r="F8" s="78" t="s">
        <v>26</v>
      </c>
      <c r="G8" s="79">
        <v>7105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130</v>
      </c>
      <c r="C10" s="71" t="s">
        <v>139</v>
      </c>
      <c r="D10" s="49"/>
      <c r="E10" s="49"/>
      <c r="F10" s="50" t="s">
        <v>27</v>
      </c>
      <c r="G10" s="51">
        <v>45537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87"/>
      <c r="D11" s="54"/>
      <c r="E11" s="54"/>
      <c r="F11" s="54" t="s">
        <v>124</v>
      </c>
      <c r="G11" s="55">
        <v>45540</v>
      </c>
      <c r="H11" s="56"/>
      <c r="I11" s="1"/>
    </row>
    <row r="12" spans="1:17" ht="17.399999999999999" thickBot="1" x14ac:dyDescent="0.45">
      <c r="A12" s="1"/>
      <c r="B12" s="53" t="s">
        <v>131</v>
      </c>
      <c r="C12" s="87"/>
      <c r="D12" s="54"/>
      <c r="E12" s="54"/>
      <c r="F12" s="54"/>
      <c r="G12" s="81"/>
      <c r="H12" s="56"/>
      <c r="I12" s="1"/>
    </row>
    <row r="13" spans="1:17" ht="15.6" x14ac:dyDescent="0.3">
      <c r="A13" s="1"/>
      <c r="B13" s="57" t="s">
        <v>111</v>
      </c>
      <c r="C13" s="71"/>
      <c r="D13" s="38"/>
      <c r="E13" s="38"/>
      <c r="F13" s="38" t="s">
        <v>29</v>
      </c>
      <c r="G13" s="58"/>
      <c r="H13" s="59"/>
      <c r="I13" s="1"/>
    </row>
    <row r="14" spans="1:17" ht="15.6" x14ac:dyDescent="0.3">
      <c r="A14" s="1"/>
      <c r="B14" s="57" t="s">
        <v>127</v>
      </c>
      <c r="C14" s="95"/>
      <c r="D14" s="38"/>
      <c r="E14" s="38"/>
      <c r="F14" s="38" t="s">
        <v>129</v>
      </c>
      <c r="G14" s="58" t="s">
        <v>132</v>
      </c>
      <c r="H14" s="59"/>
      <c r="I14" s="1"/>
    </row>
    <row r="15" spans="1:17" ht="15.6" x14ac:dyDescent="0.3">
      <c r="A15" s="1"/>
      <c r="B15" s="53" t="s">
        <v>16</v>
      </c>
      <c r="C15" s="96" t="s">
        <v>142</v>
      </c>
      <c r="D15" s="60"/>
      <c r="E15" s="54"/>
      <c r="F15" s="54" t="s">
        <v>28</v>
      </c>
      <c r="G15" s="54" t="s">
        <v>138</v>
      </c>
      <c r="H15" s="56"/>
      <c r="I15" s="1"/>
    </row>
    <row r="16" spans="1:17" ht="16.8" x14ac:dyDescent="0.4">
      <c r="A16" s="1"/>
      <c r="B16" s="92" t="s">
        <v>1</v>
      </c>
      <c r="C16" s="87"/>
      <c r="D16" s="38"/>
      <c r="E16" s="38"/>
      <c r="F16" s="61" t="s">
        <v>74</v>
      </c>
      <c r="G16" s="82" t="s">
        <v>135</v>
      </c>
      <c r="H16" s="59"/>
      <c r="I16" s="1"/>
    </row>
    <row r="17" spans="1:19" ht="16.2" thickBot="1" x14ac:dyDescent="0.35">
      <c r="A17" s="1"/>
      <c r="B17" s="62" t="s">
        <v>3</v>
      </c>
      <c r="C17" s="97" t="s">
        <v>140</v>
      </c>
      <c r="D17" s="63"/>
      <c r="E17" s="64"/>
      <c r="F17" s="105" t="s">
        <v>17</v>
      </c>
      <c r="G17" s="105"/>
      <c r="H17" s="106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07" t="s">
        <v>18</v>
      </c>
      <c r="C20" s="108"/>
      <c r="D20" s="108"/>
      <c r="E20" s="108"/>
      <c r="F20" s="108"/>
      <c r="G20" s="108"/>
      <c r="H20" s="109"/>
      <c r="I20" s="1"/>
    </row>
    <row r="21" spans="1:19" ht="16.2" thickBot="1" x14ac:dyDescent="0.35">
      <c r="A21" s="1"/>
      <c r="B21" s="65" t="s">
        <v>19</v>
      </c>
      <c r="C21" s="98" t="s">
        <v>20</v>
      </c>
      <c r="D21" s="98" t="s">
        <v>21</v>
      </c>
      <c r="E21" s="98" t="s">
        <v>7</v>
      </c>
      <c r="F21" s="99" t="s">
        <v>22</v>
      </c>
      <c r="G21" s="100" t="s">
        <v>23</v>
      </c>
      <c r="H21" s="99" t="s">
        <v>4</v>
      </c>
      <c r="I21" s="1"/>
      <c r="L21">
        <v>45000</v>
      </c>
    </row>
    <row r="22" spans="1:19" ht="18" customHeight="1" x14ac:dyDescent="0.3">
      <c r="A22" s="1"/>
      <c r="B22" s="119">
        <v>1</v>
      </c>
      <c r="C22" s="120" t="s">
        <v>143</v>
      </c>
      <c r="D22" s="139">
        <v>2100</v>
      </c>
      <c r="E22" s="139">
        <v>740</v>
      </c>
      <c r="F22" s="120" t="s">
        <v>144</v>
      </c>
      <c r="G22" s="102">
        <v>147044</v>
      </c>
      <c r="H22" s="103">
        <f t="shared" ref="H22:H28" si="0">G22*B22</f>
        <v>147044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121">
        <v>1</v>
      </c>
      <c r="C23" s="122" t="s">
        <v>145</v>
      </c>
      <c r="D23" s="140">
        <v>2670</v>
      </c>
      <c r="E23" s="140">
        <v>630</v>
      </c>
      <c r="F23" s="122" t="s">
        <v>144</v>
      </c>
      <c r="G23" s="123">
        <v>158375</v>
      </c>
      <c r="H23" s="124">
        <f t="shared" si="0"/>
        <v>158375</v>
      </c>
      <c r="K23" s="16"/>
      <c r="L23" s="24"/>
      <c r="M23" s="16"/>
      <c r="N23" s="16"/>
      <c r="O23" s="24"/>
      <c r="P23" s="31"/>
    </row>
    <row r="24" spans="1:19" ht="18" customHeight="1" x14ac:dyDescent="0.3">
      <c r="A24" s="1"/>
      <c r="B24" s="121">
        <v>1</v>
      </c>
      <c r="C24" s="122" t="s">
        <v>145</v>
      </c>
      <c r="D24" s="140">
        <v>2295</v>
      </c>
      <c r="E24" s="140">
        <v>580</v>
      </c>
      <c r="F24" s="122" t="s">
        <v>144</v>
      </c>
      <c r="G24" s="123">
        <v>125704</v>
      </c>
      <c r="H24" s="124">
        <f t="shared" si="0"/>
        <v>125704</v>
      </c>
      <c r="K24" s="16"/>
      <c r="L24" s="24"/>
      <c r="M24" s="16"/>
      <c r="N24" s="16"/>
      <c r="O24" s="24"/>
      <c r="P24" s="31"/>
    </row>
    <row r="25" spans="1:19" ht="18" customHeight="1" x14ac:dyDescent="0.3">
      <c r="A25" s="1"/>
      <c r="B25" s="125">
        <v>1</v>
      </c>
      <c r="C25" s="101" t="s">
        <v>145</v>
      </c>
      <c r="D25" s="141">
        <v>1250</v>
      </c>
      <c r="E25" s="141">
        <v>450</v>
      </c>
      <c r="F25" s="101" t="s">
        <v>144</v>
      </c>
      <c r="G25" s="123">
        <v>51664</v>
      </c>
      <c r="H25" s="124">
        <f t="shared" si="0"/>
        <v>51664</v>
      </c>
      <c r="K25" s="16"/>
      <c r="L25" s="24"/>
      <c r="M25" s="16"/>
      <c r="N25" s="16"/>
      <c r="O25" s="24"/>
      <c r="P25" s="31"/>
    </row>
    <row r="26" spans="1:19" ht="18" customHeight="1" x14ac:dyDescent="0.3">
      <c r="A26" s="1"/>
      <c r="B26" s="121">
        <v>1</v>
      </c>
      <c r="C26" s="122" t="s">
        <v>146</v>
      </c>
      <c r="D26" s="140">
        <v>2295</v>
      </c>
      <c r="E26" s="140">
        <v>70</v>
      </c>
      <c r="F26" s="122" t="s">
        <v>144</v>
      </c>
      <c r="G26" s="123">
        <v>15171</v>
      </c>
      <c r="H26" s="124">
        <f t="shared" si="0"/>
        <v>15171</v>
      </c>
      <c r="K26" s="16"/>
      <c r="L26" s="24"/>
      <c r="M26" s="16"/>
      <c r="N26" s="16"/>
      <c r="O26" s="24"/>
      <c r="P26" s="31"/>
    </row>
    <row r="27" spans="1:19" ht="18" customHeight="1" x14ac:dyDescent="0.3">
      <c r="A27" s="1"/>
      <c r="B27" s="121">
        <v>1</v>
      </c>
      <c r="C27" s="122" t="s">
        <v>146</v>
      </c>
      <c r="D27" s="140">
        <v>2670</v>
      </c>
      <c r="E27" s="140">
        <v>70</v>
      </c>
      <c r="F27" s="122" t="s">
        <v>144</v>
      </c>
      <c r="G27" s="123">
        <v>17597</v>
      </c>
      <c r="H27" s="124">
        <f t="shared" si="0"/>
        <v>17597</v>
      </c>
      <c r="K27" s="16"/>
      <c r="L27" s="24"/>
      <c r="M27" s="16"/>
      <c r="N27" s="16"/>
      <c r="O27" s="24"/>
      <c r="P27" s="31"/>
    </row>
    <row r="28" spans="1:19" ht="16.2" thickBot="1" x14ac:dyDescent="0.35">
      <c r="A28" s="1"/>
      <c r="B28" s="126">
        <v>1</v>
      </c>
      <c r="C28" s="127" t="s">
        <v>146</v>
      </c>
      <c r="D28" s="142">
        <v>1250</v>
      </c>
      <c r="E28" s="142">
        <v>70</v>
      </c>
      <c r="F28" s="127" t="s">
        <v>144</v>
      </c>
      <c r="G28" s="128">
        <v>8410</v>
      </c>
      <c r="H28" s="129">
        <f t="shared" si="0"/>
        <v>8410</v>
      </c>
      <c r="I28" s="1"/>
      <c r="L28" s="2"/>
      <c r="O28" s="2"/>
      <c r="P28">
        <v>2940</v>
      </c>
      <c r="Q28">
        <v>600</v>
      </c>
      <c r="S28" t="s">
        <v>136</v>
      </c>
    </row>
    <row r="29" spans="1:19" ht="15.6" x14ac:dyDescent="0.3">
      <c r="A29" s="1"/>
      <c r="B29" s="118"/>
      <c r="C29" s="118"/>
      <c r="D29" s="130"/>
      <c r="E29" s="130"/>
      <c r="F29" s="118"/>
      <c r="G29" s="123" t="s">
        <v>147</v>
      </c>
      <c r="H29" s="123">
        <v>523965</v>
      </c>
      <c r="I29" s="1"/>
      <c r="L29" s="2"/>
      <c r="O29" s="2"/>
    </row>
    <row r="30" spans="1:19" ht="15.6" x14ac:dyDescent="0.3">
      <c r="A30" s="1"/>
      <c r="B30" s="118"/>
      <c r="C30" s="118"/>
      <c r="D30" s="130"/>
      <c r="E30" s="130"/>
      <c r="F30" s="118"/>
      <c r="G30" s="123" t="s">
        <v>148</v>
      </c>
      <c r="H30" s="123">
        <v>-25814</v>
      </c>
      <c r="I30" s="1"/>
      <c r="L30" s="2"/>
      <c r="O30" s="2"/>
    </row>
    <row r="31" spans="1:19" ht="15.6" x14ac:dyDescent="0.3">
      <c r="A31" s="1"/>
      <c r="B31" s="118"/>
      <c r="C31" s="118"/>
      <c r="D31" s="130"/>
      <c r="E31" s="130"/>
      <c r="F31" s="118"/>
      <c r="G31" s="131" t="s">
        <v>5</v>
      </c>
      <c r="H31" s="132">
        <f>H29+H30</f>
        <v>498151</v>
      </c>
      <c r="I31" s="1"/>
      <c r="L31" s="2"/>
      <c r="O31" s="2"/>
    </row>
    <row r="32" spans="1:19" ht="15.6" x14ac:dyDescent="0.3">
      <c r="A32" s="1"/>
      <c r="B32" s="1"/>
      <c r="C32" s="1"/>
      <c r="D32" s="1"/>
      <c r="E32" s="1"/>
      <c r="F32" s="1"/>
      <c r="G32" s="133" t="s">
        <v>149</v>
      </c>
      <c r="H32" s="134">
        <f>H31*0.19</f>
        <v>94648.69</v>
      </c>
      <c r="I32" s="1"/>
      <c r="L32" s="2"/>
      <c r="O32" s="24"/>
      <c r="P32" s="31">
        <v>1890</v>
      </c>
      <c r="Q32">
        <v>600</v>
      </c>
    </row>
    <row r="33" spans="1:12" ht="15.6" x14ac:dyDescent="0.3">
      <c r="A33" s="1"/>
      <c r="B33" s="1"/>
      <c r="C33" s="1"/>
      <c r="D33" s="1"/>
      <c r="E33" s="1"/>
      <c r="F33" s="1"/>
      <c r="G33" s="137" t="s">
        <v>4</v>
      </c>
      <c r="H33" s="138">
        <f>H31+H32</f>
        <v>592799.68999999994</v>
      </c>
      <c r="I33" s="1"/>
      <c r="L33" s="2"/>
    </row>
    <row r="34" spans="1:12" ht="15.6" x14ac:dyDescent="0.3">
      <c r="A34" s="1"/>
      <c r="B34" s="1"/>
      <c r="C34" s="1"/>
      <c r="D34" s="1"/>
      <c r="E34" s="1"/>
      <c r="F34" s="1"/>
      <c r="G34" s="135"/>
      <c r="H34" s="136"/>
      <c r="I34" s="1"/>
      <c r="L34" s="2"/>
    </row>
    <row r="35" spans="1:12" ht="15.6" x14ac:dyDescent="0.3">
      <c r="A35" s="1"/>
      <c r="B35" s="1"/>
      <c r="C35" s="1"/>
      <c r="D35" s="1"/>
      <c r="E35" s="1"/>
      <c r="F35" s="1"/>
      <c r="H35" s="31"/>
      <c r="I35" s="1"/>
    </row>
    <row r="36" spans="1:12" ht="15.6" x14ac:dyDescent="0.3">
      <c r="A36" s="1"/>
      <c r="B36" s="67" t="s">
        <v>123</v>
      </c>
      <c r="C36" s="68"/>
      <c r="D36" s="69"/>
      <c r="E36" s="69"/>
      <c r="F36" s="66"/>
      <c r="I36" s="1"/>
    </row>
    <row r="37" spans="1:12" ht="15.6" x14ac:dyDescent="0.3">
      <c r="A37" s="1"/>
      <c r="B37" s="67" t="s">
        <v>122</v>
      </c>
      <c r="C37" s="68"/>
      <c r="D37" s="69"/>
      <c r="E37" s="69"/>
      <c r="F37" s="66"/>
      <c r="G37" s="1"/>
      <c r="H37" s="1"/>
      <c r="I37" s="1"/>
    </row>
    <row r="38" spans="1:12" ht="15.6" x14ac:dyDescent="0.3">
      <c r="A38" s="1"/>
      <c r="B38" s="1" t="s">
        <v>24</v>
      </c>
      <c r="C38" s="1"/>
      <c r="D38" s="1"/>
      <c r="E38" s="70" t="s">
        <v>25</v>
      </c>
      <c r="F38" s="1"/>
      <c r="G38" s="1"/>
      <c r="H38" s="1"/>
      <c r="I38" s="1"/>
    </row>
    <row r="39" spans="1:12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12" ht="15.6" x14ac:dyDescent="0.3">
      <c r="A40" s="1"/>
      <c r="B40" s="1"/>
      <c r="C40" s="1"/>
      <c r="D40" s="1"/>
      <c r="E40" s="1"/>
      <c r="F40" s="1"/>
      <c r="G40" s="1"/>
      <c r="H40" s="1"/>
      <c r="I40" s="1"/>
    </row>
  </sheetData>
  <sortState xmlns:xlrd2="http://schemas.microsoft.com/office/spreadsheetml/2017/richdata2" ref="B42">
    <sortCondition sortBy="fontColor" ref="B42" dxfId="6"/>
  </sortState>
  <mergeCells count="2">
    <mergeCell ref="F17:H17"/>
    <mergeCell ref="B20:H20"/>
  </mergeCells>
  <phoneticPr fontId="10" type="noConversion"/>
  <hyperlinks>
    <hyperlink ref="E3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0" t="s">
        <v>30</v>
      </c>
      <c r="C2" s="110"/>
      <c r="D2" s="110"/>
      <c r="E2" s="17"/>
      <c r="G2" s="110" t="s">
        <v>69</v>
      </c>
      <c r="H2" s="110"/>
      <c r="I2" s="110"/>
      <c r="P2" s="111" t="s">
        <v>57</v>
      </c>
      <c r="Q2" s="111"/>
      <c r="R2" s="111"/>
    </row>
    <row r="3" spans="2:18" x14ac:dyDescent="0.3">
      <c r="B3" s="11" t="s">
        <v>6</v>
      </c>
      <c r="C3" s="11" t="s">
        <v>7</v>
      </c>
      <c r="D3" s="11" t="s">
        <v>20</v>
      </c>
      <c r="E3" s="18"/>
      <c r="G3" s="11" t="s">
        <v>6</v>
      </c>
      <c r="H3" s="11" t="s">
        <v>7</v>
      </c>
      <c r="I3" s="11" t="s">
        <v>20</v>
      </c>
      <c r="P3" s="11" t="s">
        <v>6</v>
      </c>
      <c r="Q3" s="11" t="s">
        <v>7</v>
      </c>
      <c r="R3" s="11" t="s">
        <v>20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100</v>
      </c>
      <c r="G4" s="27">
        <v>50</v>
      </c>
      <c r="H4" s="27">
        <v>100</v>
      </c>
      <c r="I4" s="28" t="s">
        <v>113</v>
      </c>
      <c r="J4" s="29" t="s">
        <v>108</v>
      </c>
      <c r="K4" s="29"/>
      <c r="L4" s="29"/>
      <c r="M4" s="29"/>
      <c r="P4">
        <v>50</v>
      </c>
      <c r="Q4">
        <v>-30</v>
      </c>
      <c r="R4" t="s">
        <v>31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101</v>
      </c>
      <c r="G5" s="27">
        <v>50</v>
      </c>
      <c r="H5" s="27"/>
      <c r="I5" s="28" t="s">
        <v>115</v>
      </c>
      <c r="J5" s="29" t="s">
        <v>117</v>
      </c>
      <c r="K5" s="29"/>
      <c r="L5" s="29"/>
      <c r="M5" s="29"/>
      <c r="P5">
        <v>50</v>
      </c>
      <c r="Q5">
        <v>-30</v>
      </c>
      <c r="R5" t="s">
        <v>31</v>
      </c>
    </row>
    <row r="6" spans="2:18" x14ac:dyDescent="0.3">
      <c r="B6" s="9">
        <v>40</v>
      </c>
      <c r="C6" s="9">
        <v>100</v>
      </c>
      <c r="D6" s="10" t="s">
        <v>55</v>
      </c>
      <c r="E6" s="8" t="s">
        <v>102</v>
      </c>
      <c r="G6" s="9">
        <v>50</v>
      </c>
      <c r="H6" s="9">
        <v>100</v>
      </c>
      <c r="I6" s="10" t="s">
        <v>55</v>
      </c>
      <c r="P6">
        <v>50</v>
      </c>
      <c r="Q6">
        <v>-30</v>
      </c>
      <c r="R6" t="s">
        <v>33</v>
      </c>
    </row>
    <row r="7" spans="2:18" x14ac:dyDescent="0.3">
      <c r="B7" s="9">
        <v>40</v>
      </c>
      <c r="C7" s="9">
        <v>150</v>
      </c>
      <c r="D7" s="10" t="s">
        <v>56</v>
      </c>
      <c r="E7" s="8" t="s">
        <v>103</v>
      </c>
      <c r="G7" s="9">
        <v>50</v>
      </c>
      <c r="H7" s="9"/>
      <c r="I7" s="10" t="s">
        <v>56</v>
      </c>
      <c r="P7">
        <v>50</v>
      </c>
      <c r="Q7">
        <v>-30</v>
      </c>
      <c r="R7" t="s">
        <v>43</v>
      </c>
    </row>
    <row r="8" spans="2:18" x14ac:dyDescent="0.3">
      <c r="B8" s="9">
        <v>40</v>
      </c>
      <c r="C8" s="9">
        <v>100</v>
      </c>
      <c r="D8" s="10" t="s">
        <v>39</v>
      </c>
      <c r="E8" s="8" t="s">
        <v>104</v>
      </c>
      <c r="G8" s="9">
        <v>50</v>
      </c>
      <c r="H8" s="9">
        <v>100</v>
      </c>
      <c r="I8" s="10" t="s">
        <v>39</v>
      </c>
      <c r="L8" s="111" t="s">
        <v>57</v>
      </c>
      <c r="M8" s="111"/>
      <c r="N8" s="111"/>
      <c r="P8">
        <v>50</v>
      </c>
      <c r="Q8">
        <v>-30</v>
      </c>
      <c r="R8" t="s">
        <v>49</v>
      </c>
    </row>
    <row r="9" spans="2:18" x14ac:dyDescent="0.3">
      <c r="B9" s="9">
        <v>40</v>
      </c>
      <c r="C9" s="9">
        <v>50</v>
      </c>
      <c r="D9" s="10" t="s">
        <v>53</v>
      </c>
      <c r="E9" s="8" t="s">
        <v>75</v>
      </c>
      <c r="G9" s="9">
        <v>50</v>
      </c>
      <c r="H9" s="9">
        <v>100</v>
      </c>
      <c r="I9" s="10" t="s">
        <v>38</v>
      </c>
      <c r="L9" s="11" t="s">
        <v>6</v>
      </c>
      <c r="M9" s="11" t="s">
        <v>7</v>
      </c>
      <c r="N9" s="11" t="s">
        <v>20</v>
      </c>
      <c r="P9">
        <v>50</v>
      </c>
      <c r="Q9">
        <v>0</v>
      </c>
      <c r="R9" t="s">
        <v>44</v>
      </c>
    </row>
    <row r="10" spans="2:18" x14ac:dyDescent="0.3">
      <c r="B10" s="9">
        <v>40</v>
      </c>
      <c r="C10" s="9">
        <v>80</v>
      </c>
      <c r="D10" s="10" t="s">
        <v>54</v>
      </c>
      <c r="E10" s="8" t="s">
        <v>76</v>
      </c>
      <c r="G10" s="9">
        <v>50</v>
      </c>
      <c r="H10" s="9"/>
      <c r="I10" s="10" t="s">
        <v>40</v>
      </c>
      <c r="L10" s="9">
        <v>50</v>
      </c>
      <c r="M10" s="9">
        <v>-30</v>
      </c>
      <c r="N10" s="10" t="s">
        <v>31</v>
      </c>
      <c r="P10">
        <v>50</v>
      </c>
      <c r="Q10">
        <v>0</v>
      </c>
      <c r="R10" t="s">
        <v>32</v>
      </c>
    </row>
    <row r="11" spans="2:18" x14ac:dyDescent="0.3">
      <c r="B11" s="9">
        <v>40</v>
      </c>
      <c r="C11" s="9">
        <v>60</v>
      </c>
      <c r="D11" s="10" t="s">
        <v>70</v>
      </c>
      <c r="E11" s="8" t="s">
        <v>77</v>
      </c>
      <c r="G11" s="9">
        <v>50</v>
      </c>
      <c r="H11" s="9">
        <v>100</v>
      </c>
      <c r="I11" s="10" t="s">
        <v>53</v>
      </c>
      <c r="L11" s="9">
        <v>50</v>
      </c>
      <c r="M11" s="9">
        <v>0</v>
      </c>
      <c r="N11" s="10" t="s">
        <v>58</v>
      </c>
      <c r="P11">
        <v>50</v>
      </c>
      <c r="Q11">
        <v>0</v>
      </c>
      <c r="R11" t="s">
        <v>35</v>
      </c>
    </row>
    <row r="12" spans="2:18" x14ac:dyDescent="0.3">
      <c r="B12" s="9">
        <v>40</v>
      </c>
      <c r="C12" s="9">
        <v>100</v>
      </c>
      <c r="D12" s="10" t="s">
        <v>71</v>
      </c>
      <c r="E12" s="8" t="s">
        <v>78</v>
      </c>
      <c r="G12" s="9">
        <v>50</v>
      </c>
      <c r="H12" s="9"/>
      <c r="I12" s="10" t="s">
        <v>54</v>
      </c>
      <c r="L12" s="9">
        <v>50</v>
      </c>
      <c r="M12" s="9">
        <v>-2</v>
      </c>
      <c r="N12" s="10" t="s">
        <v>59</v>
      </c>
      <c r="P12">
        <v>50</v>
      </c>
      <c r="Q12">
        <v>0</v>
      </c>
      <c r="R12" t="s">
        <v>36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79</v>
      </c>
      <c r="G13" s="9">
        <v>50</v>
      </c>
      <c r="H13" s="9">
        <v>-30</v>
      </c>
      <c r="I13" s="10" t="s">
        <v>31</v>
      </c>
      <c r="P13">
        <v>50</v>
      </c>
      <c r="Q13">
        <v>0</v>
      </c>
      <c r="R13" t="s">
        <v>37</v>
      </c>
    </row>
    <row r="14" spans="2:18" x14ac:dyDescent="0.3">
      <c r="B14" s="9">
        <v>40</v>
      </c>
      <c r="C14" s="9">
        <v>150</v>
      </c>
      <c r="D14" s="10" t="s">
        <v>33</v>
      </c>
      <c r="E14" s="8"/>
      <c r="G14" s="9">
        <v>50</v>
      </c>
      <c r="H14" s="9">
        <v>-30</v>
      </c>
      <c r="I14" s="10" t="s">
        <v>33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80</v>
      </c>
      <c r="G15" s="9">
        <v>50</v>
      </c>
      <c r="H15" s="9">
        <v>-30</v>
      </c>
      <c r="I15" s="10" t="s">
        <v>43</v>
      </c>
      <c r="P15">
        <v>50</v>
      </c>
      <c r="Q15">
        <v>0</v>
      </c>
      <c r="R15" t="s">
        <v>34</v>
      </c>
    </row>
    <row r="16" spans="2:18" x14ac:dyDescent="0.3">
      <c r="B16" s="9">
        <v>40</v>
      </c>
      <c r="C16" s="9">
        <v>130</v>
      </c>
      <c r="D16" s="10" t="s">
        <v>105</v>
      </c>
      <c r="E16" s="8" t="s">
        <v>81</v>
      </c>
      <c r="G16" s="9">
        <v>50</v>
      </c>
      <c r="H16" s="9">
        <v>-30</v>
      </c>
      <c r="I16" s="10" t="s">
        <v>73</v>
      </c>
      <c r="P16">
        <v>50</v>
      </c>
      <c r="Q16">
        <v>0</v>
      </c>
      <c r="R16" t="s">
        <v>45</v>
      </c>
    </row>
    <row r="17" spans="2:18" x14ac:dyDescent="0.3">
      <c r="B17" s="9">
        <v>40</v>
      </c>
      <c r="C17" s="9">
        <v>150</v>
      </c>
      <c r="D17" s="10" t="s">
        <v>35</v>
      </c>
      <c r="E17" s="8" t="s">
        <v>82</v>
      </c>
      <c r="G17" s="9">
        <v>50</v>
      </c>
      <c r="H17" s="9"/>
      <c r="I17" s="10" t="s">
        <v>35</v>
      </c>
      <c r="P17">
        <v>50</v>
      </c>
      <c r="Q17">
        <v>0</v>
      </c>
      <c r="R17" t="s">
        <v>46</v>
      </c>
    </row>
    <row r="18" spans="2:18" x14ac:dyDescent="0.3">
      <c r="B18" s="9">
        <v>140</v>
      </c>
      <c r="C18" s="9">
        <v>150</v>
      </c>
      <c r="D18" s="10" t="s">
        <v>36</v>
      </c>
      <c r="E18" s="8" t="s">
        <v>83</v>
      </c>
      <c r="G18" s="9">
        <v>50</v>
      </c>
      <c r="H18" s="9"/>
      <c r="I18" s="10" t="s">
        <v>36</v>
      </c>
      <c r="P18">
        <v>50</v>
      </c>
      <c r="Q18">
        <v>0</v>
      </c>
      <c r="R18" t="s">
        <v>47</v>
      </c>
    </row>
    <row r="19" spans="2:18" x14ac:dyDescent="0.3">
      <c r="B19" s="9">
        <v>150</v>
      </c>
      <c r="C19" s="9">
        <v>150</v>
      </c>
      <c r="D19" s="10" t="s">
        <v>37</v>
      </c>
      <c r="E19" s="8" t="s">
        <v>84</v>
      </c>
      <c r="G19" s="9">
        <v>50</v>
      </c>
      <c r="H19" s="9"/>
      <c r="I19" s="10" t="s">
        <v>37</v>
      </c>
      <c r="P19">
        <v>50</v>
      </c>
      <c r="Q19">
        <v>0</v>
      </c>
      <c r="R19" t="s">
        <v>50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85</v>
      </c>
      <c r="G20" s="9">
        <v>50</v>
      </c>
      <c r="H20" s="9">
        <v>0</v>
      </c>
      <c r="I20" s="10" t="s">
        <v>118</v>
      </c>
      <c r="J20" s="29" t="s">
        <v>110</v>
      </c>
      <c r="K20" s="29"/>
      <c r="L20" s="29"/>
      <c r="M20" s="29"/>
      <c r="P20">
        <v>50</v>
      </c>
      <c r="Q20">
        <v>0</v>
      </c>
      <c r="R20" t="s">
        <v>51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86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52</v>
      </c>
    </row>
    <row r="22" spans="2:18" x14ac:dyDescent="0.3">
      <c r="B22" s="9">
        <v>100</v>
      </c>
      <c r="C22" s="9">
        <v>100</v>
      </c>
      <c r="D22" s="10" t="s">
        <v>34</v>
      </c>
      <c r="E22" s="8" t="s">
        <v>87</v>
      </c>
      <c r="G22" s="27"/>
      <c r="H22" s="27"/>
      <c r="I22" s="28" t="s">
        <v>34</v>
      </c>
      <c r="P22">
        <v>50</v>
      </c>
      <c r="Q22">
        <v>0</v>
      </c>
      <c r="R22" t="s">
        <v>48</v>
      </c>
    </row>
    <row r="23" spans="2:18" x14ac:dyDescent="0.3">
      <c r="B23" s="9">
        <v>40</v>
      </c>
      <c r="C23" s="9">
        <v>150</v>
      </c>
      <c r="D23" s="10" t="s">
        <v>45</v>
      </c>
      <c r="E23" s="8" t="s">
        <v>88</v>
      </c>
      <c r="G23" s="9">
        <v>50</v>
      </c>
      <c r="H23" s="9"/>
      <c r="I23" s="10" t="s">
        <v>45</v>
      </c>
      <c r="R23" t="s">
        <v>41</v>
      </c>
    </row>
    <row r="24" spans="2:18" x14ac:dyDescent="0.3">
      <c r="B24" s="9">
        <v>140</v>
      </c>
      <c r="C24" s="9">
        <v>150</v>
      </c>
      <c r="D24" s="10" t="s">
        <v>46</v>
      </c>
      <c r="E24" s="8" t="s">
        <v>89</v>
      </c>
      <c r="G24" s="9">
        <v>50</v>
      </c>
      <c r="H24" s="9"/>
      <c r="I24" s="10" t="s">
        <v>46</v>
      </c>
      <c r="R24" t="s">
        <v>42</v>
      </c>
    </row>
    <row r="25" spans="2:18" x14ac:dyDescent="0.3">
      <c r="B25" s="9">
        <v>150</v>
      </c>
      <c r="C25" s="9">
        <v>150</v>
      </c>
      <c r="D25" s="10" t="s">
        <v>47</v>
      </c>
      <c r="E25" s="8" t="s">
        <v>90</v>
      </c>
      <c r="G25" s="9">
        <v>50</v>
      </c>
      <c r="H25" s="9"/>
      <c r="I25" s="10" t="s">
        <v>47</v>
      </c>
      <c r="R25" t="s">
        <v>55</v>
      </c>
    </row>
    <row r="26" spans="2:18" x14ac:dyDescent="0.3">
      <c r="B26" s="9">
        <v>40</v>
      </c>
      <c r="C26" s="9">
        <v>77</v>
      </c>
      <c r="D26" s="10" t="s">
        <v>50</v>
      </c>
      <c r="E26" s="8" t="s">
        <v>91</v>
      </c>
      <c r="G26" s="9">
        <v>50</v>
      </c>
      <c r="H26" s="9"/>
      <c r="I26" s="10" t="s">
        <v>50</v>
      </c>
      <c r="R26" t="s">
        <v>56</v>
      </c>
    </row>
    <row r="27" spans="2:18" x14ac:dyDescent="0.3">
      <c r="B27" s="9">
        <v>110</v>
      </c>
      <c r="C27" s="9">
        <v>77</v>
      </c>
      <c r="D27" s="10" t="s">
        <v>51</v>
      </c>
      <c r="E27" s="8" t="s">
        <v>92</v>
      </c>
      <c r="G27" s="9">
        <v>50</v>
      </c>
      <c r="H27" s="9"/>
      <c r="I27" s="10" t="s">
        <v>51</v>
      </c>
      <c r="R27" t="s">
        <v>39</v>
      </c>
    </row>
    <row r="28" spans="2:18" x14ac:dyDescent="0.3">
      <c r="B28" s="9">
        <v>120</v>
      </c>
      <c r="C28" s="9">
        <v>77</v>
      </c>
      <c r="D28" s="10" t="s">
        <v>52</v>
      </c>
      <c r="E28" s="8" t="s">
        <v>93</v>
      </c>
      <c r="G28" s="9">
        <v>50</v>
      </c>
      <c r="H28" s="9"/>
      <c r="I28" s="10" t="s">
        <v>52</v>
      </c>
      <c r="R28" t="s">
        <v>38</v>
      </c>
    </row>
    <row r="29" spans="2:18" x14ac:dyDescent="0.3">
      <c r="B29" s="9">
        <v>40</v>
      </c>
      <c r="C29" s="9">
        <v>50</v>
      </c>
      <c r="D29" s="10" t="s">
        <v>48</v>
      </c>
      <c r="E29" s="8" t="s">
        <v>94</v>
      </c>
      <c r="G29" s="9">
        <v>50</v>
      </c>
      <c r="H29" s="9"/>
      <c r="I29" s="10" t="s">
        <v>48</v>
      </c>
      <c r="R29" t="s">
        <v>40</v>
      </c>
    </row>
    <row r="30" spans="2:18" x14ac:dyDescent="0.3">
      <c r="B30" s="9">
        <v>40</v>
      </c>
      <c r="C30" s="9">
        <v>60</v>
      </c>
      <c r="D30" s="10" t="s">
        <v>72</v>
      </c>
      <c r="E30" s="8" t="s">
        <v>95</v>
      </c>
      <c r="G30" s="9">
        <v>50</v>
      </c>
      <c r="H30" s="9"/>
      <c r="I30" s="10" t="s">
        <v>32</v>
      </c>
      <c r="R30" t="s">
        <v>53</v>
      </c>
    </row>
    <row r="31" spans="2:18" x14ac:dyDescent="0.3">
      <c r="B31" s="9">
        <v>40</v>
      </c>
      <c r="C31" s="9">
        <v>100</v>
      </c>
      <c r="D31" s="10" t="s">
        <v>44</v>
      </c>
      <c r="E31" s="8" t="s">
        <v>96</v>
      </c>
      <c r="G31" s="9">
        <v>50</v>
      </c>
      <c r="H31" s="9"/>
      <c r="I31" s="10" t="s">
        <v>44</v>
      </c>
      <c r="R31" t="s">
        <v>54</v>
      </c>
    </row>
    <row r="32" spans="2:18" x14ac:dyDescent="0.3">
      <c r="B32" s="9">
        <v>40</v>
      </c>
      <c r="C32" s="9">
        <v>60</v>
      </c>
      <c r="D32" s="10" t="s">
        <v>107</v>
      </c>
      <c r="E32" s="8" t="s">
        <v>97</v>
      </c>
      <c r="G32" s="9">
        <v>50</v>
      </c>
      <c r="H32" s="9"/>
      <c r="I32" s="10" t="s">
        <v>107</v>
      </c>
      <c r="R32" t="s">
        <v>61</v>
      </c>
    </row>
    <row r="33" spans="2:18" x14ac:dyDescent="0.3">
      <c r="B33" s="9">
        <v>40</v>
      </c>
      <c r="C33" s="9">
        <v>90</v>
      </c>
      <c r="D33" s="10" t="s">
        <v>64</v>
      </c>
      <c r="E33" s="8" t="s">
        <v>98</v>
      </c>
      <c r="G33" s="9">
        <v>50</v>
      </c>
      <c r="H33" s="9">
        <v>-2</v>
      </c>
      <c r="I33" s="10" t="s">
        <v>64</v>
      </c>
      <c r="R33" t="s">
        <v>62</v>
      </c>
    </row>
    <row r="34" spans="2:18" x14ac:dyDescent="0.3">
      <c r="B34" s="9">
        <v>40</v>
      </c>
      <c r="C34" s="9">
        <v>90</v>
      </c>
      <c r="D34" s="10" t="s">
        <v>65</v>
      </c>
      <c r="E34" s="8"/>
      <c r="G34" s="9">
        <v>50</v>
      </c>
      <c r="H34" s="9">
        <v>-2</v>
      </c>
      <c r="I34" s="10" t="s">
        <v>65</v>
      </c>
    </row>
    <row r="35" spans="2:18" x14ac:dyDescent="0.3">
      <c r="B35" s="9">
        <v>40</v>
      </c>
      <c r="C35" s="9">
        <v>90</v>
      </c>
      <c r="D35" s="10" t="s">
        <v>61</v>
      </c>
      <c r="E35" s="8" t="s">
        <v>99</v>
      </c>
      <c r="G35" s="9">
        <v>50</v>
      </c>
      <c r="H35" s="9">
        <v>-2</v>
      </c>
      <c r="I35" s="10" t="s">
        <v>61</v>
      </c>
      <c r="R35" t="s">
        <v>63</v>
      </c>
    </row>
    <row r="36" spans="2:18" x14ac:dyDescent="0.3">
      <c r="B36" s="25">
        <v>40</v>
      </c>
      <c r="C36" s="25">
        <v>90</v>
      </c>
      <c r="D36" s="26" t="s">
        <v>62</v>
      </c>
      <c r="G36" s="9">
        <v>50</v>
      </c>
      <c r="H36" s="9">
        <v>-2</v>
      </c>
      <c r="I36" s="10" t="s">
        <v>62</v>
      </c>
      <c r="R36" t="s">
        <v>64</v>
      </c>
    </row>
    <row r="37" spans="2:18" x14ac:dyDescent="0.3">
      <c r="B37" s="25">
        <v>40</v>
      </c>
      <c r="C37" s="25">
        <v>90</v>
      </c>
      <c r="D37" s="26" t="s">
        <v>63</v>
      </c>
      <c r="G37" s="9">
        <v>50</v>
      </c>
      <c r="H37" s="9">
        <v>-2</v>
      </c>
      <c r="I37" s="10" t="s">
        <v>63</v>
      </c>
      <c r="R37" t="s">
        <v>65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5"/>
  <sheetViews>
    <sheetView zoomScaleNormal="100" workbookViewId="0">
      <selection activeCell="A2" sqref="A2:G53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126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12" t="s">
        <v>60</v>
      </c>
      <c r="M3" s="112"/>
      <c r="N3" s="112" t="s">
        <v>13</v>
      </c>
      <c r="O3" s="112"/>
    </row>
    <row r="4" spans="1:15" ht="15.75" customHeight="1" x14ac:dyDescent="0.3">
      <c r="B4" s="1"/>
      <c r="C4" s="1"/>
      <c r="D4" s="35" t="s">
        <v>26</v>
      </c>
      <c r="E4" s="14">
        <f>'4637'!G8</f>
        <v>7105</v>
      </c>
      <c r="F4" s="1"/>
      <c r="G4" s="1"/>
      <c r="H4" s="1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">
      <c r="B5" s="1"/>
      <c r="C5" s="1"/>
      <c r="D5" s="36" t="s">
        <v>66</v>
      </c>
      <c r="E5" s="37" t="str">
        <f>'4637'!C10</f>
        <v>OSCAR LOPEZ</v>
      </c>
      <c r="F5" s="38"/>
      <c r="G5" s="38"/>
      <c r="H5" s="1"/>
      <c r="L5">
        <f>LOOKUP(G14,REGLAS!$I$4:$I$37,REGLAS!$G$4:$G$37)+K14</f>
        <v>2150</v>
      </c>
      <c r="M5">
        <f>LOOKUP(G14,REGLAS!$I$4:$I$37,REGLAS!$H$4:$H$37)+L14</f>
        <v>740</v>
      </c>
      <c r="N5" t="e">
        <f>LOOKUP(G27,REGLAS!$D$4:$D$37,REGLAS!$B$4:$B$37)+#REF!</f>
        <v>#REF!</v>
      </c>
      <c r="O5">
        <f>LOOKUP(G27,REGLAS!$D$4:$D$37,REGLAS!$C$4:$C$37)+K27</f>
        <v>2160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2" t="str">
        <f>'4637'!F11</f>
        <v>FECHA LIMITE :</v>
      </c>
      <c r="E7" s="13">
        <f>'4637'!G11</f>
        <v>45540</v>
      </c>
      <c r="F7" s="1"/>
      <c r="G7" s="1"/>
      <c r="H7" s="1"/>
    </row>
    <row r="8" spans="1:15" ht="15.6" x14ac:dyDescent="0.3">
      <c r="B8" s="1"/>
      <c r="C8" s="1"/>
      <c r="D8" s="47" t="s">
        <v>125</v>
      </c>
      <c r="E8" s="1"/>
      <c r="F8" s="1"/>
      <c r="G8" s="1" t="s">
        <v>134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13" t="s">
        <v>60</v>
      </c>
      <c r="C10" s="113"/>
      <c r="D10" s="113"/>
      <c r="E10" s="113"/>
      <c r="F10" s="113"/>
      <c r="G10" s="113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6</v>
      </c>
      <c r="F12" s="46" t="s">
        <v>7</v>
      </c>
      <c r="G12" s="1"/>
      <c r="H12" s="1"/>
    </row>
    <row r="13" spans="1:15" ht="15.6" x14ac:dyDescent="0.3">
      <c r="B13" s="46" t="s">
        <v>8</v>
      </c>
      <c r="C13" s="34" t="s">
        <v>9</v>
      </c>
      <c r="D13" s="34" t="s">
        <v>10</v>
      </c>
      <c r="E13" s="30">
        <v>50</v>
      </c>
      <c r="F13" s="30"/>
      <c r="G13" s="34" t="s">
        <v>109</v>
      </c>
      <c r="H13" s="1"/>
      <c r="K13" s="5" t="s">
        <v>6</v>
      </c>
      <c r="L13" s="5" t="s">
        <v>7</v>
      </c>
    </row>
    <row r="14" spans="1:15" ht="18" x14ac:dyDescent="0.35">
      <c r="A14" s="94">
        <v>1</v>
      </c>
      <c r="B14" s="93" t="s">
        <v>137</v>
      </c>
      <c r="C14" s="85">
        <f t="shared" ref="C14" si="0">J14</f>
        <v>1</v>
      </c>
      <c r="D14" s="86"/>
      <c r="E14" s="85">
        <f>K14+E$13</f>
        <v>2150</v>
      </c>
      <c r="F14" s="85">
        <f>L14+F$13</f>
        <v>740</v>
      </c>
      <c r="G14" s="85" t="str">
        <f>G27</f>
        <v>CUBIERTA MESA 2 LADOS R2</v>
      </c>
      <c r="H14" s="1"/>
      <c r="J14" s="3">
        <f>J27</f>
        <v>1</v>
      </c>
      <c r="K14" s="4">
        <f>K27</f>
        <v>2100</v>
      </c>
      <c r="L14" s="4">
        <f>L27</f>
        <v>740</v>
      </c>
    </row>
    <row r="15" spans="1:15" ht="18" x14ac:dyDescent="0.35">
      <c r="A15" s="94">
        <v>2</v>
      </c>
      <c r="B15" s="93"/>
      <c r="C15" s="85">
        <f t="shared" ref="C15:C20" si="1">J15</f>
        <v>1</v>
      </c>
      <c r="D15" s="86"/>
      <c r="E15" s="85">
        <f t="shared" ref="E15:E20" si="2">K15+E$13</f>
        <v>2720</v>
      </c>
      <c r="F15" s="85">
        <f t="shared" ref="F15:F20" si="3">L15+F$13</f>
        <v>630</v>
      </c>
      <c r="G15" s="85" t="str">
        <f t="shared" ref="G15:G20" si="4">G28</f>
        <v>CUB SIN RESPALDO R2</v>
      </c>
      <c r="H15" s="1"/>
      <c r="J15" s="3">
        <f t="shared" ref="J15:L15" si="5">J28</f>
        <v>1</v>
      </c>
      <c r="K15" s="4">
        <f t="shared" si="5"/>
        <v>2670</v>
      </c>
      <c r="L15" s="4">
        <f t="shared" si="5"/>
        <v>630</v>
      </c>
    </row>
    <row r="16" spans="1:15" ht="18" x14ac:dyDescent="0.35">
      <c r="A16" s="94">
        <v>3</v>
      </c>
      <c r="B16" s="93"/>
      <c r="C16" s="85">
        <f t="shared" si="1"/>
        <v>1</v>
      </c>
      <c r="D16" s="86"/>
      <c r="E16" s="85">
        <f t="shared" si="2"/>
        <v>2345</v>
      </c>
      <c r="F16" s="85">
        <f t="shared" si="3"/>
        <v>580</v>
      </c>
      <c r="G16" s="85" t="str">
        <f t="shared" si="4"/>
        <v>CUB SIN RESPALDO R2</v>
      </c>
      <c r="H16" s="1"/>
      <c r="J16" s="3">
        <f t="shared" ref="J16:L16" si="6">J29</f>
        <v>1</v>
      </c>
      <c r="K16" s="4">
        <f t="shared" si="6"/>
        <v>2295</v>
      </c>
      <c r="L16" s="4">
        <f t="shared" si="6"/>
        <v>580</v>
      </c>
    </row>
    <row r="17" spans="1:12" ht="18" x14ac:dyDescent="0.35">
      <c r="A17" s="94">
        <v>4</v>
      </c>
      <c r="B17" s="93"/>
      <c r="C17" s="85">
        <f t="shared" si="1"/>
        <v>1</v>
      </c>
      <c r="D17" s="86"/>
      <c r="E17" s="85">
        <f t="shared" si="2"/>
        <v>1300</v>
      </c>
      <c r="F17" s="85">
        <f t="shared" si="3"/>
        <v>450</v>
      </c>
      <c r="G17" s="85" t="str">
        <f t="shared" si="4"/>
        <v>CUB SIN RESPALDO R2</v>
      </c>
      <c r="H17" s="1"/>
      <c r="J17" s="3">
        <f t="shared" ref="J17:L17" si="7">J30</f>
        <v>1</v>
      </c>
      <c r="K17" s="4">
        <f t="shared" si="7"/>
        <v>1250</v>
      </c>
      <c r="L17" s="4">
        <f t="shared" si="7"/>
        <v>450</v>
      </c>
    </row>
    <row r="18" spans="1:12" ht="18" x14ac:dyDescent="0.35">
      <c r="A18" s="94">
        <v>5</v>
      </c>
      <c r="B18" s="93"/>
      <c r="C18" s="85">
        <f t="shared" si="1"/>
        <v>1</v>
      </c>
      <c r="D18" s="86"/>
      <c r="E18" s="85">
        <f t="shared" si="2"/>
        <v>2345</v>
      </c>
      <c r="F18" s="85">
        <v>100</v>
      </c>
      <c r="G18" s="85" t="str">
        <f t="shared" si="4"/>
        <v>RESPALDO</v>
      </c>
      <c r="H18" s="1"/>
      <c r="J18" s="3">
        <f t="shared" ref="J18:L18" si="8">J31</f>
        <v>1</v>
      </c>
      <c r="K18" s="4">
        <f t="shared" si="8"/>
        <v>2295</v>
      </c>
      <c r="L18" s="4">
        <f t="shared" si="8"/>
        <v>70</v>
      </c>
    </row>
    <row r="19" spans="1:12" ht="18" x14ac:dyDescent="0.35">
      <c r="A19" s="94">
        <v>6</v>
      </c>
      <c r="B19" s="93"/>
      <c r="C19" s="85">
        <f t="shared" si="1"/>
        <v>1</v>
      </c>
      <c r="D19" s="86"/>
      <c r="E19" s="85">
        <f t="shared" si="2"/>
        <v>2720</v>
      </c>
      <c r="F19" s="85">
        <v>100</v>
      </c>
      <c r="G19" s="85" t="str">
        <f t="shared" si="4"/>
        <v>RESPALDO</v>
      </c>
      <c r="H19" s="1"/>
      <c r="J19" s="3">
        <f t="shared" ref="J19:L19" si="9">J32</f>
        <v>1</v>
      </c>
      <c r="K19" s="4">
        <f t="shared" si="9"/>
        <v>2670</v>
      </c>
      <c r="L19" s="4">
        <f t="shared" si="9"/>
        <v>70</v>
      </c>
    </row>
    <row r="20" spans="1:12" ht="18" x14ac:dyDescent="0.35">
      <c r="A20" s="94">
        <v>7</v>
      </c>
      <c r="B20" s="80"/>
      <c r="C20" s="85">
        <f t="shared" si="1"/>
        <v>1</v>
      </c>
      <c r="D20" s="86"/>
      <c r="E20" s="85">
        <f t="shared" si="2"/>
        <v>1300</v>
      </c>
      <c r="F20" s="85">
        <v>100</v>
      </c>
      <c r="G20" s="85" t="str">
        <f t="shared" si="4"/>
        <v>RESPALDO</v>
      </c>
      <c r="H20" s="1"/>
      <c r="J20" s="3">
        <f t="shared" ref="J20:L20" si="10">J33</f>
        <v>1</v>
      </c>
      <c r="K20" s="4">
        <f t="shared" si="10"/>
        <v>1250</v>
      </c>
      <c r="L20" s="4">
        <f t="shared" si="10"/>
        <v>70</v>
      </c>
    </row>
    <row r="21" spans="1:12" ht="15.6" x14ac:dyDescent="0.3">
      <c r="B21" s="46"/>
      <c r="C21" s="6"/>
      <c r="D21" s="6"/>
      <c r="E21" s="6"/>
      <c r="F21" s="74"/>
      <c r="G21" s="6"/>
      <c r="H21" s="1"/>
      <c r="J21" s="2"/>
      <c r="K21" s="2"/>
      <c r="L21" s="2"/>
    </row>
    <row r="22" spans="1:12" ht="6.75" customHeight="1" x14ac:dyDescent="0.3">
      <c r="B22" s="1"/>
      <c r="C22" s="1"/>
      <c r="D22" s="1"/>
      <c r="E22" s="1"/>
      <c r="F22" s="1"/>
      <c r="G22" s="1"/>
      <c r="H22" s="1"/>
    </row>
    <row r="23" spans="1:12" ht="15.6" x14ac:dyDescent="0.3">
      <c r="B23" s="113" t="s">
        <v>13</v>
      </c>
      <c r="C23" s="113"/>
      <c r="D23" s="113"/>
      <c r="E23" s="113"/>
      <c r="F23" s="113"/>
      <c r="G23" s="113"/>
      <c r="H23" s="1"/>
    </row>
    <row r="24" spans="1:12" ht="10.5" customHeight="1" x14ac:dyDescent="0.3">
      <c r="B24" s="1"/>
      <c r="C24" s="1"/>
      <c r="D24" s="12"/>
      <c r="E24" s="1"/>
      <c r="F24" s="1"/>
      <c r="G24" s="1"/>
      <c r="H24" s="1"/>
    </row>
    <row r="25" spans="1:12" ht="15.6" x14ac:dyDescent="0.3">
      <c r="B25" s="1"/>
      <c r="C25" s="1"/>
      <c r="D25" s="1"/>
      <c r="E25" s="46" t="s">
        <v>6</v>
      </c>
      <c r="F25" s="46" t="s">
        <v>7</v>
      </c>
      <c r="G25" s="1"/>
      <c r="H25" s="1"/>
    </row>
    <row r="26" spans="1:12" ht="15.6" x14ac:dyDescent="0.3">
      <c r="B26" s="46" t="s">
        <v>8</v>
      </c>
      <c r="C26" s="33" t="s">
        <v>9</v>
      </c>
      <c r="D26" s="33" t="s">
        <v>10</v>
      </c>
      <c r="E26" s="20">
        <v>40</v>
      </c>
      <c r="F26" s="20">
        <v>70</v>
      </c>
      <c r="G26" s="33" t="s">
        <v>109</v>
      </c>
      <c r="H26" s="1"/>
      <c r="K26" s="5" t="s">
        <v>6</v>
      </c>
      <c r="L26" s="5" t="s">
        <v>7</v>
      </c>
    </row>
    <row r="27" spans="1:12" ht="18" x14ac:dyDescent="0.35">
      <c r="A27" s="94">
        <v>1</v>
      </c>
      <c r="B27" s="93" t="s">
        <v>137</v>
      </c>
      <c r="C27" s="86">
        <f>J27</f>
        <v>1</v>
      </c>
      <c r="D27" s="86"/>
      <c r="E27" s="86">
        <f>K27+E$26</f>
        <v>2140</v>
      </c>
      <c r="F27" s="86">
        <v>850</v>
      </c>
      <c r="G27" s="86" t="str">
        <f>D38</f>
        <v>CUBIERTA MESA 2 LADOS R2</v>
      </c>
      <c r="H27" s="1"/>
      <c r="J27" s="3">
        <f>C38</f>
        <v>1</v>
      </c>
      <c r="K27" s="4">
        <f>E38</f>
        <v>2100</v>
      </c>
      <c r="L27" s="4">
        <f>F38</f>
        <v>740</v>
      </c>
    </row>
    <row r="28" spans="1:12" ht="18" x14ac:dyDescent="0.35">
      <c r="A28" s="94">
        <v>2</v>
      </c>
      <c r="B28" s="93"/>
      <c r="C28" s="86">
        <f t="shared" ref="C28:C32" si="11">J28</f>
        <v>1</v>
      </c>
      <c r="D28" s="86"/>
      <c r="E28" s="86">
        <f t="shared" ref="E28:E32" si="12">K28+E$26</f>
        <v>2710</v>
      </c>
      <c r="F28" s="86">
        <f>L28+F$26</f>
        <v>700</v>
      </c>
      <c r="G28" s="86" t="str">
        <f t="shared" ref="G28:G32" si="13">D39</f>
        <v>CUB SIN RESPALDO R2</v>
      </c>
      <c r="H28" s="1"/>
      <c r="J28" s="3">
        <f t="shared" ref="J28:J32" si="14">C39</f>
        <v>1</v>
      </c>
      <c r="K28" s="4">
        <f t="shared" ref="K28:L28" si="15">E39</f>
        <v>2670</v>
      </c>
      <c r="L28" s="4">
        <f t="shared" si="15"/>
        <v>630</v>
      </c>
    </row>
    <row r="29" spans="1:12" ht="18" x14ac:dyDescent="0.35">
      <c r="A29" s="94">
        <v>3</v>
      </c>
      <c r="B29" s="93"/>
      <c r="C29" s="86">
        <f t="shared" si="11"/>
        <v>1</v>
      </c>
      <c r="D29" s="86"/>
      <c r="E29" s="86">
        <f t="shared" si="12"/>
        <v>2335</v>
      </c>
      <c r="F29" s="86">
        <f>L29+F$26</f>
        <v>650</v>
      </c>
      <c r="G29" s="86" t="str">
        <f t="shared" si="13"/>
        <v>CUB SIN RESPALDO R2</v>
      </c>
      <c r="H29" s="1"/>
      <c r="J29" s="3">
        <f t="shared" si="14"/>
        <v>1</v>
      </c>
      <c r="K29" s="4">
        <f t="shared" ref="K29:L29" si="16">E40</f>
        <v>2295</v>
      </c>
      <c r="L29" s="4">
        <f t="shared" si="16"/>
        <v>580</v>
      </c>
    </row>
    <row r="30" spans="1:12" ht="18" x14ac:dyDescent="0.35">
      <c r="A30" s="94">
        <v>4</v>
      </c>
      <c r="B30" s="93"/>
      <c r="C30" s="86">
        <f t="shared" si="11"/>
        <v>1</v>
      </c>
      <c r="D30" s="86"/>
      <c r="E30" s="86">
        <f t="shared" si="12"/>
        <v>1290</v>
      </c>
      <c r="F30" s="86">
        <f>L30+F$26</f>
        <v>520</v>
      </c>
      <c r="G30" s="86" t="str">
        <f t="shared" si="13"/>
        <v>CUB SIN RESPALDO R2</v>
      </c>
      <c r="H30" s="1"/>
      <c r="J30" s="3">
        <f t="shared" si="14"/>
        <v>1</v>
      </c>
      <c r="K30" s="4">
        <f t="shared" ref="K30:L30" si="17">E41</f>
        <v>1250</v>
      </c>
      <c r="L30" s="4">
        <f t="shared" si="17"/>
        <v>450</v>
      </c>
    </row>
    <row r="31" spans="1:12" ht="18" x14ac:dyDescent="0.35">
      <c r="A31" s="94">
        <v>5</v>
      </c>
      <c r="B31" s="93"/>
      <c r="C31" s="86">
        <f t="shared" si="11"/>
        <v>1</v>
      </c>
      <c r="D31" s="86"/>
      <c r="E31" s="86">
        <f t="shared" si="12"/>
        <v>2335</v>
      </c>
      <c r="F31" s="86">
        <v>130</v>
      </c>
      <c r="G31" s="86" t="str">
        <f t="shared" si="13"/>
        <v>RESPALDO</v>
      </c>
      <c r="H31" s="1"/>
      <c r="J31" s="3">
        <f t="shared" si="14"/>
        <v>1</v>
      </c>
      <c r="K31" s="4">
        <f t="shared" ref="K31:L31" si="18">E42</f>
        <v>2295</v>
      </c>
      <c r="L31" s="4">
        <f t="shared" si="18"/>
        <v>70</v>
      </c>
    </row>
    <row r="32" spans="1:12" ht="18" x14ac:dyDescent="0.35">
      <c r="A32" s="94">
        <v>6</v>
      </c>
      <c r="B32" s="93"/>
      <c r="C32" s="86">
        <f t="shared" si="11"/>
        <v>1</v>
      </c>
      <c r="D32" s="86"/>
      <c r="E32" s="86">
        <f t="shared" si="12"/>
        <v>2710</v>
      </c>
      <c r="F32" s="86">
        <v>130</v>
      </c>
      <c r="G32" s="86" t="str">
        <f t="shared" si="13"/>
        <v>RESPALDO</v>
      </c>
      <c r="H32" s="1"/>
      <c r="J32" s="3">
        <f t="shared" si="14"/>
        <v>1</v>
      </c>
      <c r="K32" s="4">
        <f t="shared" ref="K32:L32" si="19">E43</f>
        <v>2670</v>
      </c>
      <c r="L32" s="4">
        <f t="shared" si="19"/>
        <v>70</v>
      </c>
    </row>
    <row r="33" spans="1:12" ht="18" x14ac:dyDescent="0.35">
      <c r="A33" s="94">
        <v>7</v>
      </c>
      <c r="B33" s="80"/>
      <c r="C33" s="86">
        <f t="shared" ref="C33" si="20">J33</f>
        <v>1</v>
      </c>
      <c r="D33" s="86"/>
      <c r="E33" s="86">
        <f t="shared" ref="E33" si="21">K33+E$26</f>
        <v>1290</v>
      </c>
      <c r="F33" s="86">
        <v>130</v>
      </c>
      <c r="G33" s="86" t="str">
        <f t="shared" ref="G33" si="22">D44</f>
        <v>RESPALDO</v>
      </c>
      <c r="H33" s="1"/>
      <c r="J33" s="3">
        <f t="shared" ref="J33" si="23">C44</f>
        <v>1</v>
      </c>
      <c r="K33" s="4">
        <f t="shared" ref="K33" si="24">E44</f>
        <v>1250</v>
      </c>
      <c r="L33" s="4">
        <f t="shared" ref="L33" si="25">F44</f>
        <v>70</v>
      </c>
    </row>
    <row r="34" spans="1:12" ht="16.2" thickBot="1" x14ac:dyDescent="0.35">
      <c r="B34" s="46"/>
      <c r="C34" s="6"/>
      <c r="D34" s="6"/>
      <c r="E34" s="6"/>
      <c r="F34" s="6"/>
      <c r="G34" s="6"/>
      <c r="H34" s="1"/>
      <c r="J34" s="2"/>
      <c r="K34" s="2"/>
      <c r="L34" s="2"/>
    </row>
    <row r="35" spans="1:12" ht="16.2" thickBot="1" x14ac:dyDescent="0.35">
      <c r="B35" s="46"/>
      <c r="C35" s="21" t="s">
        <v>106</v>
      </c>
      <c r="D35" s="22"/>
      <c r="E35" s="22"/>
      <c r="F35" s="22"/>
      <c r="G35" s="23"/>
      <c r="H35" s="1"/>
      <c r="J35" s="2"/>
      <c r="K35" s="2"/>
      <c r="L35" s="2"/>
    </row>
    <row r="36" spans="1:12" ht="10.5" customHeight="1" x14ac:dyDescent="0.3">
      <c r="B36" s="1"/>
      <c r="C36" s="1"/>
      <c r="D36" s="1"/>
      <c r="E36" s="1"/>
      <c r="F36" s="1"/>
      <c r="G36" s="1"/>
      <c r="H36" s="1"/>
    </row>
    <row r="37" spans="1:12" ht="15.6" x14ac:dyDescent="0.3">
      <c r="B37" s="46" t="s">
        <v>8</v>
      </c>
      <c r="C37" s="73" t="s">
        <v>9</v>
      </c>
      <c r="D37" s="73" t="s">
        <v>109</v>
      </c>
      <c r="E37" s="73" t="s">
        <v>6</v>
      </c>
      <c r="F37" s="73" t="s">
        <v>7</v>
      </c>
      <c r="G37" s="73" t="s">
        <v>22</v>
      </c>
      <c r="H37" s="1"/>
    </row>
    <row r="38" spans="1:12" ht="18" x14ac:dyDescent="0.35">
      <c r="A38" s="94">
        <v>1</v>
      </c>
      <c r="B38" s="93" t="s">
        <v>137</v>
      </c>
      <c r="C38" s="85">
        <f>'4637'!B22</f>
        <v>1</v>
      </c>
      <c r="D38" s="85" t="str">
        <f>'4637'!C22</f>
        <v>CUBIERTA MESA 2 LADOS R2</v>
      </c>
      <c r="E38" s="85">
        <f>'4637'!D22</f>
        <v>2100</v>
      </c>
      <c r="F38" s="85">
        <f>'4637'!E22</f>
        <v>740</v>
      </c>
      <c r="G38" s="90" t="str">
        <f>G66</f>
        <v>MARINA DI CARRARA</v>
      </c>
      <c r="H38" s="1"/>
    </row>
    <row r="39" spans="1:12" ht="18" x14ac:dyDescent="0.35">
      <c r="A39" s="94"/>
      <c r="B39" s="93"/>
      <c r="C39" s="85">
        <f>'4637'!B23</f>
        <v>1</v>
      </c>
      <c r="D39" s="85" t="str">
        <f>'4637'!C23</f>
        <v>CUB SIN RESPALDO R2</v>
      </c>
      <c r="E39" s="85">
        <f>'4637'!D23</f>
        <v>2670</v>
      </c>
      <c r="F39" s="85">
        <f>'4637'!E23</f>
        <v>630</v>
      </c>
      <c r="G39" s="90" t="str">
        <f t="shared" ref="G39:G44" si="26">G67</f>
        <v>MARINA DI CARRARA</v>
      </c>
      <c r="H39" s="1"/>
    </row>
    <row r="40" spans="1:12" ht="18" x14ac:dyDescent="0.35">
      <c r="A40" s="94"/>
      <c r="B40" s="93"/>
      <c r="C40" s="85">
        <f>'4637'!B24</f>
        <v>1</v>
      </c>
      <c r="D40" s="85" t="str">
        <f>'4637'!C24</f>
        <v>CUB SIN RESPALDO R2</v>
      </c>
      <c r="E40" s="85">
        <f>'4637'!D24</f>
        <v>2295</v>
      </c>
      <c r="F40" s="85">
        <f>'4637'!E24</f>
        <v>580</v>
      </c>
      <c r="G40" s="90" t="str">
        <f t="shared" si="26"/>
        <v>MARINA DI CARRARA</v>
      </c>
      <c r="H40" s="1"/>
    </row>
    <row r="41" spans="1:12" ht="18" x14ac:dyDescent="0.35">
      <c r="A41" s="94"/>
      <c r="B41" s="93"/>
      <c r="C41" s="85">
        <f>'4637'!B25</f>
        <v>1</v>
      </c>
      <c r="D41" s="85" t="str">
        <f>'4637'!C25</f>
        <v>CUB SIN RESPALDO R2</v>
      </c>
      <c r="E41" s="85">
        <f>'4637'!D25</f>
        <v>1250</v>
      </c>
      <c r="F41" s="85">
        <f>'4637'!E25</f>
        <v>450</v>
      </c>
      <c r="G41" s="90" t="str">
        <f t="shared" si="26"/>
        <v>MARINA DI CARRARA</v>
      </c>
      <c r="H41" s="1"/>
    </row>
    <row r="42" spans="1:12" ht="18" x14ac:dyDescent="0.35">
      <c r="A42" s="94"/>
      <c r="B42" s="93"/>
      <c r="C42" s="85">
        <f>'4637'!B26</f>
        <v>1</v>
      </c>
      <c r="D42" s="85" t="str">
        <f>'4637'!C26</f>
        <v>RESPALDO</v>
      </c>
      <c r="E42" s="85">
        <f>'4637'!D26</f>
        <v>2295</v>
      </c>
      <c r="F42" s="85">
        <f>'4637'!E26</f>
        <v>70</v>
      </c>
      <c r="G42" s="90" t="str">
        <f t="shared" si="26"/>
        <v>MARINA DI CARRARA</v>
      </c>
      <c r="H42" s="1"/>
    </row>
    <row r="43" spans="1:12" ht="18" x14ac:dyDescent="0.35">
      <c r="A43" s="94"/>
      <c r="B43" s="93"/>
      <c r="C43" s="85">
        <f>'4637'!B27</f>
        <v>1</v>
      </c>
      <c r="D43" s="85" t="str">
        <f>'4637'!C27</f>
        <v>RESPALDO</v>
      </c>
      <c r="E43" s="85">
        <f>'4637'!D27</f>
        <v>2670</v>
      </c>
      <c r="F43" s="85">
        <f>'4637'!E27</f>
        <v>70</v>
      </c>
      <c r="G43" s="90" t="str">
        <f t="shared" si="26"/>
        <v>MARINA DI CARRARA</v>
      </c>
      <c r="H43" s="1"/>
    </row>
    <row r="44" spans="1:12" ht="18" x14ac:dyDescent="0.35">
      <c r="A44" s="94"/>
      <c r="B44" s="93"/>
      <c r="C44" s="85">
        <f>'4637'!B28</f>
        <v>1</v>
      </c>
      <c r="D44" s="85" t="str">
        <f>'4637'!C28</f>
        <v>RESPALDO</v>
      </c>
      <c r="E44" s="85">
        <f>'4637'!D28</f>
        <v>1250</v>
      </c>
      <c r="F44" s="85">
        <f>'4637'!E28</f>
        <v>70</v>
      </c>
      <c r="G44" s="90" t="str">
        <f t="shared" si="26"/>
        <v>MARINA DI CARRARA</v>
      </c>
      <c r="H44" s="1"/>
    </row>
    <row r="45" spans="1:12" ht="18" x14ac:dyDescent="0.35">
      <c r="A45" s="94"/>
      <c r="B45" s="93"/>
      <c r="C45" s="143"/>
      <c r="D45" s="143"/>
      <c r="E45" s="143"/>
      <c r="F45" s="143"/>
      <c r="G45" s="144"/>
      <c r="H45" s="1"/>
    </row>
    <row r="46" spans="1:12" ht="15.6" x14ac:dyDescent="0.3">
      <c r="B46" s="80"/>
      <c r="C46" s="6"/>
      <c r="D46" s="6"/>
      <c r="E46" s="6"/>
      <c r="F46" s="6"/>
      <c r="G46" s="6"/>
      <c r="H46" s="1"/>
    </row>
    <row r="47" spans="1:12" ht="15.6" x14ac:dyDescent="0.3">
      <c r="B47" s="1"/>
      <c r="C47" s="6"/>
      <c r="D47" s="6"/>
      <c r="E47" s="6"/>
      <c r="F47" s="6"/>
      <c r="G47" s="6"/>
      <c r="H47" s="1"/>
    </row>
    <row r="48" spans="1:12" ht="15.6" x14ac:dyDescent="0.3">
      <c r="B48" s="1"/>
      <c r="C48" s="6"/>
      <c r="D48" s="6"/>
      <c r="E48" s="6"/>
      <c r="F48" s="6"/>
      <c r="G48" s="6"/>
      <c r="H48" s="1"/>
    </row>
    <row r="49" spans="2:8" ht="15.6" x14ac:dyDescent="0.3">
      <c r="B49" s="1"/>
      <c r="C49" s="6"/>
      <c r="D49" s="6"/>
      <c r="E49" s="6"/>
      <c r="F49" s="6"/>
      <c r="G49" s="6"/>
      <c r="H49" s="1"/>
    </row>
    <row r="50" spans="2:8" ht="15.6" x14ac:dyDescent="0.3">
      <c r="B50" s="1"/>
      <c r="C50" s="6"/>
      <c r="D50" s="6"/>
      <c r="E50" s="6"/>
      <c r="F50" s="6"/>
      <c r="G50" s="6"/>
      <c r="H50" s="1"/>
    </row>
    <row r="51" spans="2:8" ht="15.6" x14ac:dyDescent="0.3">
      <c r="B51" s="1"/>
      <c r="C51" s="6"/>
      <c r="D51" s="6"/>
      <c r="E51" s="6"/>
      <c r="F51" s="6"/>
      <c r="G51" s="6"/>
      <c r="H51" s="1"/>
    </row>
    <row r="52" spans="2:8" ht="15.6" x14ac:dyDescent="0.3">
      <c r="B52" s="1"/>
      <c r="C52" s="6"/>
      <c r="D52" s="6"/>
      <c r="E52" s="6"/>
      <c r="F52" s="6"/>
      <c r="G52" s="6"/>
      <c r="H52" s="1"/>
    </row>
    <row r="53" spans="2:8" ht="15.6" x14ac:dyDescent="0.3">
      <c r="B53" s="1"/>
      <c r="C53" s="6"/>
      <c r="D53" s="6"/>
      <c r="E53" s="6"/>
      <c r="F53" s="6"/>
      <c r="G53" s="6"/>
      <c r="H53" s="1"/>
    </row>
    <row r="54" spans="2:8" ht="15.6" x14ac:dyDescent="0.3">
      <c r="B54" s="1"/>
      <c r="C54" s="6"/>
      <c r="D54" s="6"/>
      <c r="E54" s="6"/>
      <c r="F54" s="6"/>
      <c r="G54" s="6"/>
      <c r="H54" s="1"/>
    </row>
    <row r="55" spans="2:8" ht="15.6" x14ac:dyDescent="0.3">
      <c r="B55" s="1"/>
      <c r="C55" s="1"/>
      <c r="D55" s="1"/>
      <c r="E55" s="1"/>
      <c r="F55" s="1"/>
      <c r="G55" s="1"/>
      <c r="H55" s="1"/>
    </row>
    <row r="56" spans="2:8" ht="15.6" x14ac:dyDescent="0.3">
      <c r="B56" s="1"/>
      <c r="C56" s="1"/>
      <c r="D56" s="35" t="s">
        <v>26</v>
      </c>
      <c r="E56" s="14">
        <f>'4637'!G8</f>
        <v>7105</v>
      </c>
      <c r="F56" s="1"/>
      <c r="G56" s="1"/>
      <c r="H56" s="1"/>
    </row>
    <row r="57" spans="2:8" ht="17.25" customHeight="1" x14ac:dyDescent="0.3">
      <c r="B57" s="1"/>
      <c r="C57" s="1"/>
      <c r="D57" s="36" t="s">
        <v>66</v>
      </c>
      <c r="E57" s="37" t="str">
        <f>'4637'!C10</f>
        <v>OSCAR LOPEZ</v>
      </c>
      <c r="F57" s="38"/>
      <c r="G57" s="38"/>
      <c r="H57" s="1"/>
    </row>
    <row r="58" spans="2:8" ht="4.5" customHeight="1" x14ac:dyDescent="0.3">
      <c r="B58" s="1"/>
      <c r="C58" s="1"/>
      <c r="D58" s="39"/>
      <c r="E58" s="40"/>
      <c r="F58" s="1"/>
      <c r="G58" s="1"/>
      <c r="H58" s="1"/>
    </row>
    <row r="59" spans="2:8" ht="15.6" x14ac:dyDescent="0.3">
      <c r="B59" s="1"/>
      <c r="C59" s="1"/>
      <c r="D59" s="41" t="str">
        <f>'4637'!F11</f>
        <v>FECHA LIMITE :</v>
      </c>
      <c r="E59" s="13">
        <f>'4637'!G11</f>
        <v>45540</v>
      </c>
      <c r="F59" s="1"/>
      <c r="G59" s="1" t="s">
        <v>133</v>
      </c>
      <c r="H59" s="1"/>
    </row>
    <row r="60" spans="2:8" ht="15.6" x14ac:dyDescent="0.3">
      <c r="B60" s="1"/>
      <c r="C60" s="1"/>
      <c r="D60" s="1"/>
      <c r="E60" s="1"/>
      <c r="F60" s="1"/>
      <c r="G60" s="1"/>
      <c r="H60" s="1"/>
    </row>
    <row r="61" spans="2:8" ht="15.6" x14ac:dyDescent="0.3">
      <c r="B61" s="1"/>
      <c r="C61" s="1"/>
      <c r="D61" s="1"/>
      <c r="E61" s="1"/>
      <c r="F61" s="1"/>
      <c r="G61" s="1"/>
      <c r="H61" s="1"/>
    </row>
    <row r="62" spans="2:8" ht="15.6" x14ac:dyDescent="0.3">
      <c r="B62" s="113" t="s">
        <v>67</v>
      </c>
      <c r="C62" s="113"/>
      <c r="D62" s="113"/>
      <c r="E62" s="113"/>
      <c r="F62" s="113"/>
      <c r="G62" s="113"/>
      <c r="H62" s="1"/>
    </row>
    <row r="63" spans="2:8" ht="15.6" x14ac:dyDescent="0.3">
      <c r="B63" s="1"/>
      <c r="C63" s="1"/>
      <c r="D63" s="1"/>
      <c r="E63" s="1"/>
      <c r="F63" s="1"/>
      <c r="G63" s="1"/>
      <c r="H63" s="1"/>
    </row>
    <row r="64" spans="2:8" ht="15.75" customHeight="1" x14ac:dyDescent="0.3">
      <c r="B64" s="1"/>
      <c r="C64" s="114" t="s">
        <v>68</v>
      </c>
      <c r="D64" s="115"/>
      <c r="E64" s="116"/>
      <c r="F64" s="116"/>
      <c r="G64" s="117"/>
      <c r="H64" s="1"/>
    </row>
    <row r="65" spans="2:8" s="15" customFormat="1" ht="12.75" customHeight="1" x14ac:dyDescent="0.3">
      <c r="B65" s="1"/>
      <c r="C65" s="33" t="s">
        <v>9</v>
      </c>
      <c r="D65" s="42" t="s">
        <v>10</v>
      </c>
      <c r="E65" s="43" t="s">
        <v>6</v>
      </c>
      <c r="F65" s="43" t="s">
        <v>7</v>
      </c>
      <c r="G65" s="89" t="s">
        <v>11</v>
      </c>
      <c r="H65" s="1"/>
    </row>
    <row r="66" spans="2:8" s="15" customFormat="1" ht="15" customHeight="1" x14ac:dyDescent="0.35">
      <c r="B66" s="93" t="s">
        <v>137</v>
      </c>
      <c r="C66" s="83">
        <f>'4637'!B22</f>
        <v>1</v>
      </c>
      <c r="D66" s="84" t="str">
        <f>'4637'!C22</f>
        <v>CUBIERTA MESA 2 LADOS R2</v>
      </c>
      <c r="E66" s="84">
        <f>'4637'!D22</f>
        <v>2100</v>
      </c>
      <c r="F66" s="88">
        <f>'4637'!E22</f>
        <v>740</v>
      </c>
      <c r="G66" s="91" t="str">
        <f>'4637'!F22</f>
        <v>MARINA DI CARRARA</v>
      </c>
      <c r="H66" s="1"/>
    </row>
    <row r="67" spans="2:8" s="15" customFormat="1" ht="15" customHeight="1" x14ac:dyDescent="0.35">
      <c r="B67" s="93"/>
      <c r="C67" s="83">
        <f>'4637'!B23</f>
        <v>1</v>
      </c>
      <c r="D67" s="84" t="str">
        <f>'4637'!C23</f>
        <v>CUB SIN RESPALDO R2</v>
      </c>
      <c r="E67" s="84">
        <f>'4637'!D23</f>
        <v>2670</v>
      </c>
      <c r="F67" s="88">
        <f>'4637'!E23</f>
        <v>630</v>
      </c>
      <c r="G67" s="91" t="str">
        <f>'4637'!F23</f>
        <v>MARINA DI CARRARA</v>
      </c>
      <c r="H67" s="1"/>
    </row>
    <row r="68" spans="2:8" s="15" customFormat="1" ht="15" customHeight="1" x14ac:dyDescent="0.35">
      <c r="B68" s="93"/>
      <c r="C68" s="83">
        <f>'4637'!B24</f>
        <v>1</v>
      </c>
      <c r="D68" s="84" t="str">
        <f>'4637'!C24</f>
        <v>CUB SIN RESPALDO R2</v>
      </c>
      <c r="E68" s="84">
        <f>'4637'!D24</f>
        <v>2295</v>
      </c>
      <c r="F68" s="88">
        <f>'4637'!E24</f>
        <v>580</v>
      </c>
      <c r="G68" s="91" t="str">
        <f>'4637'!F24</f>
        <v>MARINA DI CARRARA</v>
      </c>
      <c r="H68" s="1"/>
    </row>
    <row r="69" spans="2:8" s="15" customFormat="1" ht="15" customHeight="1" x14ac:dyDescent="0.35">
      <c r="B69" s="93"/>
      <c r="C69" s="83">
        <f>'4637'!B25</f>
        <v>1</v>
      </c>
      <c r="D69" s="84" t="str">
        <f>'4637'!C25</f>
        <v>CUB SIN RESPALDO R2</v>
      </c>
      <c r="E69" s="84">
        <f>'4637'!D25</f>
        <v>1250</v>
      </c>
      <c r="F69" s="88">
        <f>'4637'!E25</f>
        <v>450</v>
      </c>
      <c r="G69" s="91" t="str">
        <f>'4637'!F25</f>
        <v>MARINA DI CARRARA</v>
      </c>
      <c r="H69" s="1"/>
    </row>
    <row r="70" spans="2:8" s="15" customFormat="1" ht="15" customHeight="1" x14ac:dyDescent="0.35">
      <c r="B70" s="93"/>
      <c r="C70" s="83">
        <f>'4637'!B26</f>
        <v>1</v>
      </c>
      <c r="D70" s="84" t="str">
        <f>'4637'!C26</f>
        <v>RESPALDO</v>
      </c>
      <c r="E70" s="84">
        <f>'4637'!D26</f>
        <v>2295</v>
      </c>
      <c r="F70" s="88">
        <f>'4637'!E26</f>
        <v>70</v>
      </c>
      <c r="G70" s="91" t="str">
        <f>'4637'!F26</f>
        <v>MARINA DI CARRARA</v>
      </c>
      <c r="H70" s="1"/>
    </row>
    <row r="71" spans="2:8" s="15" customFormat="1" ht="15" customHeight="1" x14ac:dyDescent="0.35">
      <c r="B71" s="93"/>
      <c r="C71" s="83">
        <f>'4637'!B27</f>
        <v>1</v>
      </c>
      <c r="D71" s="84" t="str">
        <f>'4637'!C27</f>
        <v>RESPALDO</v>
      </c>
      <c r="E71" s="84">
        <f>'4637'!D27</f>
        <v>2670</v>
      </c>
      <c r="F71" s="88">
        <f>'4637'!E27</f>
        <v>70</v>
      </c>
      <c r="G71" s="91" t="str">
        <f>'4637'!F27</f>
        <v>MARINA DI CARRARA</v>
      </c>
      <c r="H71" s="1"/>
    </row>
    <row r="72" spans="2:8" s="15" customFormat="1" ht="15" customHeight="1" x14ac:dyDescent="0.35">
      <c r="B72" s="93"/>
      <c r="C72" s="83">
        <f>'4637'!B28</f>
        <v>1</v>
      </c>
      <c r="D72" s="84" t="str">
        <f>'4637'!C28</f>
        <v>RESPALDO</v>
      </c>
      <c r="E72" s="84">
        <f>'4637'!D28</f>
        <v>1250</v>
      </c>
      <c r="F72" s="88">
        <f>'4637'!E28</f>
        <v>70</v>
      </c>
      <c r="G72" s="91" t="str">
        <f>'4637'!F28</f>
        <v>MARINA DI CARRARA</v>
      </c>
      <c r="H72" s="1"/>
    </row>
    <row r="73" spans="2:8" s="15" customFormat="1" ht="15" customHeight="1" x14ac:dyDescent="0.35">
      <c r="B73" s="93"/>
      <c r="C73" s="104"/>
      <c r="D73" s="104"/>
      <c r="E73" s="104"/>
      <c r="F73" s="104"/>
      <c r="G73" s="1"/>
      <c r="H73" s="1"/>
    </row>
    <row r="74" spans="2:8" s="15" customFormat="1" ht="15" customHeight="1" x14ac:dyDescent="0.3">
      <c r="B74" s="44"/>
      <c r="C74" s="46"/>
      <c r="D74" s="46"/>
      <c r="E74" s="46"/>
      <c r="F74" s="46"/>
      <c r="G74" s="46"/>
      <c r="H74" s="1"/>
    </row>
    <row r="75" spans="2:8" ht="15.6" x14ac:dyDescent="0.3">
      <c r="B75" s="6"/>
      <c r="C75" s="6"/>
      <c r="D75" s="1"/>
      <c r="E75" s="6"/>
      <c r="F75" s="6"/>
      <c r="G75" s="39"/>
      <c r="H75" s="1"/>
    </row>
    <row r="76" spans="2:8" ht="15.6" x14ac:dyDescent="0.3">
      <c r="B76" s="6"/>
      <c r="C76" s="6"/>
      <c r="D76" s="1"/>
      <c r="E76" s="6"/>
      <c r="F76" s="6"/>
      <c r="G76" s="6"/>
      <c r="H76" s="1"/>
    </row>
    <row r="77" spans="2:8" ht="15.6" x14ac:dyDescent="0.3">
      <c r="B77" s="1"/>
      <c r="C77" s="1"/>
      <c r="D77" s="1"/>
      <c r="E77" s="1"/>
      <c r="F77" s="1"/>
      <c r="G77" s="1"/>
      <c r="H77" s="1"/>
    </row>
    <row r="78" spans="2:8" ht="15.6" x14ac:dyDescent="0.3">
      <c r="B78" s="1"/>
      <c r="C78" s="1"/>
      <c r="D78" s="1"/>
      <c r="E78" s="1"/>
      <c r="F78" s="1"/>
      <c r="G78" s="1"/>
      <c r="H78" s="1"/>
    </row>
    <row r="79" spans="2:8" ht="15.6" x14ac:dyDescent="0.3">
      <c r="B79" s="1"/>
      <c r="C79" s="1"/>
      <c r="D79" s="1"/>
      <c r="E79" s="1"/>
      <c r="F79" s="1"/>
      <c r="G79" s="1"/>
      <c r="H79" s="1"/>
    </row>
    <row r="80" spans="2:8" ht="15" customHeight="1" x14ac:dyDescent="0.3">
      <c r="B80" s="1"/>
      <c r="C80" s="1"/>
      <c r="D80" s="1"/>
      <c r="E80" s="1"/>
      <c r="F80" s="1"/>
      <c r="G80" s="1"/>
      <c r="H80" s="1"/>
    </row>
    <row r="81" spans="2:8" ht="15.6" x14ac:dyDescent="0.3">
      <c r="B81" s="1"/>
      <c r="C81" s="1"/>
      <c r="D81" s="1"/>
      <c r="E81" s="1"/>
      <c r="F81" s="1"/>
      <c r="G81" s="1"/>
      <c r="H81" s="1"/>
    </row>
    <row r="82" spans="2:8" ht="15.6" x14ac:dyDescent="0.3">
      <c r="B82" s="6"/>
      <c r="C82" s="45"/>
      <c r="D82" s="1"/>
      <c r="E82" s="1"/>
      <c r="F82" s="1"/>
      <c r="G82" s="1"/>
      <c r="H82" s="1"/>
    </row>
    <row r="83" spans="2:8" ht="15.6" x14ac:dyDescent="0.3">
      <c r="B83" s="1"/>
      <c r="C83" s="1"/>
      <c r="D83" s="1"/>
      <c r="E83" s="1"/>
      <c r="F83" s="1"/>
      <c r="G83" s="1"/>
      <c r="H83" s="1"/>
    </row>
    <row r="84" spans="2:8" x14ac:dyDescent="0.3">
      <c r="C84" s="19"/>
      <c r="D84" s="19"/>
      <c r="E84" s="19"/>
      <c r="F84" s="19"/>
      <c r="G84" s="19"/>
    </row>
    <row r="85" spans="2:8" x14ac:dyDescent="0.3">
      <c r="C85" s="19"/>
      <c r="D85" s="19"/>
      <c r="F85" s="19"/>
      <c r="G85" s="19"/>
    </row>
  </sheetData>
  <mergeCells count="6">
    <mergeCell ref="N3:O3"/>
    <mergeCell ref="B23:G23"/>
    <mergeCell ref="B10:G10"/>
    <mergeCell ref="B62:G62"/>
    <mergeCell ref="C64:G64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2024-09-02T16:05:51Z</cp:lastPrinted>
  <dcterms:created xsi:type="dcterms:W3CDTF">2013-03-19T12:54:14Z</dcterms:created>
  <dcterms:modified xsi:type="dcterms:W3CDTF">2024-09-03T13:46:02Z</dcterms:modified>
</cp:coreProperties>
</file>