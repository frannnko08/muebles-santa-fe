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NDV 2024\9 SEPTIEMBRE 2024\"/>
    </mc:Choice>
  </mc:AlternateContent>
  <xr:revisionPtr revIDLastSave="0" documentId="13_ncr:1_{04CE733A-A3B4-4C87-8656-96A852F66E2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'4637'!$A$1:$H$31</definedName>
    <definedName name="_xlnm.Print_Area" localSheetId="2">CUBIERTA!$A$2:$G$37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9" i="3" l="1"/>
  <c r="F28" i="3" s="1"/>
  <c r="H22" i="4"/>
  <c r="L22" i="4" l="1"/>
  <c r="H24" i="4" l="1"/>
  <c r="H25" i="4" s="1"/>
  <c r="H26" i="4" l="1"/>
  <c r="E28" i="3"/>
  <c r="K22" i="3" s="1"/>
  <c r="D28" i="3"/>
  <c r="J22" i="3" s="1"/>
  <c r="C28" i="3"/>
  <c r="F22" i="3" s="1"/>
  <c r="F14" i="3" s="1"/>
  <c r="B28" i="3"/>
  <c r="I22" i="3" s="1"/>
  <c r="I14" i="3" s="1"/>
  <c r="E49" i="3"/>
  <c r="D49" i="3"/>
  <c r="C49" i="3"/>
  <c r="B49" i="3"/>
  <c r="J14" i="3" l="1"/>
  <c r="D22" i="3"/>
  <c r="K14" i="3"/>
  <c r="E14" i="3" s="1"/>
  <c r="E22" i="3"/>
  <c r="D14" i="3"/>
  <c r="N5" i="3"/>
  <c r="B22" i="3"/>
  <c r="B14" i="3"/>
  <c r="M5" i="3" l="1"/>
  <c r="L5" i="3"/>
  <c r="K5" i="3"/>
  <c r="C42" i="3" l="1"/>
  <c r="C7" i="3"/>
  <c r="D40" i="3"/>
  <c r="D5" i="3"/>
  <c r="D42" i="3"/>
  <c r="D7" i="3"/>
  <c r="D39" i="3"/>
  <c r="D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de Windows</author>
  </authors>
  <commentList>
    <comment ref="D22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<sst xmlns="http://schemas.openxmlformats.org/spreadsheetml/2006/main" count="254" uniqueCount="150">
  <si>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</si>
  <si>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</si>
  <si>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</si>
  <si>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</si>
  <si>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</si>
  <si>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</si>
  <si>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</si>
  <si>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</si>
  <si>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</si>
  <si>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</si>
  <si>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</si>
  <si>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</si>
  <si>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</si>
  <si>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</si>
  <si>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</si>
  <si>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</si>
  <si>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</si>
  <si>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</si>
  <si>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</si>
  <si>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</si>
  <si>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</si>
  <si>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</si>
  <si>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</si>
  <si>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</si>
  <si>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</si>
  <si>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</si>
  <si>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</si>
  <si>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</si>
  <si>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</si>
  <si>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</si>
  <si>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</si>
  <si>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</si>
  <si>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</si>
  <si>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</si>
  <si>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</si>
  <si>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</si>
  <si>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</si>
  <si>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</si>
  <si>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</si>
  <si>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</si>
  <si>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</si>
  <si>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</si>
  <si>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</si>
  <si>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</si>
  <si>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</si>
  <si>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</si>
  <si>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</si>
  <si>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</si>
  <si>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</si>
  <si>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</si>
  <si>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</si>
  <si>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</si>
  <si>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</si>
  <si>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</si>
  <si>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</si>
  <si>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</si>
  <si>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</si>
  <si>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</si>
  <si>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</si>
  <si>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</si>
  <si>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</si>
  <si>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</si>
  <si>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</si>
  <si>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</si>
  <si>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</si>
  <si>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</si>
  <si>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</si>
  <si>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</si>
  <si>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</si>
  <si>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</si>
  <si>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</si>
  <si>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</si>
  <si>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</si>
  <si>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</si>
  <si>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</si>
  <si>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</si>
  <si>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</si>
  <si>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</si>
  <si>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</si>
  <si>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</si>
  <si>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</si>
  <si>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</si>
  <si>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</si>
  <si>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</si>
  <si>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</si>
  <si>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</si>
  <si>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</si>
  <si>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</si>
  <si>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</si>
  <si>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</si>
  <si>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</si>
  <si>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</si>
  <si>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</si>
  <si>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</si>
  <si>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</si>
  <si>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</si>
  <si>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</si>
  <si>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</si>
  <si>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</si>
  <si>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</si>
  <si>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</si>
  <si>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</si>
  <si>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</si>
  <si>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</si>
  <si>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</si>
  <si>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</si>
  <si>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</si>
  <si>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</si>
  <si>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</si>
  <si>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</si>
  <si>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</si>
  <si>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</si>
  <si>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CONTACTO: 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</si>
  <si>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</si>
  <si>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</si>
  <si>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</si>
  <si>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</si>
  <si>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</si>
  <si>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</si>
  <si>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</si>
  <si>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</si>
  <si>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</si>
  <si>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</si>
  <si>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</si>
  <si>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</si>
  <si>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</si>
  <si>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</si>
  <si>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</si>
  <si>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CORREO:</t>
  </si>
  <si>
    <t>CUB C/R R6</t>
  </si>
  <si>
    <t>HECHO POR:</t>
  </si>
  <si>
    <t xml:space="preserve">CLIENTE: </t>
  </si>
  <si>
    <t>GIRO:</t>
  </si>
  <si>
    <t>F.D.</t>
  </si>
  <si>
    <t>FERNANDO DONOSO</t>
  </si>
  <si>
    <t>FD</t>
  </si>
  <si>
    <t>MDF18MM</t>
  </si>
  <si>
    <t>NO</t>
  </si>
  <si>
    <t>ABONO 50% SALDO C/ENTREGA</t>
  </si>
  <si>
    <t>162x132</t>
  </si>
  <si>
    <t>SANTIAGO</t>
  </si>
  <si>
    <t>UVZ MOBILIARIO SPA</t>
  </si>
  <si>
    <t>76.046.773-1</t>
  </si>
  <si>
    <t>FABRICACION DE MUEBLES</t>
  </si>
  <si>
    <t>ROSSY VALDES</t>
  </si>
  <si>
    <t>+569 25158 9695</t>
  </si>
  <si>
    <t>TOTORAL 300 QUILICURA</t>
  </si>
  <si>
    <t>CUBC C/R R8</t>
  </si>
  <si>
    <t>GALAXIA GRAFITO 0491 MT</t>
  </si>
  <si>
    <t>N°  11092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</si>
</sst>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2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000000"/>
      <name val="Segoe UI"/>
      <family val="2"/>
    </font>
    <font>
      <i/>
      <sz val="12"/>
      <color rgb="FF1F497D"/>
      <name val="Arial"/>
      <family val="2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/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2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3" fillId="0" borderId="0" xfId="0" applyFont="1" applyAlignment="1">
      <alignment horizontal="left" indent="1"/>
    </xf>
    <xf numFmtId="0" fontId="13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3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3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3" fillId="0" borderId="0" xfId="1" applyNumberFormat="1" applyFont="1" applyFill="1" applyBorder="1" applyAlignment="1">
      <alignment horizontal="center" vertical="center"/>
    </xf>
    <xf numFmtId="14" fontId="3" fillId="4" borderId="0" xfId="0" applyNumberFormat="1" applyFont="1" applyFill="1" applyAlignment="1">
      <alignment horizontal="left"/>
    </xf>
    <xf numFmtId="0" fontId="18" fillId="3" borderId="0" xfId="0" applyFont="1" applyFill="1"/>
    <xf numFmtId="1" fontId="17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/>
    </xf>
    <xf numFmtId="0" fontId="19" fillId="0" borderId="27" xfId="0" applyFont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0" fillId="0" borderId="18" xfId="0" applyFont="1" applyBorder="1" applyAlignment="1">
      <alignment horizontal="center"/>
    </xf>
    <xf numFmtId="0" fontId="21" fillId="0" borderId="0" xfId="0" applyFont="1"/>
    <xf numFmtId="0" fontId="6" fillId="3" borderId="0" xfId="2" applyFill="1"/>
    <xf numFmtId="0" fontId="22" fillId="0" borderId="0" xfId="0" quotePrefix="1" applyFont="1"/>
    <xf numFmtId="166" fontId="3" fillId="0" borderId="2" xfId="1" applyNumberFormat="1" applyFont="1" applyFill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/>
    </xf>
    <xf numFmtId="0" fontId="9" fillId="0" borderId="32" xfId="0" applyFont="1" applyBorder="1" applyAlignment="1">
      <alignment horizontal="center"/>
    </xf>
    <xf numFmtId="0" fontId="0" fillId="0" borderId="2" xfId="0" applyBorder="1"/>
    <xf numFmtId="0" fontId="3" fillId="0" borderId="2" xfId="0" applyFont="1" applyBorder="1"/>
    <xf numFmtId="0" fontId="2" fillId="3" borderId="6" xfId="0" applyFont="1" applyFill="1" applyBorder="1"/>
    <xf numFmtId="0" fontId="13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34291</xdr:colOff>
      <xdr:row>23</xdr:row>
      <xdr:rowOff>0</xdr:rowOff>
    </xdr:from>
    <xdr:to>
      <xdr:col>5</xdr:col>
      <xdr:colOff>1522096</xdr:colOff>
      <xdr:row>26</xdr:row>
      <xdr:rowOff>104775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32411" y="5128260"/>
          <a:ext cx="5983605" cy="7067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CANCELADA</a:t>
          </a:r>
          <a:endParaRPr lang="es-CL" sz="12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1279918</xdr:colOff>
      <xdr:row>6</xdr:row>
      <xdr:rowOff>20955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716280</xdr:colOff>
      <xdr:row>16</xdr:row>
      <xdr:rowOff>60960</xdr:rowOff>
    </xdr:from>
    <xdr:to>
      <xdr:col>5</xdr:col>
      <xdr:colOff>2240279</xdr:colOff>
      <xdr:row>18</xdr:row>
      <xdr:rowOff>3810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716280" y="4899660"/>
          <a:ext cx="7155179" cy="22479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43</xdr:row>
      <xdr:rowOff>171450</xdr:rowOff>
    </xdr:from>
    <xdr:to>
      <xdr:col>5</xdr:col>
      <xdr:colOff>1685924</xdr:colOff>
      <xdr:row>45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12767310"/>
          <a:ext cx="7498079" cy="24384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647825" y="12344400"/>
          <a:ext cx="6726555" cy="5334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647825" y="11971020"/>
          <a:ext cx="6726555" cy="17907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647825" y="11734800"/>
          <a:ext cx="6726555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50</xdr:row>
      <xdr:rowOff>0</xdr:rowOff>
    </xdr:from>
    <xdr:to>
      <xdr:col>2</xdr:col>
      <xdr:colOff>38100</xdr:colOff>
      <xdr:row>51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5460980"/>
          <a:ext cx="9677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50</xdr:row>
      <xdr:rowOff>0</xdr:rowOff>
    </xdr:from>
    <xdr:to>
      <xdr:col>2</xdr:col>
      <xdr:colOff>1019175</xdr:colOff>
      <xdr:row>51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1640" y="15460980"/>
          <a:ext cx="98107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50</xdr:row>
      <xdr:rowOff>0</xdr:rowOff>
    </xdr:from>
    <xdr:to>
      <xdr:col>3</xdr:col>
      <xdr:colOff>352425</xdr:colOff>
      <xdr:row>51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63190" y="15460980"/>
          <a:ext cx="169735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50</xdr:row>
      <xdr:rowOff>0</xdr:rowOff>
    </xdr:from>
    <xdr:to>
      <xdr:col>4</xdr:col>
      <xdr:colOff>257175</xdr:colOff>
      <xdr:row>51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4360545" y="15460980"/>
          <a:ext cx="100203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50</xdr:row>
      <xdr:rowOff>0</xdr:rowOff>
    </xdr:from>
    <xdr:to>
      <xdr:col>5</xdr:col>
      <xdr:colOff>447675</xdr:colOff>
      <xdr:row>51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5353050" y="1546098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50</xdr:row>
      <xdr:rowOff>0</xdr:rowOff>
    </xdr:from>
    <xdr:to>
      <xdr:col>6</xdr:col>
      <xdr:colOff>0</xdr:colOff>
      <xdr:row>51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6431280" y="1546098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304800</xdr:colOff>
      <xdr:row>52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5651480"/>
          <a:ext cx="123444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1276350</xdr:colOff>
      <xdr:row>52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1640" y="156514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619125</xdr:colOff>
      <xdr:row>52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63190" y="15651480"/>
          <a:ext cx="196405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523875</xdr:colOff>
      <xdr:row>52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4360545" y="156514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723900</xdr:colOff>
      <xdr:row>52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5353050" y="156514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52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6431280" y="15651480"/>
          <a:ext cx="194310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30</xdr:row>
      <xdr:rowOff>15238</xdr:rowOff>
    </xdr:from>
    <xdr:to>
      <xdr:col>6</xdr:col>
      <xdr:colOff>68580</xdr:colOff>
      <xdr:row>34</xdr:row>
      <xdr:rowOff>76199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8"/>
          <a:ext cx="7991475" cy="8610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sz="1050">
            <a:effectLst/>
          </a:endParaRPr>
        </a:p>
      </xdr:txBody>
    </xdr:sp>
    <xdr:clientData/>
  </xdr:twoCellAnchor>
  <xdr:twoCellAnchor>
    <xdr:from>
      <xdr:col>0</xdr:col>
      <xdr:colOff>190500</xdr:colOff>
      <xdr:row>24</xdr:row>
      <xdr:rowOff>1905</xdr:rowOff>
    </xdr:from>
    <xdr:to>
      <xdr:col>6</xdr:col>
      <xdr:colOff>19049</xdr:colOff>
      <xdr:row>25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7629525"/>
          <a:ext cx="8202929" cy="21336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53</xdr:row>
      <xdr:rowOff>32385</xdr:rowOff>
    </xdr:from>
    <xdr:to>
      <xdr:col>6</xdr:col>
      <xdr:colOff>19050</xdr:colOff>
      <xdr:row>58</xdr:row>
      <xdr:rowOff>47625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481435"/>
          <a:ext cx="7608570" cy="10058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CLIENTE RETIRA CUBIERTAS</a:t>
          </a:r>
          <a:endParaRPr lang="es-CL" b="1">
            <a:effectLst/>
          </a:endParaRPr>
        </a:p>
      </xdr:txBody>
    </xdr:sp>
    <xdr:clientData/>
  </xdr:twoCellAnchor>
  <xdr:twoCellAnchor editAs="oneCell">
    <xdr:from>
      <xdr:col>0</xdr:col>
      <xdr:colOff>55245</xdr:colOff>
      <xdr:row>37</xdr:row>
      <xdr:rowOff>175260</xdr:rowOff>
    </xdr:from>
    <xdr:to>
      <xdr:col>1</xdr:col>
      <xdr:colOff>654164</xdr:colOff>
      <xdr:row>43</xdr:row>
      <xdr:rowOff>85725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5" y="14634210"/>
          <a:ext cx="1303769" cy="986790"/>
        </a:xfrm>
        <a:prstGeom prst="rect">
          <a:avLst/>
        </a:prstGeom>
      </xdr:spPr>
    </xdr:pic>
    <xdr:clientData/>
  </xdr:twoCellAnchor>
  <xdr:twoCellAnchor editAs="oneCell">
    <xdr:from>
      <xdr:col>0</xdr:col>
      <xdr:colOff>177166</xdr:colOff>
      <xdr:row>2</xdr:row>
      <xdr:rowOff>152400</xdr:rowOff>
    </xdr:from>
    <xdr:to>
      <xdr:col>1</xdr:col>
      <xdr:colOff>703592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6" y="561975"/>
          <a:ext cx="1231276" cy="92773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32"/>
  <sheetViews>
    <sheetView topLeftCell="A7" workbookViewId="0">
      <selection activeCell="B23" sqref="B23"/>
    </sheetView>
  </sheetViews>
  <sheetFormatPr baseColWidth="10" defaultRowHeight="14.4" x14ac:dyDescent="0.3"/>
  <cols>
    <col min="1" max="1" width="2.88671875" customWidth="1"/>
    <col min="2" max="2" width="8.5546875" customWidth="1"/>
    <col min="3" max="3" width="38.5546875" customWidth="1"/>
    <col min="4" max="4" width="9.5546875" customWidth="1"/>
    <col min="5" max="5" width="8.88671875" customWidth="1"/>
    <col min="6" max="6" width="26.44140625" customWidth="1"/>
    <col min="7" max="7" width="13" customWidth="1"/>
    <col min="8" max="8" width="14.109375" bestFit="1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120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121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122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4" t="s">
        <v>16</v>
      </c>
      <c r="C8" s="85"/>
      <c r="D8" s="86" t="s">
        <v>149</v>
      </c>
      <c r="E8" s="1"/>
      <c r="F8" s="87" t="s">
        <v>27</v>
      </c>
      <c r="G8" s="88">
        <v>7109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48" t="s">
        <v>131</v>
      </c>
      <c r="C10" s="79" t="s">
        <v>141</v>
      </c>
      <c r="D10" s="49"/>
      <c r="E10" s="49"/>
      <c r="F10" s="50" t="s">
        <v>28</v>
      </c>
      <c r="G10" s="51">
        <v>45559</v>
      </c>
      <c r="H10" s="52"/>
      <c r="I10" s="1"/>
      <c r="J10" s="1"/>
      <c r="K10" s="1"/>
      <c r="L10" s="1"/>
      <c r="M10" s="1"/>
      <c r="N10" s="1"/>
      <c r="O10" s="1"/>
      <c r="P10" s="1"/>
      <c r="Q10" s="1"/>
    </row>
    <row r="11" spans="1:17" ht="17.399999999999999" thickBot="1" x14ac:dyDescent="0.45">
      <c r="A11" s="1"/>
      <c r="B11" s="53" t="s">
        <v>2</v>
      </c>
      <c r="C11" s="99" t="s">
        <v>142</v>
      </c>
      <c r="D11" s="54"/>
      <c r="E11" s="54"/>
      <c r="F11" s="54" t="s">
        <v>125</v>
      </c>
      <c r="G11" s="55">
        <v>45561</v>
      </c>
      <c r="H11" s="56"/>
      <c r="I11" s="1"/>
    </row>
    <row r="12" spans="1:17" ht="15.6" x14ac:dyDescent="0.3">
      <c r="A12" s="1"/>
      <c r="B12" s="53" t="s">
        <v>132</v>
      </c>
      <c r="C12" t="s">
        <v>143</v>
      </c>
      <c r="D12" s="54"/>
      <c r="E12" s="54"/>
      <c r="F12" s="54"/>
      <c r="G12" s="91"/>
      <c r="H12" s="56"/>
      <c r="I12" s="1"/>
    </row>
    <row r="13" spans="1:17" ht="15.6" x14ac:dyDescent="0.3">
      <c r="A13" s="1"/>
      <c r="B13" s="57" t="s">
        <v>112</v>
      </c>
      <c r="C13" t="s">
        <v>144</v>
      </c>
      <c r="D13" s="38"/>
      <c r="E13" s="38"/>
      <c r="F13" s="38" t="s">
        <v>30</v>
      </c>
      <c r="G13" s="58"/>
      <c r="H13" s="59"/>
      <c r="I13" s="1"/>
    </row>
    <row r="14" spans="1:17" ht="15.6" x14ac:dyDescent="0.3">
      <c r="A14" s="1"/>
      <c r="B14" s="57" t="s">
        <v>128</v>
      </c>
      <c r="C14" s="100"/>
      <c r="D14" s="38"/>
      <c r="E14" s="38"/>
      <c r="F14" s="38" t="s">
        <v>130</v>
      </c>
      <c r="G14" s="58" t="s">
        <v>133</v>
      </c>
      <c r="H14" s="59"/>
      <c r="I14" s="1"/>
    </row>
    <row r="15" spans="1:17" ht="15.6" x14ac:dyDescent="0.3">
      <c r="A15" s="1"/>
      <c r="B15" s="53" t="s">
        <v>17</v>
      </c>
      <c r="C15" s="101" t="s">
        <v>145</v>
      </c>
      <c r="D15" s="60"/>
      <c r="E15" s="54"/>
      <c r="F15" s="54" t="s">
        <v>29</v>
      </c>
      <c r="G15" s="54" t="s">
        <v>137</v>
      </c>
      <c r="H15" s="56"/>
      <c r="I15" s="1"/>
    </row>
    <row r="16" spans="1:17" ht="15.6" x14ac:dyDescent="0.3">
      <c r="A16" s="1"/>
      <c r="B16" s="108" t="s">
        <v>1</v>
      </c>
      <c r="C16" s="38" t="s">
        <v>146</v>
      </c>
      <c r="D16" s="38"/>
      <c r="E16" s="38"/>
      <c r="F16" s="61" t="s">
        <v>75</v>
      </c>
      <c r="G16" s="92" t="s">
        <v>138</v>
      </c>
      <c r="H16" s="59"/>
      <c r="I16" s="1"/>
    </row>
    <row r="17" spans="1:19" ht="16.2" thickBot="1" x14ac:dyDescent="0.35">
      <c r="A17" s="1"/>
      <c r="B17" s="62" t="s">
        <v>3</v>
      </c>
      <c r="C17" s="63" t="s">
        <v>140</v>
      </c>
      <c r="D17" s="63"/>
      <c r="E17" s="64"/>
      <c r="F17" s="109" t="s">
        <v>18</v>
      </c>
      <c r="G17" s="109"/>
      <c r="H17" s="110"/>
      <c r="I17" s="1"/>
    </row>
    <row r="18" spans="1:19" ht="15.6" x14ac:dyDescent="0.3">
      <c r="A18" s="1"/>
      <c r="B18" s="1"/>
      <c r="C18" s="1"/>
      <c r="D18" s="1"/>
      <c r="E18" s="1"/>
      <c r="F18" s="1"/>
      <c r="G18" s="1"/>
      <c r="H18" s="1"/>
      <c r="I18" s="1"/>
    </row>
    <row r="19" spans="1:19" ht="16.2" thickBot="1" x14ac:dyDescent="0.35">
      <c r="A19" s="1"/>
      <c r="B19" s="1"/>
      <c r="C19" s="1"/>
      <c r="D19" s="1"/>
      <c r="E19" s="1"/>
      <c r="F19" s="1"/>
      <c r="G19" s="1"/>
      <c r="H19" s="1"/>
      <c r="I19" s="1"/>
    </row>
    <row r="20" spans="1:19" ht="16.2" thickBot="1" x14ac:dyDescent="0.35">
      <c r="A20" s="1"/>
      <c r="B20" s="111" t="s">
        <v>19</v>
      </c>
      <c r="C20" s="112"/>
      <c r="D20" s="112"/>
      <c r="E20" s="112"/>
      <c r="F20" s="112"/>
      <c r="G20" s="112"/>
      <c r="H20" s="113"/>
      <c r="I20" s="1"/>
    </row>
    <row r="21" spans="1:19" ht="15.6" x14ac:dyDescent="0.3">
      <c r="A21" s="1"/>
      <c r="B21" s="65" t="s">
        <v>20</v>
      </c>
      <c r="C21" s="66" t="s">
        <v>21</v>
      </c>
      <c r="D21" s="66" t="s">
        <v>22</v>
      </c>
      <c r="E21" s="66" t="s">
        <v>8</v>
      </c>
      <c r="F21" s="67" t="s">
        <v>23</v>
      </c>
      <c r="G21" s="65" t="s">
        <v>24</v>
      </c>
      <c r="H21" s="67" t="s">
        <v>4</v>
      </c>
      <c r="I21" s="1"/>
      <c r="L21">
        <v>45000</v>
      </c>
    </row>
    <row r="22" spans="1:19" ht="18" customHeight="1" x14ac:dyDescent="0.3">
      <c r="A22" s="1"/>
      <c r="B22" s="94">
        <v>2</v>
      </c>
      <c r="C22" s="94" t="s">
        <v>147</v>
      </c>
      <c r="D22" s="93">
        <v>2700</v>
      </c>
      <c r="E22" s="93">
        <v>600</v>
      </c>
      <c r="F22" s="103" t="s">
        <v>148</v>
      </c>
      <c r="G22" s="102">
        <v>148224</v>
      </c>
      <c r="H22" s="102">
        <f>G22*B22</f>
        <v>296448</v>
      </c>
      <c r="K22" s="16"/>
      <c r="L22" s="24">
        <f>L21*2.5</f>
        <v>112500</v>
      </c>
      <c r="M22" s="16"/>
      <c r="N22" s="16">
        <v>108700</v>
      </c>
      <c r="O22" s="24"/>
      <c r="P22" s="31"/>
    </row>
    <row r="23" spans="1:19" ht="16.2" thickBot="1" x14ac:dyDescent="0.35">
      <c r="A23" s="1"/>
      <c r="B23" s="68"/>
      <c r="C23" s="68"/>
      <c r="D23" s="68"/>
      <c r="E23" s="68"/>
      <c r="F23" s="68"/>
      <c r="G23" s="90"/>
      <c r="H23" s="90"/>
      <c r="I23" s="1"/>
      <c r="L23" s="2"/>
      <c r="O23" s="2"/>
      <c r="P23">
        <v>2940</v>
      </c>
      <c r="Q23">
        <v>600</v>
      </c>
      <c r="S23" t="s">
        <v>139</v>
      </c>
    </row>
    <row r="24" spans="1:19" ht="15.6" x14ac:dyDescent="0.3">
      <c r="A24" s="1"/>
      <c r="B24" s="1"/>
      <c r="C24" s="1"/>
      <c r="D24" s="1"/>
      <c r="E24" s="1"/>
      <c r="F24" s="1"/>
      <c r="G24" s="69" t="s">
        <v>5</v>
      </c>
      <c r="H24" s="70">
        <f>SUM(H22:H23)</f>
        <v>296448</v>
      </c>
      <c r="I24" s="1"/>
      <c r="L24" s="2"/>
      <c r="O24" s="24"/>
      <c r="P24" s="31">
        <v>1890</v>
      </c>
      <c r="Q24">
        <v>600</v>
      </c>
    </row>
    <row r="25" spans="1:19" ht="15.6" x14ac:dyDescent="0.3">
      <c r="A25" s="1"/>
      <c r="B25" s="1"/>
      <c r="C25" s="1"/>
      <c r="D25" s="1"/>
      <c r="E25" s="1"/>
      <c r="F25" s="1"/>
      <c r="G25" s="71" t="s">
        <v>6</v>
      </c>
      <c r="H25" s="72">
        <f>H24*19%</f>
        <v>56325.120000000003</v>
      </c>
      <c r="I25" s="1"/>
      <c r="L25" s="2"/>
    </row>
    <row r="26" spans="1:19" ht="16.2" thickBot="1" x14ac:dyDescent="0.35">
      <c r="A26" s="1"/>
      <c r="B26" s="1"/>
      <c r="C26" s="1"/>
      <c r="D26" s="1"/>
      <c r="E26" s="1"/>
      <c r="F26" s="1"/>
      <c r="G26" s="73" t="s">
        <v>4</v>
      </c>
      <c r="H26" s="74">
        <f>H24+H25</f>
        <v>352773.12</v>
      </c>
      <c r="I26" s="1"/>
      <c r="L26" s="2"/>
    </row>
    <row r="27" spans="1:19" ht="15.6" x14ac:dyDescent="0.3">
      <c r="A27" s="1"/>
      <c r="B27" s="1"/>
      <c r="C27" s="1"/>
      <c r="D27" s="1"/>
      <c r="E27" s="1"/>
      <c r="F27" s="1"/>
      <c r="H27" s="31"/>
      <c r="I27" s="1"/>
    </row>
    <row r="28" spans="1:19" ht="15.6" x14ac:dyDescent="0.3">
      <c r="A28" s="1"/>
      <c r="B28" s="75" t="s">
        <v>124</v>
      </c>
      <c r="C28" s="76"/>
      <c r="D28" s="77"/>
      <c r="E28" s="77"/>
      <c r="F28" s="68"/>
      <c r="I28" s="1"/>
    </row>
    <row r="29" spans="1:19" ht="15.6" x14ac:dyDescent="0.3">
      <c r="A29" s="1"/>
      <c r="B29" s="75" t="s">
        <v>123</v>
      </c>
      <c r="C29" s="76"/>
      <c r="D29" s="77"/>
      <c r="E29" s="77"/>
      <c r="F29" s="68"/>
      <c r="G29" s="1"/>
      <c r="H29" s="1"/>
      <c r="I29" s="1"/>
    </row>
    <row r="30" spans="1:19" ht="15.6" x14ac:dyDescent="0.3">
      <c r="A30" s="1"/>
      <c r="B30" s="1" t="s">
        <v>25</v>
      </c>
      <c r="C30" s="1"/>
      <c r="D30" s="1"/>
      <c r="E30" s="78" t="s">
        <v>26</v>
      </c>
      <c r="F30" s="1"/>
      <c r="G30" s="1"/>
      <c r="H30" s="1"/>
      <c r="I30" s="1"/>
    </row>
    <row r="31" spans="1:19" ht="15.6" x14ac:dyDescent="0.3">
      <c r="A31" s="1"/>
      <c r="B31" s="1"/>
      <c r="C31" s="1"/>
      <c r="D31" s="1"/>
      <c r="E31" s="1"/>
      <c r="F31" s="1"/>
      <c r="G31" s="1"/>
      <c r="H31" s="1"/>
      <c r="I31" s="1"/>
    </row>
    <row r="32" spans="1:19" ht="15.6" x14ac:dyDescent="0.3">
      <c r="A32" s="1"/>
      <c r="B32" s="1"/>
      <c r="C32" s="1"/>
      <c r="D32" s="1"/>
      <c r="E32" s="1"/>
      <c r="F32" s="1"/>
      <c r="G32" s="1"/>
      <c r="H32" s="1"/>
      <c r="I32" s="1"/>
    </row>
  </sheetData>
  <sortState xmlns:xlrd2="http://schemas.microsoft.com/office/spreadsheetml/2017/richdata2" ref="B34">
    <sortCondition sortBy="fontColor" ref="B34" dxfId="0"/>
  </sortState>
  <mergeCells count="2">
    <mergeCell ref="F17:H17"/>
    <mergeCell ref="B20:H20"/>
  </mergeCells>
  <phoneticPr fontId="10" type="noConversion"/>
  <hyperlinks>
    <hyperlink ref="E30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3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4" t="s">
        <v>31</v>
      </c>
      <c r="C2" s="114"/>
      <c r="D2" s="114"/>
      <c r="E2" s="17"/>
      <c r="G2" s="114" t="s">
        <v>70</v>
      </c>
      <c r="H2" s="114"/>
      <c r="I2" s="114"/>
      <c r="P2" s="115" t="s">
        <v>58</v>
      </c>
      <c r="Q2" s="115"/>
      <c r="R2" s="115"/>
    </row>
    <row r="3" spans="2:18" x14ac:dyDescent="0.3">
      <c r="B3" s="11" t="s">
        <v>7</v>
      </c>
      <c r="C3" s="11" t="s">
        <v>8</v>
      </c>
      <c r="D3" s="11" t="s">
        <v>21</v>
      </c>
      <c r="E3" s="18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114</v>
      </c>
      <c r="E4" s="8" t="s">
        <v>101</v>
      </c>
      <c r="G4" s="27">
        <v>50</v>
      </c>
      <c r="H4" s="27">
        <v>100</v>
      </c>
      <c r="I4" s="28" t="s">
        <v>114</v>
      </c>
      <c r="J4" s="29" t="s">
        <v>109</v>
      </c>
      <c r="K4" s="29"/>
      <c r="L4" s="29"/>
      <c r="M4" s="29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115</v>
      </c>
      <c r="E5" s="8" t="s">
        <v>102</v>
      </c>
      <c r="G5" s="27">
        <v>50</v>
      </c>
      <c r="H5" s="27"/>
      <c r="I5" s="28" t="s">
        <v>116</v>
      </c>
      <c r="J5" s="29" t="s">
        <v>118</v>
      </c>
      <c r="K5" s="29"/>
      <c r="L5" s="29"/>
      <c r="M5" s="29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5" t="s">
        <v>58</v>
      </c>
      <c r="M8" s="115"/>
      <c r="N8" s="115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129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117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119</v>
      </c>
      <c r="E20" s="8" t="s">
        <v>86</v>
      </c>
      <c r="G20" s="9">
        <v>50</v>
      </c>
      <c r="H20" s="9">
        <v>0</v>
      </c>
      <c r="I20" s="10" t="s">
        <v>119</v>
      </c>
      <c r="J20" s="29" t="s">
        <v>111</v>
      </c>
      <c r="K20" s="29"/>
      <c r="L20" s="29"/>
      <c r="M20" s="29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113</v>
      </c>
      <c r="E21" s="8" t="s">
        <v>87</v>
      </c>
      <c r="G21" s="9">
        <v>50</v>
      </c>
      <c r="H21" s="9">
        <v>0</v>
      </c>
      <c r="I21" s="10" t="s">
        <v>113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7"/>
      <c r="H22" s="27"/>
      <c r="I22" s="28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5">
        <v>40</v>
      </c>
      <c r="C36" s="25">
        <v>90</v>
      </c>
      <c r="D36" s="26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5">
        <v>40</v>
      </c>
      <c r="C37" s="25">
        <v>90</v>
      </c>
      <c r="D37" s="26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1"/>
  <sheetViews>
    <sheetView tabSelected="1" zoomScaleNormal="100" workbookViewId="0">
      <selection activeCell="G47" sqref="G46:G47"/>
    </sheetView>
  </sheetViews>
  <sheetFormatPr baseColWidth="10" defaultRowHeight="14.4" x14ac:dyDescent="0.3"/>
  <cols>
    <col min="1" max="2" width="10.5546875" customWidth="1"/>
    <col min="3" max="3" width="41.6640625" customWidth="1"/>
    <col min="4" max="5" width="9.6640625" customWidth="1"/>
    <col min="6" max="6" width="40.554687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2" t="s">
        <v>127</v>
      </c>
      <c r="L2" s="32"/>
      <c r="M2" s="32"/>
    </row>
    <row r="3" spans="1:14" ht="15.6" x14ac:dyDescent="0.3">
      <c r="A3" s="1"/>
      <c r="B3" s="1"/>
      <c r="C3" s="1"/>
      <c r="D3" s="1"/>
      <c r="E3" s="1"/>
      <c r="F3" s="1"/>
      <c r="G3" s="1"/>
      <c r="K3" s="116" t="s">
        <v>61</v>
      </c>
      <c r="L3" s="116"/>
      <c r="M3" s="116" t="s">
        <v>14</v>
      </c>
      <c r="N3" s="116"/>
    </row>
    <row r="4" spans="1:14" ht="15.75" customHeight="1" x14ac:dyDescent="0.3">
      <c r="A4" s="1"/>
      <c r="B4" s="1"/>
      <c r="C4" s="35" t="s">
        <v>27</v>
      </c>
      <c r="D4" s="14">
        <f>'4637'!G8</f>
        <v>7109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36" t="s">
        <v>67</v>
      </c>
      <c r="D5" s="37" t="str">
        <f>'4637'!C10</f>
        <v>UVZ MOBILIARIO SPA</v>
      </c>
      <c r="E5" s="38"/>
      <c r="F5" s="38"/>
      <c r="G5" s="1"/>
      <c r="K5">
        <f>LOOKUP(F14,REGLAS!$I$4:$I$37,REGLAS!$G$4:$G$37)+J14</f>
        <v>2750</v>
      </c>
      <c r="L5">
        <f>LOOKUP(F14,REGLAS!$I$4:$I$37,REGLAS!$H$4:$H$37)+K14</f>
        <v>600</v>
      </c>
      <c r="M5" t="e">
        <f>LOOKUP(F22,REGLAS!$D$4:$D$37,REGLAS!$B$4:$B$37)+#REF!</f>
        <v>#REF!</v>
      </c>
      <c r="N5">
        <f>LOOKUP(F22,REGLAS!$D$4:$D$37,REGLAS!$C$4:$C$37)+J22</f>
        <v>2760</v>
      </c>
    </row>
    <row r="6" spans="1:14" ht="4.5" customHeight="1" x14ac:dyDescent="0.3">
      <c r="A6" s="1"/>
      <c r="B6" s="1"/>
      <c r="C6" s="39"/>
      <c r="D6" s="40"/>
      <c r="E6" s="1"/>
      <c r="F6" s="1"/>
      <c r="G6" s="1"/>
    </row>
    <row r="7" spans="1:14" ht="15.6" x14ac:dyDescent="0.3">
      <c r="A7" s="1"/>
      <c r="B7" s="1"/>
      <c r="C7" s="80" t="str">
        <f>'4637'!F11</f>
        <v>FECHA LIMITE :</v>
      </c>
      <c r="D7" s="13">
        <f>'4637'!G11</f>
        <v>45561</v>
      </c>
      <c r="E7" s="1"/>
      <c r="F7" s="1"/>
      <c r="G7" s="1"/>
    </row>
    <row r="8" spans="1:14" ht="15.6" x14ac:dyDescent="0.3">
      <c r="A8" s="1"/>
      <c r="B8" s="1"/>
      <c r="C8" s="47" t="s">
        <v>126</v>
      </c>
      <c r="D8" s="1"/>
      <c r="E8" s="1"/>
      <c r="F8" s="1" t="s">
        <v>135</v>
      </c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7" t="s">
        <v>61</v>
      </c>
      <c r="B10" s="117"/>
      <c r="C10" s="117"/>
      <c r="D10" s="117"/>
      <c r="E10" s="117"/>
      <c r="F10" s="117"/>
      <c r="G10" s="1"/>
    </row>
    <row r="11" spans="1:14" ht="15.6" x14ac:dyDescent="0.3">
      <c r="A11" s="1"/>
      <c r="B11" s="1"/>
      <c r="C11" s="12"/>
      <c r="D11" s="1"/>
      <c r="E11" s="1"/>
      <c r="F11" s="1"/>
      <c r="G11" s="1">
        <v>20</v>
      </c>
    </row>
    <row r="12" spans="1:14" ht="15.6" x14ac:dyDescent="0.3">
      <c r="A12" s="1"/>
      <c r="B12" s="1"/>
      <c r="C12" s="1"/>
      <c r="D12" s="46" t="s">
        <v>7</v>
      </c>
      <c r="E12" s="46" t="s">
        <v>8</v>
      </c>
      <c r="F12" s="1"/>
      <c r="G12" s="1"/>
    </row>
    <row r="13" spans="1:14" ht="15.6" x14ac:dyDescent="0.3">
      <c r="A13" s="46" t="s">
        <v>9</v>
      </c>
      <c r="B13" s="34" t="s">
        <v>10</v>
      </c>
      <c r="C13" s="34" t="s">
        <v>11</v>
      </c>
      <c r="D13" s="30">
        <v>50</v>
      </c>
      <c r="E13" s="30">
        <v>-30</v>
      </c>
      <c r="F13" s="34" t="s">
        <v>110</v>
      </c>
      <c r="G13" s="1"/>
      <c r="J13" s="5" t="s">
        <v>7</v>
      </c>
      <c r="K13" s="5" t="s">
        <v>8</v>
      </c>
    </row>
    <row r="14" spans="1:14" ht="18" x14ac:dyDescent="0.35">
      <c r="A14" s="89" t="s">
        <v>136</v>
      </c>
      <c r="B14" s="97">
        <f t="shared" ref="B14" si="0">I14</f>
        <v>2</v>
      </c>
      <c r="C14" s="98"/>
      <c r="D14" s="97">
        <f>J14+D$13</f>
        <v>2750</v>
      </c>
      <c r="E14" s="97">
        <f>K14+E$13</f>
        <v>570</v>
      </c>
      <c r="F14" s="97" t="str">
        <f>F22</f>
        <v>CUBC C/R R8</v>
      </c>
      <c r="G14" s="1"/>
      <c r="I14" s="3">
        <f>I22</f>
        <v>2</v>
      </c>
      <c r="J14" s="4">
        <f>J22</f>
        <v>2700</v>
      </c>
      <c r="K14" s="4">
        <f>K22</f>
        <v>600</v>
      </c>
    </row>
    <row r="15" spans="1:14" ht="15.6" x14ac:dyDescent="0.3">
      <c r="A15" s="89"/>
      <c r="B15" s="6"/>
      <c r="C15" s="6"/>
      <c r="D15" s="6"/>
      <c r="E15" s="6"/>
      <c r="F15" s="6"/>
      <c r="G15" s="1"/>
      <c r="I15" s="83"/>
      <c r="J15" s="2"/>
      <c r="K15" s="2"/>
    </row>
    <row r="16" spans="1:14" ht="15.6" x14ac:dyDescent="0.3">
      <c r="A16" s="46"/>
      <c r="B16" s="6"/>
      <c r="C16" s="6"/>
      <c r="D16" s="6"/>
      <c r="E16" s="82"/>
      <c r="F16" s="6"/>
      <c r="G16" s="1"/>
      <c r="I16" s="2"/>
      <c r="J16" s="2"/>
      <c r="K16" s="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17" t="s">
        <v>14</v>
      </c>
      <c r="B18" s="117"/>
      <c r="C18" s="117"/>
      <c r="D18" s="117"/>
      <c r="E18" s="117"/>
      <c r="F18" s="117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46" t="s">
        <v>7</v>
      </c>
      <c r="E20" s="46" t="s">
        <v>8</v>
      </c>
      <c r="F20" s="1"/>
      <c r="G20" s="1"/>
    </row>
    <row r="21" spans="1:11" ht="15.6" x14ac:dyDescent="0.3">
      <c r="A21" s="46" t="s">
        <v>9</v>
      </c>
      <c r="B21" s="33" t="s">
        <v>10</v>
      </c>
      <c r="C21" s="33" t="s">
        <v>11</v>
      </c>
      <c r="D21" s="20">
        <v>40</v>
      </c>
      <c r="E21" s="20">
        <v>130</v>
      </c>
      <c r="F21" s="33" t="s">
        <v>110</v>
      </c>
      <c r="G21" s="1"/>
      <c r="J21" s="5" t="s">
        <v>7</v>
      </c>
      <c r="K21" s="5" t="s">
        <v>8</v>
      </c>
    </row>
    <row r="22" spans="1:11" ht="18" x14ac:dyDescent="0.35">
      <c r="A22" s="89" t="s">
        <v>136</v>
      </c>
      <c r="B22" s="98">
        <f>I22</f>
        <v>2</v>
      </c>
      <c r="C22" s="98"/>
      <c r="D22" s="98">
        <f t="shared" ref="D22:E22" si="1">J22+D$21</f>
        <v>2740</v>
      </c>
      <c r="E22" s="98">
        <f t="shared" si="1"/>
        <v>730</v>
      </c>
      <c r="F22" s="98" t="str">
        <f>C28</f>
        <v>CUBC C/R R8</v>
      </c>
      <c r="G22" s="1"/>
      <c r="I22" s="3">
        <f>B28</f>
        <v>2</v>
      </c>
      <c r="J22" s="4">
        <f>D28</f>
        <v>2700</v>
      </c>
      <c r="K22" s="4">
        <f>E28</f>
        <v>600</v>
      </c>
    </row>
    <row r="23" spans="1:11" ht="15.6" x14ac:dyDescent="0.3">
      <c r="A23" s="89"/>
      <c r="B23" s="6"/>
      <c r="C23" s="6"/>
      <c r="D23" s="6"/>
      <c r="E23" s="6"/>
      <c r="F23" s="6"/>
      <c r="G23" s="1"/>
      <c r="I23" s="83"/>
      <c r="J23" s="2"/>
      <c r="K23" s="2"/>
    </row>
    <row r="24" spans="1:11" ht="16.2" thickBot="1" x14ac:dyDescent="0.35">
      <c r="A24" s="46"/>
      <c r="B24" s="6"/>
      <c r="C24" s="6"/>
      <c r="D24" s="6"/>
      <c r="E24" s="6"/>
      <c r="F24" s="6"/>
      <c r="G24" s="1"/>
      <c r="I24" s="2"/>
      <c r="J24" s="2"/>
      <c r="K24" s="2"/>
    </row>
    <row r="25" spans="1:11" ht="16.2" thickBot="1" x14ac:dyDescent="0.35">
      <c r="A25" s="46"/>
      <c r="B25" s="21" t="s">
        <v>107</v>
      </c>
      <c r="C25" s="22"/>
      <c r="D25" s="22"/>
      <c r="E25" s="22"/>
      <c r="F25" s="23"/>
      <c r="G25" s="1"/>
      <c r="I25" s="2"/>
      <c r="J25" s="2"/>
      <c r="K25" s="2"/>
    </row>
    <row r="26" spans="1:11" ht="10.5" customHeight="1" x14ac:dyDescent="0.3">
      <c r="A26" s="1"/>
      <c r="B26" s="1"/>
      <c r="C26" s="1"/>
      <c r="D26" s="1"/>
      <c r="E26" s="1"/>
      <c r="F26" s="1"/>
      <c r="G26" s="1"/>
    </row>
    <row r="27" spans="1:11" ht="15.6" x14ac:dyDescent="0.3">
      <c r="A27" s="46" t="s">
        <v>9</v>
      </c>
      <c r="B27" s="81" t="s">
        <v>10</v>
      </c>
      <c r="C27" s="81" t="s">
        <v>110</v>
      </c>
      <c r="D27" s="81" t="s">
        <v>7</v>
      </c>
      <c r="E27" s="81" t="s">
        <v>8</v>
      </c>
      <c r="F27" s="81" t="s">
        <v>23</v>
      </c>
      <c r="G27" s="1"/>
    </row>
    <row r="28" spans="1:11" ht="18" x14ac:dyDescent="0.35">
      <c r="A28" s="89" t="s">
        <v>136</v>
      </c>
      <c r="B28" s="97">
        <f>'4637'!B22</f>
        <v>2</v>
      </c>
      <c r="C28" s="97" t="str">
        <f>'4637'!C22</f>
        <v>CUBC C/R R8</v>
      </c>
      <c r="D28" s="97">
        <f>'4637'!D22</f>
        <v>2700</v>
      </c>
      <c r="E28" s="97">
        <f>'4637'!E22</f>
        <v>600</v>
      </c>
      <c r="F28" s="106" t="str">
        <f>F49</f>
        <v>GALAXIA GRAFITO 0491 MT</v>
      </c>
      <c r="G28" s="1"/>
    </row>
    <row r="29" spans="1:11" ht="15.6" x14ac:dyDescent="0.3">
      <c r="A29" s="89"/>
      <c r="B29" s="6"/>
      <c r="C29" s="6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1"/>
      <c r="C38" s="1"/>
      <c r="D38" s="1"/>
      <c r="E38" s="1"/>
      <c r="F38" s="1"/>
      <c r="G38" s="1"/>
    </row>
    <row r="39" spans="1:7" ht="15.6" x14ac:dyDescent="0.3">
      <c r="A39" s="1"/>
      <c r="B39" s="1"/>
      <c r="C39" s="35" t="s">
        <v>27</v>
      </c>
      <c r="D39" s="14">
        <f>'4637'!G8</f>
        <v>7109</v>
      </c>
      <c r="E39" s="1"/>
      <c r="F39" s="1"/>
      <c r="G39" s="1"/>
    </row>
    <row r="40" spans="1:7" ht="17.25" customHeight="1" x14ac:dyDescent="0.3">
      <c r="A40" s="1"/>
      <c r="B40" s="1"/>
      <c r="C40" s="36" t="s">
        <v>67</v>
      </c>
      <c r="D40" s="37" t="str">
        <f>'4637'!C10</f>
        <v>UVZ MOBILIARIO SPA</v>
      </c>
      <c r="E40" s="38"/>
      <c r="F40" s="38"/>
      <c r="G40" s="1"/>
    </row>
    <row r="41" spans="1:7" ht="4.5" customHeight="1" x14ac:dyDescent="0.3">
      <c r="A41" s="1"/>
      <c r="B41" s="1"/>
      <c r="C41" s="39"/>
      <c r="D41" s="40"/>
      <c r="E41" s="1"/>
      <c r="F41" s="1"/>
      <c r="G41" s="1"/>
    </row>
    <row r="42" spans="1:7" ht="15.6" x14ac:dyDescent="0.3">
      <c r="A42" s="1"/>
      <c r="B42" s="1"/>
      <c r="C42" s="41" t="str">
        <f>'4637'!F11</f>
        <v>FECHA LIMITE :</v>
      </c>
      <c r="D42" s="13">
        <f>'4637'!G11</f>
        <v>45561</v>
      </c>
      <c r="E42" s="1"/>
      <c r="F42" s="1" t="s">
        <v>134</v>
      </c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117" t="s">
        <v>68</v>
      </c>
      <c r="B45" s="117"/>
      <c r="C45" s="117"/>
      <c r="D45" s="117"/>
      <c r="E45" s="117"/>
      <c r="F45" s="117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75" customHeight="1" x14ac:dyDescent="0.3">
      <c r="A47" s="1"/>
      <c r="B47" s="118" t="s">
        <v>69</v>
      </c>
      <c r="C47" s="119"/>
      <c r="D47" s="120"/>
      <c r="E47" s="120"/>
      <c r="F47" s="121"/>
      <c r="G47" s="1"/>
    </row>
    <row r="48" spans="1:7" s="15" customFormat="1" ht="12.75" customHeight="1" x14ac:dyDescent="0.3">
      <c r="A48" s="1"/>
      <c r="B48" s="33" t="s">
        <v>10</v>
      </c>
      <c r="C48" s="42" t="s">
        <v>11</v>
      </c>
      <c r="D48" s="43" t="s">
        <v>7</v>
      </c>
      <c r="E48" s="43" t="s">
        <v>8</v>
      </c>
      <c r="F48" s="105" t="s">
        <v>12</v>
      </c>
      <c r="G48" s="1"/>
    </row>
    <row r="49" spans="1:7" s="15" customFormat="1" ht="15" customHeight="1" x14ac:dyDescent="0.35">
      <c r="A49" s="89" t="s">
        <v>136</v>
      </c>
      <c r="B49" s="95">
        <f>'4637'!B22</f>
        <v>2</v>
      </c>
      <c r="C49" s="96" t="str">
        <f>'4637'!C22</f>
        <v>CUBC C/R R8</v>
      </c>
      <c r="D49" s="96">
        <f>'4637'!D22</f>
        <v>2700</v>
      </c>
      <c r="E49" s="104">
        <f>'4637'!E22</f>
        <v>600</v>
      </c>
      <c r="F49" s="107" t="str">
        <f>'4637'!F22</f>
        <v>GALAXIA GRAFITO 0491 MT</v>
      </c>
      <c r="G49" s="1"/>
    </row>
    <row r="50" spans="1:7" s="15" customFormat="1" ht="15" customHeight="1" x14ac:dyDescent="0.3">
      <c r="A50" s="44"/>
      <c r="B50" s="46"/>
      <c r="C50" s="46"/>
      <c r="D50" s="46"/>
      <c r="E50" s="46"/>
      <c r="F50" s="46"/>
      <c r="G50" s="1"/>
    </row>
    <row r="51" spans="1:7" ht="15.6" x14ac:dyDescent="0.3">
      <c r="A51" s="6"/>
      <c r="B51" s="6"/>
      <c r="C51" s="1"/>
      <c r="D51" s="6"/>
      <c r="E51" s="6"/>
      <c r="F51" s="39"/>
      <c r="G51" s="1"/>
    </row>
    <row r="52" spans="1:7" ht="15.6" x14ac:dyDescent="0.3">
      <c r="A52" s="6"/>
      <c r="B52" s="6"/>
      <c r="C52" s="1"/>
      <c r="D52" s="6"/>
      <c r="E52" s="6"/>
      <c r="F52" s="6"/>
      <c r="G52" s="1"/>
    </row>
    <row r="53" spans="1:7" ht="15.6" x14ac:dyDescent="0.3">
      <c r="A53" s="1"/>
      <c r="B53" s="1"/>
      <c r="C53" s="1"/>
      <c r="D53" s="1"/>
      <c r="E53" s="1"/>
      <c r="F53" s="1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" customHeight="1" x14ac:dyDescent="0.3">
      <c r="A56" s="1"/>
      <c r="B56" s="1"/>
      <c r="C56" s="1"/>
      <c r="D56" s="1"/>
      <c r="E56" s="1"/>
      <c r="F56" s="1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6"/>
      <c r="B58" s="45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x14ac:dyDescent="0.3">
      <c r="B60" s="19"/>
      <c r="C60" s="19"/>
      <c r="D60" s="19"/>
      <c r="E60" s="19"/>
      <c r="F60" s="19"/>
    </row>
    <row r="61" spans="1:7" x14ac:dyDescent="0.3">
      <c r="B61" s="19"/>
      <c r="C61" s="19"/>
      <c r="E61" s="19"/>
      <c r="F61" s="19"/>
    </row>
  </sheetData>
  <mergeCells count="6">
    <mergeCell ref="M3:N3"/>
    <mergeCell ref="A18:F18"/>
    <mergeCell ref="A10:F10"/>
    <mergeCell ref="A45:F45"/>
    <mergeCell ref="B47:F47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68" orientation="portrait" horizontalDpi="300" verticalDpi="3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2024-07-08T13:09:59Z</cp:lastPrinted>
  <dcterms:created xsi:type="dcterms:W3CDTF">2013-03-19T12:54:14Z</dcterms:created>
  <dcterms:modified xsi:type="dcterms:W3CDTF">2024-09-23T22:40:56Z</dcterms:modified>
</cp:coreProperties>
</file>