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MARZO\"/>
    </mc:Choice>
  </mc:AlternateContent>
  <xr:revisionPtr revIDLastSave="0" documentId="13_ncr:1_{9B934E19-0383-4C73-89DD-29FEC29DB2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49" i="3"/>
  <c r="C49" i="3"/>
  <c r="D49" i="3"/>
  <c r="E49" i="3"/>
  <c r="F49" i="3"/>
  <c r="B28" i="3"/>
  <c r="C28" i="3"/>
  <c r="F22" i="3" s="1"/>
  <c r="D28" i="3"/>
  <c r="J14" i="3" s="1"/>
  <c r="D14" i="3" s="1"/>
  <c r="E28" i="3"/>
  <c r="K14" i="3" s="1"/>
  <c r="E14" i="3" s="1"/>
  <c r="F28" i="3"/>
  <c r="H26" i="4" l="1"/>
  <c r="I22" i="3"/>
  <c r="F14" i="3"/>
  <c r="K22" i="3"/>
  <c r="E22" i="3" s="1"/>
  <c r="J22" i="3"/>
  <c r="D22" i="3" s="1"/>
  <c r="B22" i="3" l="1"/>
  <c r="I14" i="3"/>
  <c r="B14" i="3" s="1"/>
  <c r="H27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<sst xmlns="http://schemas.openxmlformats.org/spreadsheetml/2006/main" count="250" uniqueCount="148">
  <si>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</si>
  <si>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</si>
  <si>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</si>
  <si>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</si>
  <si>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</si>
  <si>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</si>
  <si>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</si>
  <si>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</si>
  <si>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</si>
  <si>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</si>
  <si>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</si>
  <si>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</si>
  <si>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</si>
  <si>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</si>
  <si>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</si>
  <si>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</si>
  <si>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</si>
  <si>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</si>
  <si>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</si>
  <si>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</si>
  <si>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</si>
  <si>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</si>
  <si>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</si>
  <si>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</si>
  <si>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</si>
  <si>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</si>
  <si>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</si>
  <si>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</si>
  <si>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</si>
  <si>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</si>
  <si>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</si>
  <si>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</si>
  <si>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</si>
  <si>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</si>
  <si>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</si>
  <si>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</si>
  <si>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</si>
  <si>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</si>
  <si>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</si>
  <si>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</si>
  <si>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</si>
  <si>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</si>
  <si>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</si>
  <si>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</si>
  <si>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</si>
  <si>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</si>
  <si>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</si>
  <si>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</si>
  <si>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</si>
  <si>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</si>
  <si>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</si>
  <si>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</si>
  <si>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</si>
  <si>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</si>
  <si>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</si>
  <si>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</si>
  <si>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</si>
  <si>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</si>
  <si>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</si>
  <si>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</si>
  <si>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</si>
  <si>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</si>
  <si>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</si>
  <si>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</si>
  <si>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</si>
  <si>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</si>
  <si>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</si>
  <si>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</si>
  <si>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</si>
  <si>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</si>
  <si>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</si>
  <si>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</si>
  <si>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</si>
  <si>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</si>
  <si>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</si>
  <si>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</si>
  <si>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</si>
  <si>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</si>
  <si>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</si>
  <si>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</si>
  <si>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</si>
  <si>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</si>
  <si>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</si>
  <si>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</si>
  <si>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</si>
  <si>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</si>
  <si>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</si>
  <si>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</si>
  <si>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</si>
  <si>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</si>
  <si>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</si>
  <si>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</si>
  <si>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</si>
  <si>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</si>
  <si>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</si>
  <si>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</si>
  <si>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</si>
  <si>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</si>
  <si>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</si>
  <si>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</si>
  <si>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</si>
  <si>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</si>
  <si>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</si>
  <si>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</si>
  <si>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</si>
  <si>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</si>
  <si>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</si>
  <si>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</si>
  <si>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</si>
  <si>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</si>
  <si>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</si>
  <si>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</si>
  <si>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</si>
  <si>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</si>
  <si>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</si>
  <si>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</si>
  <si>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</si>
  <si>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</si>
  <si>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</si>
  <si>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</si>
  <si>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</si>
  <si>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</si>
  <si>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</si>
  <si>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</si>
  <si>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</si>
  <si>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</si>
  <si>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</si>
  <si>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</si>
  <si>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</si>
  <si>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</si>
  <si>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</si>
  <si>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</si>
  <si>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</si>
  <si>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</si>
  <si>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</si>
  <si>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</si>
  <si>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</si>
  <si>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</si>
  <si>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</si>
  <si>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</si>
  <si>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</si>
  <si>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</si>
  <si>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CUB C/R R8</t>
  </si>
  <si>
    <t>N°</t>
  </si>
  <si>
    <t>SI</t>
  </si>
  <si>
    <t>BLANCO MERINO</t>
  </si>
  <si>
    <t>CORTAR RESPALDO A 58MM</t>
  </si>
  <si>
    <t>CORTAR RESPALDO A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</si>
</sst>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194310</xdr:rowOff>
    </xdr:from>
    <xdr:to>
      <xdr:col>2</xdr:col>
      <xdr:colOff>100723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7062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137</v>
      </c>
      <c r="D10" s="55"/>
      <c r="E10" s="55"/>
      <c r="F10" s="56" t="s">
        <v>28</v>
      </c>
      <c r="G10" s="57">
        <v>45376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45377</v>
      </c>
      <c r="H11" s="62"/>
      <c r="I11" s="1"/>
    </row>
    <row r="12" spans="1:17" ht="16.2" thickBot="1" x14ac:dyDescent="0.35">
      <c r="A12" s="1"/>
      <c r="B12" s="63" t="s">
        <v>133</v>
      </c>
      <c r="C12" t="s">
        <v>139</v>
      </c>
      <c r="D12" s="43"/>
      <c r="E12" s="43"/>
      <c r="F12" s="43" t="s">
        <v>30</v>
      </c>
      <c r="G12" s="64">
        <v>21973</v>
      </c>
      <c r="H12" s="65"/>
      <c r="I12" s="1"/>
    </row>
    <row r="13" spans="1:17" ht="15.6" x14ac:dyDescent="0.3">
      <c r="A13" s="1"/>
      <c r="B13" s="63" t="s">
        <v>135</v>
      </c>
      <c r="C13" s="86" t="s">
        <v>141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144</v>
      </c>
      <c r="H14" s="62"/>
      <c r="I14" s="1"/>
    </row>
    <row r="15" spans="1:17" ht="15.6" x14ac:dyDescent="0.3">
      <c r="A15" s="1"/>
      <c r="B15" s="63" t="s">
        <v>1</v>
      </c>
      <c r="C15" s="101" t="s">
        <v>140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10">
        <v>1</v>
      </c>
      <c r="C21" s="111" t="s">
        <v>142</v>
      </c>
      <c r="D21" s="112">
        <v>1100</v>
      </c>
      <c r="E21" s="113">
        <v>650</v>
      </c>
      <c r="F21" s="106" t="s">
        <v>145</v>
      </c>
      <c r="G21" s="108">
        <v>47851</v>
      </c>
      <c r="H21" s="107">
        <f>G21*B21</f>
        <v>47851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8"/>
      <c r="D22" s="109"/>
      <c r="E22" s="109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47851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9091.69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56942.69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sqref="A1:G35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7062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45377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1</v>
      </c>
      <c r="C14" s="25" t="s">
        <v>146</v>
      </c>
      <c r="D14" s="25">
        <f>J14+D$13</f>
        <v>1150</v>
      </c>
      <c r="E14" s="35">
        <f>K14+E$13</f>
        <v>620</v>
      </c>
      <c r="F14" s="103" t="str">
        <f>C28</f>
        <v>CUB C/R R8</v>
      </c>
      <c r="G14" s="1"/>
      <c r="I14" s="3">
        <f>I22</f>
        <v>1</v>
      </c>
      <c r="J14" s="4">
        <f t="shared" ref="J14:K14" si="1">D28</f>
        <v>1100</v>
      </c>
      <c r="K14" s="4">
        <f t="shared" si="1"/>
        <v>650</v>
      </c>
    </row>
    <row r="15" spans="1:14" ht="15.6" x14ac:dyDescent="0.3">
      <c r="A15" s="96"/>
      <c r="B15" s="6"/>
      <c r="C15" s="6"/>
      <c r="D15" s="6"/>
      <c r="E15" s="89"/>
      <c r="F15" s="115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4" t="s">
        <v>14</v>
      </c>
      <c r="B18" s="124"/>
      <c r="C18" s="124"/>
      <c r="D18" s="124"/>
      <c r="E18" s="124"/>
      <c r="F18" s="124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140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131</v>
      </c>
      <c r="B22" s="16">
        <f t="shared" ref="B22" si="2">I22</f>
        <v>1</v>
      </c>
      <c r="C22" s="16" t="s">
        <v>147</v>
      </c>
      <c r="D22" s="16">
        <f>J22+D$21</f>
        <v>1140</v>
      </c>
      <c r="E22" s="16">
        <f>K22+E$21</f>
        <v>790</v>
      </c>
      <c r="F22" s="104" t="str">
        <f>C28</f>
        <v>CUB C/R R8</v>
      </c>
      <c r="G22" s="1"/>
      <c r="I22" s="3">
        <f>B28</f>
        <v>1</v>
      </c>
      <c r="J22" s="4">
        <f>D28</f>
        <v>1100</v>
      </c>
      <c r="K22" s="4">
        <f>E28</f>
        <v>650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136</v>
      </c>
      <c r="B28" s="25">
        <f>'4637'!B21</f>
        <v>1</v>
      </c>
      <c r="C28" s="103" t="str">
        <f>'4637'!C21</f>
        <v>CUB C/R R8</v>
      </c>
      <c r="D28" s="25">
        <f>'4637'!D21</f>
        <v>1100</v>
      </c>
      <c r="E28" s="25">
        <f>'4637'!E21</f>
        <v>650</v>
      </c>
      <c r="F28" s="25" t="str">
        <f>'4637'!F21</f>
        <v>BLANCO MERINO</v>
      </c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7062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45377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4" t="s">
        <v>68</v>
      </c>
      <c r="B45" s="124"/>
      <c r="C45" s="124"/>
      <c r="D45" s="124"/>
      <c r="E45" s="124"/>
      <c r="F45" s="124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5" t="s">
        <v>69</v>
      </c>
      <c r="C47" s="126"/>
      <c r="D47" s="127"/>
      <c r="E47" s="127"/>
      <c r="F47" s="128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102" t="str">
        <f>'4637'!C21</f>
        <v>CUB C/R R8</v>
      </c>
      <c r="D49" s="39">
        <f>'4637'!D21</f>
        <v>1100</v>
      </c>
      <c r="E49" s="39">
        <f>'4637'!E21</f>
        <v>650</v>
      </c>
      <c r="F49" s="38" t="str">
        <f>'4637'!F21</f>
        <v>BLANCO MERINO</v>
      </c>
      <c r="G49" s="1"/>
    </row>
    <row r="50" spans="1:7" s="15" customFormat="1" ht="15" customHeight="1" x14ac:dyDescent="0.3">
      <c r="A50" s="96"/>
      <c r="B50" s="52"/>
      <c r="C50" s="114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2024-03-25T12:27:01Z</cp:lastPrinted>
  <dcterms:created xsi:type="dcterms:W3CDTF">2013-03-19T12:54:14Z</dcterms:created>
  <dcterms:modified xsi:type="dcterms:W3CDTF">2024-03-25T12:27:17Z</dcterms:modified>
</cp:coreProperties>
</file>