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2024 MARZO\"/>
    </mc:Choice>
  </mc:AlternateContent>
  <xr:revisionPtr revIDLastSave="0" documentId="13_ncr:1_{5C4A0448-0EED-4977-99FD-DE0449B5C3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'4637'!$A$1:$H$35</definedName>
    <definedName name="_xlnm.Print_Area" localSheetId="2">CUBIERTA!$A$1:$G$44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1" i="4" l="1"/>
  <c r="B35" i="3"/>
  <c r="C35" i="3"/>
  <c r="D35" i="3"/>
  <c r="E35" i="3"/>
  <c r="F35" i="3"/>
  <c r="B61" i="3"/>
  <c r="C61" i="3"/>
  <c r="D61" i="3"/>
  <c r="E61" i="3"/>
  <c r="F61" i="3"/>
  <c r="H25" i="4"/>
  <c r="B33" i="3" l="1"/>
  <c r="I25" i="3" s="1"/>
  <c r="B25" i="3" s="1"/>
  <c r="C33" i="3"/>
  <c r="F25" i="3" s="1"/>
  <c r="D33" i="3"/>
  <c r="J25" i="3" s="1"/>
  <c r="D25" i="3" s="1"/>
  <c r="E33" i="3"/>
  <c r="K25" i="3" s="1"/>
  <c r="E25" i="3" s="1"/>
  <c r="F33" i="3"/>
  <c r="B34" i="3"/>
  <c r="C34" i="3"/>
  <c r="D34" i="3"/>
  <c r="E34" i="3"/>
  <c r="F34" i="3"/>
  <c r="B59" i="3"/>
  <c r="C59" i="3"/>
  <c r="D59" i="3"/>
  <c r="E59" i="3"/>
  <c r="F59" i="3"/>
  <c r="B60" i="3"/>
  <c r="C60" i="3"/>
  <c r="D60" i="3"/>
  <c r="E60" i="3"/>
  <c r="F60" i="3"/>
  <c r="J16" i="3" l="1"/>
  <c r="D16" i="3" s="1"/>
  <c r="K16" i="3"/>
  <c r="E16" i="3" s="1"/>
  <c r="I16" i="3"/>
  <c r="B16" i="3" s="1"/>
  <c r="F16" i="3"/>
  <c r="H23" i="4"/>
  <c r="H24" i="4"/>
  <c r="H22" i="4"/>
  <c r="H21" i="4"/>
  <c r="H29" i="4" l="1"/>
  <c r="B32" i="3"/>
  <c r="I24" i="3" s="1"/>
  <c r="C32" i="3"/>
  <c r="F15" i="3" s="1"/>
  <c r="D32" i="3"/>
  <c r="J15" i="3" s="1"/>
  <c r="D15" i="3" s="1"/>
  <c r="E32" i="3"/>
  <c r="F32" i="3"/>
  <c r="B58" i="3"/>
  <c r="C58" i="3"/>
  <c r="D58" i="3"/>
  <c r="E58" i="3"/>
  <c r="F58" i="3"/>
  <c r="B57" i="3"/>
  <c r="C57" i="3"/>
  <c r="D57" i="3"/>
  <c r="E57" i="3"/>
  <c r="F57" i="3"/>
  <c r="B31" i="3"/>
  <c r="C31" i="3"/>
  <c r="F23" i="3" s="1"/>
  <c r="D31" i="3"/>
  <c r="J14" i="3" s="1"/>
  <c r="D14" i="3" s="1"/>
  <c r="E31" i="3"/>
  <c r="K14" i="3" s="1"/>
  <c r="E14" i="3" s="1"/>
  <c r="F31" i="3"/>
  <c r="B24" i="3" l="1"/>
  <c r="K15" i="3"/>
  <c r="E15" i="3" s="1"/>
  <c r="I15" i="3"/>
  <c r="B15" i="3" s="1"/>
  <c r="J24" i="3"/>
  <c r="D24" i="3" s="1"/>
  <c r="K24" i="3"/>
  <c r="E24" i="3" s="1"/>
  <c r="F24" i="3"/>
  <c r="H30" i="4"/>
  <c r="I23" i="3"/>
  <c r="F14" i="3"/>
  <c r="K23" i="3"/>
  <c r="E23" i="3" s="1"/>
  <c r="J23" i="3"/>
  <c r="D23" i="3" s="1"/>
  <c r="B23" i="3" l="1"/>
  <c r="I14" i="3"/>
  <c r="B14" i="3" s="1"/>
  <c r="H31" i="4"/>
  <c r="N5" i="3" l="1"/>
  <c r="M5" i="3" l="1"/>
  <c r="L5" i="3"/>
  <c r="K5" i="3"/>
  <c r="C50" i="3" l="1"/>
  <c r="C7" i="3"/>
  <c r="D48" i="3"/>
  <c r="D5" i="3"/>
  <c r="D50" i="3"/>
  <c r="D7" i="3"/>
  <c r="D47" i="3"/>
  <c r="D4" i="3"/>
</calcChain>
</file>

<file path=xl/sharedStrings.xml><?xml version="1.0" encoding="utf-8"?>
<sst xmlns="http://schemas.openxmlformats.org/spreadsheetml/2006/main" count="254" uniqueCount="147">
  <si>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</si>
  <si>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</si>
  <si>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</si>
  <si>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</si>
  <si>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</si>
  <si>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</si>
  <si>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</si>
  <si>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</si>
  <si>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</si>
  <si>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</si>
  <si>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</si>
  <si>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</si>
  <si>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</si>
  <si>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</si>
  <si>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</si>
  <si>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</si>
  <si>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</si>
  <si>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</si>
  <si>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</si>
  <si>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</si>
  <si>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</si>
  <si>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</si>
  <si>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</si>
  <si>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</si>
  <si>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</si>
  <si>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</si>
  <si>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</si>
  <si>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</si>
  <si>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</si>
  <si>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</si>
  <si>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</si>
  <si>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</si>
  <si>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</si>
  <si>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</si>
  <si>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</si>
  <si>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</si>
  <si>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</si>
  <si>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</si>
  <si>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</si>
  <si>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</si>
  <si>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</si>
  <si>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</si>
  <si>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</si>
  <si>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</si>
  <si>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</si>
  <si>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</si>
  <si>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</si>
  <si>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</si>
  <si>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</si>
  <si>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</si>
  <si>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</si>
  <si>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</si>
  <si>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</si>
  <si>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</si>
  <si>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</si>
  <si>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</si>
  <si>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</si>
  <si>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</si>
  <si>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</si>
  <si>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</si>
  <si>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</si>
  <si>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</si>
  <si>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</si>
  <si>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</si>
  <si>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</si>
  <si>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</si>
  <si>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</si>
  <si>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</si>
  <si>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</si>
  <si>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</si>
  <si>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</si>
  <si>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</si>
  <si>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</si>
  <si>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</si>
  <si>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</si>
  <si>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</si>
  <si>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</si>
  <si>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</si>
  <si>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</si>
  <si>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</si>
  <si>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</si>
  <si>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</si>
  <si>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</si>
  <si>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</si>
  <si>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</si>
  <si>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</si>
  <si>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</si>
  <si>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</si>
  <si>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</si>
  <si>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</si>
  <si>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</si>
  <si>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</si>
  <si>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</si>
  <si>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</si>
  <si>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</si>
  <si>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</si>
  <si>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</si>
  <si>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</si>
  <si>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</si>
  <si>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</si>
  <si>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</si>
  <si>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</si>
  <si>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</si>
  <si>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</si>
  <si>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</si>
  <si>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</si>
  <si>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</si>
  <si>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</si>
  <si>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</si>
  <si>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</si>
  <si>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</si>
  <si>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</si>
  <si>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</si>
  <si>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</si>
  <si>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</si>
  <si>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</si>
  <si>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</si>
  <si>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</si>
  <si>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</si>
  <si>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</si>
  <si>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</si>
  <si>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</si>
  <si>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</si>
  <si>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</si>
  <si>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</si>
  <si>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</si>
  <si>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</si>
  <si>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</si>
  <si>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</si>
  <si>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</si>
  <si>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</si>
  <si>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FERNANDO DONOSO</t>
  </si>
  <si>
    <t xml:space="preserve">GIRO: </t>
  </si>
  <si>
    <t>SANTIAGO</t>
  </si>
  <si>
    <t>CONTACTO:</t>
  </si>
  <si>
    <t>N°10666</t>
  </si>
  <si>
    <t>SOCIEDAD MEDICA UGARTE Y ASOCIADOS</t>
  </si>
  <si>
    <t>76.418.891-8</t>
  </si>
  <si>
    <t>SERVICIOS MEDICOS PRESTADOS EN FORMA INDEPENDIENTE</t>
  </si>
  <si>
    <t>ANTONIETA</t>
  </si>
  <si>
    <t>CAMARICO 13902 LAS CONDES</t>
  </si>
  <si>
    <t>PUERTA POSTFORMADA R8 /3 FTES</t>
  </si>
  <si>
    <t xml:space="preserve">PUERTA POSTFORMADA R8 </t>
  </si>
  <si>
    <t>REPARACION PUERTA</t>
  </si>
  <si>
    <t>SERVICIO DE INSTALACION</t>
  </si>
  <si>
    <t>HAYA NATURAL 1803 MT</t>
  </si>
  <si>
    <t>MELAMIL 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</si>
</sst>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19" fillId="0" borderId="0" xfId="0" applyFont="1" applyAlignment="1">
      <alignment horizontal="right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28</xdr:row>
      <xdr:rowOff>9525</xdr:rowOff>
    </xdr:from>
    <xdr:to>
      <xdr:col>5</xdr:col>
      <xdr:colOff>1390650</xdr:colOff>
      <xdr:row>32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$ 190.000.-  + 160.000.- , saldo</a:t>
          </a:r>
          <a:r>
            <a:rPr lang="es-CL" sz="900" b="1" i="1" baseline="0"/>
            <a:t> $ 39.491.-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5</xdr:col>
      <xdr:colOff>1676399</xdr:colOff>
      <xdr:row>19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51</xdr:row>
      <xdr:rowOff>171450</xdr:rowOff>
    </xdr:from>
    <xdr:to>
      <xdr:col>5</xdr:col>
      <xdr:colOff>1685924</xdr:colOff>
      <xdr:row>53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49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47</xdr:row>
      <xdr:rowOff>38100</xdr:rowOff>
    </xdr:from>
    <xdr:to>
      <xdr:col>6</xdr:col>
      <xdr:colOff>0</xdr:colOff>
      <xdr:row>48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46</xdr:row>
      <xdr:rowOff>0</xdr:rowOff>
    </xdr:from>
    <xdr:to>
      <xdr:col>6</xdr:col>
      <xdr:colOff>0</xdr:colOff>
      <xdr:row>47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63</xdr:row>
      <xdr:rowOff>0</xdr:rowOff>
    </xdr:from>
    <xdr:to>
      <xdr:col>2</xdr:col>
      <xdr:colOff>38100</xdr:colOff>
      <xdr:row>64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63</xdr:row>
      <xdr:rowOff>0</xdr:rowOff>
    </xdr:from>
    <xdr:to>
      <xdr:col>2</xdr:col>
      <xdr:colOff>1019175</xdr:colOff>
      <xdr:row>63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63</xdr:row>
      <xdr:rowOff>0</xdr:rowOff>
    </xdr:from>
    <xdr:to>
      <xdr:col>3</xdr:col>
      <xdr:colOff>352425</xdr:colOff>
      <xdr:row>64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63</xdr:row>
      <xdr:rowOff>0</xdr:rowOff>
    </xdr:from>
    <xdr:to>
      <xdr:col>4</xdr:col>
      <xdr:colOff>257175</xdr:colOff>
      <xdr:row>64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63</xdr:row>
      <xdr:rowOff>0</xdr:rowOff>
    </xdr:from>
    <xdr:to>
      <xdr:col>5</xdr:col>
      <xdr:colOff>447675</xdr:colOff>
      <xdr:row>63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63</xdr:row>
      <xdr:rowOff>0</xdr:rowOff>
    </xdr:from>
    <xdr:to>
      <xdr:col>6</xdr:col>
      <xdr:colOff>0</xdr:colOff>
      <xdr:row>63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63</xdr:row>
      <xdr:rowOff>190500</xdr:rowOff>
    </xdr:from>
    <xdr:to>
      <xdr:col>2</xdr:col>
      <xdr:colOff>304800</xdr:colOff>
      <xdr:row>65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63</xdr:row>
      <xdr:rowOff>190500</xdr:rowOff>
    </xdr:from>
    <xdr:to>
      <xdr:col>2</xdr:col>
      <xdr:colOff>1276350</xdr:colOff>
      <xdr:row>65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63</xdr:row>
      <xdr:rowOff>190500</xdr:rowOff>
    </xdr:from>
    <xdr:to>
      <xdr:col>3</xdr:col>
      <xdr:colOff>619125</xdr:colOff>
      <xdr:row>65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63</xdr:row>
      <xdr:rowOff>190500</xdr:rowOff>
    </xdr:from>
    <xdr:to>
      <xdr:col>4</xdr:col>
      <xdr:colOff>523875</xdr:colOff>
      <xdr:row>65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63</xdr:row>
      <xdr:rowOff>190500</xdr:rowOff>
    </xdr:from>
    <xdr:to>
      <xdr:col>5</xdr:col>
      <xdr:colOff>723900</xdr:colOff>
      <xdr:row>65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63</xdr:row>
      <xdr:rowOff>190500</xdr:rowOff>
    </xdr:from>
    <xdr:to>
      <xdr:col>6</xdr:col>
      <xdr:colOff>0</xdr:colOff>
      <xdr:row>65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38</xdr:row>
      <xdr:rowOff>15239</xdr:rowOff>
    </xdr:from>
    <xdr:to>
      <xdr:col>6</xdr:col>
      <xdr:colOff>68580</xdr:colOff>
      <xdr:row>42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OBSERVACIONES:SON PARA INSTALACION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26</xdr:row>
      <xdr:rowOff>200025</xdr:rowOff>
    </xdr:from>
    <xdr:to>
      <xdr:col>6</xdr:col>
      <xdr:colOff>19049</xdr:colOff>
      <xdr:row>28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66</xdr:row>
      <xdr:rowOff>32385</xdr:rowOff>
    </xdr:from>
    <xdr:to>
      <xdr:col>6</xdr:col>
      <xdr:colOff>19050</xdr:colOff>
      <xdr:row>70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SON PARA INSTALACION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43</xdr:row>
      <xdr:rowOff>194310</xdr:rowOff>
    </xdr:from>
    <xdr:to>
      <xdr:col>2</xdr:col>
      <xdr:colOff>100723</xdr:colOff>
      <xdr:row>50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8"/>
  <sheetViews>
    <sheetView tabSelected="1" topLeftCell="A12" workbookViewId="0">
      <selection activeCell="L23" sqref="L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135</v>
      </c>
      <c r="E8" s="1"/>
      <c r="F8" s="94" t="s">
        <v>27</v>
      </c>
      <c r="G8" s="95">
        <v>7057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130</v>
      </c>
      <c r="C10" s="86" t="s">
        <v>136</v>
      </c>
      <c r="D10" s="55"/>
      <c r="E10" s="55"/>
      <c r="F10" s="56" t="s">
        <v>28</v>
      </c>
      <c r="G10" s="57">
        <v>45365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137</v>
      </c>
      <c r="D11" s="60"/>
      <c r="E11" s="60"/>
      <c r="F11" s="60" t="s">
        <v>124</v>
      </c>
      <c r="G11" s="61">
        <v>45370</v>
      </c>
      <c r="H11" s="62"/>
      <c r="I11" s="1"/>
    </row>
    <row r="12" spans="1:17" ht="16.2" thickBot="1" x14ac:dyDescent="0.35">
      <c r="A12" s="1"/>
      <c r="B12" s="63" t="s">
        <v>132</v>
      </c>
      <c r="C12" t="s">
        <v>138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134</v>
      </c>
      <c r="C13" s="86" t="s">
        <v>139</v>
      </c>
      <c r="D13" s="43"/>
      <c r="E13" s="43"/>
      <c r="F13" s="43" t="s">
        <v>129</v>
      </c>
      <c r="G13" s="64" t="s">
        <v>131</v>
      </c>
      <c r="H13" s="65"/>
      <c r="I13" s="1"/>
    </row>
    <row r="14" spans="1:17" ht="15.6" x14ac:dyDescent="0.3">
      <c r="A14" s="1"/>
      <c r="B14" s="59" t="s">
        <v>17</v>
      </c>
      <c r="C14" s="106">
        <v>56994376876</v>
      </c>
      <c r="D14" s="66"/>
      <c r="E14" s="60"/>
      <c r="F14" s="60" t="s">
        <v>29</v>
      </c>
      <c r="G14" s="60"/>
      <c r="H14" s="62"/>
      <c r="I14" s="1"/>
    </row>
    <row r="15" spans="1:17" ht="15.6" x14ac:dyDescent="0.3">
      <c r="A15" s="1"/>
      <c r="B15" s="63" t="s">
        <v>1</v>
      </c>
      <c r="C15" s="101" t="s">
        <v>140</v>
      </c>
      <c r="D15" s="43"/>
      <c r="E15" s="43"/>
      <c r="F15" s="67" t="s">
        <v>75</v>
      </c>
      <c r="G15" s="67" t="s">
        <v>127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133</v>
      </c>
      <c r="D16" s="69"/>
      <c r="E16" s="70"/>
      <c r="F16" s="113" t="s">
        <v>18</v>
      </c>
      <c r="G16" s="113"/>
      <c r="H16" s="114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5" t="s">
        <v>19</v>
      </c>
      <c r="C19" s="116"/>
      <c r="D19" s="116"/>
      <c r="E19" s="116"/>
      <c r="F19" s="116"/>
      <c r="G19" s="116"/>
      <c r="H19" s="117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7">
        <v>1</v>
      </c>
      <c r="C21" s="111" t="s">
        <v>141</v>
      </c>
      <c r="D21" s="109">
        <v>700</v>
      </c>
      <c r="E21" s="109">
        <v>928</v>
      </c>
      <c r="F21" s="107" t="s">
        <v>145</v>
      </c>
      <c r="G21" s="110">
        <v>91818</v>
      </c>
      <c r="H21" s="108">
        <f>G21*B21</f>
        <v>91818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7">
        <v>2</v>
      </c>
      <c r="C22" s="111" t="s">
        <v>142</v>
      </c>
      <c r="D22" s="109">
        <v>510</v>
      </c>
      <c r="E22" s="109">
        <v>324</v>
      </c>
      <c r="F22" s="107" t="s">
        <v>145</v>
      </c>
      <c r="G22" s="110">
        <v>35230</v>
      </c>
      <c r="H22" s="108">
        <f>G22*B22</f>
        <v>70460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7">
        <v>1</v>
      </c>
      <c r="C23" s="111" t="s">
        <v>142</v>
      </c>
      <c r="D23" s="109">
        <v>167</v>
      </c>
      <c r="E23" s="109">
        <v>647</v>
      </c>
      <c r="F23" s="107" t="s">
        <v>145</v>
      </c>
      <c r="G23" s="110">
        <v>7525</v>
      </c>
      <c r="H23" s="108">
        <f t="shared" ref="H23:H25" si="0">G23*B23</f>
        <v>7525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7">
        <v>1</v>
      </c>
      <c r="C24" s="111" t="s">
        <v>143</v>
      </c>
      <c r="D24" s="109"/>
      <c r="E24" s="109"/>
      <c r="F24" s="107"/>
      <c r="G24" s="110">
        <v>7500</v>
      </c>
      <c r="H24" s="108">
        <f t="shared" si="0"/>
        <v>7500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7">
        <v>1</v>
      </c>
      <c r="C25" s="111" t="s">
        <v>144</v>
      </c>
      <c r="D25" s="109"/>
      <c r="E25" s="109"/>
      <c r="F25" s="107"/>
      <c r="G25" s="110">
        <v>150000</v>
      </c>
      <c r="H25" s="108">
        <f t="shared" si="0"/>
        <v>150000</v>
      </c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97"/>
      <c r="C26" s="97"/>
      <c r="D26" s="97"/>
      <c r="E26" s="97"/>
      <c r="F26" s="97"/>
      <c r="G26" s="99"/>
      <c r="H26" s="99"/>
      <c r="I26" s="1"/>
      <c r="K26" s="17"/>
      <c r="L26" s="26"/>
      <c r="M26" s="17"/>
      <c r="N26" s="17"/>
      <c r="O26" s="26"/>
      <c r="P26" s="33"/>
    </row>
    <row r="27" spans="1:16" ht="18" customHeight="1" x14ac:dyDescent="0.3">
      <c r="A27" s="1"/>
      <c r="B27" s="97"/>
      <c r="C27" s="97"/>
      <c r="D27" s="97"/>
      <c r="E27" s="97"/>
      <c r="F27" s="98"/>
      <c r="G27" s="99"/>
      <c r="H27" s="99"/>
      <c r="I27" s="1"/>
      <c r="K27" s="17"/>
      <c r="L27" s="26"/>
      <c r="M27" s="17">
        <v>190</v>
      </c>
      <c r="N27" s="17"/>
      <c r="O27" s="26"/>
      <c r="P27" s="33"/>
    </row>
    <row r="28" spans="1:16" ht="8.25" customHeight="1" thickBot="1" x14ac:dyDescent="0.35">
      <c r="A28" s="1"/>
      <c r="B28" s="74"/>
      <c r="C28" s="74"/>
      <c r="D28" s="74"/>
      <c r="E28" s="74"/>
      <c r="F28" s="74"/>
      <c r="G28" s="75"/>
      <c r="H28" s="75"/>
      <c r="I28" s="1"/>
    </row>
    <row r="29" spans="1:16" ht="15.6" x14ac:dyDescent="0.3">
      <c r="A29" s="1"/>
      <c r="B29" s="1"/>
      <c r="C29" s="1"/>
      <c r="D29" s="1"/>
      <c r="E29" s="1"/>
      <c r="F29" s="1"/>
      <c r="G29" s="76" t="s">
        <v>5</v>
      </c>
      <c r="H29" s="77">
        <f>SUM(H21:H28)</f>
        <v>327303</v>
      </c>
      <c r="I29" s="1"/>
      <c r="M29">
        <v>160</v>
      </c>
    </row>
    <row r="30" spans="1:16" ht="15.6" x14ac:dyDescent="0.3">
      <c r="A30" s="1"/>
      <c r="B30" s="1"/>
      <c r="C30" s="1"/>
      <c r="D30" s="1"/>
      <c r="E30" s="1"/>
      <c r="F30" s="1"/>
      <c r="G30" s="78" t="s">
        <v>6</v>
      </c>
      <c r="H30" s="79">
        <f>H29*19%</f>
        <v>62187.57</v>
      </c>
      <c r="I30" s="1"/>
    </row>
    <row r="31" spans="1:16" ht="16.2" thickBot="1" x14ac:dyDescent="0.35">
      <c r="A31" s="1"/>
      <c r="B31" s="1"/>
      <c r="C31" s="1"/>
      <c r="D31" s="1"/>
      <c r="E31" s="1"/>
      <c r="F31" s="1"/>
      <c r="G31" s="80" t="s">
        <v>4</v>
      </c>
      <c r="H31" s="81">
        <f>H29+H30</f>
        <v>389490.57</v>
      </c>
      <c r="I31" s="1"/>
      <c r="M31">
        <f>SUM(M27:M30)</f>
        <v>350</v>
      </c>
    </row>
    <row r="32" spans="1:16" ht="15.6" x14ac:dyDescent="0.3">
      <c r="A32" s="1"/>
      <c r="B32" s="1"/>
      <c r="C32" s="1"/>
      <c r="D32" s="1"/>
      <c r="E32" s="1"/>
      <c r="F32" s="1"/>
      <c r="G32" s="52"/>
      <c r="H32" s="100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82" t="s">
        <v>123</v>
      </c>
      <c r="C34" s="83"/>
      <c r="D34" s="84"/>
      <c r="E34" s="84"/>
      <c r="F34" s="74"/>
      <c r="G34" s="1"/>
      <c r="H34" s="1"/>
      <c r="I34" s="1"/>
    </row>
    <row r="35" spans="1:9" ht="15.6" x14ac:dyDescent="0.3">
      <c r="A35" s="1"/>
      <c r="B35" s="82" t="s">
        <v>122</v>
      </c>
      <c r="C35" s="83"/>
      <c r="D35" s="84"/>
      <c r="E35" s="84"/>
      <c r="F35" s="74"/>
      <c r="G35" s="1"/>
      <c r="H35" s="1"/>
      <c r="I35" s="1"/>
    </row>
    <row r="36" spans="1:9" ht="15.6" x14ac:dyDescent="0.3">
      <c r="A36" s="1"/>
      <c r="B36" s="1" t="s">
        <v>25</v>
      </c>
      <c r="C36" s="1"/>
      <c r="D36" s="1"/>
      <c r="E36" s="85" t="s">
        <v>26</v>
      </c>
      <c r="F36" s="1"/>
      <c r="G36" s="1"/>
      <c r="H36" s="1"/>
      <c r="I36" s="1"/>
    </row>
    <row r="37" spans="1:9" ht="15.6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15.6" x14ac:dyDescent="0.3">
      <c r="A38" s="1"/>
      <c r="B38" s="1"/>
      <c r="C38" s="1"/>
      <c r="D38" s="1"/>
      <c r="E38" s="1"/>
      <c r="F38" s="1"/>
      <c r="G38" s="1"/>
      <c r="H38" s="1"/>
      <c r="I38" s="1"/>
    </row>
  </sheetData>
  <sortState xmlns:xlrd2="http://schemas.microsoft.com/office/spreadsheetml/2017/richdata2" ref="B40">
    <sortCondition sortBy="fontColor" ref="B40" dxfId="0"/>
  </sortState>
  <mergeCells count="2">
    <mergeCell ref="F16:H16"/>
    <mergeCell ref="B19:H19"/>
  </mergeCells>
  <phoneticPr fontId="10" type="noConversion"/>
  <hyperlinks>
    <hyperlink ref="E36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8" t="s">
        <v>31</v>
      </c>
      <c r="C2" s="118"/>
      <c r="D2" s="118"/>
      <c r="E2" s="18"/>
      <c r="G2" s="118" t="s">
        <v>70</v>
      </c>
      <c r="H2" s="118"/>
      <c r="I2" s="118"/>
      <c r="P2" s="119" t="s">
        <v>58</v>
      </c>
      <c r="Q2" s="119"/>
      <c r="R2" s="119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9" t="s">
        <v>58</v>
      </c>
      <c r="M8" s="119"/>
      <c r="N8" s="119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4"/>
  <sheetViews>
    <sheetView topLeftCell="A18" zoomScaleNormal="100" workbookViewId="0">
      <selection activeCell="C23" sqref="C23:C25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0" t="s">
        <v>61</v>
      </c>
      <c r="L3" s="120"/>
      <c r="M3" s="120" t="s">
        <v>14</v>
      </c>
      <c r="N3" s="120"/>
    </row>
    <row r="4" spans="1:14" ht="15.75" customHeight="1" x14ac:dyDescent="0.3">
      <c r="A4" s="1"/>
      <c r="B4" s="1"/>
      <c r="C4" s="40" t="s">
        <v>27</v>
      </c>
      <c r="D4" s="14">
        <f>'4637'!G8</f>
        <v>7057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SOCIEDAD MEDICA UGARTE Y ASOCIADOS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45370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1" t="s">
        <v>61</v>
      </c>
      <c r="B10" s="121"/>
      <c r="C10" s="121"/>
      <c r="D10" s="121"/>
      <c r="E10" s="121"/>
      <c r="F10" s="121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-2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112" t="s">
        <v>146</v>
      </c>
      <c r="B14" s="25">
        <f t="shared" ref="B14" si="0">I14</f>
        <v>1</v>
      </c>
      <c r="C14" s="25"/>
      <c r="D14" s="25">
        <f>J14+D$13</f>
        <v>750</v>
      </c>
      <c r="E14" s="35">
        <f>K14+E$13</f>
        <v>926</v>
      </c>
      <c r="F14" s="104" t="str">
        <f>C31</f>
        <v>PUERTA POSTFORMADA R8 /3 FTES</v>
      </c>
      <c r="G14" s="1"/>
      <c r="I14" s="3">
        <f>I23</f>
        <v>1</v>
      </c>
      <c r="J14" s="4">
        <f t="shared" ref="J14:K14" si="1">D31</f>
        <v>700</v>
      </c>
      <c r="K14" s="4">
        <f t="shared" si="1"/>
        <v>928</v>
      </c>
    </row>
    <row r="15" spans="1:14" ht="15.6" x14ac:dyDescent="0.3">
      <c r="A15" s="96"/>
      <c r="B15" s="25">
        <f t="shared" ref="B15" si="2">I15</f>
        <v>2</v>
      </c>
      <c r="C15" s="25"/>
      <c r="D15" s="25">
        <f t="shared" ref="D15:D16" si="3">J15+D$13</f>
        <v>560</v>
      </c>
      <c r="E15" s="35">
        <f t="shared" ref="E15:E16" si="4">K15+E$13</f>
        <v>322</v>
      </c>
      <c r="F15" s="104" t="str">
        <f t="shared" ref="F15" si="5">C32</f>
        <v xml:space="preserve">PUERTA POSTFORMADA R8 </v>
      </c>
      <c r="G15" s="1"/>
      <c r="I15" s="3">
        <f t="shared" ref="I15" si="6">B32</f>
        <v>2</v>
      </c>
      <c r="J15" s="4">
        <f t="shared" ref="J15" si="7">D32</f>
        <v>510</v>
      </c>
      <c r="K15" s="4">
        <f t="shared" ref="K15" si="8">E32</f>
        <v>324</v>
      </c>
    </row>
    <row r="16" spans="1:14" ht="15.6" x14ac:dyDescent="0.3">
      <c r="A16" s="96"/>
      <c r="B16" s="25">
        <f t="shared" ref="B16" si="9">I16</f>
        <v>1</v>
      </c>
      <c r="C16" s="25"/>
      <c r="D16" s="25">
        <f t="shared" si="3"/>
        <v>217</v>
      </c>
      <c r="E16" s="35">
        <f t="shared" si="4"/>
        <v>645</v>
      </c>
      <c r="F16" s="104" t="str">
        <f>C33</f>
        <v xml:space="preserve">PUERTA POSTFORMADA R8 </v>
      </c>
      <c r="G16" s="1"/>
      <c r="I16" s="3">
        <f>B33</f>
        <v>1</v>
      </c>
      <c r="J16" s="4">
        <f>D33</f>
        <v>167</v>
      </c>
      <c r="K16" s="4">
        <f>E33</f>
        <v>647</v>
      </c>
    </row>
    <row r="17" spans="1:11" ht="15.6" x14ac:dyDescent="0.3">
      <c r="A17" s="52"/>
      <c r="B17" s="6"/>
      <c r="C17" s="6"/>
      <c r="D17" s="6"/>
      <c r="E17" s="89"/>
      <c r="F17" s="6"/>
      <c r="G17" s="1"/>
      <c r="I17" s="90"/>
      <c r="J17" s="2"/>
      <c r="K17" s="2"/>
    </row>
    <row r="18" spans="1:11" ht="6.75" customHeight="1" x14ac:dyDescent="0.3">
      <c r="A18" s="1"/>
      <c r="B18" s="1"/>
      <c r="C18" s="1"/>
      <c r="D18" s="1"/>
      <c r="E18" s="1"/>
      <c r="F18" s="1"/>
      <c r="G18" s="1"/>
    </row>
    <row r="19" spans="1:11" ht="15.6" x14ac:dyDescent="0.3">
      <c r="A19" s="121" t="s">
        <v>14</v>
      </c>
      <c r="B19" s="121"/>
      <c r="C19" s="121"/>
      <c r="D19" s="121"/>
      <c r="E19" s="121"/>
      <c r="F19" s="121"/>
      <c r="G19" s="1"/>
    </row>
    <row r="20" spans="1:11" ht="10.5" customHeight="1" x14ac:dyDescent="0.3">
      <c r="A20" s="1"/>
      <c r="B20" s="1"/>
      <c r="C20" s="12"/>
      <c r="D20" s="1"/>
      <c r="E20" s="1"/>
      <c r="F20" s="1"/>
      <c r="G20" s="1"/>
    </row>
    <row r="21" spans="1:11" ht="15.6" x14ac:dyDescent="0.3">
      <c r="A21" s="1"/>
      <c r="B21" s="1"/>
      <c r="C21" s="1"/>
      <c r="D21" s="52" t="s">
        <v>7</v>
      </c>
      <c r="E21" s="52" t="s">
        <v>8</v>
      </c>
      <c r="F21" s="1"/>
      <c r="G21" s="1"/>
    </row>
    <row r="22" spans="1:11" ht="15.6" x14ac:dyDescent="0.3">
      <c r="A22" s="52" t="s">
        <v>9</v>
      </c>
      <c r="B22" s="36" t="s">
        <v>10</v>
      </c>
      <c r="C22" s="36" t="s">
        <v>11</v>
      </c>
      <c r="D22" s="21">
        <v>40</v>
      </c>
      <c r="E22" s="21">
        <v>90</v>
      </c>
      <c r="F22" s="36" t="s">
        <v>110</v>
      </c>
      <c r="G22" s="1"/>
      <c r="J22" s="5" t="s">
        <v>7</v>
      </c>
      <c r="K22" s="5" t="s">
        <v>8</v>
      </c>
    </row>
    <row r="23" spans="1:11" ht="15.6" x14ac:dyDescent="0.3">
      <c r="A23" s="112" t="s">
        <v>146</v>
      </c>
      <c r="B23" s="16">
        <f t="shared" ref="B23" si="10">I23</f>
        <v>1</v>
      </c>
      <c r="C23" s="16"/>
      <c r="D23" s="16">
        <f>J23+D$22</f>
        <v>740</v>
      </c>
      <c r="E23" s="16">
        <f>K23+E$22</f>
        <v>1018</v>
      </c>
      <c r="F23" s="105" t="str">
        <f>C31</f>
        <v>PUERTA POSTFORMADA R8 /3 FTES</v>
      </c>
      <c r="G23" s="1"/>
      <c r="I23" s="3">
        <f>B31</f>
        <v>1</v>
      </c>
      <c r="J23" s="4">
        <f>D31</f>
        <v>700</v>
      </c>
      <c r="K23" s="4">
        <f>E31</f>
        <v>928</v>
      </c>
    </row>
    <row r="24" spans="1:11" ht="15.6" x14ac:dyDescent="0.3">
      <c r="A24" s="96"/>
      <c r="B24" s="16">
        <f t="shared" ref="B24" si="11">I24</f>
        <v>2</v>
      </c>
      <c r="C24" s="16"/>
      <c r="D24" s="16">
        <f t="shared" ref="D24:D25" si="12">J24+D$22</f>
        <v>550</v>
      </c>
      <c r="E24" s="16">
        <f t="shared" ref="E24:E25" si="13">K24+E$22</f>
        <v>414</v>
      </c>
      <c r="F24" s="105" t="str">
        <f t="shared" ref="F24" si="14">C32</f>
        <v xml:space="preserve">PUERTA POSTFORMADA R8 </v>
      </c>
      <c r="G24" s="1"/>
      <c r="I24" s="3">
        <f t="shared" ref="I24" si="15">B32</f>
        <v>2</v>
      </c>
      <c r="J24" s="4">
        <f t="shared" ref="J24:K24" si="16">D32</f>
        <v>510</v>
      </c>
      <c r="K24" s="4">
        <f t="shared" si="16"/>
        <v>324</v>
      </c>
    </row>
    <row r="25" spans="1:11" ht="15.6" x14ac:dyDescent="0.3">
      <c r="A25" s="96"/>
      <c r="B25" s="16">
        <f t="shared" ref="B25" si="17">I25</f>
        <v>1</v>
      </c>
      <c r="C25" s="16"/>
      <c r="D25" s="16">
        <f t="shared" si="12"/>
        <v>207</v>
      </c>
      <c r="E25" s="16">
        <f t="shared" si="13"/>
        <v>737</v>
      </c>
      <c r="F25" s="105" t="str">
        <f>C33</f>
        <v xml:space="preserve">PUERTA POSTFORMADA R8 </v>
      </c>
      <c r="G25" s="1"/>
      <c r="I25" s="3">
        <f>B33</f>
        <v>1</v>
      </c>
      <c r="J25" s="4">
        <f>D33</f>
        <v>167</v>
      </c>
      <c r="K25" s="4">
        <f>E33</f>
        <v>647</v>
      </c>
    </row>
    <row r="26" spans="1:11" ht="15.6" x14ac:dyDescent="0.3">
      <c r="A26" s="96"/>
      <c r="B26" s="6"/>
      <c r="C26" s="6"/>
      <c r="D26" s="6"/>
      <c r="E26" s="6"/>
      <c r="F26" s="6"/>
      <c r="G26" s="1"/>
      <c r="I26" s="90"/>
      <c r="J26" s="2"/>
      <c r="K26" s="2"/>
    </row>
    <row r="27" spans="1:11" ht="16.2" thickBot="1" x14ac:dyDescent="0.35">
      <c r="A27" s="52"/>
      <c r="B27" s="6"/>
      <c r="C27" s="6"/>
      <c r="D27" s="6"/>
      <c r="E27" s="6"/>
      <c r="F27" s="6"/>
      <c r="G27" s="1"/>
      <c r="I27" s="2"/>
      <c r="J27" s="2"/>
      <c r="K27" s="2"/>
    </row>
    <row r="28" spans="1:11" ht="16.2" thickBot="1" x14ac:dyDescent="0.35">
      <c r="A28" s="52"/>
      <c r="B28" s="22" t="s">
        <v>107</v>
      </c>
      <c r="C28" s="23"/>
      <c r="D28" s="23"/>
      <c r="E28" s="23"/>
      <c r="F28" s="24"/>
      <c r="G28" s="1"/>
      <c r="I28" s="2"/>
      <c r="J28" s="2"/>
      <c r="K28" s="2"/>
    </row>
    <row r="29" spans="1:11" ht="10.5" customHeight="1" x14ac:dyDescent="0.3">
      <c r="A29" s="1"/>
      <c r="B29" s="1"/>
      <c r="C29" s="1"/>
      <c r="D29" s="1"/>
      <c r="E29" s="1"/>
      <c r="F29" s="1"/>
      <c r="G29" s="1"/>
    </row>
    <row r="30" spans="1:11" ht="15.6" x14ac:dyDescent="0.3">
      <c r="A30" s="52" t="s">
        <v>9</v>
      </c>
      <c r="B30" s="88" t="s">
        <v>10</v>
      </c>
      <c r="C30" s="88" t="s">
        <v>110</v>
      </c>
      <c r="D30" s="88" t="s">
        <v>7</v>
      </c>
      <c r="E30" s="88" t="s">
        <v>8</v>
      </c>
      <c r="F30" s="88" t="s">
        <v>23</v>
      </c>
      <c r="G30" s="1"/>
    </row>
    <row r="31" spans="1:11" ht="15.6" x14ac:dyDescent="0.3">
      <c r="A31" s="112" t="s">
        <v>146</v>
      </c>
      <c r="B31" s="25">
        <f>'4637'!B21</f>
        <v>1</v>
      </c>
      <c r="C31" s="104" t="str">
        <f>'4637'!C21</f>
        <v>PUERTA POSTFORMADA R8 /3 FTES</v>
      </c>
      <c r="D31" s="25">
        <f>'4637'!D21</f>
        <v>700</v>
      </c>
      <c r="E31" s="25">
        <f>'4637'!E21</f>
        <v>928</v>
      </c>
      <c r="F31" s="25" t="str">
        <f>'4637'!F21</f>
        <v>HAYA NATURAL 1803 MT</v>
      </c>
      <c r="G31" s="1"/>
    </row>
    <row r="32" spans="1:11" ht="15.6" x14ac:dyDescent="0.3">
      <c r="A32" s="96"/>
      <c r="B32" s="25">
        <f>'4637'!B22</f>
        <v>2</v>
      </c>
      <c r="C32" s="104" t="str">
        <f>'4637'!C22</f>
        <v xml:space="preserve">PUERTA POSTFORMADA R8 </v>
      </c>
      <c r="D32" s="25">
        <f>'4637'!D22</f>
        <v>510</v>
      </c>
      <c r="E32" s="25">
        <f>'4637'!E22</f>
        <v>324</v>
      </c>
      <c r="F32" s="25" t="str">
        <f>'4637'!F22</f>
        <v>HAYA NATURAL 1803 MT</v>
      </c>
      <c r="G32" s="1"/>
    </row>
    <row r="33" spans="1:7" ht="15.6" x14ac:dyDescent="0.3">
      <c r="A33" s="96"/>
      <c r="B33" s="25">
        <f>'4637'!B23</f>
        <v>1</v>
      </c>
      <c r="C33" s="104" t="str">
        <f>'4637'!C23</f>
        <v xml:space="preserve">PUERTA POSTFORMADA R8 </v>
      </c>
      <c r="D33" s="25">
        <f>'4637'!D23</f>
        <v>167</v>
      </c>
      <c r="E33" s="25">
        <f>'4637'!E23</f>
        <v>647</v>
      </c>
      <c r="F33" s="25" t="str">
        <f>'4637'!F23</f>
        <v>HAYA NATURAL 1803 MT</v>
      </c>
      <c r="G33" s="1"/>
    </row>
    <row r="34" spans="1:7" ht="15.6" x14ac:dyDescent="0.3">
      <c r="A34" s="96"/>
      <c r="B34" s="25">
        <f>'4637'!B24</f>
        <v>1</v>
      </c>
      <c r="C34" s="104" t="str">
        <f>'4637'!C24</f>
        <v>REPARACION PUERTA</v>
      </c>
      <c r="D34" s="25">
        <f>'4637'!D24</f>
        <v>0</v>
      </c>
      <c r="E34" s="25">
        <f>'4637'!E24</f>
        <v>0</v>
      </c>
      <c r="F34" s="25">
        <f>'4637'!F24</f>
        <v>0</v>
      </c>
      <c r="G34" s="1"/>
    </row>
    <row r="35" spans="1:7" ht="15.6" x14ac:dyDescent="0.3">
      <c r="A35" s="96"/>
      <c r="B35" s="25">
        <f>'4637'!B25</f>
        <v>1</v>
      </c>
      <c r="C35" s="104" t="str">
        <f>'4637'!C25</f>
        <v>SERVICIO DE INSTALACION</v>
      </c>
      <c r="D35" s="25">
        <f>'4637'!D25</f>
        <v>0</v>
      </c>
      <c r="E35" s="25">
        <f>'4637'!E25</f>
        <v>0</v>
      </c>
      <c r="F35" s="25">
        <f>'4637'!F25</f>
        <v>0</v>
      </c>
      <c r="G35" s="1"/>
    </row>
    <row r="36" spans="1:7" ht="15.6" x14ac:dyDescent="0.3">
      <c r="A36" s="96"/>
      <c r="B36" s="6"/>
      <c r="C36" s="6"/>
      <c r="D36" s="6"/>
      <c r="E36" s="6"/>
      <c r="F36" s="6"/>
      <c r="G36" s="1"/>
    </row>
    <row r="37" spans="1:7" ht="15.6" x14ac:dyDescent="0.3">
      <c r="A37" s="52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6"/>
      <c r="C45" s="6"/>
      <c r="D45" s="6"/>
      <c r="E45" s="6"/>
      <c r="F45" s="6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"/>
      <c r="B47" s="1"/>
      <c r="C47" s="40" t="s">
        <v>27</v>
      </c>
      <c r="D47" s="14">
        <f>'4637'!G8</f>
        <v>7057</v>
      </c>
      <c r="E47" s="1"/>
      <c r="F47" s="1"/>
      <c r="G47" s="1"/>
    </row>
    <row r="48" spans="1:7" ht="17.25" customHeight="1" x14ac:dyDescent="0.3">
      <c r="A48" s="1"/>
      <c r="B48" s="1"/>
      <c r="C48" s="41" t="s">
        <v>67</v>
      </c>
      <c r="D48" s="42" t="str">
        <f>'4637'!C10</f>
        <v>SOCIEDAD MEDICA UGARTE Y ASOCIADOS</v>
      </c>
      <c r="E48" s="43"/>
      <c r="F48" s="43"/>
      <c r="G48" s="1"/>
    </row>
    <row r="49" spans="1:7" ht="4.5" customHeight="1" x14ac:dyDescent="0.3">
      <c r="A49" s="1"/>
      <c r="B49" s="1"/>
      <c r="C49" s="44"/>
      <c r="D49" s="45"/>
      <c r="E49" s="1"/>
      <c r="F49" s="1"/>
      <c r="G49" s="1"/>
    </row>
    <row r="50" spans="1:7" ht="15.6" x14ac:dyDescent="0.3">
      <c r="A50" s="1"/>
      <c r="B50" s="1"/>
      <c r="C50" s="46" t="str">
        <f>'4637'!F11</f>
        <v>FECHA LIMITE :</v>
      </c>
      <c r="D50" s="13">
        <f>'4637'!G11</f>
        <v>45370</v>
      </c>
      <c r="E50" s="1"/>
      <c r="F50" s="1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21" t="s">
        <v>68</v>
      </c>
      <c r="B53" s="121"/>
      <c r="C53" s="121"/>
      <c r="D53" s="121"/>
      <c r="E53" s="121"/>
      <c r="F53" s="12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75" customHeight="1" x14ac:dyDescent="0.3">
      <c r="A55" s="1"/>
      <c r="B55" s="122" t="s">
        <v>69</v>
      </c>
      <c r="C55" s="123"/>
      <c r="D55" s="124"/>
      <c r="E55" s="124"/>
      <c r="F55" s="125"/>
      <c r="G55" s="1"/>
    </row>
    <row r="56" spans="1:7" s="15" customFormat="1" ht="12.75" customHeight="1" x14ac:dyDescent="0.3">
      <c r="A56" s="1"/>
      <c r="B56" s="36" t="s">
        <v>10</v>
      </c>
      <c r="C56" s="47" t="s">
        <v>11</v>
      </c>
      <c r="D56" s="48" t="s">
        <v>7</v>
      </c>
      <c r="E56" s="48" t="s">
        <v>8</v>
      </c>
      <c r="F56" s="49" t="s">
        <v>12</v>
      </c>
      <c r="G56" s="1"/>
    </row>
    <row r="57" spans="1:7" s="15" customFormat="1" ht="15" customHeight="1" x14ac:dyDescent="0.3">
      <c r="A57" s="112" t="s">
        <v>146</v>
      </c>
      <c r="B57" s="38">
        <f>'4637'!B21</f>
        <v>1</v>
      </c>
      <c r="C57" s="102" t="str">
        <f>'4637'!C21</f>
        <v>PUERTA POSTFORMADA R8 /3 FTES</v>
      </c>
      <c r="D57" s="39">
        <f>'4637'!D21</f>
        <v>700</v>
      </c>
      <c r="E57" s="39">
        <f>'4637'!E21</f>
        <v>928</v>
      </c>
      <c r="F57" s="38" t="str">
        <f>'4637'!F21</f>
        <v>HAYA NATURAL 1803 MT</v>
      </c>
      <c r="G57" s="1"/>
    </row>
    <row r="58" spans="1:7" s="15" customFormat="1" ht="15" customHeight="1" x14ac:dyDescent="0.3">
      <c r="A58" s="96"/>
      <c r="B58" s="38">
        <f>'4637'!B22</f>
        <v>2</v>
      </c>
      <c r="C58" s="102" t="str">
        <f>'4637'!C22</f>
        <v xml:space="preserve">PUERTA POSTFORMADA R8 </v>
      </c>
      <c r="D58" s="39">
        <f>'4637'!D22</f>
        <v>510</v>
      </c>
      <c r="E58" s="39">
        <f>'4637'!E22</f>
        <v>324</v>
      </c>
      <c r="F58" s="38" t="str">
        <f>'4637'!F22</f>
        <v>HAYA NATURAL 1803 MT</v>
      </c>
      <c r="G58" s="1"/>
    </row>
    <row r="59" spans="1:7" s="15" customFormat="1" ht="15" customHeight="1" x14ac:dyDescent="0.3">
      <c r="A59" s="96"/>
      <c r="B59" s="38">
        <f>'4637'!B23</f>
        <v>1</v>
      </c>
      <c r="C59" s="102" t="str">
        <f>'4637'!C23</f>
        <v xml:space="preserve">PUERTA POSTFORMADA R8 </v>
      </c>
      <c r="D59" s="39">
        <f>'4637'!D23</f>
        <v>167</v>
      </c>
      <c r="E59" s="39">
        <f>'4637'!E23</f>
        <v>647</v>
      </c>
      <c r="F59" s="38" t="str">
        <f>'4637'!F23</f>
        <v>HAYA NATURAL 1803 MT</v>
      </c>
      <c r="G59" s="1"/>
    </row>
    <row r="60" spans="1:7" s="15" customFormat="1" ht="15" customHeight="1" x14ac:dyDescent="0.3">
      <c r="A60" s="96"/>
      <c r="B60" s="38">
        <f>'4637'!B24</f>
        <v>1</v>
      </c>
      <c r="C60" s="102" t="str">
        <f>'4637'!C24</f>
        <v>REPARACION PUERTA</v>
      </c>
      <c r="D60" s="39">
        <f>'4637'!D24</f>
        <v>0</v>
      </c>
      <c r="E60" s="39">
        <f>'4637'!E24</f>
        <v>0</v>
      </c>
      <c r="F60" s="38">
        <f>'4637'!F24</f>
        <v>0</v>
      </c>
      <c r="G60" s="1"/>
    </row>
    <row r="61" spans="1:7" s="15" customFormat="1" ht="15" customHeight="1" x14ac:dyDescent="0.3">
      <c r="A61" s="96"/>
      <c r="B61" s="38">
        <f>'4637'!B25</f>
        <v>1</v>
      </c>
      <c r="C61" s="102" t="str">
        <f>'4637'!C25</f>
        <v>SERVICIO DE INSTALACION</v>
      </c>
      <c r="D61" s="39">
        <f>'4637'!D25</f>
        <v>0</v>
      </c>
      <c r="E61" s="39">
        <f>'4637'!E25</f>
        <v>0</v>
      </c>
      <c r="F61" s="38">
        <f>'4637'!F25</f>
        <v>0</v>
      </c>
      <c r="G61" s="1"/>
    </row>
    <row r="62" spans="1:7" s="15" customFormat="1" ht="15" customHeight="1" x14ac:dyDescent="0.3">
      <c r="A62" s="96"/>
      <c r="B62" s="52"/>
      <c r="C62" s="103"/>
      <c r="D62" s="52"/>
      <c r="E62" s="52"/>
      <c r="F62" s="52"/>
      <c r="G62" s="1"/>
    </row>
    <row r="63" spans="1:7" s="15" customFormat="1" ht="15" customHeight="1" x14ac:dyDescent="0.3">
      <c r="A63" s="50"/>
      <c r="B63" s="52"/>
      <c r="C63" s="52"/>
      <c r="D63" s="52"/>
      <c r="E63" s="52"/>
      <c r="F63" s="52"/>
      <c r="G63" s="1"/>
    </row>
    <row r="64" spans="1:7" ht="15.6" x14ac:dyDescent="0.3">
      <c r="A64" s="6"/>
      <c r="B64" s="6"/>
      <c r="C64" s="1"/>
      <c r="D64" s="6"/>
      <c r="E64" s="6"/>
      <c r="F64" s="44"/>
      <c r="G64" s="1"/>
    </row>
    <row r="65" spans="1:7" ht="15.6" x14ac:dyDescent="0.3">
      <c r="A65" s="6"/>
      <c r="B65" s="6"/>
      <c r="C65" s="1"/>
      <c r="D65" s="6"/>
      <c r="E65" s="6"/>
      <c r="F65" s="6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ht="15" customHeight="1" x14ac:dyDescent="0.3">
      <c r="A69" s="1"/>
      <c r="B69" s="1"/>
      <c r="C69" s="1"/>
      <c r="D69" s="1"/>
      <c r="E69" s="1"/>
      <c r="F69" s="1"/>
      <c r="G69" s="1"/>
    </row>
    <row r="70" spans="1:7" ht="15.6" x14ac:dyDescent="0.3">
      <c r="A70" s="1"/>
      <c r="B70" s="1"/>
      <c r="C70" s="1"/>
      <c r="D70" s="1"/>
      <c r="E70" s="1"/>
      <c r="F70" s="1"/>
      <c r="G70" s="1"/>
    </row>
    <row r="71" spans="1:7" ht="15.6" x14ac:dyDescent="0.3">
      <c r="A71" s="6"/>
      <c r="B71" s="51"/>
      <c r="C71" s="1"/>
      <c r="D71" s="1"/>
      <c r="E71" s="1"/>
      <c r="F71" s="1"/>
      <c r="G71" s="1"/>
    </row>
    <row r="72" spans="1:7" ht="15.6" x14ac:dyDescent="0.3">
      <c r="A72" s="1"/>
      <c r="B72" s="1"/>
      <c r="C72" s="1"/>
      <c r="D72" s="1"/>
      <c r="E72" s="1"/>
      <c r="F72" s="1"/>
      <c r="G72" s="1"/>
    </row>
    <row r="73" spans="1:7" x14ac:dyDescent="0.3">
      <c r="B73" s="20"/>
      <c r="C73" s="20"/>
      <c r="D73" s="20"/>
      <c r="E73" s="20"/>
      <c r="F73" s="20"/>
    </row>
    <row r="74" spans="1:7" x14ac:dyDescent="0.3">
      <c r="B74" s="20"/>
      <c r="C74" s="20"/>
      <c r="E74" s="20"/>
      <c r="F74" s="20"/>
    </row>
  </sheetData>
  <mergeCells count="6">
    <mergeCell ref="M3:N3"/>
    <mergeCell ref="A19:F19"/>
    <mergeCell ref="A10:F10"/>
    <mergeCell ref="A53:F53"/>
    <mergeCell ref="B55:F55"/>
    <mergeCell ref="K3:L3"/>
  </mergeCells>
  <pageMargins left="0.70866141732283472" right="0.70866141732283472" top="0.74803149606299213" bottom="0.74803149606299213" header="0.31496062992125984" footer="0.31496062992125984"/>
  <pageSetup scale="68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2024-03-12T13:05:38Z</cp:lastPrinted>
  <dcterms:created xsi:type="dcterms:W3CDTF">2013-03-19T12:54:14Z</dcterms:created>
  <dcterms:modified xsi:type="dcterms:W3CDTF">2024-04-01T13:52:35Z</dcterms:modified>
</cp:coreProperties>
</file>