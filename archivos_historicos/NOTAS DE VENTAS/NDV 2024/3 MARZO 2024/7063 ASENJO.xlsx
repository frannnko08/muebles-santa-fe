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2024 MARZO\"/>
    </mc:Choice>
  </mc:AlternateContent>
  <xr:revisionPtr revIDLastSave="0" documentId="13_ncr:1_{3F8BFF89-6CDA-46D7-AF85-78573DA58B7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'4637'!$A$1:$H$32</definedName>
    <definedName name="_xlnm.Print_Area" localSheetId="2">CUBIERTA!$A$37:$G$64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F23" i="3"/>
  <c r="I23" i="3"/>
  <c r="B23" i="3" s="1"/>
  <c r="J23" i="3"/>
  <c r="D23" i="3" s="1"/>
  <c r="K23" i="3"/>
  <c r="E23" i="3" s="1"/>
  <c r="B30" i="3"/>
  <c r="C30" i="3"/>
  <c r="D30" i="3"/>
  <c r="E30" i="3"/>
  <c r="F30" i="3"/>
  <c r="B52" i="3"/>
  <c r="C52" i="3"/>
  <c r="D52" i="3"/>
  <c r="E52" i="3"/>
  <c r="F52" i="3"/>
  <c r="H22" i="4"/>
  <c r="H21" i="4"/>
  <c r="H26" i="4" l="1"/>
  <c r="B51" i="3"/>
  <c r="C51" i="3"/>
  <c r="D51" i="3"/>
  <c r="E51" i="3"/>
  <c r="F51" i="3"/>
  <c r="B29" i="3"/>
  <c r="C29" i="3"/>
  <c r="F22" i="3" s="1"/>
  <c r="D29" i="3"/>
  <c r="J14" i="3" s="1"/>
  <c r="D14" i="3" s="1"/>
  <c r="E29" i="3"/>
  <c r="K14" i="3" s="1"/>
  <c r="E14" i="3" s="1"/>
  <c r="F29" i="3"/>
  <c r="H27" i="4" l="1"/>
  <c r="I22" i="3"/>
  <c r="F14" i="3"/>
  <c r="K22" i="3"/>
  <c r="E22" i="3" s="1"/>
  <c r="J22" i="3"/>
  <c r="D22" i="3" s="1"/>
  <c r="B22" i="3" l="1"/>
  <c r="I14" i="3"/>
  <c r="B14" i="3" s="1"/>
  <c r="H28" i="4"/>
  <c r="N5" i="3" l="1"/>
  <c r="M5" i="3" l="1"/>
  <c r="L5" i="3"/>
  <c r="K5" i="3"/>
  <c r="C44" i="3" l="1"/>
  <c r="C7" i="3"/>
  <c r="D42" i="3"/>
  <c r="D5" i="3"/>
  <c r="D44" i="3"/>
  <c r="D7" i="3"/>
  <c r="D41" i="3"/>
  <c r="D4" i="3"/>
</calcChain>
</file>

<file path=xl/sharedStrings.xml><?xml version="1.0" encoding="utf-8"?>
<sst xmlns="http://schemas.openxmlformats.org/spreadsheetml/2006/main" count="250" uniqueCount="146">
  <si>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</si>
  <si>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</si>
  <si>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</si>
  <si>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</si>
  <si>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</si>
  <si>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</si>
  <si>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</si>
  <si>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</si>
  <si>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</si>
  <si>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</si>
  <si>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</si>
  <si>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</si>
  <si>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</si>
  <si>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</si>
  <si>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</si>
  <si>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</si>
  <si>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</si>
  <si>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</si>
  <si>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</si>
  <si>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</si>
  <si>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</si>
  <si>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</si>
  <si>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</si>
  <si>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</si>
  <si>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</si>
  <si>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</si>
  <si>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</si>
  <si>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</si>
  <si>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</si>
  <si>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</si>
  <si>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</si>
  <si>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</si>
  <si>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</si>
  <si>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</si>
  <si>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</si>
  <si>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</si>
  <si>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</si>
  <si>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</si>
  <si>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</si>
  <si>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</si>
  <si>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</si>
  <si>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</si>
  <si>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</si>
  <si>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</si>
  <si>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</si>
  <si>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</si>
  <si>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</si>
  <si>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</si>
  <si>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</si>
  <si>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</si>
  <si>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</si>
  <si>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</si>
  <si>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</si>
  <si>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</si>
  <si>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</si>
  <si>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</si>
  <si>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</si>
  <si>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</si>
  <si>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</si>
  <si>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</si>
  <si>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</si>
  <si>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</si>
  <si>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</si>
  <si>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</si>
  <si>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</si>
  <si>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</si>
  <si>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</si>
  <si>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</si>
  <si>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</si>
  <si>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</si>
  <si>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</si>
  <si>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</si>
  <si>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</si>
  <si>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</si>
  <si>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</si>
  <si>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</si>
  <si>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</si>
  <si>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</si>
  <si>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</si>
  <si>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</si>
  <si>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</si>
  <si>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</si>
  <si>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</si>
  <si>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</si>
  <si>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</si>
  <si>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</si>
  <si>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</si>
  <si>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</si>
  <si>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</si>
  <si>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</si>
  <si>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</si>
  <si>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</si>
  <si>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</si>
  <si>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</si>
  <si>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</si>
  <si>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</si>
  <si>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</si>
  <si>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</si>
  <si>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</si>
  <si>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</si>
  <si>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</si>
  <si>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</si>
  <si>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</si>
  <si>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</si>
  <si>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</si>
  <si>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</si>
  <si>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</si>
  <si>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</si>
  <si>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</si>
  <si>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</si>
  <si>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</si>
  <si>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</si>
  <si>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</si>
  <si>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</si>
  <si>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</si>
  <si>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</si>
  <si>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</si>
  <si>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</si>
  <si>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</si>
  <si>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</si>
  <si>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</si>
  <si>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</si>
  <si>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</si>
  <si>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</si>
  <si>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</si>
  <si>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</si>
  <si>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</si>
  <si>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</si>
  <si>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</si>
  <si>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</si>
  <si>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</si>
  <si>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>FERNANDO DONOSO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</si>
  <si>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</si>
  <si>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</si>
  <si>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</si>
  <si>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</si>
  <si>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</si>
  <si>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</si>
  <si>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</si>
  <si>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</si>
  <si>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</si>
  <si>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CUB C/R R8</t>
  </si>
  <si>
    <t>MAPLE CLARO 1322 MT</t>
  </si>
  <si>
    <t>OC 30 DIAS</t>
  </si>
  <si>
    <t>NO</t>
  </si>
  <si>
    <t>N° 10883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</si>
</sst>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8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9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0" fontId="18" fillId="0" borderId="0" xfId="0" applyFont="1" applyAlignment="1">
      <alignment horizontal="center"/>
    </xf>
    <xf numFmtId="166" fontId="3" fillId="0" borderId="2" xfId="1" applyNumberFormat="1" applyFont="1" applyFill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25</xdr:row>
      <xdr:rowOff>9525</xdr:rowOff>
    </xdr:from>
    <xdr:to>
      <xdr:col>5</xdr:col>
      <xdr:colOff>1390650</xdr:colOff>
      <xdr:row>29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5</xdr:col>
      <xdr:colOff>1676399</xdr:colOff>
      <xdr:row>18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45</xdr:row>
      <xdr:rowOff>171450</xdr:rowOff>
    </xdr:from>
    <xdr:to>
      <xdr:col>5</xdr:col>
      <xdr:colOff>1685924</xdr:colOff>
      <xdr:row>47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43</xdr:row>
      <xdr:rowOff>0</xdr:rowOff>
    </xdr:from>
    <xdr:to>
      <xdr:col>6</xdr:col>
      <xdr:colOff>0</xdr:colOff>
      <xdr:row>44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38100</xdr:rowOff>
    </xdr:from>
    <xdr:to>
      <xdr:col>6</xdr:col>
      <xdr:colOff>0</xdr:colOff>
      <xdr:row>42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6</xdr:col>
      <xdr:colOff>68580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194310</xdr:rowOff>
    </xdr:from>
    <xdr:to>
      <xdr:col>2</xdr:col>
      <xdr:colOff>100723</xdr:colOff>
      <xdr:row>44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10405110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2</xdr:col>
      <xdr:colOff>79768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topLeftCell="A6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145</v>
      </c>
      <c r="E8" s="1"/>
      <c r="F8" s="94" t="s">
        <v>27</v>
      </c>
      <c r="G8" s="95">
        <v>7063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136</v>
      </c>
      <c r="D10" s="55"/>
      <c r="E10" s="55"/>
      <c r="F10" s="56" t="s">
        <v>28</v>
      </c>
      <c r="G10" s="57">
        <v>45379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137</v>
      </c>
      <c r="D11" s="60"/>
      <c r="E11" s="60"/>
      <c r="F11" s="60" t="s">
        <v>124</v>
      </c>
      <c r="G11" s="61">
        <v>45383</v>
      </c>
      <c r="H11" s="62"/>
      <c r="I11" s="1"/>
    </row>
    <row r="12" spans="1:17" ht="16.2" thickBot="1" x14ac:dyDescent="0.35">
      <c r="A12" s="1"/>
      <c r="B12" s="63" t="s">
        <v>132</v>
      </c>
      <c r="C12" t="s">
        <v>138</v>
      </c>
      <c r="D12" s="43"/>
      <c r="E12" s="43"/>
      <c r="F12" s="43" t="s">
        <v>30</v>
      </c>
      <c r="G12" s="64">
        <v>21986</v>
      </c>
      <c r="H12" s="65"/>
      <c r="I12" s="1"/>
    </row>
    <row r="13" spans="1:17" ht="15.6" x14ac:dyDescent="0.3">
      <c r="A13" s="1"/>
      <c r="B13" s="63" t="s">
        <v>134</v>
      </c>
      <c r="C13" s="86" t="s">
        <v>140</v>
      </c>
      <c r="D13" s="43"/>
      <c r="E13" s="43"/>
      <c r="F13" s="43" t="s">
        <v>128</v>
      </c>
      <c r="G13" s="64" t="s">
        <v>131</v>
      </c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144</v>
      </c>
      <c r="H14" s="62"/>
      <c r="I14" s="1"/>
    </row>
    <row r="15" spans="1:17" ht="15.6" x14ac:dyDescent="0.3">
      <c r="A15" s="1"/>
      <c r="B15" s="63" t="s">
        <v>1</v>
      </c>
      <c r="C15" s="101" t="s">
        <v>139</v>
      </c>
      <c r="D15" s="43"/>
      <c r="E15" s="43"/>
      <c r="F15" s="67" t="s">
        <v>75</v>
      </c>
      <c r="G15" s="67" t="s">
        <v>143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133</v>
      </c>
      <c r="D16" s="69"/>
      <c r="E16" s="70"/>
      <c r="F16" s="115" t="s">
        <v>18</v>
      </c>
      <c r="G16" s="115"/>
      <c r="H16" s="116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7" t="s">
        <v>19</v>
      </c>
      <c r="C19" s="118"/>
      <c r="D19" s="118"/>
      <c r="E19" s="118"/>
      <c r="F19" s="118"/>
      <c r="G19" s="118"/>
      <c r="H19" s="119"/>
      <c r="I19" s="1"/>
    </row>
    <row r="20" spans="1:16" ht="16.2" thickBot="1" x14ac:dyDescent="0.35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thickBot="1" x14ac:dyDescent="0.35">
      <c r="A21" s="1"/>
      <c r="B21" s="109">
        <v>1</v>
      </c>
      <c r="C21" s="110" t="s">
        <v>141</v>
      </c>
      <c r="D21" s="111">
        <v>1050</v>
      </c>
      <c r="E21" s="112">
        <v>510</v>
      </c>
      <c r="F21" s="106" t="s">
        <v>142</v>
      </c>
      <c r="G21" s="114">
        <v>54801</v>
      </c>
      <c r="H21" s="107">
        <f>G21*B21</f>
        <v>54801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9">
        <v>1</v>
      </c>
      <c r="C22" s="110" t="s">
        <v>141</v>
      </c>
      <c r="D22" s="111">
        <v>1550</v>
      </c>
      <c r="E22" s="112">
        <v>600</v>
      </c>
      <c r="F22" s="106" t="s">
        <v>142</v>
      </c>
      <c r="G22" s="114">
        <v>91643</v>
      </c>
      <c r="H22" s="107">
        <f>G22*B22</f>
        <v>91643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8"/>
      <c r="D23" s="108"/>
      <c r="E23" s="108"/>
      <c r="F23" s="97"/>
      <c r="G23" s="75"/>
      <c r="H23" s="99"/>
      <c r="I23" s="1"/>
      <c r="K23" s="17"/>
      <c r="L23" s="26"/>
      <c r="M23" s="17"/>
      <c r="N23" s="17"/>
      <c r="O23" s="26"/>
      <c r="P23" s="33"/>
    </row>
    <row r="24" spans="1:16" ht="18" customHeight="1" x14ac:dyDescent="0.3">
      <c r="A24" s="1"/>
      <c r="B24" s="97"/>
      <c r="C24" s="97"/>
      <c r="D24" s="97"/>
      <c r="E24" s="97"/>
      <c r="F24" s="98"/>
      <c r="G24" s="99"/>
      <c r="H24" s="99"/>
      <c r="I24" s="1"/>
      <c r="K24" s="17"/>
      <c r="L24" s="26"/>
      <c r="M24" s="17"/>
      <c r="N24" s="17"/>
      <c r="O24" s="26"/>
      <c r="P24" s="33"/>
    </row>
    <row r="25" spans="1:16" ht="8.25" customHeight="1" thickBot="1" x14ac:dyDescent="0.35">
      <c r="A25" s="1"/>
      <c r="B25" s="74"/>
      <c r="C25" s="74"/>
      <c r="D25" s="74"/>
      <c r="E25" s="74"/>
      <c r="F25" s="74"/>
      <c r="G25" s="75"/>
      <c r="H25" s="75"/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5</v>
      </c>
      <c r="H26" s="77">
        <f>SUM(H21:H25)</f>
        <v>146444</v>
      </c>
      <c r="I26" s="1"/>
    </row>
    <row r="27" spans="1:16" ht="15.6" x14ac:dyDescent="0.3">
      <c r="A27" s="1"/>
      <c r="B27" s="1"/>
      <c r="C27" s="1"/>
      <c r="D27" s="1"/>
      <c r="E27" s="1"/>
      <c r="F27" s="1"/>
      <c r="G27" s="78" t="s">
        <v>6</v>
      </c>
      <c r="H27" s="79">
        <f>H26*19%</f>
        <v>27824.36</v>
      </c>
      <c r="I27" s="1"/>
    </row>
    <row r="28" spans="1:16" ht="16.2" thickBot="1" x14ac:dyDescent="0.35">
      <c r="A28" s="1"/>
      <c r="B28" s="1"/>
      <c r="C28" s="1"/>
      <c r="D28" s="1"/>
      <c r="E28" s="1"/>
      <c r="F28" s="1"/>
      <c r="G28" s="80" t="s">
        <v>4</v>
      </c>
      <c r="H28" s="81">
        <f>H26+H27</f>
        <v>174268.36</v>
      </c>
      <c r="I28" s="1"/>
    </row>
    <row r="29" spans="1:16" ht="15.6" x14ac:dyDescent="0.3">
      <c r="A29" s="1"/>
      <c r="B29" s="1"/>
      <c r="C29" s="1"/>
      <c r="D29" s="1"/>
      <c r="E29" s="1"/>
      <c r="F29" s="1"/>
      <c r="G29" s="52"/>
      <c r="H29" s="100"/>
      <c r="I29" s="1"/>
    </row>
    <row r="30" spans="1:16" ht="15.6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16" ht="15.6" x14ac:dyDescent="0.3">
      <c r="A31" s="1"/>
      <c r="B31" s="82" t="s">
        <v>123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82" t="s">
        <v>122</v>
      </c>
      <c r="C32" s="83"/>
      <c r="D32" s="84"/>
      <c r="E32" s="84"/>
      <c r="F32" s="74"/>
      <c r="G32" s="1"/>
      <c r="H32" s="1"/>
      <c r="I32" s="1"/>
    </row>
    <row r="33" spans="1:9" ht="15.6" x14ac:dyDescent="0.3">
      <c r="A33" s="1"/>
      <c r="B33" s="1" t="s">
        <v>25</v>
      </c>
      <c r="C33" s="1"/>
      <c r="D33" s="1"/>
      <c r="E33" s="85" t="s">
        <v>26</v>
      </c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ht="15.6" x14ac:dyDescent="0.3">
      <c r="A35" s="1"/>
      <c r="B35" s="1"/>
      <c r="C35" s="1"/>
      <c r="D35" s="1"/>
      <c r="E35" s="1"/>
      <c r="F35" s="1"/>
      <c r="G35" s="1"/>
      <c r="H35" s="1"/>
      <c r="I35" s="1"/>
    </row>
  </sheetData>
  <sortState xmlns:xlrd2="http://schemas.microsoft.com/office/spreadsheetml/2017/richdata2" ref="B37">
    <sortCondition sortBy="fontColor" ref="B37" dxfId="0"/>
  </sortState>
  <mergeCells count="2">
    <mergeCell ref="F16:H16"/>
    <mergeCell ref="B19:H19"/>
  </mergeCells>
  <phoneticPr fontId="10" type="noConversion"/>
  <hyperlinks>
    <hyperlink ref="E33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0" t="s">
        <v>31</v>
      </c>
      <c r="C2" s="120"/>
      <c r="D2" s="120"/>
      <c r="E2" s="18"/>
      <c r="G2" s="120" t="s">
        <v>70</v>
      </c>
      <c r="H2" s="120"/>
      <c r="I2" s="120"/>
      <c r="P2" s="121" t="s">
        <v>58</v>
      </c>
      <c r="Q2" s="121"/>
      <c r="R2" s="121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1" t="s">
        <v>58</v>
      </c>
      <c r="M8" s="121"/>
      <c r="N8" s="121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abSelected="1" topLeftCell="A25" zoomScaleNormal="100" workbookViewId="0">
      <selection activeCell="A37" sqref="A37:G64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2" t="s">
        <v>61</v>
      </c>
      <c r="L3" s="122"/>
      <c r="M3" s="122" t="s">
        <v>14</v>
      </c>
      <c r="N3" s="122"/>
    </row>
    <row r="4" spans="1:14" ht="15.75" customHeight="1" x14ac:dyDescent="0.3">
      <c r="A4" s="1"/>
      <c r="B4" s="1"/>
      <c r="C4" s="40" t="s">
        <v>27</v>
      </c>
      <c r="D4" s="14">
        <f>'4637'!G8</f>
        <v>7063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45383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3" t="s">
        <v>61</v>
      </c>
      <c r="B10" s="123"/>
      <c r="C10" s="123"/>
      <c r="D10" s="123"/>
      <c r="E10" s="123"/>
      <c r="F10" s="123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50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>J14+D$13</f>
        <v>1100</v>
      </c>
      <c r="E14" s="35">
        <f>K14+E$13</f>
        <v>480</v>
      </c>
      <c r="F14" s="103" t="str">
        <f>C29</f>
        <v>CUB C/R R8</v>
      </c>
      <c r="G14" s="1"/>
      <c r="I14" s="3">
        <f>I22</f>
        <v>1</v>
      </c>
      <c r="J14" s="4">
        <f t="shared" ref="J14:K14" si="1">D29</f>
        <v>1050</v>
      </c>
      <c r="K14" s="4">
        <f t="shared" si="1"/>
        <v>510</v>
      </c>
    </row>
    <row r="15" spans="1:14" ht="15.6" x14ac:dyDescent="0.3">
      <c r="A15" s="96"/>
      <c r="B15" s="25">
        <f t="shared" ref="B15" si="2">I15</f>
        <v>1</v>
      </c>
      <c r="C15" s="25"/>
      <c r="D15" s="25">
        <f>J15+D$13</f>
        <v>1600</v>
      </c>
      <c r="E15" s="35">
        <f>K15+E$13</f>
        <v>570</v>
      </c>
      <c r="F15" s="103" t="str">
        <f>C30</f>
        <v>CUB C/R R8</v>
      </c>
      <c r="G15" s="1"/>
      <c r="I15" s="3">
        <f>I23</f>
        <v>1</v>
      </c>
      <c r="J15" s="4">
        <f t="shared" ref="J15" si="3">D30</f>
        <v>1550</v>
      </c>
      <c r="K15" s="4">
        <f t="shared" ref="K15" si="4">E30</f>
        <v>600</v>
      </c>
    </row>
    <row r="16" spans="1:14" ht="15.6" x14ac:dyDescent="0.3">
      <c r="A16" s="52"/>
      <c r="B16" s="6"/>
      <c r="C16" s="6"/>
      <c r="D16" s="6"/>
      <c r="E16" s="89"/>
      <c r="F16" s="6"/>
      <c r="G16" s="1"/>
      <c r="I16" s="90"/>
      <c r="J16" s="2"/>
      <c r="K16" s="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3" t="s">
        <v>14</v>
      </c>
      <c r="B18" s="123"/>
      <c r="C18" s="123"/>
      <c r="D18" s="123"/>
      <c r="E18" s="123"/>
      <c r="F18" s="123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2" t="s">
        <v>7</v>
      </c>
      <c r="E20" s="52" t="s">
        <v>8</v>
      </c>
      <c r="F20" s="1"/>
      <c r="G20" s="1"/>
    </row>
    <row r="21" spans="1:11" ht="15.6" x14ac:dyDescent="0.3">
      <c r="A21" s="52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6" t="s">
        <v>130</v>
      </c>
      <c r="B22" s="16">
        <f t="shared" ref="B22" si="5">I22</f>
        <v>1</v>
      </c>
      <c r="C22" s="16"/>
      <c r="D22" s="16">
        <f>J22+D$21</f>
        <v>1090</v>
      </c>
      <c r="E22" s="16">
        <f>K22+E$21</f>
        <v>640</v>
      </c>
      <c r="F22" s="104" t="str">
        <f>C29</f>
        <v>CUB C/R R8</v>
      </c>
      <c r="G22" s="1"/>
      <c r="I22" s="3">
        <f>B29</f>
        <v>1</v>
      </c>
      <c r="J22" s="4">
        <f>D29</f>
        <v>1050</v>
      </c>
      <c r="K22" s="4">
        <f>E29</f>
        <v>510</v>
      </c>
    </row>
    <row r="23" spans="1:11" ht="15.6" x14ac:dyDescent="0.3">
      <c r="A23" s="96"/>
      <c r="B23" s="16">
        <f t="shared" ref="B23" si="6">I23</f>
        <v>1</v>
      </c>
      <c r="C23" s="16"/>
      <c r="D23" s="16">
        <f>J23+D$21</f>
        <v>1590</v>
      </c>
      <c r="E23" s="16">
        <f>K23+E$21</f>
        <v>730</v>
      </c>
      <c r="F23" s="104" t="str">
        <f>C30</f>
        <v>CUB C/R R8</v>
      </c>
      <c r="G23" s="1"/>
      <c r="I23" s="3">
        <f>B30</f>
        <v>1</v>
      </c>
      <c r="J23" s="4">
        <f>D30</f>
        <v>1550</v>
      </c>
      <c r="K23" s="4">
        <f>E30</f>
        <v>600</v>
      </c>
    </row>
    <row r="24" spans="1:11" ht="15.6" x14ac:dyDescent="0.3">
      <c r="A24" s="96"/>
      <c r="B24" s="6"/>
      <c r="C24" s="6"/>
      <c r="D24" s="6"/>
      <c r="E24" s="6"/>
      <c r="F24" s="6"/>
      <c r="G24" s="1"/>
      <c r="I24" s="90"/>
      <c r="J24" s="2"/>
      <c r="K24" s="2"/>
    </row>
    <row r="25" spans="1:11" ht="16.2" thickBot="1" x14ac:dyDescent="0.35">
      <c r="A25" s="52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2"/>
      <c r="B26" s="22" t="s">
        <v>107</v>
      </c>
      <c r="C26" s="23"/>
      <c r="D26" s="23"/>
      <c r="E26" s="23"/>
      <c r="F26" s="24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2" t="s">
        <v>9</v>
      </c>
      <c r="B28" s="88" t="s">
        <v>10</v>
      </c>
      <c r="C28" s="88" t="s">
        <v>110</v>
      </c>
      <c r="D28" s="88" t="s">
        <v>7</v>
      </c>
      <c r="E28" s="88" t="s">
        <v>8</v>
      </c>
      <c r="F28" s="88" t="s">
        <v>23</v>
      </c>
      <c r="G28" s="1"/>
    </row>
    <row r="29" spans="1:11" ht="15.6" x14ac:dyDescent="0.3">
      <c r="A29" s="96" t="s">
        <v>135</v>
      </c>
      <c r="B29" s="25">
        <f>'4637'!B21</f>
        <v>1</v>
      </c>
      <c r="C29" s="103" t="str">
        <f>'4637'!C21</f>
        <v>CUB C/R R8</v>
      </c>
      <c r="D29" s="25">
        <f>'4637'!D21</f>
        <v>1050</v>
      </c>
      <c r="E29" s="25">
        <f>'4637'!E21</f>
        <v>510</v>
      </c>
      <c r="F29" s="25" t="str">
        <f>'4637'!F21</f>
        <v>MAPLE CLARO 1322 MT</v>
      </c>
      <c r="G29" s="1"/>
    </row>
    <row r="30" spans="1:11" ht="15.6" x14ac:dyDescent="0.3">
      <c r="A30" s="96"/>
      <c r="B30" s="25">
        <f>'4637'!B22</f>
        <v>1</v>
      </c>
      <c r="C30" s="103" t="str">
        <f>'4637'!C22</f>
        <v>CUB C/R R8</v>
      </c>
      <c r="D30" s="25">
        <f>'4637'!D22</f>
        <v>1550</v>
      </c>
      <c r="E30" s="25">
        <f>'4637'!E22</f>
        <v>600</v>
      </c>
      <c r="F30" s="25" t="str">
        <f>'4637'!F22</f>
        <v>MAPLE CLARO 1322 MT</v>
      </c>
      <c r="G30" s="1"/>
    </row>
    <row r="31" spans="1:11" ht="15.6" x14ac:dyDescent="0.3">
      <c r="A31" s="52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1"/>
      <c r="C40" s="1"/>
      <c r="D40" s="1"/>
      <c r="E40" s="1"/>
      <c r="F40" s="1"/>
      <c r="G40" s="1"/>
    </row>
    <row r="41" spans="1:7" ht="15.6" x14ac:dyDescent="0.3">
      <c r="A41" s="1"/>
      <c r="B41" s="1"/>
      <c r="C41" s="40" t="s">
        <v>27</v>
      </c>
      <c r="D41" s="14">
        <f>'4637'!G8</f>
        <v>7063</v>
      </c>
      <c r="E41" s="1"/>
      <c r="F41" s="1"/>
      <c r="G41" s="1"/>
    </row>
    <row r="42" spans="1:7" ht="17.25" customHeight="1" x14ac:dyDescent="0.3">
      <c r="A42" s="1"/>
      <c r="B42" s="1"/>
      <c r="C42" s="41" t="s">
        <v>67</v>
      </c>
      <c r="D42" s="42" t="str">
        <f>'4637'!C10</f>
        <v>MUEBLES ASENJO LTDA.</v>
      </c>
      <c r="E42" s="43"/>
      <c r="F42" s="43"/>
      <c r="G42" s="1"/>
    </row>
    <row r="43" spans="1:7" ht="4.5" customHeight="1" x14ac:dyDescent="0.3">
      <c r="A43" s="1"/>
      <c r="B43" s="1"/>
      <c r="C43" s="44"/>
      <c r="D43" s="45"/>
      <c r="E43" s="1"/>
      <c r="F43" s="1"/>
      <c r="G43" s="1"/>
    </row>
    <row r="44" spans="1:7" ht="15.6" x14ac:dyDescent="0.3">
      <c r="A44" s="1"/>
      <c r="B44" s="1"/>
      <c r="C44" s="46" t="str">
        <f>'4637'!F11</f>
        <v>FECHA LIMITE :</v>
      </c>
      <c r="D44" s="13">
        <f>'4637'!G11</f>
        <v>45383</v>
      </c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23" t="s">
        <v>68</v>
      </c>
      <c r="B47" s="123"/>
      <c r="C47" s="123"/>
      <c r="D47" s="123"/>
      <c r="E47" s="123"/>
      <c r="F47" s="123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75" customHeight="1" x14ac:dyDescent="0.3">
      <c r="A49" s="1"/>
      <c r="B49" s="124" t="s">
        <v>69</v>
      </c>
      <c r="C49" s="125"/>
      <c r="D49" s="126"/>
      <c r="E49" s="126"/>
      <c r="F49" s="127"/>
      <c r="G49" s="1"/>
    </row>
    <row r="50" spans="1:7" s="15" customFormat="1" ht="12.75" customHeight="1" x14ac:dyDescent="0.3">
      <c r="A50" s="1"/>
      <c r="B50" s="36" t="s">
        <v>10</v>
      </c>
      <c r="C50" s="47" t="s">
        <v>11</v>
      </c>
      <c r="D50" s="48" t="s">
        <v>7</v>
      </c>
      <c r="E50" s="48" t="s">
        <v>8</v>
      </c>
      <c r="F50" s="49" t="s">
        <v>12</v>
      </c>
      <c r="G50" s="1"/>
    </row>
    <row r="51" spans="1:7" s="15" customFormat="1" ht="15" customHeight="1" x14ac:dyDescent="0.3">
      <c r="A51" s="96"/>
      <c r="B51" s="38">
        <f>'4637'!B21</f>
        <v>1</v>
      </c>
      <c r="C51" s="102" t="str">
        <f>'4637'!C21</f>
        <v>CUB C/R R8</v>
      </c>
      <c r="D51" s="39">
        <f>'4637'!D21</f>
        <v>1050</v>
      </c>
      <c r="E51" s="39">
        <f>'4637'!E21</f>
        <v>510</v>
      </c>
      <c r="F51" s="38" t="str">
        <f>'4637'!F21</f>
        <v>MAPLE CLARO 1322 MT</v>
      </c>
      <c r="G51" s="1"/>
    </row>
    <row r="52" spans="1:7" s="15" customFormat="1" ht="15" customHeight="1" x14ac:dyDescent="0.3">
      <c r="A52" s="96"/>
      <c r="B52" s="38">
        <f>'4637'!B22</f>
        <v>1</v>
      </c>
      <c r="C52" s="102" t="str">
        <f>'4637'!C22</f>
        <v>CUB C/R R8</v>
      </c>
      <c r="D52" s="39">
        <f>'4637'!D22</f>
        <v>1550</v>
      </c>
      <c r="E52" s="39">
        <f>'4637'!E22</f>
        <v>600</v>
      </c>
      <c r="F52" s="38" t="str">
        <f>'4637'!F22</f>
        <v>MAPLE CLARO 1322 MT</v>
      </c>
      <c r="G52" s="1"/>
    </row>
    <row r="53" spans="1:7" s="15" customFormat="1" ht="15" customHeight="1" x14ac:dyDescent="0.3">
      <c r="A53" s="96"/>
      <c r="B53" s="52"/>
      <c r="C53" s="113"/>
      <c r="D53" s="52"/>
      <c r="E53" s="52"/>
      <c r="F53" s="52"/>
      <c r="G53" s="1"/>
    </row>
    <row r="54" spans="1:7" s="15" customFormat="1" ht="15" customHeight="1" x14ac:dyDescent="0.3">
      <c r="A54" s="50"/>
      <c r="B54" s="52"/>
      <c r="C54" s="52"/>
      <c r="D54" s="52"/>
      <c r="E54" s="52"/>
      <c r="F54" s="52"/>
      <c r="G54" s="1"/>
    </row>
    <row r="55" spans="1:7" ht="15.6" x14ac:dyDescent="0.3">
      <c r="A55" s="6"/>
      <c r="B55" s="6"/>
      <c r="C55" s="1"/>
      <c r="D55" s="6"/>
      <c r="E55" s="6"/>
      <c r="F55" s="44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8:F18"/>
    <mergeCell ref="A10:F10"/>
    <mergeCell ref="A47:F47"/>
    <mergeCell ref="B49:F49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8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2024-03-28T12:44:50Z</cp:lastPrinted>
  <dcterms:created xsi:type="dcterms:W3CDTF">2013-03-19T12:54:14Z</dcterms:created>
  <dcterms:modified xsi:type="dcterms:W3CDTF">2024-03-28T12:45:04Z</dcterms:modified>
</cp:coreProperties>
</file>