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DEC48BC8-C659-42CF-A72A-90878A5791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7" i="3"/>
  <c r="C27" i="3"/>
  <c r="F21" i="3" s="1"/>
  <c r="D27" i="3"/>
  <c r="J14" i="3" s="1"/>
  <c r="D14" i="3" s="1"/>
  <c r="E27" i="3"/>
  <c r="K14" i="3" s="1"/>
  <c r="E14" i="3" s="1"/>
  <c r="F27" i="3"/>
  <c r="H26" i="4" l="1"/>
  <c r="I21" i="3"/>
  <c r="F14" i="3"/>
  <c r="K21" i="3"/>
  <c r="E21" i="3" s="1"/>
  <c r="J21" i="3"/>
  <c r="D21" i="3" s="1"/>
  <c r="B21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<sst xmlns="http://schemas.openxmlformats.org/spreadsheetml/2006/main" count="248" uniqueCount="145">
  <si>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</si>
  <si>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</si>
  <si>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</si>
  <si>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</si>
  <si>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</si>
  <si>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</si>
  <si>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</si>
  <si>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</si>
  <si>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</si>
  <si>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</si>
  <si>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</si>
  <si>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</si>
  <si>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</si>
  <si>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</si>
  <si>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</si>
  <si>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</si>
  <si>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</si>
  <si>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</si>
  <si>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</si>
  <si>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</si>
  <si>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</si>
  <si>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</si>
  <si>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</si>
  <si>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</si>
  <si>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</si>
  <si>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</si>
  <si>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</si>
  <si>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</si>
  <si>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</si>
  <si>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</si>
  <si>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</si>
  <si>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</si>
  <si>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</si>
  <si>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</si>
  <si>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</si>
  <si>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</si>
  <si>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</si>
  <si>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</si>
  <si>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</si>
  <si>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</si>
  <si>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</si>
  <si>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</si>
  <si>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</si>
  <si>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</si>
  <si>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</si>
  <si>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</si>
  <si>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</si>
  <si>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</si>
  <si>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</si>
  <si>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</si>
  <si>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</si>
  <si>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</si>
  <si>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</si>
  <si>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</si>
  <si>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</si>
  <si>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</si>
  <si>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</si>
  <si>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</si>
  <si>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</si>
  <si>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</si>
  <si>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</si>
  <si>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</si>
  <si>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</si>
  <si>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</si>
  <si>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</si>
  <si>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</si>
  <si>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</si>
  <si>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</si>
  <si>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</si>
  <si>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</si>
  <si>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</si>
  <si>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</si>
  <si>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</si>
  <si>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</si>
  <si>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</si>
  <si>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</si>
  <si>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</si>
  <si>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</si>
  <si>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</si>
  <si>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</si>
  <si>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</si>
  <si>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</si>
  <si>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</si>
  <si>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</si>
  <si>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</si>
  <si>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</si>
  <si>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</si>
  <si>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</si>
  <si>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</si>
  <si>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</si>
  <si>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</si>
  <si>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</si>
  <si>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</si>
  <si>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</si>
  <si>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</si>
  <si>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</si>
  <si>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</si>
  <si>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</si>
  <si>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</si>
  <si>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</si>
  <si>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</si>
  <si>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</si>
  <si>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</si>
  <si>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</si>
  <si>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</si>
  <si>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</si>
  <si>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</si>
  <si>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</si>
  <si>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</si>
  <si>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</si>
  <si>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</si>
  <si>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</si>
  <si>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</si>
  <si>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</si>
  <si>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</si>
  <si>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</si>
  <si>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</si>
  <si>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</si>
  <si>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</si>
  <si>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</si>
  <si>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</si>
  <si>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</si>
  <si>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</si>
  <si>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</si>
  <si>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</si>
  <si>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</si>
  <si>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</si>
  <si>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</si>
  <si>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</si>
  <si>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</si>
  <si>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</si>
  <si>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</si>
  <si>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</si>
  <si>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</si>
  <si>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</si>
  <si>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</si>
  <si>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 xml:space="preserve"> MDF 18MM</t>
  </si>
  <si>
    <t>MDF18MM</t>
  </si>
  <si>
    <t>N°10770</t>
  </si>
  <si>
    <t>VICENTE MUEBLES SPA</t>
  </si>
  <si>
    <t>77.247.699-K</t>
  </si>
  <si>
    <t>MARTIN TEJEDA</t>
  </si>
  <si>
    <t>+569 9825 0017</t>
  </si>
  <si>
    <t>INDUSTRIAL CONCRETE 3127 MT</t>
  </si>
  <si>
    <t>CORTAR RESPALDO A 4CMS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</si>
</sst>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3" borderId="0" xfId="0" applyFont="1" applyFill="1"/>
    <xf numFmtId="0" fontId="20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1" fillId="0" borderId="0" xfId="2" quotePrefix="1" applyFont="1" applyFill="1" applyBorder="1" applyAlignment="1">
      <alignment horizontal="left"/>
    </xf>
    <xf numFmtId="0" fontId="22" fillId="0" borderId="32" xfId="0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r>
            <a:rPr lang="es-CL" sz="900" b="1" i="1" baseline="0"/>
            <a:t> $ 160.012.-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RESPALDO A 4 CMS </a:t>
          </a:r>
        </a:p>
        <a:p>
          <a:r>
            <a:rPr lang="es-ES" sz="1050" b="1">
              <a:effectLst/>
            </a:rPr>
            <a:t>RADIO DEL RESPALDO 8MM</a:t>
          </a: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CORTAR RESPALDO A 4 CMS</a:t>
          </a:r>
        </a:p>
        <a:p>
          <a:r>
            <a:rPr lang="es-CL" b="1">
              <a:effectLst/>
            </a:rPr>
            <a:t>RADIO DEL RESPALDO 8MM</a:t>
          </a: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7059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139</v>
      </c>
      <c r="D10" s="55"/>
      <c r="E10" s="55"/>
      <c r="F10" s="56" t="s">
        <v>28</v>
      </c>
      <c r="G10" s="57">
        <v>45369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140</v>
      </c>
      <c r="D11" s="60"/>
      <c r="E11" s="60"/>
      <c r="F11" s="60" t="s">
        <v>124</v>
      </c>
      <c r="G11" s="61">
        <v>45371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t="s">
        <v>141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26" t="s">
        <v>142</v>
      </c>
      <c r="D14" s="66"/>
      <c r="E14" s="60"/>
      <c r="F14" s="60" t="s">
        <v>29</v>
      </c>
      <c r="G14" s="60"/>
      <c r="H14" s="62"/>
      <c r="I14" s="1"/>
    </row>
    <row r="15" spans="1:17" ht="16.8" x14ac:dyDescent="0.4">
      <c r="A15" s="1"/>
      <c r="B15" s="63" t="s">
        <v>1</v>
      </c>
      <c r="C15" s="107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133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9">
        <v>1</v>
      </c>
      <c r="C21" s="110" t="s">
        <v>128</v>
      </c>
      <c r="D21" s="112">
        <v>2300</v>
      </c>
      <c r="E21" s="112">
        <v>530</v>
      </c>
      <c r="F21" s="127" t="s">
        <v>143</v>
      </c>
      <c r="G21" s="111">
        <v>134464</v>
      </c>
      <c r="H21" s="105">
        <f>G21*B21</f>
        <v>134464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7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134464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25548.16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160012.16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7059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VICENTE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45371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06" t="s">
        <v>135</v>
      </c>
      <c r="B14" s="25">
        <f t="shared" ref="B14" si="0">I14</f>
        <v>1</v>
      </c>
      <c r="C14" s="25" t="s">
        <v>144</v>
      </c>
      <c r="D14" s="25">
        <f>J14+D$13</f>
        <v>2350</v>
      </c>
      <c r="E14" s="35">
        <f>K14+E$13</f>
        <v>500</v>
      </c>
      <c r="F14" s="103" t="str">
        <f>C27</f>
        <v>CUB C/R R6</v>
      </c>
      <c r="G14" s="1"/>
      <c r="I14" s="3">
        <f>I21</f>
        <v>1</v>
      </c>
      <c r="J14" s="4">
        <f t="shared" ref="J14:K14" si="1">D27</f>
        <v>2300</v>
      </c>
      <c r="K14" s="4">
        <f t="shared" si="1"/>
        <v>530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106" t="s">
        <v>136</v>
      </c>
      <c r="B21" s="16">
        <f t="shared" ref="B21" si="2">I21</f>
        <v>1</v>
      </c>
      <c r="C21" s="16"/>
      <c r="D21" s="16">
        <f>J21+D$20</f>
        <v>2340</v>
      </c>
      <c r="E21" s="16">
        <f>K21+E$20</f>
        <v>660</v>
      </c>
      <c r="F21" s="104" t="str">
        <f>C27</f>
        <v>CUB C/R R6</v>
      </c>
      <c r="G21" s="1"/>
      <c r="I21" s="3">
        <f>B27</f>
        <v>1</v>
      </c>
      <c r="J21" s="4">
        <f>D27</f>
        <v>2300</v>
      </c>
      <c r="K21" s="4">
        <f>E27</f>
        <v>530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106" t="s">
        <v>135</v>
      </c>
      <c r="B27" s="25">
        <f>'4637'!B21</f>
        <v>1</v>
      </c>
      <c r="C27" s="103" t="str">
        <f>'4637'!C21</f>
        <v>CUB C/R R6</v>
      </c>
      <c r="D27" s="25">
        <f>'4637'!D21</f>
        <v>2300</v>
      </c>
      <c r="E27" s="25">
        <f>'4637'!E21</f>
        <v>530</v>
      </c>
      <c r="F27" s="25" t="str">
        <f>'4637'!F21</f>
        <v>INDUSTRIAL CONCRETE 3127 MT</v>
      </c>
      <c r="G27" s="1"/>
    </row>
    <row r="28" spans="1:11" ht="15.6" x14ac:dyDescent="0.3">
      <c r="A28" s="96"/>
      <c r="B28" s="6"/>
      <c r="C28" s="6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7059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VICENTE MUEBLES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45371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1" t="s">
        <v>68</v>
      </c>
      <c r="B45" s="121"/>
      <c r="C45" s="121"/>
      <c r="D45" s="121"/>
      <c r="E45" s="121"/>
      <c r="F45" s="12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2" t="s">
        <v>69</v>
      </c>
      <c r="C47" s="123"/>
      <c r="D47" s="124"/>
      <c r="E47" s="124"/>
      <c r="F47" s="125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106" t="s">
        <v>137</v>
      </c>
      <c r="B49" s="38">
        <f>'4637'!B21</f>
        <v>1</v>
      </c>
      <c r="C49" s="101" t="str">
        <f>'4637'!C21</f>
        <v>CUB C/R R6</v>
      </c>
      <c r="D49" s="39">
        <f>'4637'!D21</f>
        <v>2300</v>
      </c>
      <c r="E49" s="39">
        <f>'4637'!E21</f>
        <v>530</v>
      </c>
      <c r="F49" s="38" t="str">
        <f>'4637'!F21</f>
        <v>INDUSTRIAL CONCRETE 3127 MT</v>
      </c>
      <c r="G49" s="1"/>
    </row>
    <row r="50" spans="1:7" s="15" customFormat="1" ht="15" customHeight="1" x14ac:dyDescent="0.3">
      <c r="A50" s="96"/>
      <c r="B50" s="52"/>
      <c r="C50" s="102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2024-03-18T18:54:43Z</cp:lastPrinted>
  <dcterms:created xsi:type="dcterms:W3CDTF">2013-03-19T12:54:14Z</dcterms:created>
  <dcterms:modified xsi:type="dcterms:W3CDTF">2024-03-18T18:59:17Z</dcterms:modified>
</cp:coreProperties>
</file>