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CF161227-A0D9-4AB9-9BD2-2503268387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3" l="1"/>
  <c r="H22" i="4"/>
  <c r="H21" i="4"/>
  <c r="H25" i="4" l="1"/>
  <c r="B29" i="3"/>
  <c r="I23" i="3" s="1"/>
  <c r="B23" i="3" s="1"/>
  <c r="C29" i="3"/>
  <c r="F15" i="3" s="1"/>
  <c r="D29" i="3"/>
  <c r="J15" i="3" s="1"/>
  <c r="E29" i="3"/>
  <c r="K15" i="3" s="1"/>
  <c r="E15" i="3" s="1"/>
  <c r="F29" i="3"/>
  <c r="B51" i="3"/>
  <c r="D51" i="3"/>
  <c r="E51" i="3"/>
  <c r="F51" i="3"/>
  <c r="B50" i="3"/>
  <c r="C50" i="3"/>
  <c r="D50" i="3"/>
  <c r="E50" i="3"/>
  <c r="F50" i="3"/>
  <c r="B28" i="3"/>
  <c r="B14" i="3" s="1"/>
  <c r="C28" i="3"/>
  <c r="F22" i="3" s="1"/>
  <c r="D28" i="3"/>
  <c r="J14" i="3" s="1"/>
  <c r="E28" i="3"/>
  <c r="K14" i="3" s="1"/>
  <c r="E14" i="3" s="1"/>
  <c r="F28" i="3"/>
  <c r="I15" i="3" l="1"/>
  <c r="B15" i="3" s="1"/>
  <c r="J23" i="3"/>
  <c r="K23" i="3"/>
  <c r="E23" i="3" s="1"/>
  <c r="F23" i="3"/>
  <c r="H26" i="4"/>
  <c r="I22" i="3"/>
  <c r="B22" i="3" s="1"/>
  <c r="F14" i="3"/>
  <c r="K22" i="3"/>
  <c r="E22" i="3" s="1"/>
  <c r="J22" i="3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<sst xmlns="http://schemas.openxmlformats.org/spreadsheetml/2006/main" count="250" uniqueCount="145">
  <si>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</si>
  <si>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</si>
  <si>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</si>
  <si>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</si>
  <si>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</si>
  <si>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</si>
  <si>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</si>
  <si>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</si>
  <si>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</si>
  <si>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</si>
  <si>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</si>
  <si>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</si>
  <si>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</si>
  <si>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</si>
  <si>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</si>
  <si>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</si>
  <si>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</si>
  <si>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</si>
  <si>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</si>
  <si>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</si>
  <si>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</si>
  <si>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</si>
  <si>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</si>
  <si>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</si>
  <si>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</si>
  <si>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</si>
  <si>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</si>
  <si>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</si>
  <si>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</si>
  <si>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</si>
  <si>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</si>
  <si>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</si>
  <si>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</si>
  <si>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</si>
  <si>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</si>
  <si>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</si>
  <si>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</si>
  <si>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</si>
  <si>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</si>
  <si>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</si>
  <si>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</si>
  <si>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</si>
  <si>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</si>
  <si>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</si>
  <si>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</si>
  <si>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</si>
  <si>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</si>
  <si>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</si>
  <si>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</si>
  <si>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</si>
  <si>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</si>
  <si>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</si>
  <si>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</si>
  <si>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</si>
  <si>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</si>
  <si>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</si>
  <si>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</si>
  <si>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</si>
  <si>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</si>
  <si>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</si>
  <si>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</si>
  <si>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</si>
  <si>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</si>
  <si>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</si>
  <si>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</si>
  <si>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</si>
  <si>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</si>
  <si>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</si>
  <si>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</si>
  <si>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</si>
  <si>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</si>
  <si>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</si>
  <si>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</si>
  <si>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</si>
  <si>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</si>
  <si>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</si>
  <si>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</si>
  <si>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</si>
  <si>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</si>
  <si>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</si>
  <si>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</si>
  <si>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</si>
  <si>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</si>
  <si>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</si>
  <si>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</si>
  <si>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</si>
  <si>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</si>
  <si>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</si>
  <si>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</si>
  <si>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</si>
  <si>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</si>
  <si>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</si>
  <si>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</si>
  <si>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</si>
  <si>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</si>
  <si>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</si>
  <si>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</si>
  <si>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</si>
  <si>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</si>
  <si>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</si>
  <si>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</si>
  <si>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</si>
  <si>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</si>
  <si>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</si>
  <si>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</si>
  <si>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</si>
  <si>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</si>
  <si>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</si>
  <si>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</si>
  <si>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</si>
  <si>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</si>
  <si>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</si>
  <si>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</si>
  <si>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</si>
  <si>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</si>
  <si>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</si>
  <si>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</si>
  <si>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</si>
  <si>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</si>
  <si>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</si>
  <si>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</si>
  <si>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</si>
  <si>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</si>
  <si>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</si>
  <si>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</si>
  <si>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</si>
  <si>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</si>
  <si>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</si>
  <si>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</si>
  <si>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</si>
  <si>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</si>
  <si>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</si>
  <si>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</si>
  <si>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</si>
  <si>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</si>
  <si>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</si>
  <si>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</si>
  <si>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+56995819251</t>
  </si>
  <si>
    <t>CONSTRUCTORA L Y D S.A.</t>
  </si>
  <si>
    <t>96.528.140-1</t>
  </si>
  <si>
    <t>CONSTRUCCION</t>
  </si>
  <si>
    <t>CORNISA 180° 1 LADO</t>
  </si>
  <si>
    <t>BLANCO 2114 MT</t>
  </si>
  <si>
    <t>289-3534</t>
  </si>
  <si>
    <t>N°10771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</si>
</sst>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9" fillId="0" borderId="11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42" fontId="21" fillId="0" borderId="32" xfId="3" applyFont="1" applyFill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 REGRUESO A 2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56</xdr:row>
      <xdr:rowOff>24765</xdr:rowOff>
    </xdr:from>
    <xdr:to>
      <xdr:col>5</xdr:col>
      <xdr:colOff>2396490</xdr:colOff>
      <xdr:row>60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A 2 CMS</a:t>
          </a:r>
        </a:p>
      </xdr:txBody>
    </xdr:sp>
    <xdr:clientData/>
  </xdr:twoCellAnchor>
  <xdr:twoCellAnchor editAs="oneCell">
    <xdr:from>
      <xdr:col>0</xdr:col>
      <xdr:colOff>160020</xdr:colOff>
      <xdr:row>36</xdr:row>
      <xdr:rowOff>194310</xdr:rowOff>
    </xdr:from>
    <xdr:to>
      <xdr:col>1</xdr:col>
      <xdr:colOff>809383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788428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144</v>
      </c>
      <c r="E8" s="1"/>
      <c r="F8" s="93" t="s">
        <v>27</v>
      </c>
      <c r="G8" s="94">
        <v>7061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3" t="s">
        <v>138</v>
      </c>
      <c r="D10" s="55"/>
      <c r="E10" s="55"/>
      <c r="F10" s="56" t="s">
        <v>28</v>
      </c>
      <c r="G10" s="57">
        <v>45372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4" t="s">
        <v>139</v>
      </c>
      <c r="D11" s="60"/>
      <c r="E11" s="60"/>
      <c r="F11" s="60" t="s">
        <v>124</v>
      </c>
      <c r="G11" s="61">
        <v>45378</v>
      </c>
      <c r="H11" s="62"/>
      <c r="I11" s="1"/>
    </row>
    <row r="12" spans="1:17" ht="16.2" thickBot="1" x14ac:dyDescent="0.35">
      <c r="A12" s="1"/>
      <c r="B12" s="63" t="s">
        <v>132</v>
      </c>
      <c r="C12" s="105" t="s">
        <v>140</v>
      </c>
      <c r="D12" s="43"/>
      <c r="E12" s="43"/>
      <c r="F12" s="43" t="s">
        <v>30</v>
      </c>
      <c r="G12" s="64" t="s">
        <v>143</v>
      </c>
      <c r="H12" s="65"/>
      <c r="I12" s="1"/>
    </row>
    <row r="13" spans="1:17" ht="15.6" x14ac:dyDescent="0.3">
      <c r="A13" s="1"/>
      <c r="B13" s="63" t="s">
        <v>134</v>
      </c>
      <c r="C13" s="103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6" t="s">
        <v>137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7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8</v>
      </c>
      <c r="C21" s="110" t="s">
        <v>141</v>
      </c>
      <c r="D21" s="113">
        <v>1600</v>
      </c>
      <c r="E21" s="113">
        <v>280</v>
      </c>
      <c r="F21" s="111" t="s">
        <v>142</v>
      </c>
      <c r="G21" s="112">
        <v>38709</v>
      </c>
      <c r="H21" s="99">
        <f>G21*B21</f>
        <v>309672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6</v>
      </c>
      <c r="C22" s="110" t="s">
        <v>141</v>
      </c>
      <c r="D22" s="113">
        <v>1300</v>
      </c>
      <c r="E22" s="113">
        <v>200</v>
      </c>
      <c r="F22" s="111" t="s">
        <v>142</v>
      </c>
      <c r="G22" s="112">
        <v>30507</v>
      </c>
      <c r="H22" s="99">
        <f>G22*B22</f>
        <v>183042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/>
      <c r="C23" s="98"/>
      <c r="D23" s="98"/>
      <c r="E23" s="98"/>
      <c r="F23" s="98"/>
      <c r="G23" s="96"/>
      <c r="H23" s="96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492714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93615.66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586329.66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activeCell="A52" sqref="A52:XFD53"/>
    </sheetView>
  </sheetViews>
  <sheetFormatPr baseColWidth="10" defaultRowHeight="14.4" x14ac:dyDescent="0.3"/>
  <cols>
    <col min="1" max="1" width="13.777343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7061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L Y D S.A.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45378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7</v>
      </c>
      <c r="C14" s="25"/>
      <c r="D14" s="25">
        <v>1660</v>
      </c>
      <c r="E14" s="35">
        <f>K14+E$13</f>
        <v>280</v>
      </c>
      <c r="F14" s="101" t="str">
        <f>C28</f>
        <v>CORNISA 180° 1 LADO</v>
      </c>
      <c r="G14" s="1"/>
      <c r="I14" s="3">
        <v>7</v>
      </c>
      <c r="J14" s="4">
        <f t="shared" ref="J14:K14" si="1">D28</f>
        <v>1600</v>
      </c>
      <c r="K14" s="4">
        <f t="shared" si="1"/>
        <v>280</v>
      </c>
    </row>
    <row r="15" spans="1:14" ht="15.6" x14ac:dyDescent="0.3">
      <c r="A15" s="95"/>
      <c r="B15" s="25">
        <f t="shared" ref="B15" si="2">I15</f>
        <v>6</v>
      </c>
      <c r="C15" s="25"/>
      <c r="D15" s="25">
        <v>1660</v>
      </c>
      <c r="E15" s="35">
        <f t="shared" ref="E15" si="3">K15+E$13</f>
        <v>200</v>
      </c>
      <c r="F15" s="101" t="str">
        <f t="shared" ref="F15" si="4">C29</f>
        <v>CORNISA 180° 1 LADO</v>
      </c>
      <c r="G15" s="1"/>
      <c r="I15" s="3">
        <f t="shared" ref="I15" si="5">B29</f>
        <v>6</v>
      </c>
      <c r="J15" s="4">
        <f t="shared" ref="J15" si="6">D29</f>
        <v>1300</v>
      </c>
      <c r="K15" s="4">
        <f t="shared" ref="K15" si="7">E29</f>
        <v>200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 t="s">
        <v>135</v>
      </c>
      <c r="B22" s="16">
        <f t="shared" ref="B22" si="8">I22</f>
        <v>8</v>
      </c>
      <c r="C22" s="16"/>
      <c r="D22" s="16">
        <v>1670</v>
      </c>
      <c r="E22" s="16">
        <f>K22+E$21</f>
        <v>350</v>
      </c>
      <c r="F22" s="102" t="str">
        <f>C28</f>
        <v>CORNISA 180° 1 LADO</v>
      </c>
      <c r="G22" s="1"/>
      <c r="I22" s="3">
        <f>B28</f>
        <v>8</v>
      </c>
      <c r="J22" s="4">
        <f>D28</f>
        <v>1600</v>
      </c>
      <c r="K22" s="4">
        <f>E28</f>
        <v>280</v>
      </c>
    </row>
    <row r="23" spans="1:11" ht="15.6" x14ac:dyDescent="0.3">
      <c r="A23" s="95"/>
      <c r="B23" s="16">
        <f t="shared" ref="B23" si="9">I23</f>
        <v>6</v>
      </c>
      <c r="C23" s="16"/>
      <c r="D23" s="16">
        <v>1670</v>
      </c>
      <c r="E23" s="16">
        <f t="shared" ref="E23" si="10">K23+E$21</f>
        <v>270</v>
      </c>
      <c r="F23" s="102" t="str">
        <f t="shared" ref="F23" si="11">C29</f>
        <v>CORNISA 180° 1 LADO</v>
      </c>
      <c r="G23" s="1"/>
      <c r="I23" s="3">
        <f t="shared" ref="I23" si="12">B29</f>
        <v>6</v>
      </c>
      <c r="J23" s="4">
        <f t="shared" ref="J23:K23" si="13">D29</f>
        <v>1300</v>
      </c>
      <c r="K23" s="4">
        <f t="shared" si="13"/>
        <v>200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5" t="s">
        <v>135</v>
      </c>
      <c r="B28" s="25">
        <f>'4637'!B21</f>
        <v>8</v>
      </c>
      <c r="C28" s="101" t="str">
        <f>'4637'!C21</f>
        <v>CORNISA 180° 1 LADO</v>
      </c>
      <c r="D28" s="25">
        <f>'4637'!D21</f>
        <v>1600</v>
      </c>
      <c r="E28" s="25">
        <f>'4637'!E21</f>
        <v>280</v>
      </c>
      <c r="F28" s="25" t="str">
        <f>'4637'!F21</f>
        <v>BLANCO 2114 MT</v>
      </c>
      <c r="G28" s="1"/>
    </row>
    <row r="29" spans="1:11" ht="15.6" x14ac:dyDescent="0.3">
      <c r="A29" s="95"/>
      <c r="B29" s="25">
        <f>'4637'!B22</f>
        <v>6</v>
      </c>
      <c r="C29" s="101" t="str">
        <f>'4637'!C22</f>
        <v>CORNISA 180° 1 LADO</v>
      </c>
      <c r="D29" s="25">
        <f>'4637'!D22</f>
        <v>1300</v>
      </c>
      <c r="E29" s="25">
        <f>'4637'!E22</f>
        <v>200</v>
      </c>
      <c r="F29" s="25" t="str">
        <f>'4637'!F22</f>
        <v>BLANCO 2114 MT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7061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CONSTRUCTORA L Y D S.A.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45378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3" t="s">
        <v>68</v>
      </c>
      <c r="B46" s="123"/>
      <c r="C46" s="123"/>
      <c r="D46" s="123"/>
      <c r="E46" s="123"/>
      <c r="F46" s="123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4" t="s">
        <v>69</v>
      </c>
      <c r="C48" s="125"/>
      <c r="D48" s="126"/>
      <c r="E48" s="126"/>
      <c r="F48" s="127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135</v>
      </c>
      <c r="B50" s="38">
        <f>'4637'!B21</f>
        <v>8</v>
      </c>
      <c r="C50" s="100" t="str">
        <f>'4637'!C21</f>
        <v>CORNISA 180° 1 LADO</v>
      </c>
      <c r="D50" s="39">
        <f>'4637'!D21</f>
        <v>1600</v>
      </c>
      <c r="E50" s="39">
        <f>'4637'!E21</f>
        <v>280</v>
      </c>
      <c r="F50" s="38" t="str">
        <f>'4637'!F21</f>
        <v>BLANCO 2114 MT</v>
      </c>
      <c r="G50" s="1"/>
    </row>
    <row r="51" spans="1:7" s="15" customFormat="1" ht="15" customHeight="1" x14ac:dyDescent="0.3">
      <c r="A51" s="95"/>
      <c r="B51" s="38">
        <f>'4637'!B22</f>
        <v>6</v>
      </c>
      <c r="C51" s="100" t="str">
        <f>'4637'!C22</f>
        <v>CORNISA 180° 1 LADO</v>
      </c>
      <c r="D51" s="39">
        <f>'4637'!D22</f>
        <v>1300</v>
      </c>
      <c r="E51" s="39">
        <f>'4637'!E22</f>
        <v>200</v>
      </c>
      <c r="F51" s="38" t="str">
        <f>'4637'!F22</f>
        <v>BLANCO 2114 MT</v>
      </c>
      <c r="G51" s="1"/>
    </row>
    <row r="52" spans="1:7" s="15" customFormat="1" ht="15" customHeight="1" x14ac:dyDescent="0.3">
      <c r="A52" s="95"/>
      <c r="B52" s="52"/>
      <c r="C52" s="114"/>
      <c r="D52" s="52"/>
      <c r="E52" s="52"/>
      <c r="F52" s="52"/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2024-02-09T14:26:50Z</cp:lastPrinted>
  <dcterms:created xsi:type="dcterms:W3CDTF">2013-03-19T12:54:14Z</dcterms:created>
  <dcterms:modified xsi:type="dcterms:W3CDTF">2024-03-21T13:24:37Z</dcterms:modified>
</cp:coreProperties>
</file>