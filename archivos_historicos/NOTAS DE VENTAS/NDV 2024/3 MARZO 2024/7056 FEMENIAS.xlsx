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34A85D76-6BBA-4D40-B8C1-FF2F7D9105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J14" i="3" l="1"/>
  <c r="L22" i="4" l="1"/>
  <c r="H22" i="4"/>
  <c r="H25" i="4" l="1"/>
  <c r="H26" i="4" s="1"/>
  <c r="H27" i="4" l="1"/>
  <c r="F27" i="3"/>
  <c r="E27" i="3"/>
  <c r="K21" i="3" s="1"/>
  <c r="D27" i="3"/>
  <c r="D21" i="3" s="1"/>
  <c r="C27" i="3"/>
  <c r="F21" i="3" s="1"/>
  <c r="B27" i="3"/>
  <c r="B28" i="3" s="1"/>
  <c r="F48" i="3"/>
  <c r="E48" i="3"/>
  <c r="D48" i="3"/>
  <c r="C48" i="3"/>
  <c r="B48" i="3"/>
  <c r="B49" i="3" s="1"/>
  <c r="E21" i="3" l="1"/>
  <c r="K14" i="3"/>
  <c r="E14" i="3" s="1"/>
  <c r="N5" i="3"/>
  <c r="D14" i="3"/>
  <c r="B21" i="3"/>
  <c r="B14" i="3"/>
  <c r="F14" i="3"/>
  <c r="M5" i="3" l="1"/>
  <c r="L5" i="3"/>
  <c r="K5" i="3"/>
  <c r="C41" i="3" l="1"/>
  <c r="C7" i="3"/>
  <c r="D39" i="3"/>
  <c r="D5" i="3"/>
  <c r="D41" i="3"/>
  <c r="D7" i="3"/>
  <c r="D38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<sst xmlns="http://schemas.openxmlformats.org/spreadsheetml/2006/main" count="256" uniqueCount="152">
  <si>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</si>
  <si>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</si>
  <si>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</si>
  <si>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</si>
  <si>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</si>
  <si>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</si>
  <si>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</si>
  <si>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</si>
  <si>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</si>
  <si>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</si>
  <si>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</si>
  <si>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</si>
  <si>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</si>
  <si>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</si>
  <si>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</si>
  <si>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</si>
  <si>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</si>
  <si>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</si>
  <si>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</si>
  <si>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</si>
  <si>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</si>
  <si>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</si>
  <si>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</si>
  <si>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</si>
  <si>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</si>
  <si>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</si>
  <si>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</si>
  <si>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</si>
  <si>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</si>
  <si>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</si>
  <si>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</si>
  <si>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</si>
  <si>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</si>
  <si>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</si>
  <si>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</si>
  <si>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</si>
  <si>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</si>
  <si>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</si>
  <si>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</si>
  <si>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</si>
  <si>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</si>
  <si>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</si>
  <si>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</si>
  <si>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</si>
  <si>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</si>
  <si>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</si>
  <si>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</si>
  <si>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</si>
  <si>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</si>
  <si>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</si>
  <si>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</si>
  <si>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</si>
  <si>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</si>
  <si>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</si>
  <si>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</si>
  <si>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</si>
  <si>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</si>
  <si>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</si>
  <si>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</si>
  <si>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</si>
  <si>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</si>
  <si>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</si>
  <si>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</si>
  <si>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</si>
  <si>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</si>
  <si>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</si>
  <si>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</si>
  <si>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</si>
  <si>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</si>
  <si>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</si>
  <si>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</si>
  <si>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</si>
  <si>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</si>
  <si>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</si>
  <si>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</si>
  <si>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</si>
  <si>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</si>
  <si>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</si>
  <si>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</si>
  <si>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</si>
  <si>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</si>
  <si>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</si>
  <si>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</si>
  <si>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</si>
  <si>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</si>
  <si>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</si>
  <si>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</si>
  <si>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</si>
  <si>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</si>
  <si>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</si>
  <si>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</si>
  <si>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</si>
  <si>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</si>
  <si>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</si>
  <si>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</si>
  <si>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</si>
  <si>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</si>
  <si>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</si>
  <si>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</si>
  <si>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</si>
  <si>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</si>
  <si>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</si>
  <si>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</si>
  <si>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</si>
  <si>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</si>
  <si>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</si>
  <si>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</si>
  <si>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</si>
  <si>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</si>
  <si>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</si>
  <si>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</si>
  <si>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</si>
  <si>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</si>
  <si>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</si>
  <si>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</si>
  <si>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</si>
  <si>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</si>
  <si>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</si>
  <si>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</si>
  <si>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</si>
  <si>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</si>
  <si>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</si>
  <si>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</si>
  <si>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</si>
  <si>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</si>
  <si>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</si>
  <si>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</si>
  <si>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</si>
  <si>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</si>
  <si>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</si>
  <si>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</si>
  <si>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</si>
  <si>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</si>
  <si>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</si>
  <si>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</si>
  <si>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</si>
  <si>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</si>
  <si>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</si>
  <si>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FEMENIAS E HIJOS</t>
  </si>
  <si>
    <t>76.648.940-0</t>
  </si>
  <si>
    <t>FABRICA DE MUEBLES</t>
  </si>
  <si>
    <t>CHRISTIAN FEMENIAS</t>
  </si>
  <si>
    <t>mueb.femenias@gmail.com</t>
  </si>
  <si>
    <t>+56997278419</t>
  </si>
  <si>
    <t>VIÑA DEL MAR</t>
  </si>
  <si>
    <t>ABONO 50% SALDO C/ENTREGA</t>
  </si>
  <si>
    <t>4 de 135</t>
  </si>
  <si>
    <t>162x132</t>
  </si>
  <si>
    <t>GREY NEBULA 4622-60</t>
  </si>
  <si>
    <t>PISO 13</t>
  </si>
  <si>
    <t>N° 10658</t>
  </si>
  <si>
    <t>CUB MESA R6 3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</si>
</sst>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6" fillId="0" borderId="0" xfId="2"/>
    <xf numFmtId="0" fontId="17" fillId="0" borderId="0" xfId="2" quotePrefix="1" applyFont="1" applyFill="1" applyBorder="1"/>
    <xf numFmtId="166" fontId="3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23</xdr:row>
      <xdr:rowOff>205740</xdr:rowOff>
    </xdr:from>
    <xdr:to>
      <xdr:col>5</xdr:col>
      <xdr:colOff>1506856</xdr:colOff>
      <xdr:row>27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9076" y="7235190"/>
          <a:ext cx="5993130" cy="7181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LAS CUBIERTAS SE ENTREGAN SOBREMEDIDAS EN EL LARGO.,  ABONO $70.000.-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15</xdr:row>
      <xdr:rowOff>60960</xdr:rowOff>
    </xdr:from>
    <xdr:to>
      <xdr:col>5</xdr:col>
      <xdr:colOff>2240279</xdr:colOff>
      <xdr:row>17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15238</xdr:rowOff>
    </xdr:from>
    <xdr:to>
      <xdr:col>6</xdr:col>
      <xdr:colOff>68580</xdr:colOff>
      <xdr:row>33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1905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36</xdr:row>
      <xdr:rowOff>175260</xdr:rowOff>
    </xdr:from>
    <xdr:to>
      <xdr:col>1</xdr:col>
      <xdr:colOff>654164</xdr:colOff>
      <xdr:row>42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eb.femenia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topLeftCell="A9" workbookViewId="0">
      <selection activeCell="K17" sqref="K17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150</v>
      </c>
      <c r="E8" s="1"/>
      <c r="F8" s="92" t="s">
        <v>27</v>
      </c>
      <c r="G8" s="93">
        <v>7056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131</v>
      </c>
      <c r="C10" s="84" t="s">
        <v>138</v>
      </c>
      <c r="D10" s="54"/>
      <c r="E10" s="54"/>
      <c r="F10" s="55" t="s">
        <v>28</v>
      </c>
      <c r="G10" s="56">
        <v>45364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 t="s">
        <v>139</v>
      </c>
      <c r="D11" s="59"/>
      <c r="E11" s="59"/>
      <c r="F11" s="59" t="s">
        <v>125</v>
      </c>
      <c r="G11" s="60">
        <v>45371</v>
      </c>
      <c r="H11" s="61"/>
      <c r="I11" s="1"/>
    </row>
    <row r="12" spans="1:17" ht="16.2" thickBot="1" x14ac:dyDescent="0.35">
      <c r="A12" s="1"/>
      <c r="B12" s="58" t="s">
        <v>132</v>
      </c>
      <c r="C12" t="s">
        <v>140</v>
      </c>
      <c r="D12" s="59"/>
      <c r="E12" s="59"/>
      <c r="F12" s="59"/>
      <c r="G12" s="96"/>
      <c r="H12" s="61"/>
      <c r="I12" s="1"/>
    </row>
    <row r="13" spans="1:17" ht="15.6" x14ac:dyDescent="0.3">
      <c r="A13" s="1"/>
      <c r="B13" s="62" t="s">
        <v>112</v>
      </c>
      <c r="C13" s="84" t="s">
        <v>141</v>
      </c>
      <c r="D13" s="42"/>
      <c r="E13" s="42"/>
      <c r="F13" s="42" t="s">
        <v>30</v>
      </c>
      <c r="G13" s="63" t="s">
        <v>149</v>
      </c>
      <c r="H13" s="64"/>
      <c r="I13" s="1"/>
    </row>
    <row r="14" spans="1:17" ht="15.6" x14ac:dyDescent="0.3">
      <c r="A14" s="1"/>
      <c r="B14" s="62" t="s">
        <v>128</v>
      </c>
      <c r="C14" s="97" t="s">
        <v>142</v>
      </c>
      <c r="D14" s="42"/>
      <c r="E14" s="42"/>
      <c r="F14" s="42" t="s">
        <v>130</v>
      </c>
      <c r="G14" s="63" t="s">
        <v>133</v>
      </c>
      <c r="H14" s="64"/>
      <c r="I14" s="1"/>
    </row>
    <row r="15" spans="1:17" ht="15.6" x14ac:dyDescent="0.3">
      <c r="A15" s="1"/>
      <c r="B15" s="58" t="s">
        <v>17</v>
      </c>
      <c r="C15" s="98" t="s">
        <v>143</v>
      </c>
      <c r="D15" s="65"/>
      <c r="E15" s="59"/>
      <c r="F15" s="59" t="s">
        <v>29</v>
      </c>
      <c r="G15" s="59" t="s">
        <v>137</v>
      </c>
      <c r="H15" s="61"/>
      <c r="I15" s="1"/>
    </row>
    <row r="16" spans="1:17" ht="15.6" x14ac:dyDescent="0.3">
      <c r="A16" s="1"/>
      <c r="B16" s="62" t="s">
        <v>1</v>
      </c>
      <c r="C16" s="42"/>
      <c r="D16" s="42"/>
      <c r="E16" s="42"/>
      <c r="F16" s="66" t="s">
        <v>75</v>
      </c>
      <c r="G16" s="105" t="s">
        <v>145</v>
      </c>
      <c r="H16" s="64"/>
      <c r="I16" s="1"/>
    </row>
    <row r="17" spans="1:19" ht="16.2" thickBot="1" x14ac:dyDescent="0.35">
      <c r="A17" s="1"/>
      <c r="B17" s="67" t="s">
        <v>3</v>
      </c>
      <c r="C17" s="68" t="s">
        <v>144</v>
      </c>
      <c r="D17" s="68"/>
      <c r="E17" s="69"/>
      <c r="F17" s="111" t="s">
        <v>18</v>
      </c>
      <c r="G17" s="111"/>
      <c r="H17" s="112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9" ht="16.2" thickBot="1" x14ac:dyDescent="0.35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  <c r="L21">
        <v>45000</v>
      </c>
    </row>
    <row r="22" spans="1:19" ht="18" customHeight="1" x14ac:dyDescent="0.3">
      <c r="A22" s="1"/>
      <c r="B22" s="109">
        <v>1</v>
      </c>
      <c r="C22" s="110" t="s">
        <v>151</v>
      </c>
      <c r="D22" s="107">
        <v>1800</v>
      </c>
      <c r="E22" s="108">
        <v>600</v>
      </c>
      <c r="F22" s="104" t="s">
        <v>148</v>
      </c>
      <c r="G22" s="106">
        <v>122844</v>
      </c>
      <c r="H22" s="99">
        <f>G22*B22</f>
        <v>122844</v>
      </c>
      <c r="I22" s="1"/>
      <c r="K22" s="17"/>
      <c r="L22" s="26">
        <f>L21*2.5</f>
        <v>112500</v>
      </c>
      <c r="M22" s="17"/>
      <c r="N22" s="17">
        <v>108700</v>
      </c>
      <c r="O22" s="26"/>
      <c r="P22" s="33"/>
    </row>
    <row r="23" spans="1:19" ht="18" customHeight="1" x14ac:dyDescent="0.3">
      <c r="A23" s="1"/>
      <c r="B23" s="100">
        <f>SUM(B22:B22)</f>
        <v>1</v>
      </c>
      <c r="C23" s="100"/>
      <c r="D23" s="101"/>
      <c r="E23" s="101"/>
      <c r="F23" s="102"/>
      <c r="G23" s="95"/>
      <c r="H23" s="103"/>
      <c r="I23" s="1"/>
      <c r="K23" s="17"/>
      <c r="L23" s="26"/>
      <c r="M23" s="17"/>
      <c r="N23" s="17"/>
      <c r="O23" s="26"/>
      <c r="P23" s="33">
        <v>2700</v>
      </c>
      <c r="Q23">
        <v>600</v>
      </c>
      <c r="S23" t="s">
        <v>146</v>
      </c>
    </row>
    <row r="24" spans="1:19" ht="16.2" thickBot="1" x14ac:dyDescent="0.35">
      <c r="A24" s="1"/>
      <c r="B24" s="73"/>
      <c r="C24" s="73"/>
      <c r="D24" s="73"/>
      <c r="E24" s="73"/>
      <c r="F24" s="73"/>
      <c r="G24" s="95"/>
      <c r="H24" s="95"/>
      <c r="I24" s="1"/>
      <c r="L24" s="2"/>
      <c r="O24" s="2"/>
      <c r="P24">
        <v>2940</v>
      </c>
      <c r="Q24">
        <v>600</v>
      </c>
      <c r="S24" t="s">
        <v>147</v>
      </c>
    </row>
    <row r="25" spans="1:19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SUM(H22:H24)</f>
        <v>122844</v>
      </c>
      <c r="I25" s="1"/>
      <c r="L25" s="2"/>
      <c r="O25" s="26"/>
      <c r="P25" s="33">
        <v>1890</v>
      </c>
      <c r="Q25">
        <v>600</v>
      </c>
    </row>
    <row r="26" spans="1:19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23340.36</v>
      </c>
      <c r="I26" s="1"/>
      <c r="L26" s="2"/>
    </row>
    <row r="27" spans="1:19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146184.35999999999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3"/>
      <c r="I28" s="1"/>
    </row>
    <row r="29" spans="1:19" ht="15.6" x14ac:dyDescent="0.3">
      <c r="A29" s="1"/>
      <c r="B29" s="80" t="s">
        <v>124</v>
      </c>
      <c r="C29" s="81"/>
      <c r="D29" s="82"/>
      <c r="E29" s="82"/>
      <c r="F29" s="73"/>
      <c r="I29" s="1"/>
    </row>
    <row r="30" spans="1:19" ht="15.6" x14ac:dyDescent="0.3">
      <c r="A30" s="1"/>
      <c r="B30" s="80" t="s">
        <v>123</v>
      </c>
      <c r="C30" s="81"/>
      <c r="D30" s="82"/>
      <c r="E30" s="82"/>
      <c r="F30" s="73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00000000-0004-0000-0000-000000000000}"/>
    <hyperlink ref="C14" r:id="rId2" xr:uid="{D44AB4F1-FA93-4DF9-8792-842B804C154C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9">
        <v>50</v>
      </c>
      <c r="H4" s="29">
        <v>100</v>
      </c>
      <c r="I4" s="30" t="s">
        <v>114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9">
        <v>50</v>
      </c>
      <c r="H5" s="29"/>
      <c r="I5" s="30" t="s">
        <v>116</v>
      </c>
      <c r="J5" s="31" t="s">
        <v>118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G35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127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9" t="s">
        <v>27</v>
      </c>
      <c r="D4" s="14">
        <f>'4637'!G8</f>
        <v>7056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FEMENIAS E HIJOS</v>
      </c>
      <c r="E5" s="42"/>
      <c r="F5" s="42"/>
      <c r="G5" s="1"/>
      <c r="K5">
        <f>LOOKUP(F14,REGLAS!$I$4:$I$37,REGLAS!$G$4:$G$37)+J14</f>
        <v>1850</v>
      </c>
      <c r="L5">
        <f>LOOKUP(F14,REGLAS!$I$4:$I$37,REGLAS!$H$4:$H$37)+K14</f>
        <v>600</v>
      </c>
      <c r="M5">
        <f>LOOKUP(F21,REGLAS!$D$4:$D$37,REGLAS!$B$4:$B$37)+J21</f>
        <v>1920</v>
      </c>
      <c r="N5">
        <f>LOOKUP(F21,REGLAS!$D$4:$D$37,REGLAS!$C$4:$C$37)+K21</f>
        <v>677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45371</v>
      </c>
      <c r="E7" s="1"/>
      <c r="F7" s="1"/>
      <c r="G7" s="1"/>
    </row>
    <row r="8" spans="1:14" ht="15.6" x14ac:dyDescent="0.3">
      <c r="A8" s="1"/>
      <c r="B8" s="1"/>
      <c r="C8" s="52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136</v>
      </c>
      <c r="B14" s="25">
        <f t="shared" ref="B14" si="0">I14</f>
        <v>1</v>
      </c>
      <c r="C14" s="16"/>
      <c r="D14" s="25">
        <f>J14+D$13</f>
        <v>1850</v>
      </c>
      <c r="E14" s="25">
        <f>K14+E$13</f>
        <v>600</v>
      </c>
      <c r="F14" s="25" t="str">
        <f t="shared" ref="F14" si="1">C27</f>
        <v>CUB MESA R6 3 LADOS</v>
      </c>
      <c r="G14" s="1"/>
      <c r="I14" s="3">
        <v>1</v>
      </c>
      <c r="J14" s="4">
        <f>J21</f>
        <v>1800</v>
      </c>
      <c r="K14" s="4">
        <f>K21</f>
        <v>600</v>
      </c>
    </row>
    <row r="15" spans="1:14" ht="15.6" x14ac:dyDescent="0.3">
      <c r="A15" s="51"/>
      <c r="B15" s="6"/>
      <c r="C15" s="6"/>
      <c r="D15" s="6"/>
      <c r="E15" s="87"/>
      <c r="F15" s="6"/>
      <c r="G15" s="1"/>
      <c r="I15" s="2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100</v>
      </c>
      <c r="E20" s="21">
        <v>100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4" t="s">
        <v>136</v>
      </c>
      <c r="B21" s="16">
        <f>I21</f>
        <v>1</v>
      </c>
      <c r="C21" s="16"/>
      <c r="D21" s="16">
        <f>J21+D$20</f>
        <v>1900</v>
      </c>
      <c r="E21" s="16">
        <f>K21+E20</f>
        <v>700</v>
      </c>
      <c r="F21" s="16" t="str">
        <f>C27</f>
        <v>CUB MESA R6 3 LADOS</v>
      </c>
      <c r="G21" s="1"/>
      <c r="I21" s="3">
        <v>1</v>
      </c>
      <c r="J21" s="4">
        <v>1800</v>
      </c>
      <c r="K21" s="4">
        <f>E27</f>
        <v>600</v>
      </c>
    </row>
    <row r="22" spans="1:11" ht="15.6" x14ac:dyDescent="0.3">
      <c r="A22" s="94"/>
      <c r="B22" s="6"/>
      <c r="C22" s="6"/>
      <c r="D22" s="6"/>
      <c r="E22" s="6"/>
      <c r="F22" s="6"/>
      <c r="G22" s="1"/>
      <c r="I22" s="88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4" t="s">
        <v>136</v>
      </c>
      <c r="B27" s="25">
        <f>'4637'!B22</f>
        <v>1</v>
      </c>
      <c r="C27" s="25" t="str">
        <f>'4637'!C22</f>
        <v>CUB MESA R6 3 LADOS</v>
      </c>
      <c r="D27" s="25">
        <f>'4637'!D22</f>
        <v>1800</v>
      </c>
      <c r="E27" s="25">
        <f>'4637'!E22</f>
        <v>600</v>
      </c>
      <c r="F27" s="25" t="str">
        <f>'4637'!F22</f>
        <v>GREY NEBULA 4622-60</v>
      </c>
      <c r="G27" s="1"/>
    </row>
    <row r="28" spans="1:11" ht="15.6" x14ac:dyDescent="0.3">
      <c r="A28" s="94"/>
      <c r="B28" s="6">
        <f>SUM(B27:B27)</f>
        <v>1</v>
      </c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7056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FEMENIAS E HIJOS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45371</v>
      </c>
      <c r="E41" s="1"/>
      <c r="F41" s="1" t="s">
        <v>134</v>
      </c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4" t="s">
        <v>136</v>
      </c>
      <c r="B48" s="37">
        <f>'4637'!B22</f>
        <v>1</v>
      </c>
      <c r="C48" s="37" t="str">
        <f>'4637'!C22</f>
        <v>CUB MESA R6 3 LADOS</v>
      </c>
      <c r="D48" s="38">
        <f>'4637'!D22</f>
        <v>1800</v>
      </c>
      <c r="E48" s="38">
        <f>'4637'!E22</f>
        <v>600</v>
      </c>
      <c r="F48" s="37" t="str">
        <f>'4637'!F22</f>
        <v>GREY NEBULA 4622-60</v>
      </c>
      <c r="G48" s="1"/>
    </row>
    <row r="49" spans="1:7" s="15" customFormat="1" ht="15" customHeight="1" x14ac:dyDescent="0.3">
      <c r="A49" s="94"/>
      <c r="B49" s="51">
        <f>SUM(B48:B48)</f>
        <v>1</v>
      </c>
      <c r="C49" s="51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2024-03-13T17:45:10Z</cp:lastPrinted>
  <dcterms:created xsi:type="dcterms:W3CDTF">2013-03-19T12:54:14Z</dcterms:created>
  <dcterms:modified xsi:type="dcterms:W3CDTF">2024-03-13T17:45:13Z</dcterms:modified>
</cp:coreProperties>
</file>