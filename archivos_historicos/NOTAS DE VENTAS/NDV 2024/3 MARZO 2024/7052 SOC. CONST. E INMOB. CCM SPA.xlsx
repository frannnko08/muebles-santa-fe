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0DDAD07F-44C3-4E18-AA4D-D649AAE94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CUBIERTA!$A$45:$F$73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17" i="3"/>
  <c r="D27" i="3"/>
  <c r="B35" i="3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36" i="3"/>
  <c r="I27" i="3" s="1"/>
  <c r="B27" i="3" s="1"/>
  <c r="C36" i="3"/>
  <c r="F17" i="3" s="1"/>
  <c r="D36" i="3"/>
  <c r="J27" i="3" s="1"/>
  <c r="E36" i="3"/>
  <c r="K27" i="3" s="1"/>
  <c r="F36" i="3"/>
  <c r="B60" i="3"/>
  <c r="C60" i="3"/>
  <c r="D60" i="3"/>
  <c r="E60" i="3"/>
  <c r="F60" i="3"/>
  <c r="B61" i="3"/>
  <c r="C61" i="3"/>
  <c r="D61" i="3"/>
  <c r="E61" i="3"/>
  <c r="F61" i="3"/>
  <c r="J16" i="3" l="1"/>
  <c r="D16" i="3" s="1"/>
  <c r="E27" i="3"/>
  <c r="F27" i="3"/>
  <c r="K16" i="3"/>
  <c r="I17" i="3"/>
  <c r="B17" i="3" s="1"/>
  <c r="I16" i="3"/>
  <c r="B16" i="3" s="1"/>
  <c r="K17" i="3"/>
  <c r="J17" i="3"/>
  <c r="D17" i="3" s="1"/>
  <c r="F16" i="3"/>
  <c r="H23" i="4"/>
  <c r="H24" i="4"/>
  <c r="H22" i="4"/>
  <c r="H21" i="4"/>
  <c r="H28" i="4" l="1"/>
  <c r="B34" i="3"/>
  <c r="I25" i="3" s="1"/>
  <c r="C34" i="3"/>
  <c r="F15" i="3" s="1"/>
  <c r="D34" i="3"/>
  <c r="J15" i="3" s="1"/>
  <c r="D15" i="3" s="1"/>
  <c r="E34" i="3"/>
  <c r="F34" i="3"/>
  <c r="B59" i="3"/>
  <c r="C59" i="3"/>
  <c r="D59" i="3"/>
  <c r="E59" i="3"/>
  <c r="F59" i="3"/>
  <c r="B58" i="3"/>
  <c r="C58" i="3"/>
  <c r="D58" i="3"/>
  <c r="E58" i="3"/>
  <c r="F58" i="3"/>
  <c r="B33" i="3"/>
  <c r="C33" i="3"/>
  <c r="F24" i="3" s="1"/>
  <c r="D33" i="3"/>
  <c r="J14" i="3" s="1"/>
  <c r="D14" i="3" s="1"/>
  <c r="E33" i="3"/>
  <c r="K14" i="3" s="1"/>
  <c r="E14" i="3" s="1"/>
  <c r="F33" i="3"/>
  <c r="B25" i="3" l="1"/>
  <c r="K15" i="3"/>
  <c r="E15" i="3" s="1"/>
  <c r="I15" i="3"/>
  <c r="B15" i="3" s="1"/>
  <c r="J25" i="3"/>
  <c r="D25" i="3" s="1"/>
  <c r="K25" i="3"/>
  <c r="E25" i="3" s="1"/>
  <c r="F25" i="3"/>
  <c r="H29" i="4"/>
  <c r="I24" i="3"/>
  <c r="F14" i="3"/>
  <c r="K24" i="3"/>
  <c r="E24" i="3" s="1"/>
  <c r="J24" i="3"/>
  <c r="D24" i="3" s="1"/>
  <c r="B24" i="3" l="1"/>
  <c r="I14" i="3"/>
  <c r="B14" i="3" s="1"/>
  <c r="H30" i="4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<sst xmlns="http://schemas.openxmlformats.org/spreadsheetml/2006/main" count="254" uniqueCount="146">
  <si>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</si>
  <si>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</si>
  <si>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</si>
  <si>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</si>
  <si>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</si>
  <si>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</si>
  <si>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</si>
  <si>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</si>
  <si>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</si>
  <si>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</si>
  <si>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</si>
  <si>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</si>
  <si>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</si>
  <si>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</si>
  <si>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</si>
  <si>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</si>
  <si>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</si>
  <si>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</si>
  <si>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</si>
  <si>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</si>
  <si>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</si>
  <si>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</si>
  <si>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</si>
  <si>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</si>
  <si>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</si>
  <si>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</si>
  <si>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</si>
  <si>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</si>
  <si>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</si>
  <si>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</si>
  <si>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</si>
  <si>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</si>
  <si>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</si>
  <si>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</si>
  <si>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</si>
  <si>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</si>
  <si>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</si>
  <si>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</si>
  <si>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</si>
  <si>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</si>
  <si>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</si>
  <si>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</si>
  <si>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</si>
  <si>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</si>
  <si>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</si>
  <si>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</si>
  <si>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</si>
  <si>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</si>
  <si>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</si>
  <si>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</si>
  <si>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</si>
  <si>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</si>
  <si>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</si>
  <si>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</si>
  <si>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</si>
  <si>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</si>
  <si>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</si>
  <si>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</si>
  <si>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</si>
  <si>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</si>
  <si>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</si>
  <si>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</si>
  <si>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</si>
  <si>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</si>
  <si>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</si>
  <si>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</si>
  <si>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</si>
  <si>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</si>
  <si>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</si>
  <si>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</si>
  <si>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</si>
  <si>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</si>
  <si>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</si>
  <si>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</si>
  <si>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</si>
  <si>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</si>
  <si>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</si>
  <si>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</si>
  <si>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</si>
  <si>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</si>
  <si>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</si>
  <si>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</si>
  <si>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</si>
  <si>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</si>
  <si>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</si>
  <si>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</si>
  <si>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</si>
  <si>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</si>
  <si>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</si>
  <si>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</si>
  <si>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</si>
  <si>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</si>
  <si>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</si>
  <si>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</si>
  <si>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</si>
  <si>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</si>
  <si>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</si>
  <si>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</si>
  <si>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</si>
  <si>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</si>
  <si>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</si>
  <si>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</si>
  <si>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</si>
  <si>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</si>
  <si>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</si>
  <si>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</si>
  <si>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</si>
  <si>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</si>
  <si>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</si>
  <si>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</si>
  <si>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</si>
  <si>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</si>
  <si>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</si>
  <si>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</si>
  <si>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</si>
  <si>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</si>
  <si>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</si>
  <si>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</si>
  <si>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</si>
  <si>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</si>
  <si>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</si>
  <si>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</si>
  <si>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</si>
  <si>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</si>
  <si>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</si>
  <si>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</si>
  <si>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</si>
  <si>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</si>
  <si>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</si>
  <si>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</si>
  <si>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</si>
  <si>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</si>
  <si>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</si>
  <si>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</si>
  <si>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</si>
  <si>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CONSTRUCCION</t>
  </si>
  <si>
    <t>SOC. CONST. E INMOB. CCM SPA</t>
  </si>
  <si>
    <t>76.972.989-5</t>
  </si>
  <si>
    <t>MARIA LUISA REYES</t>
  </si>
  <si>
    <t>PJE. OSSANDON S/NA SITIO 9 PIRQUE</t>
  </si>
  <si>
    <t>+569 9679 9204</t>
  </si>
  <si>
    <t>GRIS NUBE 2189 MT</t>
  </si>
  <si>
    <t>N°10647</t>
  </si>
  <si>
    <t>E/R 1 CARA MDF 15MM</t>
  </si>
  <si>
    <t>MDF 15MM</t>
  </si>
  <si>
    <t>MDF15MM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</si>
</sst>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7" fillId="0" borderId="0" xfId="2" quotePrefix="1" applyFont="1" applyFill="1" applyBorder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7" fillId="0" borderId="0" xfId="0" applyFont="1" applyFill="1" applyAlignment="1">
      <alignment horizontal="right"/>
    </xf>
    <xf numFmtId="0" fontId="3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$ 200.000.- SE COMPLEMENTA CON NOTA VENTA 7053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194310</xdr:rowOff>
    </xdr:from>
    <xdr:to>
      <xdr:col>2</xdr:col>
      <xdr:colOff>100723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6" workbookViewId="0">
      <selection activeCell="J26" sqref="J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7052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136</v>
      </c>
      <c r="D10" s="55"/>
      <c r="E10" s="55"/>
      <c r="F10" s="56" t="s">
        <v>28</v>
      </c>
      <c r="G10" s="57">
        <v>45357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45358</v>
      </c>
      <c r="H11" s="62"/>
      <c r="I11" s="1"/>
    </row>
    <row r="12" spans="1:17" ht="16.2" thickBot="1" x14ac:dyDescent="0.35">
      <c r="A12" s="1"/>
      <c r="B12" s="63" t="s">
        <v>132</v>
      </c>
      <c r="C12" t="s">
        <v>135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 t="s">
        <v>138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96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5" t="s">
        <v>139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1">
        <v>2</v>
      </c>
      <c r="C21" s="107" t="s">
        <v>143</v>
      </c>
      <c r="D21" s="108">
        <v>500</v>
      </c>
      <c r="E21" s="108">
        <v>150</v>
      </c>
      <c r="F21" s="102" t="s">
        <v>141</v>
      </c>
      <c r="G21" s="106">
        <v>5076</v>
      </c>
      <c r="H21" s="103">
        <f>G21*B21</f>
        <v>10152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1">
        <v>1</v>
      </c>
      <c r="C22" s="107" t="s">
        <v>143</v>
      </c>
      <c r="D22" s="108">
        <v>2400</v>
      </c>
      <c r="E22" s="108">
        <v>150</v>
      </c>
      <c r="F22" s="102" t="s">
        <v>141</v>
      </c>
      <c r="G22" s="106">
        <v>23622</v>
      </c>
      <c r="H22" s="103">
        <f>G22*B22</f>
        <v>23622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01">
        <v>3</v>
      </c>
      <c r="C23" s="107" t="s">
        <v>143</v>
      </c>
      <c r="D23" s="108">
        <v>3000</v>
      </c>
      <c r="E23" s="108">
        <v>150</v>
      </c>
      <c r="F23" s="102" t="s">
        <v>141</v>
      </c>
      <c r="G23" s="106">
        <v>29479</v>
      </c>
      <c r="H23" s="103">
        <f t="shared" ref="H23:H24" si="0">G23*B23</f>
        <v>88437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3</v>
      </c>
      <c r="C24" s="107" t="s">
        <v>143</v>
      </c>
      <c r="D24" s="108">
        <v>1000</v>
      </c>
      <c r="E24" s="108">
        <v>150</v>
      </c>
      <c r="F24" s="102" t="s">
        <v>141</v>
      </c>
      <c r="G24" s="106">
        <v>9956</v>
      </c>
      <c r="H24" s="103">
        <f t="shared" si="0"/>
        <v>29868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8"/>
      <c r="C25" s="98"/>
      <c r="D25" s="98"/>
      <c r="E25" s="98"/>
      <c r="F25" s="98"/>
      <c r="G25" s="100"/>
      <c r="H25" s="100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8"/>
      <c r="C26" s="98"/>
      <c r="D26" s="98"/>
      <c r="E26" s="98"/>
      <c r="F26" s="99"/>
      <c r="G26" s="100"/>
      <c r="H26" s="100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152079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28895.010000000002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180974.01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104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opLeftCell="A33" zoomScaleNormal="100" workbookViewId="0">
      <selection activeCell="A45" sqref="A45:F73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7052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SOC. CONST. E INMOB. CCM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45358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20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7" t="s">
        <v>144</v>
      </c>
      <c r="B14" s="25">
        <f t="shared" ref="B14" si="0">I14</f>
        <v>2</v>
      </c>
      <c r="C14" s="25"/>
      <c r="D14" s="25">
        <f>J14+D$13</f>
        <v>520</v>
      </c>
      <c r="E14" s="35">
        <f>K14+E$13</f>
        <v>150</v>
      </c>
      <c r="F14" s="111" t="str">
        <f>C33</f>
        <v>E/R 1 CARA MDF 15MM</v>
      </c>
      <c r="G14" s="1"/>
      <c r="I14" s="3">
        <f>I24</f>
        <v>2</v>
      </c>
      <c r="J14" s="4">
        <f t="shared" ref="J14:K14" si="1">D33</f>
        <v>500</v>
      </c>
      <c r="K14" s="4">
        <f t="shared" si="1"/>
        <v>150</v>
      </c>
    </row>
    <row r="15" spans="1:14" ht="15.6" x14ac:dyDescent="0.3">
      <c r="A15" s="97"/>
      <c r="B15" s="25">
        <f t="shared" ref="B15" si="2">I15</f>
        <v>1</v>
      </c>
      <c r="C15" s="25"/>
      <c r="D15" s="25">
        <f t="shared" ref="D15" si="3">J15+D$13</f>
        <v>2420</v>
      </c>
      <c r="E15" s="35">
        <f t="shared" ref="E15:E17" si="4">K15+E$13</f>
        <v>150</v>
      </c>
      <c r="F15" s="111" t="str">
        <f t="shared" ref="F15" si="5">C34</f>
        <v>E/R 1 CARA MDF 15MM</v>
      </c>
      <c r="G15" s="1"/>
      <c r="I15" s="3">
        <f t="shared" ref="I15" si="6">B34</f>
        <v>1</v>
      </c>
      <c r="J15" s="4">
        <f t="shared" ref="J15" si="7">D34</f>
        <v>2400</v>
      </c>
      <c r="K15" s="4">
        <f t="shared" ref="K15" si="8">E34</f>
        <v>150</v>
      </c>
    </row>
    <row r="16" spans="1:14" ht="15.6" x14ac:dyDescent="0.3">
      <c r="A16" s="126"/>
      <c r="B16" s="127">
        <f t="shared" ref="B16:B17" si="9">I16</f>
        <v>3</v>
      </c>
      <c r="C16" s="127"/>
      <c r="D16" s="127">
        <f>J16+20</f>
        <v>3020</v>
      </c>
      <c r="E16" s="127">
        <f t="shared" si="4"/>
        <v>150</v>
      </c>
      <c r="F16" s="128" t="str">
        <f t="shared" ref="F16:F17" si="10">C35</f>
        <v>E/R 1 CARA MDF 15MM</v>
      </c>
      <c r="G16" s="1"/>
      <c r="I16" s="3">
        <f t="shared" ref="I16:I17" si="11">B35</f>
        <v>3</v>
      </c>
      <c r="J16" s="4">
        <f t="shared" ref="J16:J17" si="12">D35</f>
        <v>3000</v>
      </c>
      <c r="K16" s="4">
        <f t="shared" ref="K16:K17" si="13">E35</f>
        <v>150</v>
      </c>
    </row>
    <row r="17" spans="1:11" ht="15.6" x14ac:dyDescent="0.3">
      <c r="A17" s="126"/>
      <c r="B17" s="127">
        <f t="shared" si="9"/>
        <v>3</v>
      </c>
      <c r="C17" s="127"/>
      <c r="D17" s="127">
        <f>J17+20</f>
        <v>1020</v>
      </c>
      <c r="E17" s="127">
        <f t="shared" si="4"/>
        <v>150</v>
      </c>
      <c r="F17" s="128" t="str">
        <f t="shared" si="10"/>
        <v>E/R 1 CARA MDF 15MM</v>
      </c>
      <c r="G17" s="1"/>
      <c r="I17" s="3">
        <f t="shared" si="11"/>
        <v>3</v>
      </c>
      <c r="J17" s="4">
        <f t="shared" si="12"/>
        <v>1000</v>
      </c>
      <c r="K17" s="4">
        <f t="shared" si="13"/>
        <v>150</v>
      </c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1" t="s">
        <v>14</v>
      </c>
      <c r="B20" s="121"/>
      <c r="C20" s="121"/>
      <c r="D20" s="121"/>
      <c r="E20" s="121"/>
      <c r="F20" s="121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20</v>
      </c>
      <c r="E23" s="21">
        <v>20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7" t="s">
        <v>144</v>
      </c>
      <c r="B24" s="16">
        <f t="shared" ref="B24" si="14">I24</f>
        <v>2</v>
      </c>
      <c r="C24" s="16"/>
      <c r="D24" s="16">
        <f>J24+D$23</f>
        <v>520</v>
      </c>
      <c r="E24" s="16">
        <f>K24+E$23</f>
        <v>170</v>
      </c>
      <c r="F24" s="112" t="str">
        <f>C33</f>
        <v>E/R 1 CARA MDF 15MM</v>
      </c>
      <c r="G24" s="1"/>
      <c r="I24" s="3">
        <f>B33</f>
        <v>2</v>
      </c>
      <c r="J24" s="4">
        <f>D33</f>
        <v>500</v>
      </c>
      <c r="K24" s="4">
        <f>E33</f>
        <v>150</v>
      </c>
    </row>
    <row r="25" spans="1:11" ht="15.6" x14ac:dyDescent="0.3">
      <c r="A25" s="97"/>
      <c r="B25" s="16">
        <f t="shared" ref="B25" si="15">I25</f>
        <v>1</v>
      </c>
      <c r="C25" s="16"/>
      <c r="D25" s="16">
        <f>J25+D$23</f>
        <v>2420</v>
      </c>
      <c r="E25" s="16">
        <f>K25+E$23</f>
        <v>170</v>
      </c>
      <c r="F25" s="112" t="str">
        <f t="shared" ref="F25" si="16">C34</f>
        <v>E/R 1 CARA MDF 15MM</v>
      </c>
      <c r="G25" s="1"/>
      <c r="I25" s="3">
        <f t="shared" ref="I25" si="17">B34</f>
        <v>1</v>
      </c>
      <c r="J25" s="4">
        <f t="shared" ref="J25:K25" si="18">D34</f>
        <v>2400</v>
      </c>
      <c r="K25" s="4">
        <f t="shared" si="18"/>
        <v>150</v>
      </c>
    </row>
    <row r="26" spans="1:11" ht="15.6" x14ac:dyDescent="0.3">
      <c r="A26" s="97"/>
      <c r="B26" s="16">
        <f t="shared" ref="B26:B27" si="19">I26</f>
        <v>3</v>
      </c>
      <c r="C26" s="16"/>
      <c r="D26" s="16">
        <f>J$26+20</f>
        <v>3020</v>
      </c>
      <c r="E26" s="16">
        <f>K$26+20</f>
        <v>170</v>
      </c>
      <c r="F26" s="112" t="str">
        <f t="shared" ref="F26:F27" si="20">C35</f>
        <v>E/R 1 CARA MDF 15MM</v>
      </c>
      <c r="G26" s="1"/>
      <c r="I26" s="3">
        <f t="shared" ref="I26:I27" si="21">B35</f>
        <v>3</v>
      </c>
      <c r="J26" s="4">
        <f t="shared" ref="J26:J27" si="22">D35</f>
        <v>3000</v>
      </c>
      <c r="K26" s="4">
        <f t="shared" ref="K26:K27" si="23">E35</f>
        <v>150</v>
      </c>
    </row>
    <row r="27" spans="1:11" ht="15.6" x14ac:dyDescent="0.3">
      <c r="A27" s="97"/>
      <c r="B27" s="16">
        <f t="shared" si="19"/>
        <v>3</v>
      </c>
      <c r="C27" s="16"/>
      <c r="D27" s="16">
        <f>J27+D23</f>
        <v>1020</v>
      </c>
      <c r="E27" s="16">
        <f>K$26+20</f>
        <v>170</v>
      </c>
      <c r="F27" s="112" t="str">
        <f t="shared" si="20"/>
        <v>E/R 1 CARA MDF 15MM</v>
      </c>
      <c r="G27" s="1"/>
      <c r="I27" s="3">
        <f t="shared" si="21"/>
        <v>3</v>
      </c>
      <c r="J27" s="4">
        <f t="shared" si="22"/>
        <v>1000</v>
      </c>
      <c r="K27" s="4">
        <f t="shared" si="23"/>
        <v>150</v>
      </c>
    </row>
    <row r="28" spans="1:11" ht="15.6" x14ac:dyDescent="0.3">
      <c r="A28" s="97"/>
      <c r="B28" s="6"/>
      <c r="C28" s="6"/>
      <c r="D28" s="6"/>
      <c r="E28" s="6"/>
      <c r="F28" s="6"/>
      <c r="G28" s="1"/>
      <c r="I28" s="90"/>
      <c r="J28" s="2"/>
      <c r="K28" s="2"/>
    </row>
    <row r="29" spans="1:11" ht="16.2" thickBot="1" x14ac:dyDescent="0.35">
      <c r="A29" s="52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2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2" t="s">
        <v>9</v>
      </c>
      <c r="B32" s="88" t="s">
        <v>10</v>
      </c>
      <c r="C32" s="88" t="s">
        <v>110</v>
      </c>
      <c r="D32" s="88" t="s">
        <v>7</v>
      </c>
      <c r="E32" s="88" t="s">
        <v>8</v>
      </c>
      <c r="F32" s="88" t="s">
        <v>23</v>
      </c>
      <c r="G32" s="1"/>
    </row>
    <row r="33" spans="1:7" ht="15.6" x14ac:dyDescent="0.3">
      <c r="A33" s="97" t="s">
        <v>145</v>
      </c>
      <c r="B33" s="25">
        <f>'4637'!B21</f>
        <v>2</v>
      </c>
      <c r="C33" s="111" t="str">
        <f>'4637'!C21</f>
        <v>E/R 1 CARA MDF 15MM</v>
      </c>
      <c r="D33" s="25">
        <f>'4637'!D21</f>
        <v>500</v>
      </c>
      <c r="E33" s="25">
        <f>'4637'!E21</f>
        <v>150</v>
      </c>
      <c r="F33" s="25" t="str">
        <f>'4637'!F21</f>
        <v>GRIS NUBE 2189 MT</v>
      </c>
      <c r="G33" s="1"/>
    </row>
    <row r="34" spans="1:7" ht="15.6" x14ac:dyDescent="0.3">
      <c r="A34" s="97"/>
      <c r="B34" s="25">
        <f>'4637'!B22</f>
        <v>1</v>
      </c>
      <c r="C34" s="111" t="str">
        <f>'4637'!C22</f>
        <v>E/R 1 CARA MDF 15MM</v>
      </c>
      <c r="D34" s="25">
        <f>'4637'!D22</f>
        <v>2400</v>
      </c>
      <c r="E34" s="25">
        <f>'4637'!E22</f>
        <v>150</v>
      </c>
      <c r="F34" s="25" t="str">
        <f>'4637'!F22</f>
        <v>GRIS NUBE 2189 MT</v>
      </c>
      <c r="G34" s="1"/>
    </row>
    <row r="35" spans="1:7" ht="15.6" x14ac:dyDescent="0.3">
      <c r="A35" s="97"/>
      <c r="B35" s="25">
        <f>'4637'!B23</f>
        <v>3</v>
      </c>
      <c r="C35" s="111" t="str">
        <f>'4637'!C23</f>
        <v>E/R 1 CARA MDF 15MM</v>
      </c>
      <c r="D35" s="25">
        <f>'4637'!D23</f>
        <v>3000</v>
      </c>
      <c r="E35" s="25">
        <f>'4637'!E23</f>
        <v>150</v>
      </c>
      <c r="F35" s="25" t="str">
        <f>'4637'!F23</f>
        <v>GRIS NUBE 2189 MT</v>
      </c>
      <c r="G35" s="1"/>
    </row>
    <row r="36" spans="1:7" ht="15.6" x14ac:dyDescent="0.3">
      <c r="A36" s="97"/>
      <c r="B36" s="25">
        <f>'4637'!B24</f>
        <v>3</v>
      </c>
      <c r="C36" s="111" t="str">
        <f>'4637'!C24</f>
        <v>E/R 1 CARA MDF 15MM</v>
      </c>
      <c r="D36" s="25">
        <f>'4637'!D24</f>
        <v>1000</v>
      </c>
      <c r="E36" s="25">
        <f>'4637'!E24</f>
        <v>150</v>
      </c>
      <c r="F36" s="25" t="str">
        <f>'4637'!F24</f>
        <v>GRIS NUBE 2189 MT</v>
      </c>
      <c r="G36" s="1"/>
    </row>
    <row r="37" spans="1:7" ht="15.6" x14ac:dyDescent="0.3">
      <c r="A37" s="97"/>
      <c r="B37" s="6"/>
      <c r="C37" s="6"/>
      <c r="D37" s="6"/>
      <c r="E37" s="6"/>
      <c r="F37" s="6"/>
      <c r="G37" s="1"/>
    </row>
    <row r="38" spans="1:7" ht="15.6" x14ac:dyDescent="0.3">
      <c r="A38" s="52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40" t="s">
        <v>27</v>
      </c>
      <c r="D48" s="14">
        <f>'4637'!G8</f>
        <v>7052</v>
      </c>
      <c r="E48" s="1"/>
      <c r="F48" s="1"/>
      <c r="G48" s="1"/>
    </row>
    <row r="49" spans="1:7" ht="17.25" customHeight="1" x14ac:dyDescent="0.3">
      <c r="A49" s="1"/>
      <c r="B49" s="1"/>
      <c r="C49" s="41" t="s">
        <v>67</v>
      </c>
      <c r="D49" s="42" t="str">
        <f>'4637'!C10</f>
        <v>SOC. CONST. E INMOB. CCM SPA</v>
      </c>
      <c r="E49" s="43"/>
      <c r="F49" s="43"/>
      <c r="G49" s="1"/>
    </row>
    <row r="50" spans="1:7" ht="4.5" customHeight="1" x14ac:dyDescent="0.3">
      <c r="A50" s="1"/>
      <c r="B50" s="1"/>
      <c r="C50" s="44"/>
      <c r="D50" s="45"/>
      <c r="E50" s="1"/>
      <c r="F50" s="1"/>
      <c r="G50" s="1"/>
    </row>
    <row r="51" spans="1:7" ht="15.6" x14ac:dyDescent="0.3">
      <c r="A51" s="1"/>
      <c r="B51" s="1"/>
      <c r="C51" s="46" t="str">
        <f>'4637'!F11</f>
        <v>FECHA LIMITE :</v>
      </c>
      <c r="D51" s="13">
        <f>'4637'!G11</f>
        <v>45358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1" t="s">
        <v>68</v>
      </c>
      <c r="B54" s="121"/>
      <c r="C54" s="121"/>
      <c r="D54" s="121"/>
      <c r="E54" s="121"/>
      <c r="F54" s="12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2" t="s">
        <v>69</v>
      </c>
      <c r="C56" s="123"/>
      <c r="D56" s="124"/>
      <c r="E56" s="124"/>
      <c r="F56" s="125"/>
      <c r="G56" s="1"/>
    </row>
    <row r="57" spans="1:7" s="15" customFormat="1" ht="12.75" customHeight="1" x14ac:dyDescent="0.3">
      <c r="A57" s="1"/>
      <c r="B57" s="36" t="s">
        <v>10</v>
      </c>
      <c r="C57" s="47" t="s">
        <v>11</v>
      </c>
      <c r="D57" s="48" t="s">
        <v>7</v>
      </c>
      <c r="E57" s="48" t="s">
        <v>8</v>
      </c>
      <c r="F57" s="49" t="s">
        <v>12</v>
      </c>
      <c r="G57" s="1"/>
    </row>
    <row r="58" spans="1:7" s="15" customFormat="1" ht="15" customHeight="1" x14ac:dyDescent="0.3">
      <c r="A58" s="97"/>
      <c r="B58" s="38">
        <f>'4637'!B21</f>
        <v>2</v>
      </c>
      <c r="C58" s="109" t="str">
        <f>'4637'!C21</f>
        <v>E/R 1 CARA MDF 15MM</v>
      </c>
      <c r="D58" s="39">
        <f>'4637'!D21</f>
        <v>500</v>
      </c>
      <c r="E58" s="39">
        <f>'4637'!E21</f>
        <v>150</v>
      </c>
      <c r="F58" s="38" t="str">
        <f>'4637'!F21</f>
        <v>GRIS NUBE 2189 MT</v>
      </c>
      <c r="G58" s="1"/>
    </row>
    <row r="59" spans="1:7" s="15" customFormat="1" ht="15" customHeight="1" x14ac:dyDescent="0.3">
      <c r="A59" s="97"/>
      <c r="B59" s="38">
        <f>'4637'!B22</f>
        <v>1</v>
      </c>
      <c r="C59" s="109" t="str">
        <f>'4637'!C22</f>
        <v>E/R 1 CARA MDF 15MM</v>
      </c>
      <c r="D59" s="39">
        <f>'4637'!D22</f>
        <v>2400</v>
      </c>
      <c r="E59" s="39">
        <f>'4637'!E22</f>
        <v>150</v>
      </c>
      <c r="F59" s="38" t="str">
        <f>'4637'!F22</f>
        <v>GRIS NUBE 2189 MT</v>
      </c>
      <c r="G59" s="1"/>
    </row>
    <row r="60" spans="1:7" s="15" customFormat="1" ht="15" customHeight="1" x14ac:dyDescent="0.3">
      <c r="A60" s="97"/>
      <c r="B60" s="38">
        <f>'4637'!B23</f>
        <v>3</v>
      </c>
      <c r="C60" s="109" t="str">
        <f>'4637'!C23</f>
        <v>E/R 1 CARA MDF 15MM</v>
      </c>
      <c r="D60" s="39">
        <f>'4637'!D23</f>
        <v>3000</v>
      </c>
      <c r="E60" s="39">
        <f>'4637'!E23</f>
        <v>150</v>
      </c>
      <c r="F60" s="38" t="str">
        <f>'4637'!F23</f>
        <v>GRIS NUBE 2189 MT</v>
      </c>
      <c r="G60" s="1"/>
    </row>
    <row r="61" spans="1:7" s="15" customFormat="1" ht="15" customHeight="1" x14ac:dyDescent="0.3">
      <c r="A61" s="97"/>
      <c r="B61" s="38">
        <f>'4637'!B24</f>
        <v>3</v>
      </c>
      <c r="C61" s="109" t="str">
        <f>'4637'!C24</f>
        <v>E/R 1 CARA MDF 15MM</v>
      </c>
      <c r="D61" s="39">
        <f>'4637'!D24</f>
        <v>1000</v>
      </c>
      <c r="E61" s="39">
        <f>'4637'!E24</f>
        <v>150</v>
      </c>
      <c r="F61" s="38" t="str">
        <f>'4637'!F24</f>
        <v>GRIS NUBE 2189 MT</v>
      </c>
      <c r="G61" s="1"/>
    </row>
    <row r="62" spans="1:7" s="15" customFormat="1" ht="15" customHeight="1" x14ac:dyDescent="0.3">
      <c r="A62" s="97"/>
      <c r="B62" s="52"/>
      <c r="C62" s="110"/>
      <c r="D62" s="52"/>
      <c r="E62" s="52"/>
      <c r="F62" s="52"/>
      <c r="G62" s="1"/>
    </row>
    <row r="63" spans="1:7" s="15" customFormat="1" ht="15" customHeight="1" x14ac:dyDescent="0.3">
      <c r="A63" s="50"/>
      <c r="B63" s="52"/>
      <c r="C63" s="52"/>
      <c r="D63" s="52"/>
      <c r="E63" s="52"/>
      <c r="F63" s="52"/>
      <c r="G63" s="1"/>
    </row>
    <row r="64" spans="1:7" ht="15.6" x14ac:dyDescent="0.3">
      <c r="A64" s="6"/>
      <c r="B64" s="6"/>
      <c r="C64" s="1"/>
      <c r="D64" s="6"/>
      <c r="E64" s="6"/>
      <c r="F64" s="44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20:F20"/>
    <mergeCell ref="A10:F10"/>
    <mergeCell ref="A54:F54"/>
    <mergeCell ref="B56:F56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2024-03-06T14:53:10Z</cp:lastPrinted>
  <dcterms:created xsi:type="dcterms:W3CDTF">2013-03-19T12:54:14Z</dcterms:created>
  <dcterms:modified xsi:type="dcterms:W3CDTF">2024-03-06T14:53:18Z</dcterms:modified>
</cp:coreProperties>
</file>