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D75C726E-1E44-4670-B6A0-669CF9676D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CUBIERTA!$A$42:$G$69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7" i="3"/>
  <c r="C57" i="3"/>
  <c r="D57" i="3"/>
  <c r="E57" i="3"/>
  <c r="F57" i="3"/>
  <c r="J16" i="3" l="1"/>
  <c r="D16" i="3" s="1"/>
  <c r="K16" i="3"/>
  <c r="E16" i="3" s="1"/>
  <c r="I16" i="3"/>
  <c r="B16" i="3" s="1"/>
  <c r="F16" i="3"/>
  <c r="H24" i="4"/>
  <c r="H22" i="4"/>
  <c r="H21" i="4"/>
  <c r="H28" i="4" l="1"/>
  <c r="B32" i="3"/>
  <c r="I24" i="3" s="1"/>
  <c r="C32" i="3"/>
  <c r="F15" i="3" s="1"/>
  <c r="D32" i="3"/>
  <c r="J15" i="3" s="1"/>
  <c r="D15" i="3" s="1"/>
  <c r="E32" i="3"/>
  <c r="F32" i="3"/>
  <c r="B56" i="3"/>
  <c r="C56" i="3"/>
  <c r="D56" i="3"/>
  <c r="E56" i="3"/>
  <c r="F56" i="3"/>
  <c r="B55" i="3"/>
  <c r="C55" i="3"/>
  <c r="D55" i="3"/>
  <c r="E55" i="3"/>
  <c r="F55" i="3"/>
  <c r="B31" i="3"/>
  <c r="C31" i="3"/>
  <c r="F23" i="3" s="1"/>
  <c r="D31" i="3"/>
  <c r="J14" i="3" s="1"/>
  <c r="D14" i="3" s="1"/>
  <c r="E31" i="3"/>
  <c r="K14" i="3" s="1"/>
  <c r="E14" i="3" s="1"/>
  <c r="F31" i="3"/>
  <c r="B24" i="3" l="1"/>
  <c r="K15" i="3"/>
  <c r="E15" i="3" s="1"/>
  <c r="I15" i="3"/>
  <c r="B15" i="3" s="1"/>
  <c r="J24" i="3"/>
  <c r="D24" i="3" s="1"/>
  <c r="K24" i="3"/>
  <c r="E24" i="3" s="1"/>
  <c r="F24" i="3"/>
  <c r="H29" i="4"/>
  <c r="I23" i="3"/>
  <c r="F14" i="3"/>
  <c r="K23" i="3"/>
  <c r="E23" i="3" s="1"/>
  <c r="J23" i="3"/>
  <c r="D23" i="3" s="1"/>
  <c r="B23" i="3" l="1"/>
  <c r="I14" i="3"/>
  <c r="B14" i="3" s="1"/>
  <c r="H30" i="4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<sst xmlns="http://schemas.openxmlformats.org/spreadsheetml/2006/main" count="257" uniqueCount="150">
  <si>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</si>
  <si>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</si>
  <si>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</si>
  <si>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</si>
  <si>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</si>
  <si>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</si>
  <si>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</si>
  <si>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</si>
  <si>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</si>
  <si>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</si>
  <si>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</si>
  <si>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</si>
  <si>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</si>
  <si>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</si>
  <si>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</si>
  <si>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</si>
  <si>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</si>
  <si>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</si>
  <si>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</si>
  <si>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</si>
  <si>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</si>
  <si>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</si>
  <si>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</si>
  <si>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</si>
  <si>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</si>
  <si>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</si>
  <si>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</si>
  <si>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</si>
  <si>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</si>
  <si>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</si>
  <si>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</si>
  <si>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</si>
  <si>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</si>
  <si>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</si>
  <si>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</si>
  <si>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</si>
  <si>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</si>
  <si>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</si>
  <si>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</si>
  <si>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</si>
  <si>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</si>
  <si>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</si>
  <si>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</si>
  <si>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</si>
  <si>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</si>
  <si>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</si>
  <si>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</si>
  <si>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</si>
  <si>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</si>
  <si>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</si>
  <si>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</si>
  <si>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</si>
  <si>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</si>
  <si>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</si>
  <si>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</si>
  <si>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</si>
  <si>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</si>
  <si>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</si>
  <si>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</si>
  <si>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</si>
  <si>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</si>
  <si>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</si>
  <si>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</si>
  <si>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</si>
  <si>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</si>
  <si>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</si>
  <si>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</si>
  <si>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</si>
  <si>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</si>
  <si>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</si>
  <si>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</si>
  <si>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</si>
  <si>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</si>
  <si>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</si>
  <si>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</si>
  <si>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</si>
  <si>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</si>
  <si>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</si>
  <si>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</si>
  <si>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</si>
  <si>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</si>
  <si>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</si>
  <si>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</si>
  <si>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</si>
  <si>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</si>
  <si>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</si>
  <si>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</si>
  <si>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</si>
  <si>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</si>
  <si>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</si>
  <si>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</si>
  <si>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</si>
  <si>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</si>
  <si>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</si>
  <si>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</si>
  <si>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</si>
  <si>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</si>
  <si>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</si>
  <si>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</si>
  <si>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</si>
  <si>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</si>
  <si>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</si>
  <si>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</si>
  <si>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</si>
  <si>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</si>
  <si>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</si>
  <si>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</si>
  <si>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</si>
  <si>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</si>
  <si>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</si>
  <si>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</si>
  <si>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</si>
  <si>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</si>
  <si>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</si>
  <si>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</si>
  <si>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</si>
  <si>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</si>
  <si>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</si>
  <si>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</si>
  <si>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</si>
  <si>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</si>
  <si>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</si>
  <si>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</si>
  <si>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</si>
  <si>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</si>
  <si>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</si>
  <si>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</si>
  <si>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</si>
  <si>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</si>
  <si>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</si>
  <si>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</si>
  <si>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</si>
  <si>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</si>
  <si>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</si>
  <si>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</si>
  <si>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N°10663</t>
  </si>
  <si>
    <t>REINALDO ESPELETA SANTIS</t>
  </si>
  <si>
    <t>12.043.806-9</t>
  </si>
  <si>
    <t>VENTA POR MAYOR DE MATERIALES DE CONSTRUCCION Y FERRETERIA</t>
  </si>
  <si>
    <t>+569 9215 2923</t>
  </si>
  <si>
    <t>DE LOS FUNDADORES 1287 PUENTE ALTO</t>
  </si>
  <si>
    <t>CARIBE 2182 MT (OPACO)</t>
  </si>
  <si>
    <t>GRANITINO NEGRO 3014 BR</t>
  </si>
  <si>
    <t>CUB C/R R8 ***</t>
  </si>
  <si>
    <t xml:space="preserve">CUB C/R R8 </t>
  </si>
  <si>
    <t>MDF 18MM</t>
  </si>
  <si>
    <t xml:space="preserve"> MDF 18MM</t>
  </si>
  <si>
    <t>CORTAR RESPALDO A 7CMS</t>
  </si>
  <si>
    <t>MDF18MM</t>
  </si>
  <si>
    <t>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</si>
</sst>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/>
    <xf numFmtId="0" fontId="20" fillId="3" borderId="0" xfId="0" applyFont="1" applyFill="1"/>
    <xf numFmtId="0" fontId="21" fillId="0" borderId="0" xfId="0" quotePrefix="1" applyFont="1"/>
    <xf numFmtId="0" fontId="19" fillId="3" borderId="0" xfId="0" applyFont="1" applyFill="1"/>
    <xf numFmtId="0" fontId="22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$ 255.553.-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RESPALDO A 7 CMS 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UNION DE LAMINADO LADO DERECHO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CORTAR RESPALDO A 7 CMS</a:t>
          </a: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UNION DE LAMINADO LADO DERECHO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194310</xdr:rowOff>
    </xdr:from>
    <xdr:to>
      <xdr:col>2</xdr:col>
      <xdr:colOff>100723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6" workbookViewId="0">
      <selection activeCell="H22" sqref="H22:H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135</v>
      </c>
      <c r="E8" s="1"/>
      <c r="F8" s="94" t="s">
        <v>27</v>
      </c>
      <c r="G8" s="95">
        <v>7058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136</v>
      </c>
      <c r="D10" s="55"/>
      <c r="E10" s="55"/>
      <c r="F10" s="56" t="s">
        <v>28</v>
      </c>
      <c r="G10" s="57">
        <v>45369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 t="s">
        <v>137</v>
      </c>
      <c r="D11" s="60"/>
      <c r="E11" s="60"/>
      <c r="F11" s="60" t="s">
        <v>124</v>
      </c>
      <c r="G11" s="61">
        <v>45372</v>
      </c>
      <c r="H11" s="62"/>
      <c r="I11" s="1"/>
    </row>
    <row r="12" spans="1:17" ht="16.2" thickBot="1" x14ac:dyDescent="0.35">
      <c r="A12" s="1"/>
      <c r="B12" s="63" t="s">
        <v>132</v>
      </c>
      <c r="C12" s="108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9" t="s">
        <v>139</v>
      </c>
      <c r="D14" s="66"/>
      <c r="E14" s="60"/>
      <c r="F14" s="60" t="s">
        <v>29</v>
      </c>
      <c r="G14" s="60"/>
      <c r="H14" s="62"/>
      <c r="I14" s="1"/>
    </row>
    <row r="15" spans="1:17" ht="16.8" x14ac:dyDescent="0.4">
      <c r="A15" s="1"/>
      <c r="B15" s="63" t="s">
        <v>1</v>
      </c>
      <c r="C15" s="110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11" t="s">
        <v>133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12">
        <v>1</v>
      </c>
      <c r="C21" s="113" t="s">
        <v>143</v>
      </c>
      <c r="D21" s="115">
        <v>3540</v>
      </c>
      <c r="E21" s="115">
        <v>600</v>
      </c>
      <c r="F21" s="113" t="s">
        <v>141</v>
      </c>
      <c r="G21" s="114">
        <v>160728</v>
      </c>
      <c r="H21" s="105">
        <f>G21*B21</f>
        <v>160728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2">
        <v>1</v>
      </c>
      <c r="C22" s="113" t="s">
        <v>144</v>
      </c>
      <c r="D22" s="115">
        <v>2950</v>
      </c>
      <c r="E22" s="115">
        <v>600</v>
      </c>
      <c r="F22" s="113" t="s">
        <v>141</v>
      </c>
      <c r="G22" s="114">
        <v>134747</v>
      </c>
      <c r="H22" s="105">
        <f>G22*B22</f>
        <v>134747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2">
        <v>1</v>
      </c>
      <c r="C23" s="113" t="s">
        <v>149</v>
      </c>
      <c r="D23" s="115">
        <v>1000</v>
      </c>
      <c r="E23" s="115">
        <v>100</v>
      </c>
      <c r="F23" s="113" t="s">
        <v>141</v>
      </c>
      <c r="G23" s="114">
        <v>15000</v>
      </c>
      <c r="H23" s="105">
        <f>G23*B23</f>
        <v>15000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2">
        <v>1</v>
      </c>
      <c r="C24" s="113" t="s">
        <v>144</v>
      </c>
      <c r="D24" s="115">
        <v>1995</v>
      </c>
      <c r="E24" s="115">
        <v>600</v>
      </c>
      <c r="F24" s="113" t="s">
        <v>142</v>
      </c>
      <c r="G24" s="114">
        <v>134026</v>
      </c>
      <c r="H24" s="105">
        <f t="shared" ref="H24" si="0">G24*B24</f>
        <v>134026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7"/>
      <c r="D25" s="97"/>
      <c r="E25" s="97"/>
      <c r="F25" s="97"/>
      <c r="G25" s="99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444501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84455.19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528956.18999999994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1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38" zoomScaleNormal="100" workbookViewId="0">
      <selection activeCell="A42" sqref="A42:G69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7058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REINALDO ESPELETA SANTIS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45372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06" t="s">
        <v>145</v>
      </c>
      <c r="B14" s="25">
        <f t="shared" ref="B14" si="0">I14</f>
        <v>1</v>
      </c>
      <c r="C14" s="25" t="s">
        <v>147</v>
      </c>
      <c r="D14" s="25">
        <f>J14+D$13</f>
        <v>3590</v>
      </c>
      <c r="E14" s="35">
        <f>K14+E$13</f>
        <v>570</v>
      </c>
      <c r="F14" s="103" t="str">
        <f>C31</f>
        <v>CUB C/R R8 ***</v>
      </c>
      <c r="G14" s="1"/>
      <c r="I14" s="3">
        <f>I23</f>
        <v>1</v>
      </c>
      <c r="J14" s="4">
        <f t="shared" ref="J14:K14" si="1">D31</f>
        <v>3540</v>
      </c>
      <c r="K14" s="4">
        <f t="shared" si="1"/>
        <v>600</v>
      </c>
    </row>
    <row r="15" spans="1:14" ht="15.6" x14ac:dyDescent="0.3">
      <c r="A15" s="96"/>
      <c r="B15" s="25">
        <f t="shared" ref="B15" si="2">I15</f>
        <v>1</v>
      </c>
      <c r="C15" s="25" t="s">
        <v>147</v>
      </c>
      <c r="D15" s="25">
        <f t="shared" ref="D15:D16" si="3">J15+D$13</f>
        <v>3000</v>
      </c>
      <c r="E15" s="35">
        <f t="shared" ref="E15:E16" si="4">K15+E$13</f>
        <v>570</v>
      </c>
      <c r="F15" s="103" t="str">
        <f t="shared" ref="F15" si="5">C32</f>
        <v xml:space="preserve">CUB C/R R8 </v>
      </c>
      <c r="G15" s="1"/>
      <c r="I15" s="3">
        <f t="shared" ref="I15" si="6">B32</f>
        <v>1</v>
      </c>
      <c r="J15" s="4">
        <f t="shared" ref="J15" si="7">D32</f>
        <v>2950</v>
      </c>
      <c r="K15" s="4">
        <f t="shared" ref="K15" si="8">E32</f>
        <v>600</v>
      </c>
    </row>
    <row r="16" spans="1:14" ht="15.6" x14ac:dyDescent="0.3">
      <c r="A16" s="96"/>
      <c r="B16" s="25">
        <f t="shared" ref="B16" si="9">I16</f>
        <v>1</v>
      </c>
      <c r="C16" s="25" t="s">
        <v>147</v>
      </c>
      <c r="D16" s="25">
        <f t="shared" si="3"/>
        <v>2045</v>
      </c>
      <c r="E16" s="35">
        <f t="shared" si="4"/>
        <v>570</v>
      </c>
      <c r="F16" s="103" t="str">
        <f>C33</f>
        <v xml:space="preserve">CUB C/R R8 </v>
      </c>
      <c r="G16" s="1"/>
      <c r="I16" s="3">
        <f>B33</f>
        <v>1</v>
      </c>
      <c r="J16" s="4">
        <f>D33</f>
        <v>1995</v>
      </c>
      <c r="K16" s="4">
        <f>E33</f>
        <v>600</v>
      </c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4" t="s">
        <v>14</v>
      </c>
      <c r="B19" s="124"/>
      <c r="C19" s="124"/>
      <c r="D19" s="124"/>
      <c r="E19" s="124"/>
      <c r="F19" s="124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106" t="s">
        <v>146</v>
      </c>
      <c r="B23" s="16">
        <f t="shared" ref="B23" si="10">I23</f>
        <v>1</v>
      </c>
      <c r="C23" s="16"/>
      <c r="D23" s="16">
        <f>J23+D$22</f>
        <v>3580</v>
      </c>
      <c r="E23" s="16">
        <f>K23+E$22</f>
        <v>730</v>
      </c>
      <c r="F23" s="104" t="str">
        <f>C31</f>
        <v>CUB C/R R8 ***</v>
      </c>
      <c r="G23" s="1"/>
      <c r="I23" s="3">
        <f>B31</f>
        <v>1</v>
      </c>
      <c r="J23" s="4">
        <f>D31</f>
        <v>3540</v>
      </c>
      <c r="K23" s="4">
        <f>E31</f>
        <v>600</v>
      </c>
    </row>
    <row r="24" spans="1:11" ht="15.6" x14ac:dyDescent="0.3">
      <c r="A24" s="96"/>
      <c r="B24" s="16">
        <f t="shared" ref="B24" si="11">I24</f>
        <v>1</v>
      </c>
      <c r="C24" s="16"/>
      <c r="D24" s="16">
        <f t="shared" ref="D24:D25" si="12">J24+D$22</f>
        <v>2990</v>
      </c>
      <c r="E24" s="16">
        <f t="shared" ref="E24:E25" si="13">K24+E$22</f>
        <v>730</v>
      </c>
      <c r="F24" s="104" t="str">
        <f t="shared" ref="F24" si="14">C32</f>
        <v xml:space="preserve">CUB C/R R8 </v>
      </c>
      <c r="G24" s="1"/>
      <c r="I24" s="3">
        <f t="shared" ref="I24" si="15">B32</f>
        <v>1</v>
      </c>
      <c r="J24" s="4">
        <f t="shared" ref="J24:K24" si="16">D32</f>
        <v>2950</v>
      </c>
      <c r="K24" s="4">
        <f t="shared" si="16"/>
        <v>600</v>
      </c>
    </row>
    <row r="25" spans="1:11" ht="15.6" x14ac:dyDescent="0.3">
      <c r="A25" s="96"/>
      <c r="B25" s="16">
        <f t="shared" ref="B25" si="17">I25</f>
        <v>1</v>
      </c>
      <c r="C25" s="16"/>
      <c r="D25" s="16">
        <f t="shared" si="12"/>
        <v>2035</v>
      </c>
      <c r="E25" s="16">
        <f t="shared" si="13"/>
        <v>730</v>
      </c>
      <c r="F25" s="104" t="str">
        <f>C33</f>
        <v xml:space="preserve">CUB C/R R8 </v>
      </c>
      <c r="G25" s="1"/>
      <c r="I25" s="3">
        <f>B33</f>
        <v>1</v>
      </c>
      <c r="J25" s="4">
        <f>D33</f>
        <v>1995</v>
      </c>
      <c r="K25" s="4">
        <f>E33</f>
        <v>600</v>
      </c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106" t="s">
        <v>145</v>
      </c>
      <c r="B31" s="25">
        <f>'4637'!B21</f>
        <v>1</v>
      </c>
      <c r="C31" s="103" t="str">
        <f>'4637'!C21</f>
        <v>CUB C/R R8 ***</v>
      </c>
      <c r="D31" s="25">
        <f>'4637'!D21</f>
        <v>3540</v>
      </c>
      <c r="E31" s="25">
        <f>'4637'!E21</f>
        <v>600</v>
      </c>
      <c r="F31" s="25" t="str">
        <f>'4637'!F21</f>
        <v>CARIBE 2182 MT (OPACO)</v>
      </c>
      <c r="G31" s="1"/>
    </row>
    <row r="32" spans="1:11" ht="15.6" x14ac:dyDescent="0.3">
      <c r="A32" s="96"/>
      <c r="B32" s="25">
        <f>'4637'!B22</f>
        <v>1</v>
      </c>
      <c r="C32" s="103" t="str">
        <f>'4637'!C22</f>
        <v xml:space="preserve">CUB C/R R8 </v>
      </c>
      <c r="D32" s="25">
        <f>'4637'!D22</f>
        <v>2950</v>
      </c>
      <c r="E32" s="25">
        <f>'4637'!E22</f>
        <v>600</v>
      </c>
      <c r="F32" s="25" t="str">
        <f>'4637'!F22</f>
        <v>CARIBE 2182 MT (OPACO)</v>
      </c>
      <c r="G32" s="1"/>
    </row>
    <row r="33" spans="1:7" ht="15.6" x14ac:dyDescent="0.3">
      <c r="A33" s="96"/>
      <c r="B33" s="25">
        <f>'4637'!B24</f>
        <v>1</v>
      </c>
      <c r="C33" s="103" t="str">
        <f>'4637'!C24</f>
        <v xml:space="preserve">CUB C/R R8 </v>
      </c>
      <c r="D33" s="25">
        <f>'4637'!D24</f>
        <v>1995</v>
      </c>
      <c r="E33" s="25">
        <f>'4637'!E24</f>
        <v>600</v>
      </c>
      <c r="F33" s="25" t="str">
        <f>'4637'!F24</f>
        <v>GRANITINO NEGRO 3014 BR</v>
      </c>
      <c r="G33" s="1"/>
    </row>
    <row r="34" spans="1:7" ht="15.6" x14ac:dyDescent="0.3">
      <c r="A34" s="96"/>
      <c r="B34" s="6"/>
      <c r="C34" s="6"/>
      <c r="D34" s="6"/>
      <c r="E34" s="6"/>
      <c r="F34" s="6"/>
      <c r="G34" s="1"/>
    </row>
    <row r="35" spans="1:7" ht="15.6" x14ac:dyDescent="0.3">
      <c r="A35" s="52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7058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REINALDO ESPELETA SANTIS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45372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4" t="s">
        <v>68</v>
      </c>
      <c r="B51" s="124"/>
      <c r="C51" s="124"/>
      <c r="D51" s="124"/>
      <c r="E51" s="124"/>
      <c r="F51" s="124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5" t="s">
        <v>69</v>
      </c>
      <c r="C53" s="126"/>
      <c r="D53" s="127"/>
      <c r="E53" s="127"/>
      <c r="F53" s="128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106" t="s">
        <v>148</v>
      </c>
      <c r="B55" s="38">
        <f>'4637'!B21</f>
        <v>1</v>
      </c>
      <c r="C55" s="101" t="str">
        <f>'4637'!C21</f>
        <v>CUB C/R R8 ***</v>
      </c>
      <c r="D55" s="39">
        <f>'4637'!D21</f>
        <v>3540</v>
      </c>
      <c r="E55" s="39">
        <f>'4637'!E21</f>
        <v>600</v>
      </c>
      <c r="F55" s="38" t="str">
        <f>'4637'!F21</f>
        <v>CARIBE 2182 MT (OPACO)</v>
      </c>
      <c r="G55" s="1"/>
    </row>
    <row r="56" spans="1:7" s="15" customFormat="1" ht="15" customHeight="1" x14ac:dyDescent="0.3">
      <c r="A56" s="96"/>
      <c r="B56" s="38">
        <f>'4637'!B22</f>
        <v>1</v>
      </c>
      <c r="C56" s="101" t="str">
        <f>'4637'!C22</f>
        <v xml:space="preserve">CUB C/R R8 </v>
      </c>
      <c r="D56" s="39">
        <f>'4637'!D22</f>
        <v>2950</v>
      </c>
      <c r="E56" s="39">
        <f>'4637'!E22</f>
        <v>600</v>
      </c>
      <c r="F56" s="38" t="str">
        <f>'4637'!F22</f>
        <v>CARIBE 2182 MT (OPACO)</v>
      </c>
      <c r="G56" s="1"/>
    </row>
    <row r="57" spans="1:7" s="15" customFormat="1" ht="15" customHeight="1" x14ac:dyDescent="0.3">
      <c r="A57" s="96"/>
      <c r="B57" s="38">
        <f>'4637'!B24</f>
        <v>1</v>
      </c>
      <c r="C57" s="101" t="str">
        <f>'4637'!C24</f>
        <v xml:space="preserve">CUB C/R R8 </v>
      </c>
      <c r="D57" s="39">
        <f>'4637'!D24</f>
        <v>1995</v>
      </c>
      <c r="E57" s="39">
        <f>'4637'!E24</f>
        <v>600</v>
      </c>
      <c r="F57" s="38" t="str">
        <f>'4637'!F24</f>
        <v>GRANITINO NEGRO 3014 BR</v>
      </c>
      <c r="G57" s="1"/>
    </row>
    <row r="58" spans="1:7" s="15" customFormat="1" ht="15" customHeight="1" x14ac:dyDescent="0.3">
      <c r="A58" s="96"/>
      <c r="B58" s="52"/>
      <c r="C58" s="102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9:F19"/>
    <mergeCell ref="A10:F10"/>
    <mergeCell ref="A51:F51"/>
    <mergeCell ref="B53:F53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2024-03-18T17:48:34Z</cp:lastPrinted>
  <dcterms:created xsi:type="dcterms:W3CDTF">2013-03-19T12:54:14Z</dcterms:created>
  <dcterms:modified xsi:type="dcterms:W3CDTF">2024-03-20T13:41:29Z</dcterms:modified>
</cp:coreProperties>
</file>