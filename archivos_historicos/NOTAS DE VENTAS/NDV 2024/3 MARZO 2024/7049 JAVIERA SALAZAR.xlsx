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18775503-B81A-4F11-8633-41D7E72C5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" l="1"/>
  <c r="C35" i="3"/>
  <c r="D35" i="3"/>
  <c r="E35" i="3"/>
  <c r="F35" i="3"/>
  <c r="B36" i="3"/>
  <c r="C36" i="3"/>
  <c r="D36" i="3"/>
  <c r="E36" i="3"/>
  <c r="F36" i="3"/>
  <c r="B60" i="3"/>
  <c r="C60" i="3"/>
  <c r="D60" i="3"/>
  <c r="E60" i="3"/>
  <c r="F60" i="3"/>
  <c r="B61" i="3"/>
  <c r="C61" i="3"/>
  <c r="D61" i="3"/>
  <c r="E61" i="3"/>
  <c r="F61" i="3"/>
  <c r="H25" i="4"/>
  <c r="H24" i="4"/>
  <c r="B34" i="3" l="1"/>
  <c r="I26" i="3" s="1"/>
  <c r="B26" i="3" s="1"/>
  <c r="C34" i="3"/>
  <c r="F26" i="3" s="1"/>
  <c r="D34" i="3"/>
  <c r="J26" i="3" s="1"/>
  <c r="D26" i="3" s="1"/>
  <c r="E34" i="3"/>
  <c r="K26" i="3" s="1"/>
  <c r="E26" i="3" s="1"/>
  <c r="F34" i="3"/>
  <c r="B59" i="3"/>
  <c r="C59" i="3"/>
  <c r="D59" i="3"/>
  <c r="E59" i="3"/>
  <c r="F59" i="3"/>
  <c r="J16" i="3" l="1"/>
  <c r="D16" i="3" s="1"/>
  <c r="K16" i="3"/>
  <c r="E16" i="3" s="1"/>
  <c r="I16" i="3"/>
  <c r="B16" i="3" s="1"/>
  <c r="F16" i="3"/>
  <c r="H23" i="4"/>
  <c r="H22" i="4"/>
  <c r="H21" i="4"/>
  <c r="H28" i="4" l="1"/>
  <c r="B33" i="3"/>
  <c r="I25" i="3" s="1"/>
  <c r="C33" i="3"/>
  <c r="F15" i="3" s="1"/>
  <c r="D33" i="3"/>
  <c r="J15" i="3" s="1"/>
  <c r="D15" i="3" s="1"/>
  <c r="E33" i="3"/>
  <c r="F33" i="3"/>
  <c r="B58" i="3"/>
  <c r="C58" i="3"/>
  <c r="D58" i="3"/>
  <c r="E58" i="3"/>
  <c r="F58" i="3"/>
  <c r="B57" i="3"/>
  <c r="C57" i="3"/>
  <c r="D57" i="3"/>
  <c r="E57" i="3"/>
  <c r="F57" i="3"/>
  <c r="B32" i="3"/>
  <c r="C32" i="3"/>
  <c r="F24" i="3" s="1"/>
  <c r="D32" i="3"/>
  <c r="J14" i="3" s="1"/>
  <c r="D14" i="3" s="1"/>
  <c r="E32" i="3"/>
  <c r="K14" i="3" s="1"/>
  <c r="E14" i="3" s="1"/>
  <c r="F32" i="3"/>
  <c r="B25" i="3" l="1"/>
  <c r="K15" i="3"/>
  <c r="E15" i="3" s="1"/>
  <c r="I15" i="3"/>
  <c r="B15" i="3" s="1"/>
  <c r="J25" i="3"/>
  <c r="D25" i="3" s="1"/>
  <c r="K25" i="3"/>
  <c r="E25" i="3" s="1"/>
  <c r="F25" i="3"/>
  <c r="H29" i="4"/>
  <c r="I24" i="3"/>
  <c r="F14" i="3"/>
  <c r="K24" i="3"/>
  <c r="E24" i="3" s="1"/>
  <c r="J24" i="3"/>
  <c r="D24" i="3" s="1"/>
  <c r="B24" i="3" l="1"/>
  <c r="I14" i="3"/>
  <c r="B14" i="3" s="1"/>
  <c r="H30" i="4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<sst xmlns="http://schemas.openxmlformats.org/spreadsheetml/2006/main" count="252" uniqueCount="145">
  <si>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</si>
  <si>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</si>
  <si>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</si>
  <si>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</si>
  <si>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</si>
  <si>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</si>
  <si>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</si>
  <si>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</si>
  <si>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</si>
  <si>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</si>
  <si>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</si>
  <si>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</si>
  <si>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</si>
  <si>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</si>
  <si>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</si>
  <si>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</si>
  <si>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</si>
  <si>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</si>
  <si>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</si>
  <si>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</si>
  <si>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</si>
  <si>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</si>
  <si>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</si>
  <si>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</si>
  <si>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</si>
  <si>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</si>
  <si>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</si>
  <si>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</si>
  <si>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</si>
  <si>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</si>
  <si>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</si>
  <si>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</si>
  <si>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</si>
  <si>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</si>
  <si>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</si>
  <si>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</si>
  <si>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</si>
  <si>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</si>
  <si>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</si>
  <si>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</si>
  <si>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</si>
  <si>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</si>
  <si>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</si>
  <si>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</si>
  <si>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</si>
  <si>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</si>
  <si>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</si>
  <si>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</si>
  <si>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</si>
  <si>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</si>
  <si>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</si>
  <si>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</si>
  <si>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</si>
  <si>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</si>
  <si>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</si>
  <si>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</si>
  <si>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</si>
  <si>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</si>
  <si>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</si>
  <si>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</si>
  <si>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</si>
  <si>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</si>
  <si>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</si>
  <si>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</si>
  <si>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</si>
  <si>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</si>
  <si>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</si>
  <si>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</si>
  <si>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</si>
  <si>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</si>
  <si>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</si>
  <si>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</si>
  <si>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</si>
  <si>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</si>
  <si>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</si>
  <si>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</si>
  <si>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</si>
  <si>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</si>
  <si>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</si>
  <si>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</si>
  <si>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</si>
  <si>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</si>
  <si>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</si>
  <si>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</si>
  <si>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</si>
  <si>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</si>
  <si>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</si>
  <si>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</si>
  <si>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</si>
  <si>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</si>
  <si>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</si>
  <si>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</si>
  <si>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</si>
  <si>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</si>
  <si>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</si>
  <si>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</si>
  <si>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</si>
  <si>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</si>
  <si>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</si>
  <si>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</si>
  <si>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</si>
  <si>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</si>
  <si>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</si>
  <si>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</si>
  <si>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</si>
  <si>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</si>
  <si>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</si>
  <si>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</si>
  <si>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</si>
  <si>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</si>
  <si>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</si>
  <si>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</si>
  <si>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</si>
  <si>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</si>
  <si>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</si>
  <si>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</si>
  <si>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</si>
  <si>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</si>
  <si>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</si>
  <si>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</si>
  <si>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</si>
  <si>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</si>
  <si>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</si>
  <si>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</si>
  <si>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</si>
  <si>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</si>
  <si>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</si>
  <si>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</si>
  <si>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</si>
  <si>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</si>
  <si>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</si>
  <si>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</si>
  <si>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</si>
  <si>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</si>
  <si>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</si>
  <si>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</si>
  <si>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</si>
  <si>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CUB S/R R8</t>
  </si>
  <si>
    <t>JAVIERA SALAZAR</t>
  </si>
  <si>
    <t>569 9222 0345</t>
  </si>
  <si>
    <t>DETALLE EN OBRA</t>
  </si>
  <si>
    <t>GRAFITO 2174 MT</t>
  </si>
  <si>
    <t>N°10645</t>
  </si>
  <si>
    <t>RESPALDOS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</si>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</sst>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EN STOCK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RESPALDOS EN STOCK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194310</xdr:rowOff>
    </xdr:from>
    <xdr:to>
      <xdr:col>2</xdr:col>
      <xdr:colOff>100723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8" workbookViewId="0">
      <selection activeCell="M20" sqref="M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7049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140</v>
      </c>
      <c r="D10" s="55"/>
      <c r="E10" s="55"/>
      <c r="F10" s="56" t="s">
        <v>28</v>
      </c>
      <c r="G10" s="57">
        <v>45352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45357</v>
      </c>
      <c r="H11" s="62"/>
      <c r="I11" s="1"/>
    </row>
    <row r="12" spans="1:17" ht="16.2" thickBot="1" x14ac:dyDescent="0.35">
      <c r="A12" s="1"/>
      <c r="B12" s="63" t="s">
        <v>133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138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3" t="s">
        <v>139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99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3</v>
      </c>
      <c r="C21" s="111" t="s">
        <v>137</v>
      </c>
      <c r="D21" s="112">
        <v>3050</v>
      </c>
      <c r="E21" s="113">
        <v>710</v>
      </c>
      <c r="F21" s="104" t="s">
        <v>141</v>
      </c>
      <c r="G21" s="107">
        <v>136175</v>
      </c>
      <c r="H21" s="105">
        <f>G21*B21</f>
        <v>408525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0">
        <v>1</v>
      </c>
      <c r="C22" s="111" t="s">
        <v>137</v>
      </c>
      <c r="D22" s="106">
        <v>3050</v>
      </c>
      <c r="E22" s="114">
        <v>730</v>
      </c>
      <c r="F22" s="104" t="s">
        <v>141</v>
      </c>
      <c r="G22" s="108">
        <v>136175</v>
      </c>
      <c r="H22" s="105">
        <f>G22*B22</f>
        <v>136175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0">
        <v>1</v>
      </c>
      <c r="C23" s="111" t="s">
        <v>137</v>
      </c>
      <c r="D23" s="106">
        <v>1500</v>
      </c>
      <c r="E23" s="114">
        <v>730</v>
      </c>
      <c r="F23" s="104" t="s">
        <v>141</v>
      </c>
      <c r="G23" s="108">
        <v>70679</v>
      </c>
      <c r="H23" s="105">
        <f t="shared" ref="H23" si="0">G23*B23</f>
        <v>70679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0">
        <v>5</v>
      </c>
      <c r="C24" s="111" t="s">
        <v>143</v>
      </c>
      <c r="D24" s="106">
        <v>3050</v>
      </c>
      <c r="E24" s="114">
        <v>40</v>
      </c>
      <c r="F24" s="104" t="s">
        <v>141</v>
      </c>
      <c r="G24" s="108">
        <v>14098</v>
      </c>
      <c r="H24" s="105">
        <f t="shared" ref="H24:H25" si="1">G24*B24</f>
        <v>70490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4">
        <v>1</v>
      </c>
      <c r="C25" s="132" t="s">
        <v>144</v>
      </c>
      <c r="D25" s="106"/>
      <c r="E25" s="106"/>
      <c r="F25" s="104"/>
      <c r="G25" s="133">
        <v>450000</v>
      </c>
      <c r="H25" s="105">
        <f t="shared" si="1"/>
        <v>450000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30"/>
      <c r="C26" s="134"/>
      <c r="D26" s="131"/>
      <c r="E26" s="131"/>
      <c r="F26" s="130"/>
      <c r="G26" s="75"/>
      <c r="H26" s="97"/>
      <c r="I26" s="1"/>
      <c r="K26" s="17"/>
      <c r="L26" s="26"/>
      <c r="M26" s="17"/>
      <c r="N26" s="17"/>
      <c r="O26" s="26"/>
      <c r="P26" s="33"/>
    </row>
    <row r="27" spans="1:16" ht="16.8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1135869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215815.11000000002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1351684.11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8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zoomScaleNormal="100" workbookViewId="0">
      <selection sqref="A1:G4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7049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DETALLE EN OBRA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3</v>
      </c>
      <c r="C14" s="25"/>
      <c r="D14" s="25">
        <f>J14+D$13</f>
        <v>3100</v>
      </c>
      <c r="E14" s="35">
        <f>K14+E$13</f>
        <v>710</v>
      </c>
      <c r="F14" s="101" t="str">
        <f>C32</f>
        <v>CUB S/R R8</v>
      </c>
      <c r="G14" s="1"/>
      <c r="I14" s="3">
        <f>I24</f>
        <v>3</v>
      </c>
      <c r="J14" s="4">
        <f t="shared" ref="J14:K14" si="1">D32</f>
        <v>3050</v>
      </c>
      <c r="K14" s="4">
        <f t="shared" si="1"/>
        <v>710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:D16" si="3">J15+D$13</f>
        <v>3100</v>
      </c>
      <c r="E15" s="35">
        <f t="shared" ref="E15:E16" si="4">K15+E$13</f>
        <v>730</v>
      </c>
      <c r="F15" s="101" t="str">
        <f t="shared" ref="F15" si="5">C33</f>
        <v>CUB S/R R8</v>
      </c>
      <c r="G15" s="1"/>
      <c r="I15" s="3">
        <f t="shared" ref="I15" si="6">B33</f>
        <v>1</v>
      </c>
      <c r="J15" s="4">
        <f t="shared" ref="J15" si="7">D33</f>
        <v>3050</v>
      </c>
      <c r="K15" s="4">
        <f t="shared" ref="K15" si="8">E33</f>
        <v>730</v>
      </c>
    </row>
    <row r="16" spans="1:14" ht="15.6" x14ac:dyDescent="0.3">
      <c r="A16" s="96"/>
      <c r="B16" s="25">
        <f t="shared" ref="B16" si="9">I16</f>
        <v>1</v>
      </c>
      <c r="C16" s="25"/>
      <c r="D16" s="25">
        <f t="shared" si="3"/>
        <v>1550</v>
      </c>
      <c r="E16" s="35">
        <f t="shared" si="4"/>
        <v>730</v>
      </c>
      <c r="F16" s="101" t="str">
        <f>C34</f>
        <v>CUB S/R R8</v>
      </c>
      <c r="G16" s="1"/>
      <c r="I16" s="3">
        <f>B34</f>
        <v>1</v>
      </c>
      <c r="J16" s="4">
        <f>D34</f>
        <v>1500</v>
      </c>
      <c r="K16" s="4">
        <f>E34</f>
        <v>730</v>
      </c>
    </row>
    <row r="17" spans="1:11" ht="15.6" x14ac:dyDescent="0.3">
      <c r="A17" s="96"/>
      <c r="B17" s="6"/>
      <c r="C17" s="6"/>
      <c r="D17" s="6"/>
      <c r="E17" s="89"/>
      <c r="F17" s="116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5" t="s">
        <v>14</v>
      </c>
      <c r="B20" s="125"/>
      <c r="C20" s="125"/>
      <c r="D20" s="125"/>
      <c r="E20" s="125"/>
      <c r="F20" s="125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60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131</v>
      </c>
      <c r="B24" s="16">
        <f t="shared" ref="B24" si="10">I24</f>
        <v>3</v>
      </c>
      <c r="C24" s="16"/>
      <c r="D24" s="16">
        <f>J24+D$23</f>
        <v>3090</v>
      </c>
      <c r="E24" s="16">
        <f>K24+E$23</f>
        <v>770</v>
      </c>
      <c r="F24" s="102" t="str">
        <f>C32</f>
        <v>CUB S/R R8</v>
      </c>
      <c r="G24" s="1"/>
      <c r="I24" s="3">
        <f>B32</f>
        <v>3</v>
      </c>
      <c r="J24" s="4">
        <f>D32</f>
        <v>3050</v>
      </c>
      <c r="K24" s="4">
        <f>E32</f>
        <v>710</v>
      </c>
    </row>
    <row r="25" spans="1:11" ht="15.6" x14ac:dyDescent="0.3">
      <c r="A25" s="96"/>
      <c r="B25" s="16">
        <f t="shared" ref="B25" si="11">I25</f>
        <v>1</v>
      </c>
      <c r="C25" s="16"/>
      <c r="D25" s="16">
        <f>J25+D$23</f>
        <v>3090</v>
      </c>
      <c r="E25" s="16">
        <f>K25+E$23</f>
        <v>790</v>
      </c>
      <c r="F25" s="102" t="str">
        <f t="shared" ref="F25" si="12">C33</f>
        <v>CUB S/R R8</v>
      </c>
      <c r="G25" s="1"/>
      <c r="I25" s="3">
        <f t="shared" ref="I25" si="13">B33</f>
        <v>1</v>
      </c>
      <c r="J25" s="4">
        <f t="shared" ref="J25:K25" si="14">D33</f>
        <v>3050</v>
      </c>
      <c r="K25" s="4">
        <f t="shared" si="14"/>
        <v>730</v>
      </c>
    </row>
    <row r="26" spans="1:11" ht="15.6" x14ac:dyDescent="0.3">
      <c r="A26" s="96"/>
      <c r="B26" s="16">
        <f t="shared" ref="B26" si="15">I26</f>
        <v>1</v>
      </c>
      <c r="C26" s="16"/>
      <c r="D26" s="16">
        <f>J26+D$23</f>
        <v>1540</v>
      </c>
      <c r="E26" s="16">
        <f>K26+E$23</f>
        <v>790</v>
      </c>
      <c r="F26" s="102" t="str">
        <f>C34</f>
        <v>CUB S/R R8</v>
      </c>
      <c r="G26" s="1"/>
      <c r="I26" s="3">
        <f>B34</f>
        <v>1</v>
      </c>
      <c r="J26" s="4">
        <f>D34</f>
        <v>1500</v>
      </c>
      <c r="K26" s="4">
        <f>E34</f>
        <v>730</v>
      </c>
    </row>
    <row r="27" spans="1:11" ht="15.6" x14ac:dyDescent="0.3">
      <c r="A27" s="96"/>
      <c r="B27" s="6"/>
      <c r="C27" s="6"/>
      <c r="D27" s="6"/>
      <c r="E27" s="6"/>
      <c r="F27" s="6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136</v>
      </c>
      <c r="B32" s="25">
        <f>'4637'!B21</f>
        <v>3</v>
      </c>
      <c r="C32" s="101" t="str">
        <f>'4637'!C21</f>
        <v>CUB S/R R8</v>
      </c>
      <c r="D32" s="25">
        <f>'4637'!D21</f>
        <v>3050</v>
      </c>
      <c r="E32" s="25">
        <f>'4637'!E21</f>
        <v>710</v>
      </c>
      <c r="F32" s="25" t="str">
        <f>'4637'!F21</f>
        <v>GRAFITO 2174 MT</v>
      </c>
      <c r="G32" s="1"/>
    </row>
    <row r="33" spans="1:7" ht="15.6" x14ac:dyDescent="0.3">
      <c r="A33" s="96"/>
      <c r="B33" s="25">
        <f>'4637'!B22</f>
        <v>1</v>
      </c>
      <c r="C33" s="101" t="str">
        <f>'4637'!C22</f>
        <v>CUB S/R R8</v>
      </c>
      <c r="D33" s="25">
        <f>'4637'!D22</f>
        <v>3050</v>
      </c>
      <c r="E33" s="25">
        <f>'4637'!E22</f>
        <v>730</v>
      </c>
      <c r="F33" s="25" t="str">
        <f>'4637'!F22</f>
        <v>GRAFITO 2174 MT</v>
      </c>
      <c r="G33" s="1"/>
    </row>
    <row r="34" spans="1:7" ht="15.6" x14ac:dyDescent="0.3">
      <c r="A34" s="96"/>
      <c r="B34" s="25">
        <f>'4637'!B23</f>
        <v>1</v>
      </c>
      <c r="C34" s="101" t="str">
        <f>'4637'!C23</f>
        <v>CUB S/R R8</v>
      </c>
      <c r="D34" s="25">
        <f>'4637'!D23</f>
        <v>1500</v>
      </c>
      <c r="E34" s="25">
        <f>'4637'!E23</f>
        <v>730</v>
      </c>
      <c r="F34" s="25" t="str">
        <f>'4637'!F23</f>
        <v>GRAFITO 2174 MT</v>
      </c>
      <c r="G34" s="1"/>
    </row>
    <row r="35" spans="1:7" ht="15.6" x14ac:dyDescent="0.3">
      <c r="A35" s="96"/>
      <c r="B35" s="25">
        <f>'4637'!B24</f>
        <v>5</v>
      </c>
      <c r="C35" s="101" t="str">
        <f>'4637'!C24</f>
        <v>RESPALDOS</v>
      </c>
      <c r="D35" s="25">
        <f>'4637'!D24</f>
        <v>3050</v>
      </c>
      <c r="E35" s="25">
        <f>'4637'!E24</f>
        <v>40</v>
      </c>
      <c r="F35" s="25" t="str">
        <f>'4637'!F24</f>
        <v>GRAFITO 2174 MT</v>
      </c>
      <c r="G35" s="1"/>
    </row>
    <row r="36" spans="1:7" ht="15.6" x14ac:dyDescent="0.3">
      <c r="A36" s="96"/>
      <c r="B36" s="25">
        <f>'4637'!B25</f>
        <v>1</v>
      </c>
      <c r="C36" s="101" t="str">
        <f>'4637'!C25</f>
        <v>SERVICIO INSTALACION</v>
      </c>
      <c r="D36" s="25">
        <f>'4637'!D25</f>
        <v>0</v>
      </c>
      <c r="E36" s="25">
        <f>'4637'!E25</f>
        <v>0</v>
      </c>
      <c r="F36" s="25">
        <f>'4637'!F25</f>
        <v>0</v>
      </c>
      <c r="G36" s="1"/>
    </row>
    <row r="37" spans="1:7" ht="15.6" x14ac:dyDescent="0.3">
      <c r="A37" s="52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7049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DETALLE EN OBRA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45357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5" t="s">
        <v>68</v>
      </c>
      <c r="B53" s="125"/>
      <c r="C53" s="125"/>
      <c r="D53" s="125"/>
      <c r="E53" s="125"/>
      <c r="F53" s="125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6" t="s">
        <v>69</v>
      </c>
      <c r="C55" s="127"/>
      <c r="D55" s="128"/>
      <c r="E55" s="128"/>
      <c r="F55" s="129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6"/>
      <c r="B57" s="38">
        <f>'4637'!B21</f>
        <v>3</v>
      </c>
      <c r="C57" s="100" t="str">
        <f>'4637'!C21</f>
        <v>CUB S/R R8</v>
      </c>
      <c r="D57" s="39">
        <f>'4637'!D21</f>
        <v>3050</v>
      </c>
      <c r="E57" s="39">
        <f>'4637'!E21</f>
        <v>710</v>
      </c>
      <c r="F57" s="38" t="str">
        <f>'4637'!F21</f>
        <v>GRAFITO 2174 MT</v>
      </c>
      <c r="G57" s="1"/>
    </row>
    <row r="58" spans="1:7" s="15" customFormat="1" ht="15" customHeight="1" x14ac:dyDescent="0.3">
      <c r="A58" s="96"/>
      <c r="B58" s="38">
        <f>'4637'!B22</f>
        <v>1</v>
      </c>
      <c r="C58" s="100" t="str">
        <f>'4637'!C22</f>
        <v>CUB S/R R8</v>
      </c>
      <c r="D58" s="39">
        <f>'4637'!D22</f>
        <v>3050</v>
      </c>
      <c r="E58" s="39">
        <f>'4637'!E22</f>
        <v>730</v>
      </c>
      <c r="F58" s="38" t="str">
        <f>'4637'!F22</f>
        <v>GRAFITO 2174 MT</v>
      </c>
      <c r="G58" s="1"/>
    </row>
    <row r="59" spans="1:7" s="15" customFormat="1" ht="15" customHeight="1" x14ac:dyDescent="0.3">
      <c r="A59" s="96"/>
      <c r="B59" s="38">
        <f>'4637'!B23</f>
        <v>1</v>
      </c>
      <c r="C59" s="100" t="str">
        <f>'4637'!C23</f>
        <v>CUB S/R R8</v>
      </c>
      <c r="D59" s="39">
        <f>'4637'!D23</f>
        <v>1500</v>
      </c>
      <c r="E59" s="39">
        <f>'4637'!E23</f>
        <v>730</v>
      </c>
      <c r="F59" s="38" t="str">
        <f>'4637'!F23</f>
        <v>GRAFITO 2174 MT</v>
      </c>
      <c r="G59" s="1"/>
    </row>
    <row r="60" spans="1:7" s="15" customFormat="1" ht="15" customHeight="1" x14ac:dyDescent="0.3">
      <c r="A60" s="96"/>
      <c r="B60" s="38">
        <f>'4637'!B24</f>
        <v>5</v>
      </c>
      <c r="C60" s="100" t="str">
        <f>'4637'!C24</f>
        <v>RESPALDOS</v>
      </c>
      <c r="D60" s="39">
        <f>'4637'!D24</f>
        <v>3050</v>
      </c>
      <c r="E60" s="39">
        <f>'4637'!E24</f>
        <v>40</v>
      </c>
      <c r="F60" s="38" t="str">
        <f>'4637'!F24</f>
        <v>GRAFITO 2174 MT</v>
      </c>
      <c r="G60" s="1"/>
    </row>
    <row r="61" spans="1:7" s="15" customFormat="1" ht="15" customHeight="1" x14ac:dyDescent="0.3">
      <c r="A61" s="96"/>
      <c r="B61" s="38">
        <f>'4637'!B25</f>
        <v>1</v>
      </c>
      <c r="C61" s="100" t="str">
        <f>'4637'!C25</f>
        <v>SERVICIO INSTALACION</v>
      </c>
      <c r="D61" s="39">
        <f>'4637'!D25</f>
        <v>0</v>
      </c>
      <c r="E61" s="39">
        <f>'4637'!E25</f>
        <v>0</v>
      </c>
      <c r="F61" s="38">
        <f>'4637'!F25</f>
        <v>0</v>
      </c>
      <c r="G61" s="1"/>
    </row>
    <row r="62" spans="1:7" s="15" customFormat="1" ht="15" customHeight="1" x14ac:dyDescent="0.3">
      <c r="A62" s="96"/>
      <c r="B62" s="52"/>
      <c r="C62" s="115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0:F20"/>
    <mergeCell ref="A10:F10"/>
    <mergeCell ref="A53:F53"/>
    <mergeCell ref="B55:F55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2024-03-01T15:23:25Z</cp:lastPrinted>
  <dcterms:created xsi:type="dcterms:W3CDTF">2013-03-19T12:54:14Z</dcterms:created>
  <dcterms:modified xsi:type="dcterms:W3CDTF">2024-03-01T15:23:57Z</dcterms:modified>
</cp:coreProperties>
</file>