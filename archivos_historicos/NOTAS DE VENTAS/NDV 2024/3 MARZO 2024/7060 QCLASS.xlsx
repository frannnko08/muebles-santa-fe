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3 MARZO 2024\"/>
    </mc:Choice>
  </mc:AlternateContent>
  <xr:revisionPtr revIDLastSave="0" documentId="13_ncr:1_{0797823A-470A-46D0-A9D0-B8683B10CC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D15" i="3"/>
  <c r="H20" i="4"/>
  <c r="B28" i="3" l="1"/>
  <c r="I22" i="3" s="1"/>
  <c r="I14" i="3" s="1"/>
  <c r="C28" i="3"/>
  <c r="F22" i="3" s="1"/>
  <c r="D28" i="3"/>
  <c r="J22" i="3" s="1"/>
  <c r="E28" i="3"/>
  <c r="K22" i="3" s="1"/>
  <c r="K14" i="3" s="1"/>
  <c r="E14" i="3" s="1"/>
  <c r="F28" i="3"/>
  <c r="B48" i="3"/>
  <c r="C48" i="3"/>
  <c r="D48" i="3"/>
  <c r="E48" i="3"/>
  <c r="F48" i="3"/>
  <c r="D22" i="3" l="1"/>
  <c r="J14" i="3"/>
  <c r="D14" i="3" s="1"/>
  <c r="B22" i="3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<sst xmlns="http://schemas.openxmlformats.org/spreadsheetml/2006/main" count="249" uniqueCount="146">
  <si>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</si>
  <si>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</si>
  <si>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</si>
  <si>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</si>
  <si>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</si>
  <si>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</si>
  <si>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</si>
  <si>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</si>
  <si>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</si>
  <si>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</si>
  <si>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</si>
  <si>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</si>
  <si>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</si>
  <si>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</si>
  <si>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</si>
  <si>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</si>
  <si>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</si>
  <si>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</si>
  <si>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</si>
  <si>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</si>
  <si>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</si>
  <si>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</si>
  <si>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</si>
  <si>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</si>
  <si>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</si>
  <si>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</si>
  <si>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</si>
  <si>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</si>
  <si>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</si>
  <si>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</si>
  <si>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</si>
  <si>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</si>
  <si>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</si>
  <si>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</si>
  <si>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</si>
  <si>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</si>
  <si>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</si>
  <si>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</si>
  <si>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</si>
  <si>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</si>
  <si>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</si>
  <si>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</si>
  <si>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</si>
  <si>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</si>
  <si>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</si>
  <si>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</si>
  <si>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</si>
  <si>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</si>
  <si>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</si>
  <si>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</si>
  <si>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</si>
  <si>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</si>
  <si>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</si>
  <si>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</si>
  <si>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</si>
  <si>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</si>
  <si>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</si>
  <si>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</si>
  <si>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</si>
  <si>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</si>
  <si>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</si>
  <si>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</si>
  <si>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</si>
  <si>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</si>
  <si>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</si>
  <si>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</si>
  <si>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</si>
  <si>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</si>
  <si>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</si>
  <si>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</si>
  <si>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</si>
  <si>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</si>
  <si>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</si>
  <si>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</si>
  <si>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</si>
  <si>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</si>
  <si>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</si>
  <si>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</si>
  <si>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</si>
  <si>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</si>
  <si>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</si>
  <si>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</si>
  <si>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</si>
  <si>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</si>
  <si>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</si>
  <si>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</si>
  <si>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</si>
  <si>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</si>
  <si>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</si>
  <si>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</si>
  <si>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</si>
  <si>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</si>
  <si>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</si>
  <si>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</si>
  <si>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</si>
  <si>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</si>
  <si>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</si>
  <si>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</si>
  <si>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</si>
  <si>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</si>
  <si>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</si>
  <si>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</si>
  <si>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</si>
  <si>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</si>
  <si>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</si>
  <si>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</si>
  <si>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</si>
  <si>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</si>
  <si>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</si>
  <si>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</si>
  <si>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</si>
  <si>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</si>
  <si>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</si>
  <si>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</si>
  <si>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</si>
  <si>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</si>
  <si>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</si>
  <si>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</si>
  <si>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</si>
  <si>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</si>
  <si>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</si>
  <si>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</si>
  <si>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</si>
  <si>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</si>
  <si>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</si>
  <si>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</si>
  <si>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</si>
  <si>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</si>
  <si>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</si>
  <si>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</si>
  <si>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</si>
  <si>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</si>
  <si>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</si>
  <si>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</si>
  <si>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</si>
  <si>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</si>
  <si>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</si>
  <si>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</si>
  <si>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</si>
  <si>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VAINILLA 2109 BR</t>
  </si>
  <si>
    <t>MELAMIL 18MM</t>
  </si>
  <si>
    <t>VER DESARROLLO</t>
  </si>
  <si>
    <t>FALDON</t>
  </si>
  <si>
    <t>BANCA 35 CMS AMBOS LADOS</t>
  </si>
  <si>
    <t>MANUEL VARGAS</t>
  </si>
  <si>
    <t>+56 9 66776601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</si>
</sst>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30" fillId="3" borderId="0" xfId="2" quotePrefix="1" applyFont="1" applyFill="1" applyBorder="1"/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4" fillId="0" borderId="0" xfId="0" applyFont="1" applyAlignment="1">
      <alignment horizontal="right"/>
    </xf>
    <xf numFmtId="0" fontId="34" fillId="0" borderId="0" xfId="0" applyFont="1"/>
    <xf numFmtId="1" fontId="35" fillId="0" borderId="2" xfId="0" applyNumberFormat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10984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4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50X0,4MM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50X0,4MM BLANCO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868438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733183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9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/>
    </row>
    <row r="9" spans="2:16" ht="15" thickBot="1" x14ac:dyDescent="0.35"/>
    <row r="10" spans="2:16" ht="16.2" thickBot="1" x14ac:dyDescent="0.35">
      <c r="B10" s="14" t="s">
        <v>7</v>
      </c>
      <c r="C10" s="107" t="s">
        <v>138</v>
      </c>
      <c r="D10" s="15"/>
      <c r="E10" s="15"/>
      <c r="F10" s="16" t="s">
        <v>31</v>
      </c>
      <c r="G10" s="17">
        <v>44664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5" t="s">
        <v>136</v>
      </c>
      <c r="D11" s="20"/>
      <c r="E11" s="20"/>
      <c r="F11" s="20" t="s">
        <v>131</v>
      </c>
      <c r="G11" s="100">
        <v>44665</v>
      </c>
      <c r="H11" s="21"/>
    </row>
    <row r="12" spans="2:16" ht="15.6" x14ac:dyDescent="0.3">
      <c r="B12" s="87" t="s">
        <v>115</v>
      </c>
      <c r="C12" s="105" t="s">
        <v>144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06" t="s">
        <v>145</v>
      </c>
      <c r="D13" s="25"/>
      <c r="E13" s="20"/>
      <c r="F13" s="20" t="s">
        <v>32</v>
      </c>
      <c r="G13" s="20"/>
      <c r="H13" s="21"/>
    </row>
    <row r="14" spans="2:16" x14ac:dyDescent="0.3">
      <c r="B14" s="87" t="s">
        <v>1</v>
      </c>
      <c r="C14" s="108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0" t="s">
        <v>21</v>
      </c>
      <c r="G15" s="120"/>
      <c r="H15" s="121"/>
    </row>
    <row r="17" spans="2:15" ht="15" thickBot="1" x14ac:dyDescent="0.35"/>
    <row r="18" spans="2:15" ht="15" thickBot="1" x14ac:dyDescent="0.35">
      <c r="B18" s="122" t="s">
        <v>22</v>
      </c>
      <c r="C18" s="123"/>
      <c r="D18" s="123"/>
      <c r="E18" s="123"/>
      <c r="F18" s="123"/>
      <c r="G18" s="124"/>
      <c r="H18" s="125"/>
    </row>
    <row r="19" spans="2:15" x14ac:dyDescent="0.3">
      <c r="B19" s="95" t="s">
        <v>23</v>
      </c>
      <c r="C19" s="96" t="s">
        <v>24</v>
      </c>
      <c r="D19" s="96" t="s">
        <v>25</v>
      </c>
      <c r="E19" s="96" t="s">
        <v>9</v>
      </c>
      <c r="F19" s="117" t="s">
        <v>26</v>
      </c>
      <c r="G19" s="118" t="s">
        <v>27</v>
      </c>
      <c r="H19" s="118" t="s">
        <v>4</v>
      </c>
    </row>
    <row r="20" spans="2:15" ht="15.6" x14ac:dyDescent="0.3">
      <c r="B20" s="113">
        <v>1</v>
      </c>
      <c r="C20" s="115" t="s">
        <v>143</v>
      </c>
      <c r="D20" s="116">
        <v>1850</v>
      </c>
      <c r="E20" s="116">
        <v>300</v>
      </c>
      <c r="F20" s="113" t="s">
        <v>139</v>
      </c>
      <c r="G20" s="114">
        <v>198590</v>
      </c>
      <c r="H20" s="119">
        <f t="shared" ref="H20" si="0">G20*B20</f>
        <v>198590</v>
      </c>
      <c r="J20" s="59"/>
      <c r="K20" s="84"/>
      <c r="L20" s="59"/>
      <c r="M20" s="59"/>
      <c r="N20" s="84"/>
      <c r="O20" s="94"/>
    </row>
    <row r="21" spans="2:15" x14ac:dyDescent="0.3">
      <c r="B21" s="97"/>
      <c r="C21" s="97"/>
      <c r="D21" s="101"/>
      <c r="E21" s="101"/>
      <c r="F21" s="102"/>
      <c r="G21" s="98"/>
      <c r="H21" s="99"/>
      <c r="J21" s="59"/>
      <c r="K21" s="84"/>
      <c r="L21" s="59"/>
      <c r="M21" s="59"/>
      <c r="N21" s="84"/>
      <c r="O21" s="94"/>
    </row>
    <row r="22" spans="2:15" ht="8.25" customHeight="1" thickBot="1" x14ac:dyDescent="0.35">
      <c r="B22" s="59"/>
      <c r="C22" s="59"/>
      <c r="D22" s="59"/>
      <c r="E22" s="59"/>
      <c r="F22" s="59"/>
      <c r="G22" s="60"/>
      <c r="H22" s="61"/>
    </row>
    <row r="23" spans="2:15" ht="18" thickBot="1" x14ac:dyDescent="0.4">
      <c r="G23" s="30" t="s">
        <v>5</v>
      </c>
      <c r="H23" s="43">
        <f>SUM(H20:H22)</f>
        <v>198590</v>
      </c>
    </row>
    <row r="24" spans="2:15" ht="18" thickBot="1" x14ac:dyDescent="0.4">
      <c r="G24" s="40" t="s">
        <v>6</v>
      </c>
      <c r="H24" s="43">
        <f>H23*19%</f>
        <v>37732.1</v>
      </c>
    </row>
    <row r="25" spans="2:15" ht="18" thickBot="1" x14ac:dyDescent="0.4">
      <c r="G25" s="31" t="s">
        <v>4</v>
      </c>
      <c r="H25" s="43">
        <f>SUM(H23+H24)</f>
        <v>236322.1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1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34</v>
      </c>
      <c r="C2" s="126"/>
      <c r="D2" s="126"/>
      <c r="E2" s="62"/>
      <c r="G2" s="126" t="s">
        <v>73</v>
      </c>
      <c r="H2" s="126"/>
      <c r="I2" s="126"/>
      <c r="P2" s="127" t="s">
        <v>61</v>
      </c>
      <c r="Q2" s="127"/>
      <c r="R2" s="127"/>
    </row>
    <row r="3" spans="2:18" x14ac:dyDescent="0.3">
      <c r="B3" s="48" t="s">
        <v>8</v>
      </c>
      <c r="C3" s="48" t="s">
        <v>9</v>
      </c>
      <c r="D3" s="48" t="s">
        <v>24</v>
      </c>
      <c r="E3" s="63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88">
        <v>50</v>
      </c>
      <c r="H4" s="88">
        <v>100</v>
      </c>
      <c r="I4" s="89" t="s">
        <v>118</v>
      </c>
      <c r="J4" s="90" t="s">
        <v>112</v>
      </c>
      <c r="K4" s="90"/>
      <c r="L4" s="90"/>
      <c r="M4" s="90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88">
        <v>50</v>
      </c>
      <c r="H5" s="88"/>
      <c r="I5" s="89" t="s">
        <v>120</v>
      </c>
      <c r="J5" s="90" t="s">
        <v>122</v>
      </c>
      <c r="K5" s="90"/>
      <c r="L5" s="90"/>
      <c r="M5" s="90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27" t="s">
        <v>61</v>
      </c>
      <c r="M8" s="127"/>
      <c r="N8" s="12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0" t="s">
        <v>114</v>
      </c>
      <c r="K20" s="90"/>
      <c r="L20" s="90"/>
      <c r="M20" s="90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88"/>
      <c r="H22" s="88"/>
      <c r="I22" s="89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5">
        <v>40</v>
      </c>
      <c r="C36" s="85">
        <v>90</v>
      </c>
      <c r="D36" s="86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5">
        <v>40</v>
      </c>
      <c r="C37" s="85">
        <v>90</v>
      </c>
      <c r="D37" s="86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topLeftCell="A12" zoomScaleNormal="100" workbookViewId="0">
      <selection activeCell="H30" sqref="H30"/>
    </sheetView>
  </sheetViews>
  <sheetFormatPr baseColWidth="10" defaultRowHeight="14.4" x14ac:dyDescent="0.3"/>
  <cols>
    <col min="1" max="1" width="14.33203125" customWidth="1"/>
    <col min="2" max="2" width="14" customWidth="1"/>
    <col min="3" max="3" width="36.554687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8" t="s">
        <v>133</v>
      </c>
      <c r="L2" s="68"/>
      <c r="M2" s="68"/>
    </row>
    <row r="3" spans="1:14" x14ac:dyDescent="0.3">
      <c r="K3" s="128" t="s">
        <v>64</v>
      </c>
      <c r="L3" s="128"/>
      <c r="M3" s="128" t="s">
        <v>16</v>
      </c>
      <c r="N3" s="128"/>
    </row>
    <row r="4" spans="1:14" ht="15.75" customHeight="1" x14ac:dyDescent="0.3">
      <c r="C4" s="55" t="s">
        <v>30</v>
      </c>
      <c r="D4" s="54">
        <f>'4637'!G8</f>
        <v>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6" t="s">
        <v>70</v>
      </c>
      <c r="D5" s="65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4" t="str">
        <f>'4637'!F11</f>
        <v>FECHA LIMITE :</v>
      </c>
      <c r="D7" s="53">
        <f>'4637'!G11</f>
        <v>44665</v>
      </c>
      <c r="E7" s="1"/>
      <c r="F7" s="1"/>
    </row>
    <row r="8" spans="1:14" x14ac:dyDescent="0.3">
      <c r="C8" s="103" t="s">
        <v>132</v>
      </c>
    </row>
    <row r="10" spans="1:14" ht="15" customHeight="1" x14ac:dyDescent="0.3">
      <c r="A10" s="129" t="s">
        <v>64</v>
      </c>
      <c r="B10" s="129"/>
      <c r="C10" s="129"/>
      <c r="D10" s="129"/>
      <c r="E10" s="129"/>
      <c r="F10" s="12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3" t="s">
        <v>11</v>
      </c>
      <c r="C13" s="73" t="s">
        <v>12</v>
      </c>
      <c r="D13" s="92">
        <v>50</v>
      </c>
      <c r="E13" s="92"/>
      <c r="F13" s="73" t="s">
        <v>113</v>
      </c>
      <c r="J13" s="6" t="s">
        <v>8</v>
      </c>
      <c r="K13" s="6" t="s">
        <v>9</v>
      </c>
    </row>
    <row r="14" spans="1:14" ht="18" x14ac:dyDescent="0.35">
      <c r="A14" s="50" t="s">
        <v>140</v>
      </c>
      <c r="B14" s="139">
        <v>1</v>
      </c>
      <c r="C14" s="139"/>
      <c r="D14" s="139">
        <f t="shared" ref="D14:D15" si="0">J14+D$13</f>
        <v>1900</v>
      </c>
      <c r="E14" s="140">
        <f>K14</f>
        <v>300</v>
      </c>
      <c r="F14" s="139"/>
      <c r="I14" s="4">
        <f>I22</f>
        <v>1</v>
      </c>
      <c r="J14" s="5">
        <f>J22</f>
        <v>1850</v>
      </c>
      <c r="K14" s="5">
        <f>K22</f>
        <v>300</v>
      </c>
    </row>
    <row r="15" spans="1:14" ht="18" x14ac:dyDescent="0.35">
      <c r="A15" s="50"/>
      <c r="B15" s="139">
        <v>2</v>
      </c>
      <c r="C15" s="139"/>
      <c r="D15" s="139">
        <f t="shared" si="0"/>
        <v>1900</v>
      </c>
      <c r="E15" s="140">
        <f>K15</f>
        <v>332</v>
      </c>
      <c r="F15" s="139" t="s">
        <v>142</v>
      </c>
      <c r="I15" s="4">
        <v>2</v>
      </c>
      <c r="J15" s="5">
        <v>1850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</row>
    <row r="17" spans="1:11" ht="6.75" customHeight="1" x14ac:dyDescent="0.3"/>
    <row r="18" spans="1:11" ht="15.6" x14ac:dyDescent="0.3">
      <c r="A18" s="129" t="s">
        <v>16</v>
      </c>
      <c r="B18" s="129"/>
      <c r="C18" s="129"/>
      <c r="D18" s="129"/>
      <c r="E18" s="129"/>
      <c r="F18" s="12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3" t="s">
        <v>11</v>
      </c>
      <c r="C21" s="73" t="s">
        <v>12</v>
      </c>
      <c r="D21" s="67">
        <v>40</v>
      </c>
      <c r="E21" s="67"/>
      <c r="F21" s="73" t="s">
        <v>113</v>
      </c>
      <c r="G21" s="1"/>
      <c r="J21" s="6" t="s">
        <v>8</v>
      </c>
      <c r="K21" s="6" t="s">
        <v>9</v>
      </c>
    </row>
    <row r="22" spans="1:11" ht="18" x14ac:dyDescent="0.35">
      <c r="A22" s="50"/>
      <c r="B22" s="139">
        <f t="shared" ref="B22" si="1">I22</f>
        <v>1</v>
      </c>
      <c r="C22" s="139" t="s">
        <v>141</v>
      </c>
      <c r="D22" s="139">
        <f>J22+D$21</f>
        <v>1890</v>
      </c>
      <c r="E22" s="139">
        <v>1040</v>
      </c>
      <c r="F22" s="139" t="str">
        <f t="shared" ref="F22" si="2">C28</f>
        <v>BANCA 35 CMS AMBOS LADOS</v>
      </c>
      <c r="G22" s="1"/>
      <c r="I22" s="4">
        <f t="shared" ref="I22" si="3">B28</f>
        <v>1</v>
      </c>
      <c r="J22" s="5">
        <f t="shared" ref="J22" si="4">D28</f>
        <v>1850</v>
      </c>
      <c r="K22" s="5">
        <f t="shared" ref="K22" si="5">E28</f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69" t="s">
        <v>110</v>
      </c>
      <c r="C25" s="70"/>
      <c r="D25" s="70"/>
      <c r="E25" s="70"/>
      <c r="F25" s="71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2" t="s">
        <v>11</v>
      </c>
      <c r="C27" s="72" t="s">
        <v>113</v>
      </c>
      <c r="D27" s="72" t="s">
        <v>8</v>
      </c>
      <c r="E27" s="72" t="s">
        <v>9</v>
      </c>
      <c r="F27" s="72" t="s">
        <v>26</v>
      </c>
    </row>
    <row r="28" spans="1:11" ht="18" x14ac:dyDescent="0.35">
      <c r="A28" s="50"/>
      <c r="B28" s="141">
        <f>'4637'!B20</f>
        <v>1</v>
      </c>
      <c r="C28" s="141" t="str">
        <f>'4637'!C20</f>
        <v>BANCA 35 CMS AMBOS LADOS</v>
      </c>
      <c r="D28" s="141">
        <f>'4637'!D20</f>
        <v>1850</v>
      </c>
      <c r="E28" s="141">
        <f>'4637'!E20</f>
        <v>300</v>
      </c>
      <c r="F28" s="141" t="str">
        <f>'4637'!F20</f>
        <v>VAINILLA 2109 BR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0</v>
      </c>
      <c r="G38" s="1"/>
    </row>
    <row r="39" spans="1:7" ht="17.25" customHeight="1" x14ac:dyDescent="0.3">
      <c r="C39" s="66" t="s">
        <v>70</v>
      </c>
      <c r="D39" s="65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44665</v>
      </c>
      <c r="E41" s="1"/>
      <c r="F41" s="1"/>
    </row>
    <row r="44" spans="1:7" x14ac:dyDescent="0.3">
      <c r="A44" s="130" t="s">
        <v>71</v>
      </c>
      <c r="B44" s="130"/>
      <c r="C44" s="130"/>
      <c r="D44" s="130"/>
      <c r="E44" s="130"/>
      <c r="F44" s="130"/>
    </row>
    <row r="46" spans="1:7" ht="9.75" customHeight="1" x14ac:dyDescent="0.3">
      <c r="B46" s="131" t="s">
        <v>72</v>
      </c>
      <c r="C46" s="132"/>
      <c r="D46" s="133"/>
      <c r="E46" s="133"/>
      <c r="F46" s="134"/>
    </row>
    <row r="47" spans="1:7" s="13" customFormat="1" ht="11.25" customHeight="1" x14ac:dyDescent="0.25">
      <c r="B47" s="109" t="s">
        <v>11</v>
      </c>
      <c r="C47" s="110" t="s">
        <v>12</v>
      </c>
      <c r="D47" s="111" t="s">
        <v>8</v>
      </c>
      <c r="E47" s="111" t="s">
        <v>9</v>
      </c>
      <c r="F47" s="112" t="s">
        <v>13</v>
      </c>
    </row>
    <row r="48" spans="1:7" s="136" customFormat="1" ht="15" customHeight="1" x14ac:dyDescent="0.35">
      <c r="A48" s="135" t="s">
        <v>140</v>
      </c>
      <c r="B48" s="137">
        <f>'4637'!B20</f>
        <v>1</v>
      </c>
      <c r="C48" s="138" t="str">
        <f>'4637'!C20</f>
        <v>BANCA 35 CMS AMBOS LADOS</v>
      </c>
      <c r="D48" s="137">
        <f>'4637'!D20</f>
        <v>1850</v>
      </c>
      <c r="E48" s="137">
        <f>'4637'!E20</f>
        <v>300</v>
      </c>
      <c r="F48" s="138" t="str">
        <f>'4637'!F20</f>
        <v>VAINILLA 2109 BR</v>
      </c>
    </row>
    <row r="49" spans="1:7" s="13" customFormat="1" ht="15" customHeight="1" x14ac:dyDescent="0.3">
      <c r="A49" s="93"/>
      <c r="B49" s="3"/>
      <c r="C49" s="58"/>
      <c r="D49" s="3"/>
      <c r="E49" s="3"/>
      <c r="F49" s="3"/>
    </row>
    <row r="50" spans="1:7" ht="15.6" x14ac:dyDescent="0.3">
      <c r="A50" s="58"/>
      <c r="B50" s="3"/>
      <c r="C50" s="41"/>
      <c r="D50" s="7"/>
      <c r="E50" s="7"/>
      <c r="F50" s="49"/>
    </row>
    <row r="51" spans="1:7" ht="15.6" x14ac:dyDescent="0.3">
      <c r="A51" s="58"/>
      <c r="B51" s="3"/>
      <c r="C51" s="41"/>
      <c r="D51" s="7"/>
      <c r="E51" s="7"/>
      <c r="F51" s="56"/>
    </row>
    <row r="52" spans="1:7" ht="15.6" x14ac:dyDescent="0.3">
      <c r="A52" s="58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4" t="s">
        <v>15</v>
      </c>
      <c r="C54" s="75"/>
      <c r="D54" s="76"/>
      <c r="E54" s="76"/>
      <c r="F54" s="77"/>
    </row>
    <row r="55" spans="1:7" x14ac:dyDescent="0.3">
      <c r="B55" s="78"/>
      <c r="C55" s="79" t="s">
        <v>117</v>
      </c>
      <c r="D55" s="9"/>
      <c r="E55" s="9"/>
      <c r="F55" s="80"/>
    </row>
    <row r="56" spans="1:7" ht="15" customHeight="1" x14ac:dyDescent="0.35">
      <c r="B56" s="79" t="s">
        <v>124</v>
      </c>
      <c r="C56" s="68"/>
      <c r="D56" s="10"/>
      <c r="E56" s="10"/>
      <c r="F56" s="81"/>
    </row>
    <row r="57" spans="1:7" ht="18.600000000000001" thickBot="1" x14ac:dyDescent="0.4">
      <c r="B57" s="91" t="s">
        <v>123</v>
      </c>
      <c r="C57" s="82"/>
      <c r="D57" s="82"/>
      <c r="E57" s="82"/>
      <c r="F57" s="83"/>
    </row>
    <row r="58" spans="1:7" ht="18" x14ac:dyDescent="0.35">
      <c r="A58" s="2"/>
      <c r="B58" s="8"/>
      <c r="G58" s="1"/>
    </row>
    <row r="59" spans="1:7" x14ac:dyDescent="0.3">
      <c r="B59" s="64"/>
      <c r="C59" s="64"/>
      <c r="D59" s="64"/>
      <c r="E59" s="64"/>
      <c r="F59" s="64"/>
    </row>
    <row r="60" spans="1:7" x14ac:dyDescent="0.3">
      <c r="B60" s="64"/>
      <c r="C60" s="64"/>
      <c r="D60" s="64"/>
      <c r="E60" s="64"/>
      <c r="F60" s="64"/>
    </row>
    <row r="61" spans="1:7" x14ac:dyDescent="0.3">
      <c r="B61" s="64"/>
      <c r="C61" s="64"/>
      <c r="E61" s="64"/>
      <c r="F61" s="64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2024-03-19T18:38:38Z</cp:lastPrinted>
  <dcterms:created xsi:type="dcterms:W3CDTF">2013-03-19T12:54:14Z</dcterms:created>
  <dcterms:modified xsi:type="dcterms:W3CDTF">2024-06-05T16:39:58Z</dcterms:modified>
</cp:coreProperties>
</file>