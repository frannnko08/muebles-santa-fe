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NDV 2024\2024 MARZO\"/>
    </mc:Choice>
  </mc:AlternateContent>
  <xr:revisionPtr revIDLastSave="0" documentId="13_ncr:1_{6ED879F3-ADD4-439D-8DEA-D3B18BCD09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H21" i="4"/>
  <c r="H25" i="4" l="1"/>
  <c r="B31" i="3"/>
  <c r="I24" i="3" s="1"/>
  <c r="C31" i="3"/>
  <c r="F15" i="3" s="1"/>
  <c r="D31" i="3"/>
  <c r="J15" i="3" s="1"/>
  <c r="D15" i="3" s="1"/>
  <c r="E31" i="3"/>
  <c r="F31" i="3"/>
  <c r="B53" i="3"/>
  <c r="C53" i="3"/>
  <c r="D53" i="3"/>
  <c r="E53" i="3"/>
  <c r="F53" i="3"/>
  <c r="B52" i="3"/>
  <c r="C52" i="3"/>
  <c r="D52" i="3"/>
  <c r="E52" i="3"/>
  <c r="F52" i="3"/>
  <c r="B30" i="3"/>
  <c r="C30" i="3"/>
  <c r="F23" i="3" s="1"/>
  <c r="D30" i="3"/>
  <c r="J14" i="3" s="1"/>
  <c r="D14" i="3" s="1"/>
  <c r="E30" i="3"/>
  <c r="K14" i="3" s="1"/>
  <c r="E14" i="3" s="1"/>
  <c r="F30" i="3"/>
  <c r="B24" i="3" l="1"/>
  <c r="K15" i="3"/>
  <c r="E15" i="3" s="1"/>
  <c r="I15" i="3"/>
  <c r="B15" i="3" s="1"/>
  <c r="J24" i="3"/>
  <c r="D24" i="3" s="1"/>
  <c r="K24" i="3"/>
  <c r="E24" i="3" s="1"/>
  <c r="F24" i="3"/>
  <c r="H26" i="4"/>
  <c r="I23" i="3"/>
  <c r="F14" i="3"/>
  <c r="K23" i="3"/>
  <c r="E23" i="3" s="1"/>
  <c r="J23" i="3"/>
  <c r="D23" i="3" s="1"/>
  <c r="B23" i="3" l="1"/>
  <c r="I14" i="3"/>
  <c r="B14" i="3" s="1"/>
  <c r="H27" i="4"/>
  <c r="N5" i="3" l="1"/>
  <c r="M5" i="3" l="1"/>
  <c r="L5" i="3"/>
  <c r="K5" i="3"/>
  <c r="C45" i="3" l="1"/>
  <c r="C7" i="3"/>
  <c r="D43" i="3"/>
  <c r="D5" i="3"/>
  <c r="D45" i="3"/>
  <c r="D7" i="3"/>
  <c r="D42" i="3"/>
  <c r="D4" i="3"/>
</calcChain>
</file>

<file path=xl/sharedStrings.xml><?xml version="1.0" encoding="utf-8"?>
<sst xmlns="http://schemas.openxmlformats.org/spreadsheetml/2006/main" count="248" uniqueCount="144">
  <si>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</si>
  <si>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</si>
  <si>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</si>
  <si>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</si>
  <si>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</si>
  <si>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</si>
  <si>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</si>
  <si>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</si>
  <si>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</si>
  <si>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</si>
  <si>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</si>
  <si>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</si>
  <si>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</si>
  <si>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</si>
  <si>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</si>
  <si>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</si>
  <si>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</si>
  <si>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</si>
  <si>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</si>
  <si>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</si>
  <si>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</si>
  <si>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</si>
  <si>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</si>
  <si>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</si>
  <si>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</si>
  <si>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</si>
  <si>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</si>
  <si>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</si>
  <si>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</si>
  <si>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</si>
  <si>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</si>
  <si>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</si>
  <si>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</si>
  <si>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</si>
  <si>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</si>
  <si>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</si>
  <si>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</si>
  <si>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</si>
  <si>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</si>
  <si>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</si>
  <si>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</si>
  <si>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</si>
  <si>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</si>
  <si>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</si>
  <si>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</si>
  <si>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</si>
  <si>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</si>
  <si>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</si>
  <si>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</si>
  <si>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</si>
  <si>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</si>
  <si>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</si>
  <si>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</si>
  <si>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</si>
  <si>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</si>
  <si>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</si>
  <si>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</si>
  <si>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</si>
  <si>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</si>
  <si>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</si>
  <si>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</si>
  <si>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</si>
  <si>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</si>
  <si>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</si>
  <si>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</si>
  <si>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</si>
  <si>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</si>
  <si>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</si>
  <si>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</si>
  <si>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</si>
  <si>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</si>
  <si>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</si>
  <si>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</si>
  <si>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</si>
  <si>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</si>
  <si>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</si>
  <si>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</si>
  <si>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</si>
  <si>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</si>
  <si>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</si>
  <si>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</si>
  <si>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</si>
  <si>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</si>
  <si>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</si>
  <si>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</si>
  <si>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</si>
  <si>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</si>
  <si>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</si>
  <si>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</si>
  <si>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</si>
  <si>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</si>
  <si>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</si>
  <si>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</si>
  <si>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</si>
  <si>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</si>
  <si>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</si>
  <si>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</si>
  <si>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</si>
  <si>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</si>
  <si>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</si>
  <si>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</si>
  <si>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</si>
  <si>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</si>
  <si>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</si>
  <si>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</si>
  <si>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</si>
  <si>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</si>
  <si>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</si>
  <si>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</si>
  <si>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</si>
  <si>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</si>
  <si>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</si>
  <si>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</si>
  <si>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</si>
  <si>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</si>
  <si>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</si>
  <si>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</si>
  <si>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</si>
  <si>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</si>
  <si>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</si>
  <si>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</si>
  <si>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</si>
  <si>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</si>
  <si>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</si>
  <si>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</si>
  <si>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</si>
  <si>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</si>
  <si>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</si>
  <si>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</si>
  <si>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</si>
  <si>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</si>
  <si>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</si>
  <si>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</si>
  <si>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</si>
  <si>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</si>
  <si>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</si>
  <si>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</si>
  <si>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77.757.833-4</t>
  </si>
  <si>
    <t>D´ESTILO SPA</t>
  </si>
  <si>
    <t>N°10633</t>
  </si>
  <si>
    <t>SEBASTIAN</t>
  </si>
  <si>
    <t>+569 5001 9200</t>
  </si>
  <si>
    <t>CUB C/R 180°</t>
  </si>
  <si>
    <t>HAYA NATURAL 1803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</si>
</sst>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1" fontId="15" fillId="0" borderId="34" xfId="0" applyNumberFormat="1" applyFont="1" applyBorder="1" applyAlignment="1">
      <alignment horizontal="center" vertical="center"/>
    </xf>
    <xf numFmtId="1" fontId="15" fillId="0" borderId="35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quotePrefix="1" applyFon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CANCELADA CON TRANSFERENCIA $ 265.065.- 01/03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46</xdr:row>
      <xdr:rowOff>171450</xdr:rowOff>
    </xdr:from>
    <xdr:to>
      <xdr:col>5</xdr:col>
      <xdr:colOff>1685924</xdr:colOff>
      <xdr:row>48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38100</xdr:rowOff>
    </xdr:from>
    <xdr:to>
      <xdr:col>6</xdr:col>
      <xdr:colOff>0</xdr:colOff>
      <xdr:row>43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1019175</xdr:colOff>
      <xdr:row>55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0</xdr:rowOff>
    </xdr:from>
    <xdr:to>
      <xdr:col>3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447675</xdr:colOff>
      <xdr:row>55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55</xdr:row>
      <xdr:rowOff>190500</xdr:rowOff>
    </xdr:from>
    <xdr:to>
      <xdr:col>2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55</xdr:row>
      <xdr:rowOff>190500</xdr:rowOff>
    </xdr:from>
    <xdr:to>
      <xdr:col>2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190500</xdr:rowOff>
    </xdr:from>
    <xdr:to>
      <xdr:col>3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190500</xdr:rowOff>
    </xdr:from>
    <xdr:to>
      <xdr:col>4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190500</xdr:rowOff>
    </xdr:from>
    <xdr:to>
      <xdr:col>5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190500</xdr:rowOff>
    </xdr:from>
    <xdr:to>
      <xdr:col>6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33</xdr:row>
      <xdr:rowOff>15239</xdr:rowOff>
    </xdr:from>
    <xdr:to>
      <xdr:col>6</xdr:col>
      <xdr:colOff>68580</xdr:colOff>
      <xdr:row>37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25</xdr:row>
      <xdr:rowOff>200025</xdr:rowOff>
    </xdr:from>
    <xdr:to>
      <xdr:col>6</xdr:col>
      <xdr:colOff>19049</xdr:colOff>
      <xdr:row>27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58</xdr:row>
      <xdr:rowOff>32385</xdr:rowOff>
    </xdr:from>
    <xdr:to>
      <xdr:col>6</xdr:col>
      <xdr:colOff>19050</xdr:colOff>
      <xdr:row>62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CLIENTE NUEVO,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ES URGENTE!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194310</xdr:rowOff>
    </xdr:from>
    <xdr:to>
      <xdr:col>2</xdr:col>
      <xdr:colOff>100723</xdr:colOff>
      <xdr:row>45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7" workbookViewId="0">
      <selection activeCell="J22" sqref="J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139</v>
      </c>
      <c r="E8" s="1"/>
      <c r="F8" s="94" t="s">
        <v>27</v>
      </c>
      <c r="G8" s="95">
        <v>7050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138</v>
      </c>
      <c r="D10" s="55"/>
      <c r="E10" s="55"/>
      <c r="F10" s="56" t="s">
        <v>28</v>
      </c>
      <c r="G10" s="57">
        <v>45355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137</v>
      </c>
      <c r="D11" s="60"/>
      <c r="E11" s="60"/>
      <c r="F11" s="60" t="s">
        <v>124</v>
      </c>
      <c r="G11" s="61">
        <v>45356</v>
      </c>
      <c r="H11" s="62"/>
      <c r="I11" s="1"/>
    </row>
    <row r="12" spans="1:17" ht="16.2" thickBot="1" x14ac:dyDescent="0.35">
      <c r="A12" s="1"/>
      <c r="B12" s="63" t="s">
        <v>133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135</v>
      </c>
      <c r="C13" s="86" t="s">
        <v>140</v>
      </c>
      <c r="D13" s="43"/>
      <c r="E13" s="43"/>
      <c r="F13" s="43" t="s">
        <v>129</v>
      </c>
      <c r="G13" s="64" t="s">
        <v>132</v>
      </c>
      <c r="H13" s="65"/>
      <c r="I13" s="1"/>
    </row>
    <row r="14" spans="1:17" ht="15.6" x14ac:dyDescent="0.3">
      <c r="A14" s="1"/>
      <c r="B14" s="59" t="s">
        <v>17</v>
      </c>
      <c r="C14" s="119" t="s">
        <v>141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C15" s="99"/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134</v>
      </c>
      <c r="D16" s="69"/>
      <c r="E16" s="70"/>
      <c r="F16" s="120" t="s">
        <v>18</v>
      </c>
      <c r="G16" s="120"/>
      <c r="H16" s="12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2" t="s">
        <v>19</v>
      </c>
      <c r="C19" s="123"/>
      <c r="D19" s="123"/>
      <c r="E19" s="123"/>
      <c r="F19" s="123"/>
      <c r="G19" s="123"/>
      <c r="H19" s="124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thickBot="1" x14ac:dyDescent="0.35">
      <c r="A21" s="1"/>
      <c r="B21" s="108">
        <v>1</v>
      </c>
      <c r="C21" s="110" t="s">
        <v>142</v>
      </c>
      <c r="D21" s="111">
        <v>1390</v>
      </c>
      <c r="E21" s="112">
        <v>570</v>
      </c>
      <c r="F21" s="103" t="s">
        <v>143</v>
      </c>
      <c r="G21" s="106">
        <v>84408</v>
      </c>
      <c r="H21" s="104">
        <f>G21*B21</f>
        <v>84408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9">
        <v>1</v>
      </c>
      <c r="C22" s="110" t="s">
        <v>142</v>
      </c>
      <c r="D22" s="105">
        <v>2310</v>
      </c>
      <c r="E22" s="113">
        <v>570</v>
      </c>
      <c r="F22" s="103" t="s">
        <v>143</v>
      </c>
      <c r="G22" s="107">
        <v>138336</v>
      </c>
      <c r="H22" s="104">
        <f>G22*B22</f>
        <v>138336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16"/>
      <c r="C23" s="118"/>
      <c r="D23" s="117"/>
      <c r="E23" s="117"/>
      <c r="F23" s="116"/>
      <c r="G23" s="75"/>
      <c r="H23" s="97"/>
      <c r="I23" s="1"/>
      <c r="K23" s="17"/>
      <c r="L23" s="26"/>
      <c r="M23" s="17"/>
      <c r="N23" s="17"/>
      <c r="O23" s="26"/>
      <c r="P23" s="33"/>
    </row>
    <row r="24" spans="1:16" ht="16.8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222744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42321.36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265065.36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98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5" t="s">
        <v>31</v>
      </c>
      <c r="C2" s="125"/>
      <c r="D2" s="125"/>
      <c r="E2" s="18"/>
      <c r="G2" s="125" t="s">
        <v>70</v>
      </c>
      <c r="H2" s="125"/>
      <c r="I2" s="125"/>
      <c r="P2" s="126" t="s">
        <v>58</v>
      </c>
      <c r="Q2" s="126"/>
      <c r="R2" s="12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6" t="s">
        <v>58</v>
      </c>
      <c r="M8" s="126"/>
      <c r="N8" s="12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6"/>
  <sheetViews>
    <sheetView zoomScaleNormal="100" workbookViewId="0">
      <selection activeCell="K52" sqref="K52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7" t="s">
        <v>61</v>
      </c>
      <c r="L3" s="127"/>
      <c r="M3" s="127" t="s">
        <v>14</v>
      </c>
      <c r="N3" s="127"/>
    </row>
    <row r="4" spans="1:14" ht="15.75" customHeight="1" x14ac:dyDescent="0.3">
      <c r="A4" s="1"/>
      <c r="B4" s="1"/>
      <c r="C4" s="40" t="s">
        <v>27</v>
      </c>
      <c r="D4" s="14">
        <f>'4637'!G8</f>
        <v>7050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D´ESTILO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45356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8" t="s">
        <v>61</v>
      </c>
      <c r="B10" s="128"/>
      <c r="C10" s="128"/>
      <c r="D10" s="128"/>
      <c r="E10" s="128"/>
      <c r="F10" s="12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131</v>
      </c>
      <c r="B14" s="25">
        <f t="shared" ref="B14" si="0">I14</f>
        <v>1</v>
      </c>
      <c r="C14" s="25"/>
      <c r="D14" s="25">
        <f>J14+D$13</f>
        <v>1440</v>
      </c>
      <c r="E14" s="35">
        <f>K14+E$13</f>
        <v>540</v>
      </c>
      <c r="F14" s="101" t="str">
        <f>C30</f>
        <v>CUB C/R 180°</v>
      </c>
      <c r="G14" s="1"/>
      <c r="I14" s="3">
        <f>I23</f>
        <v>1</v>
      </c>
      <c r="J14" s="4">
        <f t="shared" ref="J14:K14" si="1">D30</f>
        <v>1390</v>
      </c>
      <c r="K14" s="4">
        <f t="shared" si="1"/>
        <v>570</v>
      </c>
    </row>
    <row r="15" spans="1:14" ht="15.6" x14ac:dyDescent="0.3">
      <c r="A15" s="96"/>
      <c r="B15" s="25">
        <f t="shared" ref="B15" si="2">I15</f>
        <v>1</v>
      </c>
      <c r="C15" s="25"/>
      <c r="D15" s="25">
        <f t="shared" ref="D15" si="3">J15+D$13</f>
        <v>2360</v>
      </c>
      <c r="E15" s="35">
        <f t="shared" ref="E15" si="4">K15+E$13</f>
        <v>540</v>
      </c>
      <c r="F15" s="101" t="str">
        <f t="shared" ref="F15" si="5">C31</f>
        <v>CUB C/R 180°</v>
      </c>
      <c r="G15" s="1"/>
      <c r="I15" s="3">
        <f t="shared" ref="I15" si="6">B31</f>
        <v>1</v>
      </c>
      <c r="J15" s="4">
        <f t="shared" ref="J15" si="7">D31</f>
        <v>2310</v>
      </c>
      <c r="K15" s="4">
        <f t="shared" ref="K15" si="8">E31</f>
        <v>570</v>
      </c>
    </row>
    <row r="16" spans="1:14" ht="15.6" x14ac:dyDescent="0.3">
      <c r="A16" s="96"/>
      <c r="B16" s="6"/>
      <c r="C16" s="6"/>
      <c r="D16" s="6"/>
      <c r="E16" s="89"/>
      <c r="F16" s="115"/>
      <c r="G16" s="1"/>
      <c r="I16" s="90"/>
      <c r="J16" s="2"/>
      <c r="K16" s="2"/>
    </row>
    <row r="17" spans="1:11" ht="15.6" x14ac:dyDescent="0.3">
      <c r="A17" s="52"/>
      <c r="B17" s="6"/>
      <c r="C17" s="6"/>
      <c r="D17" s="6"/>
      <c r="E17" s="89"/>
      <c r="F17" s="6"/>
      <c r="G17" s="1"/>
      <c r="I17" s="90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28" t="s">
        <v>14</v>
      </c>
      <c r="B19" s="128"/>
      <c r="C19" s="128"/>
      <c r="D19" s="128"/>
      <c r="E19" s="128"/>
      <c r="F19" s="128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150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6" t="s">
        <v>131</v>
      </c>
      <c r="B23" s="16">
        <f t="shared" ref="B23" si="9">I23</f>
        <v>1</v>
      </c>
      <c r="C23" s="16"/>
      <c r="D23" s="16">
        <f>J23+D$22</f>
        <v>1430</v>
      </c>
      <c r="E23" s="16">
        <f>K23+E$22</f>
        <v>720</v>
      </c>
      <c r="F23" s="102" t="str">
        <f>C30</f>
        <v>CUB C/R 180°</v>
      </c>
      <c r="G23" s="1"/>
      <c r="I23" s="3">
        <f>B30</f>
        <v>1</v>
      </c>
      <c r="J23" s="4">
        <f>D30</f>
        <v>1390</v>
      </c>
      <c r="K23" s="4">
        <f>E30</f>
        <v>570</v>
      </c>
    </row>
    <row r="24" spans="1:11" ht="15.6" x14ac:dyDescent="0.3">
      <c r="A24" s="96"/>
      <c r="B24" s="16">
        <f t="shared" ref="B24" si="10">I24</f>
        <v>1</v>
      </c>
      <c r="C24" s="16"/>
      <c r="D24" s="16">
        <f>J24+D$22</f>
        <v>2350</v>
      </c>
      <c r="E24" s="16">
        <f>K24+E$22</f>
        <v>720</v>
      </c>
      <c r="F24" s="102" t="str">
        <f t="shared" ref="F24" si="11">C31</f>
        <v>CUB C/R 180°</v>
      </c>
      <c r="G24" s="1"/>
      <c r="I24" s="3">
        <f t="shared" ref="I24" si="12">B31</f>
        <v>1</v>
      </c>
      <c r="J24" s="4">
        <f t="shared" ref="J24:K24" si="13">D31</f>
        <v>2310</v>
      </c>
      <c r="K24" s="4">
        <f t="shared" si="13"/>
        <v>570</v>
      </c>
    </row>
    <row r="25" spans="1:11" ht="15.6" x14ac:dyDescent="0.3">
      <c r="A25" s="96"/>
      <c r="B25" s="6"/>
      <c r="C25" s="6"/>
      <c r="D25" s="6"/>
      <c r="E25" s="6"/>
      <c r="F25" s="6"/>
      <c r="G25" s="1"/>
      <c r="I25" s="90"/>
      <c r="J25" s="2"/>
      <c r="K25" s="2"/>
    </row>
    <row r="26" spans="1:11" ht="16.2" thickBot="1" x14ac:dyDescent="0.35">
      <c r="A26" s="52"/>
      <c r="B26" s="6"/>
      <c r="C26" s="6"/>
      <c r="D26" s="6"/>
      <c r="E26" s="6"/>
      <c r="F26" s="6"/>
      <c r="G26" s="1"/>
      <c r="I26" s="2"/>
      <c r="J26" s="2"/>
      <c r="K26" s="2"/>
    </row>
    <row r="27" spans="1:11" ht="16.2" thickBot="1" x14ac:dyDescent="0.35">
      <c r="A27" s="52"/>
      <c r="B27" s="22" t="s">
        <v>107</v>
      </c>
      <c r="C27" s="23"/>
      <c r="D27" s="23"/>
      <c r="E27" s="23"/>
      <c r="F27" s="24"/>
      <c r="G27" s="1"/>
      <c r="I27" s="2"/>
      <c r="J27" s="2"/>
      <c r="K27" s="2"/>
    </row>
    <row r="28" spans="1:11" ht="10.5" customHeight="1" x14ac:dyDescent="0.3">
      <c r="A28" s="1"/>
      <c r="B28" s="1"/>
      <c r="C28" s="1"/>
      <c r="D28" s="1"/>
      <c r="E28" s="1"/>
      <c r="F28" s="1"/>
      <c r="G28" s="1"/>
    </row>
    <row r="29" spans="1:11" ht="15.6" x14ac:dyDescent="0.3">
      <c r="A29" s="52" t="s">
        <v>9</v>
      </c>
      <c r="B29" s="88" t="s">
        <v>10</v>
      </c>
      <c r="C29" s="88" t="s">
        <v>110</v>
      </c>
      <c r="D29" s="88" t="s">
        <v>7</v>
      </c>
      <c r="E29" s="88" t="s">
        <v>8</v>
      </c>
      <c r="F29" s="88" t="s">
        <v>23</v>
      </c>
      <c r="G29" s="1"/>
    </row>
    <row r="30" spans="1:11" ht="15.6" x14ac:dyDescent="0.3">
      <c r="A30" s="96" t="s">
        <v>136</v>
      </c>
      <c r="B30" s="25">
        <f>'4637'!B21</f>
        <v>1</v>
      </c>
      <c r="C30" s="101" t="str">
        <f>'4637'!C21</f>
        <v>CUB C/R 180°</v>
      </c>
      <c r="D30" s="25">
        <f>'4637'!D21</f>
        <v>1390</v>
      </c>
      <c r="E30" s="25">
        <f>'4637'!E21</f>
        <v>570</v>
      </c>
      <c r="F30" s="25" t="str">
        <f>'4637'!F21</f>
        <v>HAYA NATURAL 1803 MT</v>
      </c>
      <c r="G30" s="1"/>
    </row>
    <row r="31" spans="1:11" ht="15.6" x14ac:dyDescent="0.3">
      <c r="A31" s="96"/>
      <c r="B31" s="25">
        <f>'4637'!B22</f>
        <v>1</v>
      </c>
      <c r="C31" s="101" t="str">
        <f>'4637'!C22</f>
        <v>CUB C/R 180°</v>
      </c>
      <c r="D31" s="25">
        <f>'4637'!D22</f>
        <v>2310</v>
      </c>
      <c r="E31" s="25">
        <f>'4637'!E22</f>
        <v>570</v>
      </c>
      <c r="F31" s="25" t="str">
        <f>'4637'!F22</f>
        <v>HAYA NATURAL 1803 MT</v>
      </c>
      <c r="G31" s="1"/>
    </row>
    <row r="32" spans="1:11" ht="15.6" x14ac:dyDescent="0.3">
      <c r="A32" s="52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40" t="s">
        <v>27</v>
      </c>
      <c r="D42" s="14">
        <f>'4637'!G8</f>
        <v>7050</v>
      </c>
      <c r="E42" s="1"/>
      <c r="F42" s="1"/>
      <c r="G42" s="1"/>
    </row>
    <row r="43" spans="1:7" ht="17.25" customHeight="1" x14ac:dyDescent="0.3">
      <c r="A43" s="1"/>
      <c r="B43" s="1"/>
      <c r="C43" s="41" t="s">
        <v>67</v>
      </c>
      <c r="D43" s="42" t="str">
        <f>'4637'!C10</f>
        <v>D´ESTILO SPA</v>
      </c>
      <c r="E43" s="43"/>
      <c r="F43" s="43"/>
      <c r="G43" s="1"/>
    </row>
    <row r="44" spans="1:7" ht="4.5" customHeight="1" x14ac:dyDescent="0.3">
      <c r="A44" s="1"/>
      <c r="B44" s="1"/>
      <c r="C44" s="44"/>
      <c r="D44" s="45"/>
      <c r="E44" s="1"/>
      <c r="F44" s="1"/>
      <c r="G44" s="1"/>
    </row>
    <row r="45" spans="1:7" ht="15.6" x14ac:dyDescent="0.3">
      <c r="A45" s="1"/>
      <c r="B45" s="1"/>
      <c r="C45" s="46" t="str">
        <f>'4637'!F11</f>
        <v>FECHA LIMITE :</v>
      </c>
      <c r="D45" s="13">
        <f>'4637'!G11</f>
        <v>45356</v>
      </c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28" t="s">
        <v>68</v>
      </c>
      <c r="B48" s="128"/>
      <c r="C48" s="128"/>
      <c r="D48" s="128"/>
      <c r="E48" s="128"/>
      <c r="F48" s="128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75" customHeight="1" x14ac:dyDescent="0.3">
      <c r="A50" s="1"/>
      <c r="B50" s="129" t="s">
        <v>69</v>
      </c>
      <c r="C50" s="130"/>
      <c r="D50" s="131"/>
      <c r="E50" s="131"/>
      <c r="F50" s="132"/>
      <c r="G50" s="1"/>
    </row>
    <row r="51" spans="1:7" s="15" customFormat="1" ht="12.75" customHeight="1" x14ac:dyDescent="0.3">
      <c r="A51" s="1"/>
      <c r="B51" s="36" t="s">
        <v>10</v>
      </c>
      <c r="C51" s="47" t="s">
        <v>11</v>
      </c>
      <c r="D51" s="48" t="s">
        <v>7</v>
      </c>
      <c r="E51" s="48" t="s">
        <v>8</v>
      </c>
      <c r="F51" s="49" t="s">
        <v>12</v>
      </c>
      <c r="G51" s="1"/>
    </row>
    <row r="52" spans="1:7" s="15" customFormat="1" ht="15" customHeight="1" x14ac:dyDescent="0.3">
      <c r="A52" s="96"/>
      <c r="B52" s="38">
        <f>'4637'!B21</f>
        <v>1</v>
      </c>
      <c r="C52" s="100" t="str">
        <f>'4637'!C21</f>
        <v>CUB C/R 180°</v>
      </c>
      <c r="D52" s="39">
        <f>'4637'!D21</f>
        <v>1390</v>
      </c>
      <c r="E52" s="39">
        <f>'4637'!E21</f>
        <v>570</v>
      </c>
      <c r="F52" s="38" t="str">
        <f>'4637'!F21</f>
        <v>HAYA NATURAL 1803 MT</v>
      </c>
      <c r="G52" s="1"/>
    </row>
    <row r="53" spans="1:7" s="15" customFormat="1" ht="15" customHeight="1" x14ac:dyDescent="0.3">
      <c r="A53" s="96"/>
      <c r="B53" s="38">
        <f>'4637'!B22</f>
        <v>1</v>
      </c>
      <c r="C53" s="100" t="str">
        <f>'4637'!C22</f>
        <v>CUB C/R 180°</v>
      </c>
      <c r="D53" s="39">
        <f>'4637'!D22</f>
        <v>2310</v>
      </c>
      <c r="E53" s="39">
        <f>'4637'!E22</f>
        <v>570</v>
      </c>
      <c r="F53" s="38" t="str">
        <f>'4637'!F22</f>
        <v>HAYA NATURAL 1803 MT</v>
      </c>
      <c r="G53" s="1"/>
    </row>
    <row r="54" spans="1:7" s="15" customFormat="1" ht="15" customHeight="1" x14ac:dyDescent="0.3">
      <c r="A54" s="96"/>
      <c r="B54" s="52"/>
      <c r="C54" s="114"/>
      <c r="D54" s="52"/>
      <c r="E54" s="52"/>
      <c r="F54" s="52"/>
      <c r="G54" s="1"/>
    </row>
    <row r="55" spans="1:7" s="15" customFormat="1" ht="15" customHeight="1" x14ac:dyDescent="0.3">
      <c r="A55" s="50"/>
      <c r="B55" s="52"/>
      <c r="C55" s="52"/>
      <c r="D55" s="52"/>
      <c r="E55" s="52"/>
      <c r="F55" s="52"/>
      <c r="G55" s="1"/>
    </row>
    <row r="56" spans="1:7" ht="15.6" x14ac:dyDescent="0.3">
      <c r="A56" s="6"/>
      <c r="B56" s="6"/>
      <c r="C56" s="1"/>
      <c r="D56" s="6"/>
      <c r="E56" s="6"/>
      <c r="F56" s="44"/>
      <c r="G56" s="1"/>
    </row>
    <row r="57" spans="1:7" ht="15.6" x14ac:dyDescent="0.3">
      <c r="A57" s="6"/>
      <c r="B57" s="6"/>
      <c r="C57" s="1"/>
      <c r="D57" s="6"/>
      <c r="E57" s="6"/>
      <c r="F57" s="6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" customHeight="1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6"/>
      <c r="B63" s="5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2:6" x14ac:dyDescent="0.3">
      <c r="B65" s="20"/>
      <c r="C65" s="20"/>
      <c r="D65" s="20"/>
      <c r="E65" s="20"/>
      <c r="F65" s="20"/>
    </row>
    <row r="66" spans="2:6" x14ac:dyDescent="0.3">
      <c r="B66" s="20"/>
      <c r="C66" s="20"/>
      <c r="E66" s="20"/>
      <c r="F66" s="20"/>
    </row>
  </sheetData>
  <mergeCells count="6">
    <mergeCell ref="M3:N3"/>
    <mergeCell ref="A19:F19"/>
    <mergeCell ref="A10:F10"/>
    <mergeCell ref="A48:F48"/>
    <mergeCell ref="B50:F50"/>
    <mergeCell ref="K3:L3"/>
  </mergeCells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2024-03-01T15:23:25Z</cp:lastPrinted>
  <dcterms:created xsi:type="dcterms:W3CDTF">2013-03-19T12:54:14Z</dcterms:created>
  <dcterms:modified xsi:type="dcterms:W3CDTF">2024-03-12T12:47:26Z</dcterms:modified>
</cp:coreProperties>
</file>