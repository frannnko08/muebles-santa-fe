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7BF74ECC-C5D7-4649-A2D9-1484EBC4BBE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33" i="3"/>
  <c r="I25" i="3" s="1"/>
  <c r="B25" i="3" s="1"/>
  <c r="C33" i="3"/>
  <c r="F25" i="3" s="1"/>
  <c r="D33" i="3"/>
  <c r="J25" i="3" s="1"/>
  <c r="E33" i="3"/>
  <c r="K25" i="3" s="1"/>
  <c r="F33" i="3"/>
  <c r="B57" i="3"/>
  <c r="C57" i="3"/>
  <c r="D57" i="3"/>
  <c r="E57" i="3"/>
  <c r="F57" i="3"/>
  <c r="J16" i="3" l="1"/>
  <c r="D16" i="3" s="1"/>
  <c r="K16" i="3"/>
  <c r="E16" i="3" s="1"/>
  <c r="I16" i="3"/>
  <c r="B16" i="3" s="1"/>
  <c r="F16" i="3"/>
  <c r="H23" i="4"/>
  <c r="H22" i="4"/>
  <c r="H27" i="4" l="1"/>
  <c r="B32" i="3"/>
  <c r="I24" i="3" s="1"/>
  <c r="C32" i="3"/>
  <c r="F15" i="3" s="1"/>
  <c r="D32" i="3"/>
  <c r="J15" i="3" s="1"/>
  <c r="E32" i="3"/>
  <c r="F32" i="3"/>
  <c r="B56" i="3"/>
  <c r="C56" i="3"/>
  <c r="D56" i="3"/>
  <c r="E56" i="3"/>
  <c r="F56" i="3"/>
  <c r="B55" i="3"/>
  <c r="C55" i="3"/>
  <c r="D55" i="3"/>
  <c r="E55" i="3"/>
  <c r="F55" i="3"/>
  <c r="B31" i="3"/>
  <c r="C31" i="3"/>
  <c r="F23" i="3" s="1"/>
  <c r="D31" i="3"/>
  <c r="J14" i="3" s="1"/>
  <c r="D14" i="3" s="1"/>
  <c r="E31" i="3"/>
  <c r="K14" i="3" s="1"/>
  <c r="F31" i="3"/>
  <c r="B24" i="3" l="1"/>
  <c r="K15" i="3"/>
  <c r="I15" i="3"/>
  <c r="B15" i="3" s="1"/>
  <c r="J24" i="3"/>
  <c r="K24" i="3"/>
  <c r="F24" i="3"/>
  <c r="H28" i="4"/>
  <c r="I23" i="3"/>
  <c r="F14" i="3"/>
  <c r="K23" i="3"/>
  <c r="E23" i="3" s="1"/>
  <c r="J23" i="3"/>
  <c r="D23" i="3" s="1"/>
  <c r="B23" i="3" l="1"/>
  <c r="I14" i="3"/>
  <c r="B14" i="3" s="1"/>
  <c r="H29" i="4"/>
  <c r="N5" i="3" l="1"/>
  <c r="M5" i="3" l="1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<sst xmlns="http://schemas.openxmlformats.org/spreadsheetml/2006/main" count="252" uniqueCount="146">
  <si>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</si>
  <si>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</si>
  <si>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</si>
  <si>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</si>
  <si>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</si>
  <si>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</si>
  <si>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</si>
  <si>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</si>
  <si>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</si>
  <si>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</si>
  <si>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</si>
  <si>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</si>
  <si>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</si>
  <si>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</si>
  <si>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</si>
  <si>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</si>
  <si>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</si>
  <si>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</si>
  <si>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</si>
  <si>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</si>
  <si>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</si>
  <si>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</si>
  <si>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</si>
  <si>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</si>
  <si>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</si>
  <si>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</si>
  <si>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</si>
  <si>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</si>
  <si>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</si>
  <si>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</si>
  <si>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</si>
  <si>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</si>
  <si>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</si>
  <si>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</si>
  <si>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</si>
  <si>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</si>
  <si>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</si>
  <si>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</si>
  <si>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</si>
  <si>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</si>
  <si>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</si>
  <si>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</si>
  <si>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</si>
  <si>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</si>
  <si>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</si>
  <si>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</si>
  <si>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</si>
  <si>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</si>
  <si>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</si>
  <si>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</si>
  <si>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</si>
  <si>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</si>
  <si>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</si>
  <si>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</si>
  <si>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</si>
  <si>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</si>
  <si>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</si>
  <si>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</si>
  <si>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</si>
  <si>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</si>
  <si>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</si>
  <si>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</si>
  <si>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</si>
  <si>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</si>
  <si>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</si>
  <si>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</si>
  <si>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</si>
  <si>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</si>
  <si>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</si>
  <si>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</si>
  <si>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</si>
  <si>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</si>
  <si>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</si>
  <si>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</si>
  <si>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</si>
  <si>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</si>
  <si>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</si>
  <si>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</si>
  <si>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</si>
  <si>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</si>
  <si>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</si>
  <si>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</si>
  <si>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</si>
  <si>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</si>
  <si>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</si>
  <si>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</si>
  <si>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</si>
  <si>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</si>
  <si>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</si>
  <si>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</si>
  <si>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</si>
  <si>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</si>
  <si>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</si>
  <si>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</si>
  <si>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</si>
  <si>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</si>
  <si>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</si>
  <si>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</si>
  <si>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</si>
  <si>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</si>
  <si>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</si>
  <si>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</si>
  <si>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</si>
  <si>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</si>
  <si>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</si>
  <si>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</si>
  <si>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</si>
  <si>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</si>
  <si>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</si>
  <si>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</si>
  <si>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</si>
  <si>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</si>
  <si>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</si>
  <si>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</si>
  <si>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</si>
  <si>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</si>
  <si>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</si>
  <si>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</si>
  <si>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</si>
  <si>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</si>
  <si>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</si>
  <si>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</si>
  <si>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</si>
  <si>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</si>
  <si>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</si>
  <si>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</si>
  <si>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</si>
  <si>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</si>
  <si>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</si>
  <si>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</si>
  <si>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</si>
  <si>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</si>
  <si>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</si>
  <si>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</si>
  <si>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</si>
  <si>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CONSTRUCCION</t>
  </si>
  <si>
    <t>SOC. CONST. E INMOB. CCM SPA</t>
  </si>
  <si>
    <t>76.972.989-5</t>
  </si>
  <si>
    <t>MARIA LUISA REYES</t>
  </si>
  <si>
    <t>PJE. OSSANDON S/NA SITIO 9 PIRQUE</t>
  </si>
  <si>
    <t>+569 9679 9204</t>
  </si>
  <si>
    <t>GRIS NUBE 2189 MT</t>
  </si>
  <si>
    <t>N°10400</t>
  </si>
  <si>
    <t>BLANCO OPACO MERINO</t>
  </si>
  <si>
    <t>E/R 1 CARA MDF 18MM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</si>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</sst>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7" fillId="0" borderId="0" xfId="2" quotePrefix="1" applyFont="1" applyFill="1" applyBorder="1"/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9" fillId="0" borderId="0" xfId="0" applyFont="1" applyAlignment="1">
      <alignment horizontal="right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$ 200.000.- SE COMPLEMENTA CON NOTA VENTA 7052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15239</xdr:rowOff>
    </xdr:from>
    <xdr:to>
      <xdr:col>6</xdr:col>
      <xdr:colOff>68580</xdr:colOff>
      <xdr:row>40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 CORTADA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A LA MEDIDA Y ENCHAPADA CON TAPACANTO PVC 0,4MM, ENCHAPES RECTOS CORTADOS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PUERTA CORTADA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ENCHAPADA CON TAPACANTO PVC 0,4, ENCHAPES RECTOS CORTADOS A LA MEDIDA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41</xdr:row>
      <xdr:rowOff>194310</xdr:rowOff>
    </xdr:from>
    <xdr:to>
      <xdr:col>2</xdr:col>
      <xdr:colOff>100723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6" workbookViewId="0">
      <selection activeCell="K22" sqref="K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7053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136</v>
      </c>
      <c r="D10" s="55"/>
      <c r="E10" s="55"/>
      <c r="F10" s="56" t="s">
        <v>28</v>
      </c>
      <c r="G10" s="57">
        <v>45357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45358</v>
      </c>
      <c r="H11" s="62"/>
      <c r="I11" s="1"/>
    </row>
    <row r="12" spans="1:17" ht="16.2" thickBot="1" x14ac:dyDescent="0.35">
      <c r="A12" s="1"/>
      <c r="B12" s="63" t="s">
        <v>132</v>
      </c>
      <c r="C12" t="s">
        <v>135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86" t="s">
        <v>138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96" t="s">
        <v>140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5" t="s">
        <v>139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1">
        <v>1</v>
      </c>
      <c r="C21" s="107" t="s">
        <v>64</v>
      </c>
      <c r="D21" s="108">
        <v>730</v>
      </c>
      <c r="E21" s="108">
        <v>630</v>
      </c>
      <c r="F21" s="102" t="s">
        <v>143</v>
      </c>
      <c r="G21" s="106">
        <v>35230</v>
      </c>
      <c r="H21" s="103">
        <f>G21*B21</f>
        <v>35230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01">
        <v>2</v>
      </c>
      <c r="C22" s="107" t="s">
        <v>144</v>
      </c>
      <c r="D22" s="108">
        <v>740</v>
      </c>
      <c r="E22" s="108">
        <v>150</v>
      </c>
      <c r="F22" s="102" t="s">
        <v>143</v>
      </c>
      <c r="G22" s="106">
        <v>10772</v>
      </c>
      <c r="H22" s="103">
        <f>G22*B22</f>
        <v>21544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1</v>
      </c>
      <c r="C23" s="107" t="s">
        <v>144</v>
      </c>
      <c r="D23" s="108">
        <v>680</v>
      </c>
      <c r="E23" s="108">
        <v>120</v>
      </c>
      <c r="F23" s="102" t="s">
        <v>141</v>
      </c>
      <c r="G23" s="106">
        <v>8746</v>
      </c>
      <c r="H23" s="103">
        <f t="shared" ref="H23" si="0">G23*B23</f>
        <v>8746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/>
      <c r="C24" s="98"/>
      <c r="D24" s="98"/>
      <c r="E24" s="98"/>
      <c r="F24" s="98"/>
      <c r="G24" s="100"/>
      <c r="H24" s="100"/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8"/>
      <c r="C25" s="98"/>
      <c r="D25" s="98"/>
      <c r="E25" s="98"/>
      <c r="F25" s="99"/>
      <c r="G25" s="100"/>
      <c r="H25" s="100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SUM(H21:H26)</f>
        <v>65520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12448.8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77968.800000000003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104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1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abSelected="1" zoomScaleNormal="100" workbookViewId="0">
      <selection sqref="A1:G4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7053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SOC. CONST. E INMOB. CCM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45358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126" t="s">
        <v>145</v>
      </c>
      <c r="B14" s="25">
        <f t="shared" ref="B14" si="0">I14</f>
        <v>1</v>
      </c>
      <c r="C14" s="25"/>
      <c r="D14" s="25">
        <f>J14+D$13</f>
        <v>780</v>
      </c>
      <c r="E14" s="35">
        <v>628</v>
      </c>
      <c r="F14" s="111" t="str">
        <f>C31</f>
        <v>PR8</v>
      </c>
      <c r="G14" s="1"/>
      <c r="I14" s="3">
        <f>I23</f>
        <v>1</v>
      </c>
      <c r="J14" s="4">
        <f t="shared" ref="J14:K14" si="1">D31</f>
        <v>730</v>
      </c>
      <c r="K14" s="4">
        <f t="shared" si="1"/>
        <v>630</v>
      </c>
    </row>
    <row r="15" spans="1:14" ht="15.6" x14ac:dyDescent="0.3">
      <c r="A15" s="97"/>
      <c r="B15" s="25">
        <f t="shared" ref="B15" si="2">I15</f>
        <v>2</v>
      </c>
      <c r="C15" s="25"/>
      <c r="D15" s="25">
        <v>760</v>
      </c>
      <c r="E15" s="35">
        <v>150</v>
      </c>
      <c r="F15" s="111" t="str">
        <f t="shared" ref="F15" si="3">C32</f>
        <v>E/R 1 CARA MDF 18MM</v>
      </c>
      <c r="G15" s="1"/>
      <c r="I15" s="3">
        <f t="shared" ref="I15" si="4">B32</f>
        <v>2</v>
      </c>
      <c r="J15" s="4">
        <f t="shared" ref="J15" si="5">D32</f>
        <v>740</v>
      </c>
      <c r="K15" s="4">
        <f t="shared" ref="K15" si="6">E32</f>
        <v>150</v>
      </c>
    </row>
    <row r="16" spans="1:14" ht="15.6" x14ac:dyDescent="0.3">
      <c r="A16" s="97"/>
      <c r="B16" s="25">
        <f t="shared" ref="B16" si="7">I16</f>
        <v>1</v>
      </c>
      <c r="C16" s="25"/>
      <c r="D16" s="25">
        <f>J16+20</f>
        <v>700</v>
      </c>
      <c r="E16" s="25">
        <f t="shared" ref="E16" si="8">K16+E$13</f>
        <v>120</v>
      </c>
      <c r="F16" s="111" t="str">
        <f t="shared" ref="F16" si="9">C33</f>
        <v>E/R 1 CARA MDF 18MM</v>
      </c>
      <c r="G16" s="1"/>
      <c r="I16" s="3">
        <f t="shared" ref="I16" si="10">B33</f>
        <v>1</v>
      </c>
      <c r="J16" s="4">
        <f t="shared" ref="J16" si="11">D33</f>
        <v>680</v>
      </c>
      <c r="K16" s="4">
        <f t="shared" ref="K16" si="12">E33</f>
        <v>120</v>
      </c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1" t="s">
        <v>14</v>
      </c>
      <c r="B19" s="121"/>
      <c r="C19" s="121"/>
      <c r="D19" s="121"/>
      <c r="E19" s="121"/>
      <c r="F19" s="121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90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126" t="s">
        <v>145</v>
      </c>
      <c r="B23" s="16">
        <f t="shared" ref="B23" si="13">I23</f>
        <v>1</v>
      </c>
      <c r="C23" s="16"/>
      <c r="D23" s="16">
        <f>J23+D$22</f>
        <v>770</v>
      </c>
      <c r="E23" s="16">
        <f>K23+E$22</f>
        <v>720</v>
      </c>
      <c r="F23" s="112" t="str">
        <f>C31</f>
        <v>PR8</v>
      </c>
      <c r="G23" s="1"/>
      <c r="I23" s="3">
        <f>B31</f>
        <v>1</v>
      </c>
      <c r="J23" s="4">
        <f>D31</f>
        <v>730</v>
      </c>
      <c r="K23" s="4">
        <f>E31</f>
        <v>630</v>
      </c>
    </row>
    <row r="24" spans="1:11" ht="15.6" x14ac:dyDescent="0.3">
      <c r="A24" s="97"/>
      <c r="B24" s="16">
        <f t="shared" ref="B24" si="14">I24</f>
        <v>2</v>
      </c>
      <c r="C24" s="16"/>
      <c r="D24" s="16">
        <v>760</v>
      </c>
      <c r="E24" s="16">
        <v>170</v>
      </c>
      <c r="F24" s="112" t="str">
        <f t="shared" ref="F24" si="15">C32</f>
        <v>E/R 1 CARA MDF 18MM</v>
      </c>
      <c r="G24" s="1"/>
      <c r="I24" s="3">
        <f t="shared" ref="I24" si="16">B32</f>
        <v>2</v>
      </c>
      <c r="J24" s="4">
        <f t="shared" ref="J24:K24" si="17">D32</f>
        <v>740</v>
      </c>
      <c r="K24" s="4">
        <f t="shared" si="17"/>
        <v>150</v>
      </c>
    </row>
    <row r="25" spans="1:11" ht="15.6" x14ac:dyDescent="0.3">
      <c r="A25" s="97"/>
      <c r="B25" s="16">
        <f t="shared" ref="B25" si="18">I25</f>
        <v>1</v>
      </c>
      <c r="C25" s="16"/>
      <c r="D25" s="16">
        <v>700</v>
      </c>
      <c r="E25" s="16">
        <v>140</v>
      </c>
      <c r="F25" s="112" t="str">
        <f t="shared" ref="F25" si="19">C33</f>
        <v>E/R 1 CARA MDF 18MM</v>
      </c>
      <c r="G25" s="1"/>
      <c r="I25" s="3">
        <f t="shared" ref="I25" si="20">B33</f>
        <v>1</v>
      </c>
      <c r="J25" s="4">
        <f t="shared" ref="J25" si="21">D33</f>
        <v>680</v>
      </c>
      <c r="K25" s="4">
        <f t="shared" ref="K25" si="22">E33</f>
        <v>120</v>
      </c>
    </row>
    <row r="26" spans="1:11" ht="15.6" x14ac:dyDescent="0.3">
      <c r="A26" s="97"/>
      <c r="B26" s="6"/>
      <c r="C26" s="6"/>
      <c r="D26" s="6"/>
      <c r="E26" s="6"/>
      <c r="F26" s="6"/>
      <c r="G26" s="1"/>
      <c r="I26" s="90"/>
      <c r="J26" s="2"/>
      <c r="K26" s="2"/>
    </row>
    <row r="27" spans="1:11" ht="16.2" thickBot="1" x14ac:dyDescent="0.35">
      <c r="A27" s="52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2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2" t="s">
        <v>9</v>
      </c>
      <c r="B30" s="88" t="s">
        <v>10</v>
      </c>
      <c r="C30" s="88" t="s">
        <v>110</v>
      </c>
      <c r="D30" s="88" t="s">
        <v>7</v>
      </c>
      <c r="E30" s="88" t="s">
        <v>8</v>
      </c>
      <c r="F30" s="88" t="s">
        <v>23</v>
      </c>
      <c r="G30" s="1"/>
    </row>
    <row r="31" spans="1:11" ht="15.6" x14ac:dyDescent="0.3">
      <c r="A31" s="126" t="s">
        <v>145</v>
      </c>
      <c r="B31" s="25">
        <f>'4637'!B21</f>
        <v>1</v>
      </c>
      <c r="C31" s="111" t="str">
        <f>'4637'!C21</f>
        <v>PR8</v>
      </c>
      <c r="D31" s="25">
        <f>'4637'!D21</f>
        <v>730</v>
      </c>
      <c r="E31" s="25">
        <f>'4637'!E21</f>
        <v>630</v>
      </c>
      <c r="F31" s="25" t="str">
        <f>'4637'!F21</f>
        <v>BLANCO OPACO MERINO</v>
      </c>
      <c r="G31" s="1"/>
    </row>
    <row r="32" spans="1:11" ht="15.6" x14ac:dyDescent="0.3">
      <c r="A32" s="97"/>
      <c r="B32" s="25">
        <f>'4637'!B22</f>
        <v>2</v>
      </c>
      <c r="C32" s="111" t="str">
        <f>'4637'!C22</f>
        <v>E/R 1 CARA MDF 18MM</v>
      </c>
      <c r="D32" s="25">
        <f>'4637'!D22</f>
        <v>740</v>
      </c>
      <c r="E32" s="25">
        <f>'4637'!E22</f>
        <v>150</v>
      </c>
      <c r="F32" s="25" t="str">
        <f>'4637'!F22</f>
        <v>BLANCO OPACO MERINO</v>
      </c>
      <c r="G32" s="1"/>
    </row>
    <row r="33" spans="1:7" ht="15.6" x14ac:dyDescent="0.3">
      <c r="A33" s="97"/>
      <c r="B33" s="25">
        <f>'4637'!B23</f>
        <v>1</v>
      </c>
      <c r="C33" s="111" t="str">
        <f>'4637'!C23</f>
        <v>E/R 1 CARA MDF 18MM</v>
      </c>
      <c r="D33" s="25">
        <f>'4637'!D23</f>
        <v>680</v>
      </c>
      <c r="E33" s="25">
        <f>'4637'!E23</f>
        <v>120</v>
      </c>
      <c r="F33" s="25" t="str">
        <f>'4637'!F23</f>
        <v>GRIS NUBE 2189 MT</v>
      </c>
      <c r="G33" s="1"/>
    </row>
    <row r="34" spans="1:7" ht="15.6" x14ac:dyDescent="0.3">
      <c r="A34" s="97"/>
      <c r="B34" s="6"/>
      <c r="C34" s="6"/>
      <c r="D34" s="6"/>
      <c r="E34" s="6"/>
      <c r="F34" s="6"/>
      <c r="G34" s="1"/>
    </row>
    <row r="35" spans="1:7" ht="15.6" x14ac:dyDescent="0.3">
      <c r="A35" s="52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40" t="s">
        <v>27</v>
      </c>
      <c r="D45" s="14">
        <f>'4637'!G8</f>
        <v>7053</v>
      </c>
      <c r="E45" s="1"/>
      <c r="F45" s="1"/>
      <c r="G45" s="1"/>
    </row>
    <row r="46" spans="1:7" ht="17.25" customHeight="1" x14ac:dyDescent="0.3">
      <c r="A46" s="1"/>
      <c r="B46" s="1"/>
      <c r="C46" s="41" t="s">
        <v>67</v>
      </c>
      <c r="D46" s="42" t="str">
        <f>'4637'!C10</f>
        <v>SOC. CONST. E INMOB. CCM SPA</v>
      </c>
      <c r="E46" s="43"/>
      <c r="F46" s="43"/>
      <c r="G46" s="1"/>
    </row>
    <row r="47" spans="1:7" ht="4.5" customHeight="1" x14ac:dyDescent="0.3">
      <c r="A47" s="1"/>
      <c r="B47" s="1"/>
      <c r="C47" s="44"/>
      <c r="D47" s="45"/>
      <c r="E47" s="1"/>
      <c r="F47" s="1"/>
      <c r="G47" s="1"/>
    </row>
    <row r="48" spans="1:7" ht="15.6" x14ac:dyDescent="0.3">
      <c r="A48" s="1"/>
      <c r="B48" s="1"/>
      <c r="C48" s="46" t="str">
        <f>'4637'!F11</f>
        <v>FECHA LIMITE :</v>
      </c>
      <c r="D48" s="13">
        <f>'4637'!G11</f>
        <v>45358</v>
      </c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21" t="s">
        <v>68</v>
      </c>
      <c r="B51" s="121"/>
      <c r="C51" s="121"/>
      <c r="D51" s="121"/>
      <c r="E51" s="121"/>
      <c r="F51" s="12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22" t="s">
        <v>69</v>
      </c>
      <c r="C53" s="123"/>
      <c r="D53" s="124"/>
      <c r="E53" s="124"/>
      <c r="F53" s="125"/>
      <c r="G53" s="1"/>
    </row>
    <row r="54" spans="1:7" s="15" customFormat="1" ht="12.75" customHeight="1" x14ac:dyDescent="0.3">
      <c r="A54" s="1"/>
      <c r="B54" s="36" t="s">
        <v>10</v>
      </c>
      <c r="C54" s="47" t="s">
        <v>11</v>
      </c>
      <c r="D54" s="48" t="s">
        <v>7</v>
      </c>
      <c r="E54" s="48" t="s">
        <v>8</v>
      </c>
      <c r="F54" s="49" t="s">
        <v>12</v>
      </c>
      <c r="G54" s="1"/>
    </row>
    <row r="55" spans="1:7" s="15" customFormat="1" ht="15" customHeight="1" x14ac:dyDescent="0.3">
      <c r="A55" s="97"/>
      <c r="B55" s="38">
        <f>'4637'!B21</f>
        <v>1</v>
      </c>
      <c r="C55" s="109" t="str">
        <f>'4637'!C21</f>
        <v>PR8</v>
      </c>
      <c r="D55" s="39">
        <f>'4637'!D21</f>
        <v>730</v>
      </c>
      <c r="E55" s="39">
        <f>'4637'!E21</f>
        <v>630</v>
      </c>
      <c r="F55" s="38" t="str">
        <f>'4637'!F21</f>
        <v>BLANCO OPACO MERINO</v>
      </c>
      <c r="G55" s="1"/>
    </row>
    <row r="56" spans="1:7" s="15" customFormat="1" ht="15" customHeight="1" x14ac:dyDescent="0.3">
      <c r="A56" s="97"/>
      <c r="B56" s="38">
        <f>'4637'!B22</f>
        <v>2</v>
      </c>
      <c r="C56" s="109" t="str">
        <f>'4637'!C22</f>
        <v>E/R 1 CARA MDF 18MM</v>
      </c>
      <c r="D56" s="39">
        <f>'4637'!D22</f>
        <v>740</v>
      </c>
      <c r="E56" s="39">
        <f>'4637'!E22</f>
        <v>150</v>
      </c>
      <c r="F56" s="38" t="str">
        <f>'4637'!F22</f>
        <v>BLANCO OPACO MERINO</v>
      </c>
      <c r="G56" s="1"/>
    </row>
    <row r="57" spans="1:7" s="15" customFormat="1" ht="15" customHeight="1" x14ac:dyDescent="0.3">
      <c r="A57" s="97"/>
      <c r="B57" s="38">
        <f>'4637'!B23</f>
        <v>1</v>
      </c>
      <c r="C57" s="109" t="str">
        <f>'4637'!C23</f>
        <v>E/R 1 CARA MDF 18MM</v>
      </c>
      <c r="D57" s="39">
        <f>'4637'!D23</f>
        <v>680</v>
      </c>
      <c r="E57" s="39">
        <f>'4637'!E23</f>
        <v>120</v>
      </c>
      <c r="F57" s="38" t="str">
        <f>'4637'!F23</f>
        <v>GRIS NUBE 2189 MT</v>
      </c>
      <c r="G57" s="1"/>
    </row>
    <row r="58" spans="1:7" s="15" customFormat="1" ht="15" customHeight="1" x14ac:dyDescent="0.3">
      <c r="A58" s="97"/>
      <c r="B58" s="52"/>
      <c r="C58" s="110"/>
      <c r="D58" s="52"/>
      <c r="E58" s="52"/>
      <c r="F58" s="52"/>
      <c r="G58" s="1"/>
    </row>
    <row r="59" spans="1:7" s="15" customFormat="1" ht="15" customHeight="1" x14ac:dyDescent="0.3">
      <c r="A59" s="50"/>
      <c r="B59" s="52"/>
      <c r="C59" s="52"/>
      <c r="D59" s="52"/>
      <c r="E59" s="52"/>
      <c r="F59" s="52"/>
      <c r="G59" s="1"/>
    </row>
    <row r="60" spans="1:7" ht="15.6" x14ac:dyDescent="0.3">
      <c r="A60" s="6"/>
      <c r="B60" s="6"/>
      <c r="C60" s="1"/>
      <c r="D60" s="6"/>
      <c r="E60" s="6"/>
      <c r="F60" s="44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19:F19"/>
    <mergeCell ref="A10:F10"/>
    <mergeCell ref="A51:F51"/>
    <mergeCell ref="B53:F53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2024-03-06T15:10:26Z</cp:lastPrinted>
  <dcterms:created xsi:type="dcterms:W3CDTF">2013-03-19T12:54:14Z</dcterms:created>
  <dcterms:modified xsi:type="dcterms:W3CDTF">2024-03-06T15:10:47Z</dcterms:modified>
</cp:coreProperties>
</file>