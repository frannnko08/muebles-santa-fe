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EEB29112-FBD9-4237-8E22-8F817310F7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CUBIERTA!$A$2:$G$43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" l="1"/>
  <c r="F16" i="3"/>
  <c r="I16" i="3"/>
  <c r="B16" i="3" s="1"/>
  <c r="J16" i="3"/>
  <c r="D16" i="3" s="1"/>
  <c r="K16" i="3"/>
  <c r="E16" i="3" s="1"/>
  <c r="F57" i="3"/>
  <c r="I14" i="3" l="1"/>
  <c r="F56" i="3"/>
  <c r="F33" i="3" s="1"/>
  <c r="F55" i="3"/>
  <c r="F32" i="3" s="1"/>
  <c r="H24" i="4"/>
  <c r="H23" i="4"/>
  <c r="H22" i="4"/>
  <c r="B33" i="3" l="1"/>
  <c r="I25" i="3" s="1"/>
  <c r="I15" i="3" s="1"/>
  <c r="B15" i="3" s="1"/>
  <c r="C33" i="3"/>
  <c r="F25" i="3" s="1"/>
  <c r="F15" i="3" s="1"/>
  <c r="D33" i="3"/>
  <c r="J25" i="3" s="1"/>
  <c r="E33" i="3"/>
  <c r="K25" i="3" s="1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B56" i="3"/>
  <c r="C56" i="3"/>
  <c r="D56" i="3"/>
  <c r="E56" i="3"/>
  <c r="B57" i="3"/>
  <c r="C57" i="3"/>
  <c r="D57" i="3"/>
  <c r="E57" i="3"/>
  <c r="K15" i="3" l="1"/>
  <c r="E15" i="3" s="1"/>
  <c r="E25" i="3"/>
  <c r="B25" i="3"/>
  <c r="J15" i="3"/>
  <c r="D15" i="3" s="1"/>
  <c r="D25" i="3"/>
  <c r="L22" i="4"/>
  <c r="H26" i="4" l="1"/>
  <c r="H27" i="4" s="1"/>
  <c r="H28" i="4" l="1"/>
  <c r="E32" i="3"/>
  <c r="K24" i="3" s="1"/>
  <c r="D32" i="3"/>
  <c r="J24" i="3" s="1"/>
  <c r="C32" i="3"/>
  <c r="F24" i="3" s="1"/>
  <c r="F14" i="3" s="1"/>
  <c r="B32" i="3"/>
  <c r="E55" i="3"/>
  <c r="D55" i="3"/>
  <c r="C55" i="3"/>
  <c r="B55" i="3"/>
  <c r="J14" i="3" l="1"/>
  <c r="D24" i="3"/>
  <c r="K14" i="3"/>
  <c r="E14" i="3" s="1"/>
  <c r="E24" i="3"/>
  <c r="D14" i="3"/>
  <c r="N5" i="3"/>
  <c r="B24" i="3"/>
  <c r="B14" i="3"/>
  <c r="M5" i="3" l="1"/>
  <c r="L5" i="3"/>
  <c r="K5" i="3"/>
  <c r="C48" i="3" l="1"/>
  <c r="C7" i="3"/>
  <c r="D46" i="3"/>
  <c r="D5" i="3"/>
  <c r="D48" i="3"/>
  <c r="D7" i="3"/>
  <c r="D4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<sst xmlns="http://schemas.openxmlformats.org/spreadsheetml/2006/main" count="258" uniqueCount="150">
  <si>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</si>
  <si>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</si>
  <si>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</si>
  <si>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</si>
  <si>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</si>
  <si>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</si>
  <si>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</si>
  <si>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</si>
  <si>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</si>
  <si>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</si>
  <si>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</si>
  <si>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</si>
  <si>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</si>
  <si>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</si>
  <si>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</si>
  <si>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</si>
  <si>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</si>
  <si>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</si>
  <si>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</si>
  <si>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</si>
  <si>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</si>
  <si>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</si>
  <si>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</si>
  <si>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</si>
  <si>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</si>
  <si>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</si>
  <si>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</si>
  <si>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</si>
  <si>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</si>
  <si>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</si>
  <si>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</si>
  <si>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</si>
  <si>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</si>
  <si>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</si>
  <si>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</si>
  <si>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</si>
  <si>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</si>
  <si>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</si>
  <si>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</si>
  <si>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</si>
  <si>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</si>
  <si>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</si>
  <si>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</si>
  <si>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</si>
  <si>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</si>
  <si>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</si>
  <si>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</si>
  <si>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</si>
  <si>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</si>
  <si>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</si>
  <si>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</si>
  <si>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</si>
  <si>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</si>
  <si>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</si>
  <si>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</si>
  <si>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</si>
  <si>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</si>
  <si>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</si>
  <si>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</si>
  <si>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</si>
  <si>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</si>
  <si>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</si>
  <si>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</si>
  <si>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</si>
  <si>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</si>
  <si>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</si>
  <si>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</si>
  <si>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</si>
  <si>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</si>
  <si>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</si>
  <si>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</si>
  <si>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</si>
  <si>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</si>
  <si>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</si>
  <si>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</si>
  <si>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</si>
  <si>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</si>
  <si>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</si>
  <si>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</si>
  <si>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</si>
  <si>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</si>
  <si>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</si>
  <si>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</si>
  <si>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</si>
  <si>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</si>
  <si>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</si>
  <si>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</si>
  <si>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</si>
  <si>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</si>
  <si>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</si>
  <si>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</si>
  <si>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</si>
  <si>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</si>
  <si>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</si>
  <si>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</si>
  <si>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</si>
  <si>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</si>
  <si>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</si>
  <si>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</si>
  <si>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</si>
  <si>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</si>
  <si>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</si>
  <si>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</si>
  <si>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</si>
  <si>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</si>
  <si>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</si>
  <si>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</si>
  <si>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</si>
  <si>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</si>
  <si>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</si>
  <si>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</si>
  <si>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</si>
  <si>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</si>
  <si>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</si>
  <si>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</si>
  <si>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</si>
  <si>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</si>
  <si>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</si>
  <si>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</si>
  <si>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</si>
  <si>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</si>
  <si>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</si>
  <si>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</si>
  <si>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</si>
  <si>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</si>
  <si>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</si>
  <si>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</si>
  <si>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</si>
  <si>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</si>
  <si>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</si>
  <si>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</si>
  <si>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</si>
  <si>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</si>
  <si>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</si>
  <si>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</si>
  <si>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</si>
  <si>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</si>
  <si>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</si>
  <si>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ABONO 50% SALDO C/ENTREGA</t>
  </si>
  <si>
    <t>162x132</t>
  </si>
  <si>
    <t>SANTIAGO</t>
  </si>
  <si>
    <t xml:space="preserve">N° </t>
  </si>
  <si>
    <t>UVZ MOBILIARIO SPA</t>
  </si>
  <si>
    <t>76.046.773-1</t>
  </si>
  <si>
    <t>FABRICACION DE MUEBLES</t>
  </si>
  <si>
    <t>ROSSY VALDES</t>
  </si>
  <si>
    <t>+569 25158 9695</t>
  </si>
  <si>
    <t>TOTORAL 300 QUILICURA</t>
  </si>
  <si>
    <t>CUBC C/R R8</t>
  </si>
  <si>
    <t>GALAXIA GRAFITO 0491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</si>
</sst>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" fillId="3" borderId="6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25</xdr:row>
      <xdr:rowOff>0</xdr:rowOff>
    </xdr:from>
    <xdr:to>
      <xdr:col>5</xdr:col>
      <xdr:colOff>1522096</xdr:colOff>
      <xdr:row>28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$ 174.930.-CLIENTE APORTA SUSTRATO Y LAMINAS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18</xdr:row>
      <xdr:rowOff>60960</xdr:rowOff>
    </xdr:from>
    <xdr:to>
      <xdr:col>5</xdr:col>
      <xdr:colOff>2240279</xdr:colOff>
      <xdr:row>20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15238</xdr:rowOff>
    </xdr:from>
    <xdr:to>
      <xdr:col>6</xdr:col>
      <xdr:colOff>68580</xdr:colOff>
      <xdr:row>40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1905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66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TRAJO LAMINAS Y SUSTRATO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43</xdr:row>
      <xdr:rowOff>175260</xdr:rowOff>
    </xdr:from>
    <xdr:to>
      <xdr:col>1</xdr:col>
      <xdr:colOff>654164</xdr:colOff>
      <xdr:row>49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opLeftCell="A7" workbookViewId="0">
      <selection activeCell="J30" sqref="J30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141</v>
      </c>
      <c r="E8" s="1"/>
      <c r="F8" s="87" t="s">
        <v>27</v>
      </c>
      <c r="G8" s="88">
        <v>7094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142</v>
      </c>
      <c r="D10" s="49"/>
      <c r="E10" s="49"/>
      <c r="F10" s="50" t="s">
        <v>28</v>
      </c>
      <c r="G10" s="51">
        <v>45481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 t="s">
        <v>143</v>
      </c>
      <c r="D11" s="54"/>
      <c r="E11" s="54"/>
      <c r="F11" s="54" t="s">
        <v>125</v>
      </c>
      <c r="G11" s="55">
        <v>45484</v>
      </c>
      <c r="H11" s="56"/>
      <c r="I11" s="1"/>
    </row>
    <row r="12" spans="1:17" ht="15.6" x14ac:dyDescent="0.3">
      <c r="A12" s="1"/>
      <c r="B12" s="53" t="s">
        <v>132</v>
      </c>
      <c r="C12" t="s">
        <v>144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t="s">
        <v>145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146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5.6" x14ac:dyDescent="0.3">
      <c r="A16" s="1"/>
      <c r="B16" s="121" t="s">
        <v>1</v>
      </c>
      <c r="C16" s="38" t="s">
        <v>147</v>
      </c>
      <c r="D16" s="38"/>
      <c r="E16" s="38"/>
      <c r="F16" s="61" t="s">
        <v>75</v>
      </c>
      <c r="G16" s="92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140</v>
      </c>
      <c r="D17" s="63"/>
      <c r="E17" s="64"/>
      <c r="F17" s="108" t="s">
        <v>18</v>
      </c>
      <c r="G17" s="108"/>
      <c r="H17" s="10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0" t="s">
        <v>19</v>
      </c>
      <c r="C20" s="111"/>
      <c r="D20" s="111"/>
      <c r="E20" s="111"/>
      <c r="F20" s="111"/>
      <c r="G20" s="111"/>
      <c r="H20" s="112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4</v>
      </c>
      <c r="C22" s="94" t="s">
        <v>148</v>
      </c>
      <c r="D22" s="93">
        <v>1700</v>
      </c>
      <c r="E22" s="93">
        <v>600</v>
      </c>
      <c r="F22" s="103" t="s">
        <v>149</v>
      </c>
      <c r="G22" s="102">
        <v>25000</v>
      </c>
      <c r="H22" s="102">
        <f>G22*B22</f>
        <v>100000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4">
        <v>4</v>
      </c>
      <c r="C23" s="94" t="s">
        <v>148</v>
      </c>
      <c r="D23" s="93">
        <v>1500</v>
      </c>
      <c r="E23" s="93">
        <v>600</v>
      </c>
      <c r="F23" s="103" t="s">
        <v>149</v>
      </c>
      <c r="G23" s="102">
        <v>20000</v>
      </c>
      <c r="H23" s="102">
        <f>G23*B23</f>
        <v>80000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94">
        <v>3</v>
      </c>
      <c r="C24" s="94" t="s">
        <v>148</v>
      </c>
      <c r="D24" s="93">
        <v>2700</v>
      </c>
      <c r="E24" s="93">
        <v>600</v>
      </c>
      <c r="F24" s="103" t="s">
        <v>149</v>
      </c>
      <c r="G24" s="102">
        <v>38000</v>
      </c>
      <c r="H24" s="102">
        <f t="shared" ref="H24" si="0">G24*B24</f>
        <v>114000</v>
      </c>
      <c r="K24" s="16"/>
      <c r="L24" s="24"/>
      <c r="M24" s="16"/>
      <c r="N24" s="16"/>
      <c r="O24" s="24"/>
      <c r="P24" s="31"/>
    </row>
    <row r="25" spans="1:19" ht="16.2" thickBot="1" x14ac:dyDescent="0.35">
      <c r="A25" s="1"/>
      <c r="B25" s="68"/>
      <c r="C25" s="68"/>
      <c r="D25" s="68"/>
      <c r="E25" s="68"/>
      <c r="F25" s="68"/>
      <c r="G25" s="90"/>
      <c r="H25" s="90"/>
      <c r="I25" s="1"/>
      <c r="L25" s="2"/>
      <c r="O25" s="2"/>
      <c r="P25">
        <v>2940</v>
      </c>
      <c r="Q25">
        <v>600</v>
      </c>
      <c r="S25" t="s">
        <v>139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5</v>
      </c>
      <c r="H26" s="70">
        <f>SUM(H22:H25)</f>
        <v>294000</v>
      </c>
      <c r="I26" s="1"/>
      <c r="L26" s="2"/>
      <c r="O26" s="24"/>
      <c r="P26" s="31">
        <v>1890</v>
      </c>
      <c r="Q26">
        <v>600</v>
      </c>
    </row>
    <row r="27" spans="1:19" ht="15.6" x14ac:dyDescent="0.3">
      <c r="A27" s="1"/>
      <c r="B27" s="1"/>
      <c r="C27" s="1"/>
      <c r="D27" s="1"/>
      <c r="E27" s="1"/>
      <c r="F27" s="1"/>
      <c r="G27" s="71" t="s">
        <v>6</v>
      </c>
      <c r="H27" s="72">
        <f>H26*19%</f>
        <v>55860</v>
      </c>
      <c r="I27" s="1"/>
      <c r="L27" s="2"/>
    </row>
    <row r="28" spans="1:19" ht="16.2" thickBot="1" x14ac:dyDescent="0.35">
      <c r="A28" s="1"/>
      <c r="B28" s="1"/>
      <c r="C28" s="1"/>
      <c r="D28" s="1"/>
      <c r="E28" s="1"/>
      <c r="F28" s="1"/>
      <c r="G28" s="73" t="s">
        <v>4</v>
      </c>
      <c r="H28" s="74">
        <f>H26+H27</f>
        <v>349860</v>
      </c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5" t="s">
        <v>124</v>
      </c>
      <c r="C30" s="76"/>
      <c r="D30" s="77"/>
      <c r="E30" s="77"/>
      <c r="F30" s="68"/>
      <c r="I30" s="1"/>
    </row>
    <row r="31" spans="1:19" ht="15.6" x14ac:dyDescent="0.3">
      <c r="A31" s="1"/>
      <c r="B31" s="75" t="s">
        <v>123</v>
      </c>
      <c r="C31" s="76"/>
      <c r="D31" s="77"/>
      <c r="E31" s="77"/>
      <c r="F31" s="68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8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7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abSelected="1" zoomScaleNormal="100" workbookViewId="0">
      <selection activeCell="A2" sqref="A2:G43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5" t="s">
        <v>27</v>
      </c>
      <c r="D4" s="14">
        <f>'4637'!G8</f>
        <v>7094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UVZ MOBILIARIO SPA</v>
      </c>
      <c r="E5" s="38"/>
      <c r="F5" s="38"/>
      <c r="G5" s="1"/>
      <c r="K5">
        <f>LOOKUP(F14,REGLAS!$I$4:$I$37,REGLAS!$G$4:$G$37)+J14</f>
        <v>1750</v>
      </c>
      <c r="L5">
        <f>LOOKUP(F14,REGLAS!$I$4:$I$37,REGLAS!$H$4:$H$37)+K14</f>
        <v>600</v>
      </c>
      <c r="M5" t="e">
        <f>LOOKUP(F24,REGLAS!$D$4:$D$37,REGLAS!$B$4:$B$37)+#REF!</f>
        <v>#REF!</v>
      </c>
      <c r="N5">
        <f>LOOKUP(F24,REGLAS!$D$4:$D$37,REGLAS!$C$4:$C$37)+J24</f>
        <v>1760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45484</v>
      </c>
      <c r="E7" s="1"/>
      <c r="F7" s="1"/>
      <c r="G7" s="1"/>
    </row>
    <row r="8" spans="1:14" ht="15.6" x14ac:dyDescent="0.3">
      <c r="A8" s="1"/>
      <c r="B8" s="1"/>
      <c r="C8" s="47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6" t="s">
        <v>7</v>
      </c>
      <c r="E12" s="46" t="s">
        <v>8</v>
      </c>
      <c r="F12" s="1"/>
      <c r="G12" s="1"/>
    </row>
    <row r="13" spans="1:14" ht="15.6" x14ac:dyDescent="0.3">
      <c r="A13" s="46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89" t="s">
        <v>136</v>
      </c>
      <c r="B14" s="97">
        <f t="shared" ref="B14" si="0">I14</f>
        <v>4</v>
      </c>
      <c r="C14" s="98"/>
      <c r="D14" s="97">
        <f>J14+D$13</f>
        <v>1750</v>
      </c>
      <c r="E14" s="97">
        <f>K14+E$13</f>
        <v>570</v>
      </c>
      <c r="F14" s="97" t="str">
        <f>F24</f>
        <v>CUBC C/R R8</v>
      </c>
      <c r="G14" s="1"/>
      <c r="I14" s="3">
        <f t="shared" ref="I14:K16" si="1">I24</f>
        <v>4</v>
      </c>
      <c r="J14" s="4">
        <f t="shared" si="1"/>
        <v>1700</v>
      </c>
      <c r="K14" s="4">
        <f t="shared" si="1"/>
        <v>600</v>
      </c>
    </row>
    <row r="15" spans="1:14" ht="18" x14ac:dyDescent="0.35">
      <c r="A15" s="89"/>
      <c r="B15" s="97">
        <f t="shared" ref="B15" si="2">I15</f>
        <v>4</v>
      </c>
      <c r="C15" s="98"/>
      <c r="D15" s="97">
        <f t="shared" ref="D15" si="3">J15+D$13</f>
        <v>1550</v>
      </c>
      <c r="E15" s="97">
        <f>K15+E$13</f>
        <v>570</v>
      </c>
      <c r="F15" s="97" t="str">
        <f>F25</f>
        <v>CUBC C/R R8</v>
      </c>
      <c r="G15" s="1"/>
      <c r="I15" s="3">
        <f t="shared" si="1"/>
        <v>4</v>
      </c>
      <c r="J15" s="4">
        <f t="shared" si="1"/>
        <v>1500</v>
      </c>
      <c r="K15" s="4">
        <f t="shared" si="1"/>
        <v>600</v>
      </c>
    </row>
    <row r="16" spans="1:14" ht="18" x14ac:dyDescent="0.35">
      <c r="A16" s="89"/>
      <c r="B16" s="97">
        <f t="shared" ref="B16" si="4">I16</f>
        <v>3</v>
      </c>
      <c r="C16" s="98"/>
      <c r="D16" s="97">
        <f t="shared" ref="D16" si="5">J16+D$13</f>
        <v>2750</v>
      </c>
      <c r="E16" s="97">
        <f>K16+E$13</f>
        <v>570</v>
      </c>
      <c r="F16" s="97" t="str">
        <f>F26</f>
        <v>CUBC C/R R8</v>
      </c>
      <c r="G16" s="1"/>
      <c r="I16" s="3">
        <f t="shared" si="1"/>
        <v>3</v>
      </c>
      <c r="J16" s="4">
        <f t="shared" si="1"/>
        <v>2700</v>
      </c>
      <c r="K16" s="4">
        <f t="shared" si="1"/>
        <v>600</v>
      </c>
    </row>
    <row r="17" spans="1:11" ht="15.6" x14ac:dyDescent="0.3">
      <c r="A17" s="89"/>
      <c r="B17" s="6"/>
      <c r="C17" s="6"/>
      <c r="D17" s="6"/>
      <c r="E17" s="6"/>
      <c r="F17" s="6"/>
      <c r="G17" s="1"/>
      <c r="I17" s="83"/>
      <c r="J17" s="2"/>
      <c r="K17" s="2"/>
    </row>
    <row r="18" spans="1:11" ht="15.6" x14ac:dyDescent="0.3">
      <c r="A18" s="46"/>
      <c r="B18" s="6"/>
      <c r="C18" s="6"/>
      <c r="D18" s="6"/>
      <c r="E18" s="82"/>
      <c r="F18" s="6"/>
      <c r="G18" s="1"/>
      <c r="I18" s="2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6" t="s">
        <v>14</v>
      </c>
      <c r="B20" s="116"/>
      <c r="C20" s="116"/>
      <c r="D20" s="116"/>
      <c r="E20" s="116"/>
      <c r="F20" s="116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46" t="s">
        <v>7</v>
      </c>
      <c r="E22" s="46" t="s">
        <v>8</v>
      </c>
      <c r="F22" s="1"/>
      <c r="G22" s="1"/>
    </row>
    <row r="23" spans="1:11" ht="15.6" x14ac:dyDescent="0.3">
      <c r="A23" s="46" t="s">
        <v>9</v>
      </c>
      <c r="B23" s="33" t="s">
        <v>10</v>
      </c>
      <c r="C23" s="33" t="s">
        <v>11</v>
      </c>
      <c r="D23" s="20">
        <v>40</v>
      </c>
      <c r="E23" s="20">
        <v>130</v>
      </c>
      <c r="F23" s="33" t="s">
        <v>110</v>
      </c>
      <c r="G23" s="1"/>
      <c r="J23" s="5" t="s">
        <v>7</v>
      </c>
      <c r="K23" s="5" t="s">
        <v>8</v>
      </c>
    </row>
    <row r="24" spans="1:11" ht="18" x14ac:dyDescent="0.35">
      <c r="A24" s="89" t="s">
        <v>136</v>
      </c>
      <c r="B24" s="98">
        <f>I24</f>
        <v>4</v>
      </c>
      <c r="C24" s="98"/>
      <c r="D24" s="98">
        <f>J24+D$23</f>
        <v>1740</v>
      </c>
      <c r="E24" s="98">
        <f>K24+E$23</f>
        <v>730</v>
      </c>
      <c r="F24" s="98" t="str">
        <f>C32</f>
        <v>CUBC C/R R8</v>
      </c>
      <c r="G24" s="1"/>
      <c r="I24" s="3">
        <f>B32</f>
        <v>4</v>
      </c>
      <c r="J24" s="4">
        <f>D32</f>
        <v>1700</v>
      </c>
      <c r="K24" s="4">
        <f>E32</f>
        <v>600</v>
      </c>
    </row>
    <row r="25" spans="1:11" ht="18" x14ac:dyDescent="0.35">
      <c r="A25" s="89"/>
      <c r="B25" s="98">
        <f t="shared" ref="B25" si="6">I25</f>
        <v>4</v>
      </c>
      <c r="C25" s="98"/>
      <c r="D25" s="98">
        <f>J25+D$23</f>
        <v>1540</v>
      </c>
      <c r="E25" s="98">
        <f>K25+E$23</f>
        <v>730</v>
      </c>
      <c r="F25" s="98" t="str">
        <f>C33</f>
        <v>CUBC C/R R8</v>
      </c>
      <c r="G25" s="1"/>
      <c r="I25" s="3">
        <f>B33</f>
        <v>4</v>
      </c>
      <c r="J25" s="4">
        <f>D33</f>
        <v>1500</v>
      </c>
      <c r="K25" s="4">
        <f>E33</f>
        <v>600</v>
      </c>
    </row>
    <row r="26" spans="1:11" ht="18" x14ac:dyDescent="0.35">
      <c r="A26" s="89"/>
      <c r="B26" s="98">
        <f t="shared" ref="B26" si="7">I26</f>
        <v>3</v>
      </c>
      <c r="C26" s="98"/>
      <c r="D26" s="98">
        <f>J26+D$23</f>
        <v>2740</v>
      </c>
      <c r="E26" s="98">
        <f>K26+E$23</f>
        <v>730</v>
      </c>
      <c r="F26" s="98" t="str">
        <f>C34</f>
        <v>CUBC C/R R8</v>
      </c>
      <c r="G26" s="1"/>
      <c r="I26" s="3">
        <f>B34</f>
        <v>3</v>
      </c>
      <c r="J26" s="4">
        <f>D34</f>
        <v>2700</v>
      </c>
      <c r="K26" s="4">
        <f>E34</f>
        <v>600</v>
      </c>
    </row>
    <row r="27" spans="1:11" ht="15.6" x14ac:dyDescent="0.3">
      <c r="A27" s="89"/>
      <c r="B27" s="6"/>
      <c r="C27" s="6"/>
      <c r="D27" s="6"/>
      <c r="E27" s="6"/>
      <c r="F27" s="6"/>
      <c r="G27" s="1"/>
      <c r="I27" s="83"/>
      <c r="J27" s="2"/>
      <c r="K27" s="2"/>
    </row>
    <row r="28" spans="1:11" ht="16.2" thickBot="1" x14ac:dyDescent="0.35">
      <c r="A28" s="46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46"/>
      <c r="B29" s="21" t="s">
        <v>107</v>
      </c>
      <c r="C29" s="22"/>
      <c r="D29" s="22"/>
      <c r="E29" s="22"/>
      <c r="F29" s="23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46" t="s">
        <v>9</v>
      </c>
      <c r="B31" s="81" t="s">
        <v>10</v>
      </c>
      <c r="C31" s="81" t="s">
        <v>110</v>
      </c>
      <c r="D31" s="81" t="s">
        <v>7</v>
      </c>
      <c r="E31" s="81" t="s">
        <v>8</v>
      </c>
      <c r="F31" s="81" t="s">
        <v>23</v>
      </c>
      <c r="G31" s="1"/>
    </row>
    <row r="32" spans="1:11" ht="18" x14ac:dyDescent="0.35">
      <c r="A32" s="89" t="s">
        <v>136</v>
      </c>
      <c r="B32" s="97">
        <f>'4637'!B22</f>
        <v>4</v>
      </c>
      <c r="C32" s="97" t="str">
        <f>'4637'!C22</f>
        <v>CUBC C/R R8</v>
      </c>
      <c r="D32" s="97">
        <f>'4637'!D22</f>
        <v>1700</v>
      </c>
      <c r="E32" s="97">
        <f>'4637'!E22</f>
        <v>600</v>
      </c>
      <c r="F32" s="106" t="str">
        <f>F55</f>
        <v>GALAXIA GRAFITO 0491 MT</v>
      </c>
      <c r="G32" s="1"/>
    </row>
    <row r="33" spans="1:7" ht="18" x14ac:dyDescent="0.35">
      <c r="A33" s="89"/>
      <c r="B33" s="97">
        <f>'4637'!B23</f>
        <v>4</v>
      </c>
      <c r="C33" s="97" t="str">
        <f>'4637'!C23</f>
        <v>CUBC C/R R8</v>
      </c>
      <c r="D33" s="97">
        <f>'4637'!D23</f>
        <v>1500</v>
      </c>
      <c r="E33" s="97">
        <f>'4637'!E23</f>
        <v>600</v>
      </c>
      <c r="F33" s="106" t="str">
        <f>F56</f>
        <v>GALAXIA GRAFITO 0491 MT</v>
      </c>
      <c r="G33" s="1"/>
    </row>
    <row r="34" spans="1:7" ht="18" x14ac:dyDescent="0.35">
      <c r="A34" s="89"/>
      <c r="B34" s="97">
        <f>'4637'!B24</f>
        <v>3</v>
      </c>
      <c r="C34" s="97" t="str">
        <f>'4637'!C24</f>
        <v>CUBC C/R R8</v>
      </c>
      <c r="D34" s="97">
        <f>'4637'!D24</f>
        <v>2700</v>
      </c>
      <c r="E34" s="97">
        <f>'4637'!E24</f>
        <v>600</v>
      </c>
      <c r="F34" s="106"/>
      <c r="G34" s="1"/>
    </row>
    <row r="35" spans="1:7" ht="15.6" x14ac:dyDescent="0.3">
      <c r="A35" s="89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35" t="s">
        <v>27</v>
      </c>
      <c r="D45" s="14">
        <f>'4637'!G8</f>
        <v>7094</v>
      </c>
      <c r="E45" s="1"/>
      <c r="F45" s="1"/>
      <c r="G45" s="1"/>
    </row>
    <row r="46" spans="1:7" ht="17.25" customHeight="1" x14ac:dyDescent="0.3">
      <c r="A46" s="1"/>
      <c r="B46" s="1"/>
      <c r="C46" s="36" t="s">
        <v>67</v>
      </c>
      <c r="D46" s="37" t="str">
        <f>'4637'!C10</f>
        <v>UVZ MOBILIARIO SPA</v>
      </c>
      <c r="E46" s="38"/>
      <c r="F46" s="38"/>
      <c r="G46" s="1"/>
    </row>
    <row r="47" spans="1:7" ht="4.5" customHeight="1" x14ac:dyDescent="0.3">
      <c r="A47" s="1"/>
      <c r="B47" s="1"/>
      <c r="C47" s="39"/>
      <c r="D47" s="40"/>
      <c r="E47" s="1"/>
      <c r="F47" s="1"/>
      <c r="G47" s="1"/>
    </row>
    <row r="48" spans="1:7" ht="15.6" x14ac:dyDescent="0.3">
      <c r="A48" s="1"/>
      <c r="B48" s="1"/>
      <c r="C48" s="41" t="str">
        <f>'4637'!F11</f>
        <v>FECHA LIMITE :</v>
      </c>
      <c r="D48" s="13">
        <f>'4637'!G11</f>
        <v>45484</v>
      </c>
      <c r="E48" s="1"/>
      <c r="F48" s="1" t="s">
        <v>134</v>
      </c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6" t="s">
        <v>68</v>
      </c>
      <c r="B51" s="116"/>
      <c r="C51" s="116"/>
      <c r="D51" s="116"/>
      <c r="E51" s="116"/>
      <c r="F51" s="11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17" t="s">
        <v>69</v>
      </c>
      <c r="C53" s="118"/>
      <c r="D53" s="119"/>
      <c r="E53" s="119"/>
      <c r="F53" s="120"/>
      <c r="G53" s="1"/>
    </row>
    <row r="54" spans="1:7" s="15" customFormat="1" ht="12.75" customHeight="1" x14ac:dyDescent="0.3">
      <c r="A54" s="1"/>
      <c r="B54" s="33" t="s">
        <v>10</v>
      </c>
      <c r="C54" s="42" t="s">
        <v>11</v>
      </c>
      <c r="D54" s="43" t="s">
        <v>7</v>
      </c>
      <c r="E54" s="43" t="s">
        <v>8</v>
      </c>
      <c r="F54" s="105" t="s">
        <v>12</v>
      </c>
      <c r="G54" s="1"/>
    </row>
    <row r="55" spans="1:7" s="15" customFormat="1" ht="15" customHeight="1" x14ac:dyDescent="0.35">
      <c r="A55" s="89" t="s">
        <v>136</v>
      </c>
      <c r="B55" s="95">
        <f>'4637'!B22</f>
        <v>4</v>
      </c>
      <c r="C55" s="96" t="str">
        <f>'4637'!C22</f>
        <v>CUBC C/R R8</v>
      </c>
      <c r="D55" s="96">
        <f>'4637'!D22</f>
        <v>1700</v>
      </c>
      <c r="E55" s="104">
        <f>'4637'!E22</f>
        <v>600</v>
      </c>
      <c r="F55" s="107" t="str">
        <f>'4637'!F22</f>
        <v>GALAXIA GRAFITO 0491 MT</v>
      </c>
      <c r="G55" s="1"/>
    </row>
    <row r="56" spans="1:7" s="15" customFormat="1" ht="15" customHeight="1" x14ac:dyDescent="0.35">
      <c r="A56" s="89"/>
      <c r="B56" s="95">
        <f>'4637'!B23</f>
        <v>4</v>
      </c>
      <c r="C56" s="96" t="str">
        <f>'4637'!C23</f>
        <v>CUBC C/R R8</v>
      </c>
      <c r="D56" s="96">
        <f>'4637'!D23</f>
        <v>1500</v>
      </c>
      <c r="E56" s="104">
        <f>'4637'!E23</f>
        <v>600</v>
      </c>
      <c r="F56" s="107" t="str">
        <f>'4637'!F23</f>
        <v>GALAXIA GRAFITO 0491 MT</v>
      </c>
      <c r="G56" s="1"/>
    </row>
    <row r="57" spans="1:7" s="15" customFormat="1" ht="15" customHeight="1" x14ac:dyDescent="0.35">
      <c r="A57" s="89"/>
      <c r="B57" s="95">
        <f>'4637'!B24</f>
        <v>3</v>
      </c>
      <c r="C57" s="96" t="str">
        <f>'4637'!C24</f>
        <v>CUBC C/R R8</v>
      </c>
      <c r="D57" s="96">
        <f>'4637'!D24</f>
        <v>2700</v>
      </c>
      <c r="E57" s="104">
        <f>'4637'!E24</f>
        <v>600</v>
      </c>
      <c r="F57" s="107" t="str">
        <f>'4637'!F24</f>
        <v>GALAXIA GRAFITO 0491 MT</v>
      </c>
      <c r="G57" s="1"/>
    </row>
    <row r="58" spans="1:7" s="15" customFormat="1" ht="15" customHeight="1" x14ac:dyDescent="0.3">
      <c r="A58" s="44"/>
      <c r="B58" s="46"/>
      <c r="C58" s="46"/>
      <c r="D58" s="46"/>
      <c r="E58" s="46"/>
      <c r="F58" s="46"/>
      <c r="G58" s="1"/>
    </row>
    <row r="59" spans="1:7" ht="15.6" x14ac:dyDescent="0.3">
      <c r="A59" s="6"/>
      <c r="B59" s="6"/>
      <c r="C59" s="1"/>
      <c r="D59" s="6"/>
      <c r="E59" s="6"/>
      <c r="F59" s="39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45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19"/>
      <c r="C68" s="19"/>
      <c r="D68" s="19"/>
      <c r="E68" s="19"/>
      <c r="F68" s="19"/>
    </row>
    <row r="69" spans="1:7" x14ac:dyDescent="0.3">
      <c r="B69" s="19"/>
      <c r="C69" s="19"/>
      <c r="E69" s="19"/>
      <c r="F69" s="19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2024-07-08T13:09:59Z</cp:lastPrinted>
  <dcterms:created xsi:type="dcterms:W3CDTF">2013-03-19T12:54:14Z</dcterms:created>
  <dcterms:modified xsi:type="dcterms:W3CDTF">2024-07-08T13:10:04Z</dcterms:modified>
</cp:coreProperties>
</file>