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7 JULIO 2024\"/>
    </mc:Choice>
  </mc:AlternateContent>
  <xr:revisionPtr revIDLastSave="0" documentId="13_ncr:1_{B68CC25B-8744-4D59-90E3-F3143EAFAEC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CUBIERTA!$A$47:$G$74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H24" i="4"/>
  <c r="H23" i="4"/>
  <c r="H22" i="4"/>
  <c r="C37" i="3" l="1"/>
  <c r="D37" i="3"/>
  <c r="E37" i="3"/>
  <c r="F37" i="3"/>
  <c r="C38" i="3"/>
  <c r="J28" i="3" s="1"/>
  <c r="C28" i="3" s="1"/>
  <c r="D38" i="3"/>
  <c r="G28" i="3" s="1"/>
  <c r="G17" i="3" s="1"/>
  <c r="E38" i="3"/>
  <c r="K28" i="3" s="1"/>
  <c r="E28" i="3" s="1"/>
  <c r="F38" i="3"/>
  <c r="L28" i="3" s="1"/>
  <c r="F28" i="3" s="1"/>
  <c r="C62" i="3"/>
  <c r="D62" i="3"/>
  <c r="E62" i="3"/>
  <c r="F62" i="3"/>
  <c r="G62" i="3"/>
  <c r="G38" i="3" s="1"/>
  <c r="B26" i="4"/>
  <c r="G61" i="3"/>
  <c r="G37" i="3" s="1"/>
  <c r="J17" i="3" l="1"/>
  <c r="C17" i="3" s="1"/>
  <c r="L17" i="3"/>
  <c r="F17" i="3" s="1"/>
  <c r="K17" i="3"/>
  <c r="E17" i="3" s="1"/>
  <c r="G60" i="3"/>
  <c r="G36" i="3" s="1"/>
  <c r="G59" i="3"/>
  <c r="G35" i="3" s="1"/>
  <c r="C36" i="3" l="1"/>
  <c r="J26" i="3" s="1"/>
  <c r="J15" i="3" s="1"/>
  <c r="C15" i="3" s="1"/>
  <c r="D36" i="3"/>
  <c r="G26" i="3" s="1"/>
  <c r="G15" i="3" s="1"/>
  <c r="E36" i="3"/>
  <c r="K26" i="3" s="1"/>
  <c r="F36" i="3"/>
  <c r="L26" i="3" s="1"/>
  <c r="J27" i="3"/>
  <c r="G27" i="3"/>
  <c r="G16" i="3" s="1"/>
  <c r="K27" i="3"/>
  <c r="L27" i="3"/>
  <c r="C60" i="3"/>
  <c r="D60" i="3"/>
  <c r="E60" i="3"/>
  <c r="F60" i="3"/>
  <c r="C61" i="3"/>
  <c r="D61" i="3"/>
  <c r="E61" i="3"/>
  <c r="F61" i="3"/>
  <c r="F27" i="3" l="1"/>
  <c r="L16" i="3"/>
  <c r="F16" i="3" s="1"/>
  <c r="E27" i="3"/>
  <c r="K16" i="3"/>
  <c r="E16" i="3" s="1"/>
  <c r="C27" i="3"/>
  <c r="J16" i="3"/>
  <c r="C16" i="3" s="1"/>
  <c r="L15" i="3"/>
  <c r="F15" i="3" s="1"/>
  <c r="F26" i="3"/>
  <c r="C26" i="3"/>
  <c r="K15" i="3"/>
  <c r="E15" i="3" s="1"/>
  <c r="E26" i="3"/>
  <c r="L22" i="4"/>
  <c r="H28" i="4" l="1"/>
  <c r="H29" i="4" s="1"/>
  <c r="H30" i="4" l="1"/>
  <c r="F35" i="3"/>
  <c r="L25" i="3" s="1"/>
  <c r="E35" i="3"/>
  <c r="K25" i="3" s="1"/>
  <c r="D35" i="3"/>
  <c r="G25" i="3" s="1"/>
  <c r="G14" i="3" s="1"/>
  <c r="C35" i="3"/>
  <c r="F59" i="3"/>
  <c r="E59" i="3"/>
  <c r="D59" i="3"/>
  <c r="C59" i="3"/>
  <c r="C63" i="3" s="1"/>
  <c r="J25" i="3" l="1"/>
  <c r="J14" i="3" s="1"/>
  <c r="C39" i="3"/>
  <c r="K14" i="3"/>
  <c r="E14" i="3" s="1"/>
  <c r="E25" i="3"/>
  <c r="L14" i="3"/>
  <c r="F14" i="3" s="1"/>
  <c r="F25" i="3"/>
  <c r="O5" i="3"/>
  <c r="C25" i="3"/>
  <c r="C14" i="3"/>
  <c r="N5" i="3" l="1"/>
  <c r="M5" i="3"/>
  <c r="L5" i="3"/>
  <c r="D52" i="3" l="1"/>
  <c r="D7" i="3"/>
  <c r="E50" i="3"/>
  <c r="E5" i="3"/>
  <c r="E52" i="3"/>
  <c r="E7" i="3"/>
  <c r="E4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<sst xmlns="http://schemas.openxmlformats.org/spreadsheetml/2006/main" count="258" uniqueCount="148">
  <si>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</si>
  <si>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</si>
  <si>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</si>
  <si>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</si>
  <si>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</si>
  <si>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</si>
  <si>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</si>
  <si>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</si>
  <si>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</si>
  <si>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</si>
  <si>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</si>
  <si>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</si>
  <si>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</si>
  <si>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</si>
  <si>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</si>
  <si>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</si>
  <si>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</si>
  <si>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</si>
  <si>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</si>
  <si>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</si>
  <si>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</si>
  <si>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</si>
  <si>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</si>
  <si>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</si>
  <si>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</si>
  <si>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</si>
  <si>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</si>
  <si>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</si>
  <si>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</si>
  <si>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</si>
  <si>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</si>
  <si>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</si>
  <si>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</si>
  <si>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</si>
  <si>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</si>
  <si>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</si>
  <si>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</si>
  <si>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</si>
  <si>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</si>
  <si>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</si>
  <si>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</si>
  <si>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</si>
  <si>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</si>
  <si>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</si>
  <si>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</si>
  <si>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</si>
  <si>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</si>
  <si>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</si>
  <si>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</si>
  <si>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</si>
  <si>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</si>
  <si>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</si>
  <si>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</si>
  <si>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</si>
  <si>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</si>
  <si>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</si>
  <si>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</si>
  <si>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</si>
  <si>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</si>
  <si>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</si>
  <si>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</si>
  <si>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</si>
  <si>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</si>
  <si>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</si>
  <si>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</si>
  <si>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</si>
  <si>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</si>
  <si>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</si>
  <si>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</si>
  <si>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</si>
  <si>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</si>
  <si>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</si>
  <si>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</si>
  <si>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</si>
  <si>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</si>
  <si>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</si>
  <si>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</si>
  <si>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</si>
  <si>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</si>
  <si>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</si>
  <si>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</si>
  <si>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</si>
  <si>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</si>
  <si>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</si>
  <si>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</si>
  <si>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</si>
  <si>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</si>
  <si>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</si>
  <si>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</si>
  <si>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</si>
  <si>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</si>
  <si>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</si>
  <si>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</si>
  <si>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</si>
  <si>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</si>
  <si>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</si>
  <si>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</si>
  <si>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</si>
  <si>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</si>
  <si>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</si>
  <si>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</si>
  <si>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</si>
  <si>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</si>
  <si>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</si>
  <si>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</si>
  <si>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</si>
  <si>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</si>
  <si>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</si>
  <si>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</si>
  <si>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</si>
  <si>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</si>
  <si>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</si>
  <si>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</si>
  <si>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</si>
  <si>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</si>
  <si>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</si>
  <si>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</si>
  <si>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</si>
  <si>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</si>
  <si>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</si>
  <si>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</si>
  <si>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</si>
  <si>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</si>
  <si>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</si>
  <si>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</si>
  <si>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</si>
  <si>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</si>
  <si>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</si>
  <si>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</si>
  <si>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</si>
  <si>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</si>
  <si>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</si>
  <si>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</si>
  <si>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</si>
  <si>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</si>
  <si>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</si>
  <si>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NO</t>
  </si>
  <si>
    <t>ABONO 50% SALDO C/ENTREGA</t>
  </si>
  <si>
    <t>162x132</t>
  </si>
  <si>
    <t>N° 11051</t>
  </si>
  <si>
    <t>MAESTRANZA MAROTI SPA</t>
  </si>
  <si>
    <t>79.955.615-K</t>
  </si>
  <si>
    <t>AARON LUNA</t>
  </si>
  <si>
    <t>+569 81843090</t>
  </si>
  <si>
    <t>SANTIAGO</t>
  </si>
  <si>
    <t>BLANCO 22191 OPACO MERINO</t>
  </si>
  <si>
    <t>MDF 25MM</t>
  </si>
  <si>
    <t>MDF25MM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</si>
</sst>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1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6" fillId="3" borderId="0" xfId="2" applyFill="1"/>
    <xf numFmtId="0" fontId="22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17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1" fillId="3" borderId="0" xfId="0" applyFont="1" applyFill="1"/>
    <xf numFmtId="0" fontId="24" fillId="0" borderId="9" xfId="2" applyFont="1" applyFill="1" applyBorder="1" applyAlignment="1">
      <alignment horizontal="left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27</xdr:row>
      <xdr:rowOff>0</xdr:rowOff>
    </xdr:from>
    <xdr:to>
      <xdr:col>5</xdr:col>
      <xdr:colOff>1522096</xdr:colOff>
      <xdr:row>30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CANCELADO $ 158.789.-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19</xdr:row>
      <xdr:rowOff>60960</xdr:rowOff>
    </xdr:from>
    <xdr:to>
      <xdr:col>6</xdr:col>
      <xdr:colOff>2240279</xdr:colOff>
      <xdr:row>21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53</xdr:row>
      <xdr:rowOff>171450</xdr:rowOff>
    </xdr:from>
    <xdr:to>
      <xdr:col>6</xdr:col>
      <xdr:colOff>1685924</xdr:colOff>
      <xdr:row>55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49</xdr:row>
      <xdr:rowOff>38100</xdr:rowOff>
    </xdr:from>
    <xdr:to>
      <xdr:col>7</xdr:col>
      <xdr:colOff>0</xdr:colOff>
      <xdr:row>50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48</xdr:row>
      <xdr:rowOff>0</xdr:rowOff>
    </xdr:from>
    <xdr:to>
      <xdr:col>7</xdr:col>
      <xdr:colOff>0</xdr:colOff>
      <xdr:row>49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1019175</xdr:colOff>
      <xdr:row>65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447675</xdr:colOff>
      <xdr:row>65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3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65</xdr:row>
      <xdr:rowOff>0</xdr:rowOff>
    </xdr:from>
    <xdr:to>
      <xdr:col>3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65</xdr:row>
      <xdr:rowOff>0</xdr:rowOff>
    </xdr:from>
    <xdr:to>
      <xdr:col>4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65</xdr:row>
      <xdr:rowOff>0</xdr:rowOff>
    </xdr:from>
    <xdr:to>
      <xdr:col>5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65</xdr:row>
      <xdr:rowOff>0</xdr:rowOff>
    </xdr:from>
    <xdr:to>
      <xdr:col>6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65</xdr:row>
      <xdr:rowOff>0</xdr:rowOff>
    </xdr:from>
    <xdr:to>
      <xdr:col>7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40</xdr:row>
      <xdr:rowOff>15238</xdr:rowOff>
    </xdr:from>
    <xdr:to>
      <xdr:col>7</xdr:col>
      <xdr:colOff>68580</xdr:colOff>
      <xdr:row>44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REBAJE DE 22X110 LA PIEZA DE 2175,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ADEMÁS LLEVAN CORTE DE 45°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31</xdr:row>
      <xdr:rowOff>1905</xdr:rowOff>
    </xdr:from>
    <xdr:to>
      <xdr:col>7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67</xdr:row>
      <xdr:rowOff>32385</xdr:rowOff>
    </xdr:from>
    <xdr:to>
      <xdr:col>7</xdr:col>
      <xdr:colOff>19050</xdr:colOff>
      <xdr:row>72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OBSERVACIONES:LA PIEZA DE 2175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CALADO DE 22X110, ADEMAS LAS PIEZAS LLEVAN CORTE 45°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47</xdr:row>
      <xdr:rowOff>175260</xdr:rowOff>
    </xdr:from>
    <xdr:to>
      <xdr:col>2</xdr:col>
      <xdr:colOff>585584</xdr:colOff>
      <xdr:row>53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635012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6"/>
  <sheetViews>
    <sheetView topLeftCell="A14" workbookViewId="0">
      <selection activeCell="I28" sqref="I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6.21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4" t="s">
        <v>16</v>
      </c>
      <c r="C8" s="85"/>
      <c r="D8" s="86" t="s">
        <v>139</v>
      </c>
      <c r="E8" s="1"/>
      <c r="F8" s="87" t="s">
        <v>27</v>
      </c>
      <c r="G8" s="88">
        <v>7097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9" t="s">
        <v>140</v>
      </c>
      <c r="D10" s="49"/>
      <c r="E10" s="49"/>
      <c r="F10" s="50" t="s">
        <v>28</v>
      </c>
      <c r="G10" s="51">
        <v>45503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9" t="s">
        <v>141</v>
      </c>
      <c r="D11" s="54"/>
      <c r="E11" s="54"/>
      <c r="F11" s="54" t="s">
        <v>125</v>
      </c>
      <c r="G11" s="55">
        <v>45504</v>
      </c>
      <c r="H11" s="56"/>
      <c r="I11" s="1"/>
    </row>
    <row r="12" spans="1:17" ht="17.399999999999999" thickBot="1" x14ac:dyDescent="0.45">
      <c r="A12" s="1"/>
      <c r="B12" s="53" t="s">
        <v>132</v>
      </c>
      <c r="C12" s="127"/>
      <c r="D12" s="54"/>
      <c r="E12" s="54"/>
      <c r="F12" s="54"/>
      <c r="G12" s="91"/>
      <c r="H12" s="56"/>
      <c r="I12" s="1"/>
    </row>
    <row r="13" spans="1:17" ht="15.6" x14ac:dyDescent="0.3">
      <c r="A13" s="1"/>
      <c r="B13" s="57" t="s">
        <v>112</v>
      </c>
      <c r="C13" s="79" t="s">
        <v>142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0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1" t="s">
        <v>143</v>
      </c>
      <c r="D15" s="60"/>
      <c r="E15" s="54"/>
      <c r="F15" s="54" t="s">
        <v>29</v>
      </c>
      <c r="G15" s="54" t="s">
        <v>136</v>
      </c>
      <c r="H15" s="56"/>
      <c r="I15" s="1"/>
    </row>
    <row r="16" spans="1:17" ht="16.8" x14ac:dyDescent="0.4">
      <c r="A16" s="1"/>
      <c r="B16" s="107" t="s">
        <v>1</v>
      </c>
      <c r="C16" s="127"/>
      <c r="D16" s="38"/>
      <c r="E16" s="38"/>
      <c r="F16" s="61" t="s">
        <v>75</v>
      </c>
      <c r="G16" s="92" t="s">
        <v>137</v>
      </c>
      <c r="H16" s="59"/>
      <c r="I16" s="1"/>
    </row>
    <row r="17" spans="1:19" ht="16.2" thickBot="1" x14ac:dyDescent="0.35">
      <c r="A17" s="1"/>
      <c r="B17" s="62" t="s">
        <v>3</v>
      </c>
      <c r="C17" s="128" t="s">
        <v>144</v>
      </c>
      <c r="D17" s="63"/>
      <c r="E17" s="64"/>
      <c r="F17" s="114" t="s">
        <v>18</v>
      </c>
      <c r="G17" s="114"/>
      <c r="H17" s="115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6" t="s">
        <v>19</v>
      </c>
      <c r="C20" s="117"/>
      <c r="D20" s="117"/>
      <c r="E20" s="117"/>
      <c r="F20" s="117"/>
      <c r="G20" s="117"/>
      <c r="H20" s="118"/>
      <c r="I20" s="1"/>
    </row>
    <row r="21" spans="1:19" ht="15.6" x14ac:dyDescent="0.3">
      <c r="A21" s="1"/>
      <c r="B21" s="65" t="s">
        <v>20</v>
      </c>
      <c r="C21" s="66" t="s">
        <v>21</v>
      </c>
      <c r="D21" s="66" t="s">
        <v>22</v>
      </c>
      <c r="E21" s="66" t="s">
        <v>8</v>
      </c>
      <c r="F21" s="67" t="s">
        <v>23</v>
      </c>
      <c r="G21" s="65" t="s">
        <v>24</v>
      </c>
      <c r="H21" s="67" t="s">
        <v>4</v>
      </c>
      <c r="I21" s="1"/>
      <c r="L21">
        <v>45000</v>
      </c>
    </row>
    <row r="22" spans="1:19" ht="18" customHeight="1" x14ac:dyDescent="0.3">
      <c r="A22" s="1"/>
      <c r="B22" s="94">
        <v>1</v>
      </c>
      <c r="C22" s="94" t="s">
        <v>43</v>
      </c>
      <c r="D22" s="93">
        <v>2175</v>
      </c>
      <c r="E22" s="93">
        <v>220</v>
      </c>
      <c r="F22" s="94" t="s">
        <v>145</v>
      </c>
      <c r="G22" s="102">
        <v>46059</v>
      </c>
      <c r="H22" s="102">
        <f>G22*B22</f>
        <v>46059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94">
        <v>1</v>
      </c>
      <c r="C23" s="94" t="s">
        <v>43</v>
      </c>
      <c r="D23" s="93">
        <v>2195</v>
      </c>
      <c r="E23" s="93">
        <v>220</v>
      </c>
      <c r="F23" s="94" t="s">
        <v>145</v>
      </c>
      <c r="G23" s="102">
        <v>46446</v>
      </c>
      <c r="H23" s="102">
        <f t="shared" ref="H23:H25" si="0">G23*B23</f>
        <v>46446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94">
        <v>1</v>
      </c>
      <c r="C24" s="94" t="s">
        <v>43</v>
      </c>
      <c r="D24" s="93">
        <v>850</v>
      </c>
      <c r="E24" s="93">
        <v>220</v>
      </c>
      <c r="F24" s="94" t="s">
        <v>145</v>
      </c>
      <c r="G24" s="102">
        <v>20417</v>
      </c>
      <c r="H24" s="102">
        <f t="shared" si="0"/>
        <v>20417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94">
        <v>1</v>
      </c>
      <c r="C25" s="94" t="s">
        <v>43</v>
      </c>
      <c r="D25" s="93">
        <v>855</v>
      </c>
      <c r="E25" s="93">
        <v>220</v>
      </c>
      <c r="F25" s="94" t="s">
        <v>145</v>
      </c>
      <c r="G25" s="102">
        <v>20514</v>
      </c>
      <c r="H25" s="102">
        <f t="shared" si="0"/>
        <v>20514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108">
        <f>SUM(B22:B25)</f>
        <v>4</v>
      </c>
      <c r="C26" s="108"/>
      <c r="D26" s="109"/>
      <c r="E26" s="109"/>
      <c r="F26" s="110"/>
      <c r="G26" s="90"/>
      <c r="H26" s="90"/>
      <c r="K26" s="16"/>
      <c r="L26" s="24"/>
      <c r="M26" s="16"/>
      <c r="N26" s="16"/>
      <c r="O26" s="24"/>
      <c r="P26" s="31"/>
    </row>
    <row r="27" spans="1:19" ht="16.2" thickBot="1" x14ac:dyDescent="0.35">
      <c r="A27" s="1"/>
      <c r="B27" s="68"/>
      <c r="C27" s="68"/>
      <c r="D27" s="68"/>
      <c r="E27" s="68"/>
      <c r="F27" s="68"/>
      <c r="G27" s="90"/>
      <c r="H27" s="90"/>
      <c r="I27" s="1"/>
      <c r="L27" s="2"/>
      <c r="O27" s="2"/>
      <c r="P27">
        <v>2940</v>
      </c>
      <c r="Q27">
        <v>600</v>
      </c>
      <c r="S27" t="s">
        <v>138</v>
      </c>
    </row>
    <row r="28" spans="1:19" ht="15.6" x14ac:dyDescent="0.3">
      <c r="A28" s="1"/>
      <c r="B28" s="1"/>
      <c r="C28" s="1"/>
      <c r="D28" s="1"/>
      <c r="E28" s="1"/>
      <c r="F28" s="1"/>
      <c r="G28" s="69" t="s">
        <v>5</v>
      </c>
      <c r="H28" s="70">
        <f>SUM(H22:H27)</f>
        <v>133436</v>
      </c>
      <c r="I28" s="1"/>
      <c r="L28" s="2"/>
      <c r="O28" s="24"/>
      <c r="P28" s="31">
        <v>1890</v>
      </c>
      <c r="Q28">
        <v>600</v>
      </c>
    </row>
    <row r="29" spans="1:19" ht="15.6" x14ac:dyDescent="0.3">
      <c r="A29" s="1"/>
      <c r="B29" s="1"/>
      <c r="C29" s="1"/>
      <c r="D29" s="1"/>
      <c r="E29" s="1"/>
      <c r="F29" s="1"/>
      <c r="G29" s="71" t="s">
        <v>6</v>
      </c>
      <c r="H29" s="72">
        <f>H28*19%</f>
        <v>25352.84</v>
      </c>
      <c r="I29" s="1"/>
      <c r="L29" s="2"/>
    </row>
    <row r="30" spans="1:19" ht="16.2" thickBot="1" x14ac:dyDescent="0.35">
      <c r="A30" s="1"/>
      <c r="B30" s="1"/>
      <c r="C30" s="1"/>
      <c r="D30" s="1"/>
      <c r="E30" s="1"/>
      <c r="F30" s="1"/>
      <c r="G30" s="73" t="s">
        <v>4</v>
      </c>
      <c r="H30" s="74">
        <f>H28+H29</f>
        <v>158788.84</v>
      </c>
      <c r="I30" s="1"/>
      <c r="L30" s="2"/>
    </row>
    <row r="31" spans="1:19" ht="15.6" x14ac:dyDescent="0.3">
      <c r="A31" s="1"/>
      <c r="B31" s="1"/>
      <c r="C31" s="1"/>
      <c r="D31" s="1"/>
      <c r="E31" s="1"/>
      <c r="F31" s="1"/>
      <c r="H31" s="31"/>
      <c r="I31" s="1"/>
    </row>
    <row r="32" spans="1:19" ht="15.6" x14ac:dyDescent="0.3">
      <c r="A32" s="1"/>
      <c r="B32" s="75" t="s">
        <v>124</v>
      </c>
      <c r="C32" s="76"/>
      <c r="D32" s="77"/>
      <c r="E32" s="77"/>
      <c r="F32" s="68"/>
      <c r="I32" s="1"/>
    </row>
    <row r="33" spans="1:9" ht="15.6" x14ac:dyDescent="0.3">
      <c r="A33" s="1"/>
      <c r="B33" s="75" t="s">
        <v>123</v>
      </c>
      <c r="C33" s="76"/>
      <c r="D33" s="77"/>
      <c r="E33" s="77"/>
      <c r="F33" s="68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78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7:H17"/>
    <mergeCell ref="B20:H20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7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5"/>
  <sheetViews>
    <sheetView tabSelected="1" topLeftCell="A36" zoomScaleNormal="100" workbookViewId="0">
      <selection activeCell="A47" sqref="A47:G74"/>
    </sheetView>
  </sheetViews>
  <sheetFormatPr baseColWidth="10" defaultRowHeight="14.4" x14ac:dyDescent="0.3"/>
  <cols>
    <col min="2" max="2" width="11.55468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1" t="s">
        <v>61</v>
      </c>
      <c r="M3" s="121"/>
      <c r="N3" s="121" t="s">
        <v>14</v>
      </c>
      <c r="O3" s="121"/>
    </row>
    <row r="4" spans="1:15" ht="15.75" customHeight="1" x14ac:dyDescent="0.3">
      <c r="B4" s="1"/>
      <c r="C4" s="1"/>
      <c r="D4" s="35" t="s">
        <v>27</v>
      </c>
      <c r="E4" s="14">
        <f>'4637'!G8</f>
        <v>7097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MAESTRANZA MAROTI SPA</v>
      </c>
      <c r="F5" s="38"/>
      <c r="G5" s="38"/>
      <c r="H5" s="1"/>
      <c r="L5">
        <f>LOOKUP(G14,REGLAS!$I$4:$I$37,REGLAS!$G$4:$G$37)+K14</f>
        <v>2225</v>
      </c>
      <c r="M5">
        <f>LOOKUP(G14,REGLAS!$I$4:$I$37,REGLAS!$H$4:$H$37)+L14</f>
        <v>220</v>
      </c>
      <c r="N5" t="e">
        <f>LOOKUP(G25,REGLAS!$D$4:$D$37,REGLAS!$B$4:$B$37)+#REF!</f>
        <v>#REF!</v>
      </c>
      <c r="O5">
        <f>LOOKUP(G25,REGLAS!$D$4:$D$37,REGLAS!$C$4:$C$37)+K25</f>
        <v>2265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80" t="str">
        <f>'4637'!F11</f>
        <v>FECHA LIMITE :</v>
      </c>
      <c r="E7" s="13">
        <f>'4637'!G11</f>
        <v>45504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2" t="s">
        <v>61</v>
      </c>
      <c r="C10" s="122"/>
      <c r="D10" s="122"/>
      <c r="E10" s="122"/>
      <c r="F10" s="122"/>
      <c r="G10" s="122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/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13">
        <v>1</v>
      </c>
      <c r="B14" s="112" t="s">
        <v>146</v>
      </c>
      <c r="C14" s="97">
        <f t="shared" ref="C14" si="0">J14</f>
        <v>1</v>
      </c>
      <c r="D14" s="98"/>
      <c r="E14" s="97">
        <f>K14+E$13</f>
        <v>2225</v>
      </c>
      <c r="F14" s="97">
        <f>L14+F$13</f>
        <v>220</v>
      </c>
      <c r="G14" s="97" t="str">
        <f>G25</f>
        <v>CENEFA 2 LADOS</v>
      </c>
      <c r="H14" s="1"/>
      <c r="J14" s="3">
        <f t="shared" ref="J14:L16" si="1">J25</f>
        <v>1</v>
      </c>
      <c r="K14" s="4">
        <f t="shared" si="1"/>
        <v>2175</v>
      </c>
      <c r="L14" s="4">
        <f t="shared" si="1"/>
        <v>220</v>
      </c>
    </row>
    <row r="15" spans="1:15" ht="18" x14ac:dyDescent="0.35">
      <c r="A15" s="113">
        <v>2</v>
      </c>
      <c r="B15" s="89"/>
      <c r="C15" s="97">
        <f t="shared" ref="C15" si="2">J15</f>
        <v>1</v>
      </c>
      <c r="D15" s="98"/>
      <c r="E15" s="97">
        <f t="shared" ref="E15" si="3">K15+E$13</f>
        <v>2245</v>
      </c>
      <c r="F15" s="97">
        <f>L15+F$13</f>
        <v>220</v>
      </c>
      <c r="G15" s="97" t="str">
        <f>G26</f>
        <v>CENEFA 2 LADOS</v>
      </c>
      <c r="H15" s="1"/>
      <c r="J15" s="3">
        <f t="shared" si="1"/>
        <v>1</v>
      </c>
      <c r="K15" s="4">
        <f t="shared" si="1"/>
        <v>2195</v>
      </c>
      <c r="L15" s="4">
        <f t="shared" si="1"/>
        <v>220</v>
      </c>
    </row>
    <row r="16" spans="1:15" ht="18" x14ac:dyDescent="0.35">
      <c r="A16" s="113">
        <v>3</v>
      </c>
      <c r="B16" s="89"/>
      <c r="C16" s="97">
        <f t="shared" ref="C16" si="4">J16</f>
        <v>1</v>
      </c>
      <c r="D16" s="98"/>
      <c r="E16" s="97">
        <f t="shared" ref="E16" si="5">K16+E$13</f>
        <v>900</v>
      </c>
      <c r="F16" s="97">
        <f>L16+F$13</f>
        <v>220</v>
      </c>
      <c r="G16" s="97" t="str">
        <f>G27</f>
        <v>CENEFA 2 LADOS</v>
      </c>
      <c r="H16" s="1"/>
      <c r="J16" s="3">
        <f t="shared" si="1"/>
        <v>1</v>
      </c>
      <c r="K16" s="4">
        <f t="shared" si="1"/>
        <v>850</v>
      </c>
      <c r="L16" s="4">
        <f t="shared" si="1"/>
        <v>220</v>
      </c>
    </row>
    <row r="17" spans="1:12" ht="18" x14ac:dyDescent="0.35">
      <c r="A17" s="113">
        <v>4</v>
      </c>
      <c r="B17" s="89"/>
      <c r="C17" s="97">
        <f t="shared" ref="C17" si="6">J17</f>
        <v>1</v>
      </c>
      <c r="D17" s="98"/>
      <c r="E17" s="97">
        <f t="shared" ref="E17" si="7">K17+E$13</f>
        <v>905</v>
      </c>
      <c r="F17" s="97">
        <f t="shared" ref="F17" si="8">L17+F$13</f>
        <v>220</v>
      </c>
      <c r="G17" s="97" t="str">
        <f>G28</f>
        <v>CENEFA 2 LADOS</v>
      </c>
      <c r="H17" s="1"/>
      <c r="J17" s="3">
        <f t="shared" ref="J17:L17" si="9">J28</f>
        <v>1</v>
      </c>
      <c r="K17" s="4">
        <f t="shared" si="9"/>
        <v>855</v>
      </c>
      <c r="L17" s="4">
        <f t="shared" si="9"/>
        <v>220</v>
      </c>
    </row>
    <row r="18" spans="1:12" ht="15.6" x14ac:dyDescent="0.3">
      <c r="B18" s="89"/>
      <c r="C18" s="6"/>
      <c r="D18" s="6"/>
      <c r="E18" s="6"/>
      <c r="F18" s="6"/>
      <c r="G18" s="6"/>
      <c r="H18" s="1"/>
      <c r="J18" s="83"/>
      <c r="K18" s="2"/>
      <c r="L18" s="2"/>
    </row>
    <row r="19" spans="1:12" ht="15.6" x14ac:dyDescent="0.3">
      <c r="B19" s="46"/>
      <c r="C19" s="6"/>
      <c r="D19" s="6"/>
      <c r="E19" s="6"/>
      <c r="F19" s="82"/>
      <c r="G19" s="6"/>
      <c r="H19" s="1"/>
      <c r="J19" s="2"/>
      <c r="K19" s="2"/>
      <c r="L19" s="2"/>
    </row>
    <row r="20" spans="1:12" ht="6.75" customHeight="1" x14ac:dyDescent="0.3">
      <c r="B20" s="1"/>
      <c r="C20" s="1"/>
      <c r="D20" s="1"/>
      <c r="E20" s="1"/>
      <c r="F20" s="1"/>
      <c r="G20" s="1"/>
      <c r="H20" s="1"/>
    </row>
    <row r="21" spans="1:12" ht="15.6" x14ac:dyDescent="0.3">
      <c r="B21" s="122" t="s">
        <v>14</v>
      </c>
      <c r="C21" s="122"/>
      <c r="D21" s="122"/>
      <c r="E21" s="122"/>
      <c r="F21" s="122"/>
      <c r="G21" s="122"/>
      <c r="H21" s="1"/>
    </row>
    <row r="22" spans="1:12" ht="10.5" customHeight="1" x14ac:dyDescent="0.3">
      <c r="B22" s="1"/>
      <c r="C22" s="1"/>
      <c r="D22" s="12"/>
      <c r="E22" s="1"/>
      <c r="F22" s="1"/>
      <c r="G22" s="1"/>
      <c r="H22" s="1"/>
    </row>
    <row r="23" spans="1:12" ht="15.6" x14ac:dyDescent="0.3">
      <c r="B23" s="1"/>
      <c r="C23" s="1"/>
      <c r="D23" s="1"/>
      <c r="E23" s="46" t="s">
        <v>7</v>
      </c>
      <c r="F23" s="46" t="s">
        <v>8</v>
      </c>
      <c r="G23" s="1"/>
      <c r="H23" s="1"/>
    </row>
    <row r="24" spans="1:12" ht="15.6" x14ac:dyDescent="0.3">
      <c r="B24" s="46" t="s">
        <v>9</v>
      </c>
      <c r="C24" s="33" t="s">
        <v>10</v>
      </c>
      <c r="D24" s="33" t="s">
        <v>11</v>
      </c>
      <c r="E24" s="20">
        <v>40</v>
      </c>
      <c r="F24" s="20">
        <v>90</v>
      </c>
      <c r="G24" s="33" t="s">
        <v>110</v>
      </c>
      <c r="H24" s="1"/>
      <c r="K24" s="5" t="s">
        <v>7</v>
      </c>
      <c r="L24" s="5" t="s">
        <v>8</v>
      </c>
    </row>
    <row r="25" spans="1:12" ht="18" x14ac:dyDescent="0.35">
      <c r="A25" s="113">
        <v>1</v>
      </c>
      <c r="B25" s="112" t="s">
        <v>146</v>
      </c>
      <c r="C25" s="98">
        <f>J25</f>
        <v>1</v>
      </c>
      <c r="D25" s="98"/>
      <c r="E25" s="98">
        <f t="shared" ref="E25:F27" si="10">K25+E$24</f>
        <v>2215</v>
      </c>
      <c r="F25" s="98">
        <f t="shared" si="10"/>
        <v>310</v>
      </c>
      <c r="G25" s="98" t="str">
        <f>D35</f>
        <v>CENEFA 2 LADOS</v>
      </c>
      <c r="H25" s="1"/>
      <c r="J25" s="3">
        <f>C35</f>
        <v>1</v>
      </c>
      <c r="K25" s="4">
        <f t="shared" ref="K25:L27" si="11">E35</f>
        <v>2175</v>
      </c>
      <c r="L25" s="4">
        <f t="shared" si="11"/>
        <v>220</v>
      </c>
    </row>
    <row r="26" spans="1:12" ht="18" x14ac:dyDescent="0.35">
      <c r="A26" s="113">
        <v>2</v>
      </c>
      <c r="B26" s="89"/>
      <c r="C26" s="98">
        <f t="shared" ref="C26" si="12">J26</f>
        <v>1</v>
      </c>
      <c r="D26" s="98"/>
      <c r="E26" s="98">
        <f t="shared" si="10"/>
        <v>2235</v>
      </c>
      <c r="F26" s="98">
        <f t="shared" si="10"/>
        <v>310</v>
      </c>
      <c r="G26" s="98" t="str">
        <f>D36</f>
        <v>CENEFA 2 LADOS</v>
      </c>
      <c r="H26" s="1"/>
      <c r="J26" s="3">
        <f>C36</f>
        <v>1</v>
      </c>
      <c r="K26" s="4">
        <f t="shared" si="11"/>
        <v>2195</v>
      </c>
      <c r="L26" s="4">
        <f t="shared" si="11"/>
        <v>220</v>
      </c>
    </row>
    <row r="27" spans="1:12" ht="18" x14ac:dyDescent="0.35">
      <c r="A27" s="113">
        <v>3</v>
      </c>
      <c r="B27" s="89"/>
      <c r="C27" s="98">
        <f t="shared" ref="C27" si="13">J27</f>
        <v>1</v>
      </c>
      <c r="D27" s="98"/>
      <c r="E27" s="98">
        <f t="shared" si="10"/>
        <v>890</v>
      </c>
      <c r="F27" s="98">
        <f t="shared" si="10"/>
        <v>310</v>
      </c>
      <c r="G27" s="98" t="str">
        <f>D37</f>
        <v>CENEFA 2 LADOS</v>
      </c>
      <c r="H27" s="1"/>
      <c r="J27" s="3">
        <f>C37</f>
        <v>1</v>
      </c>
      <c r="K27" s="4">
        <f t="shared" si="11"/>
        <v>850</v>
      </c>
      <c r="L27" s="4">
        <f t="shared" si="11"/>
        <v>220</v>
      </c>
    </row>
    <row r="28" spans="1:12" ht="18" x14ac:dyDescent="0.35">
      <c r="A28" s="113">
        <v>4</v>
      </c>
      <c r="B28" s="89"/>
      <c r="C28" s="98">
        <f t="shared" ref="C28" si="14">J28</f>
        <v>1</v>
      </c>
      <c r="D28" s="98"/>
      <c r="E28" s="98">
        <f t="shared" ref="E28:F28" si="15">K28+E$24</f>
        <v>895</v>
      </c>
      <c r="F28" s="98">
        <f t="shared" si="15"/>
        <v>310</v>
      </c>
      <c r="G28" s="98" t="str">
        <f>D38</f>
        <v>CENEFA 2 LADOS</v>
      </c>
      <c r="H28" s="1"/>
      <c r="J28" s="3">
        <f>C38</f>
        <v>1</v>
      </c>
      <c r="K28" s="4">
        <f>E38</f>
        <v>855</v>
      </c>
      <c r="L28" s="4">
        <f>F38</f>
        <v>220</v>
      </c>
    </row>
    <row r="29" spans="1:12" ht="18" x14ac:dyDescent="0.35">
      <c r="B29" s="89"/>
      <c r="C29" s="113"/>
      <c r="D29" s="113"/>
      <c r="E29" s="113"/>
      <c r="F29" s="113"/>
      <c r="G29" s="113"/>
      <c r="H29" s="1"/>
      <c r="J29" s="83"/>
      <c r="K29" s="2"/>
      <c r="L29" s="2"/>
    </row>
    <row r="30" spans="1:12" ht="15.6" x14ac:dyDescent="0.3">
      <c r="B30" s="89"/>
      <c r="C30" s="6"/>
      <c r="D30" s="6"/>
      <c r="E30" s="6"/>
      <c r="F30" s="6"/>
      <c r="G30" s="6"/>
      <c r="H30" s="1"/>
      <c r="J30" s="83"/>
      <c r="K30" s="2"/>
      <c r="L30" s="2"/>
    </row>
    <row r="31" spans="1:12" ht="16.2" thickBot="1" x14ac:dyDescent="0.35">
      <c r="B31" s="46"/>
      <c r="C31" s="6"/>
      <c r="D31" s="6"/>
      <c r="E31" s="6"/>
      <c r="F31" s="6"/>
      <c r="G31" s="6"/>
      <c r="H31" s="1"/>
      <c r="J31" s="2"/>
      <c r="K31" s="2"/>
      <c r="L31" s="2"/>
    </row>
    <row r="32" spans="1:12" ht="16.2" thickBot="1" x14ac:dyDescent="0.35">
      <c r="B32" s="46"/>
      <c r="C32" s="21" t="s">
        <v>107</v>
      </c>
      <c r="D32" s="22"/>
      <c r="E32" s="22"/>
      <c r="F32" s="22"/>
      <c r="G32" s="23"/>
      <c r="H32" s="1"/>
      <c r="J32" s="2"/>
      <c r="K32" s="2"/>
      <c r="L32" s="2"/>
    </row>
    <row r="33" spans="1:8" ht="10.5" customHeight="1" x14ac:dyDescent="0.3">
      <c r="B33" s="1"/>
      <c r="C33" s="1"/>
      <c r="D33" s="1"/>
      <c r="E33" s="1"/>
      <c r="F33" s="1"/>
      <c r="G33" s="1"/>
      <c r="H33" s="1"/>
    </row>
    <row r="34" spans="1:8" ht="15.6" x14ac:dyDescent="0.3">
      <c r="B34" s="46" t="s">
        <v>9</v>
      </c>
      <c r="C34" s="81" t="s">
        <v>10</v>
      </c>
      <c r="D34" s="81" t="s">
        <v>110</v>
      </c>
      <c r="E34" s="81" t="s">
        <v>7</v>
      </c>
      <c r="F34" s="81" t="s">
        <v>8</v>
      </c>
      <c r="G34" s="81" t="s">
        <v>23</v>
      </c>
      <c r="H34" s="1"/>
    </row>
    <row r="35" spans="1:8" ht="18" x14ac:dyDescent="0.35">
      <c r="A35" s="113">
        <v>1</v>
      </c>
      <c r="B35" s="112" t="s">
        <v>146</v>
      </c>
      <c r="C35" s="97">
        <f>'4637'!B22</f>
        <v>1</v>
      </c>
      <c r="D35" s="97" t="str">
        <f>'4637'!C22</f>
        <v>CENEFA 2 LADOS</v>
      </c>
      <c r="E35" s="97">
        <f>'4637'!D22</f>
        <v>2175</v>
      </c>
      <c r="F35" s="97">
        <f>'4637'!E22</f>
        <v>220</v>
      </c>
      <c r="G35" s="105" t="str">
        <f>G59</f>
        <v>BLANCO 22191 OPACO MERINO</v>
      </c>
      <c r="H35" s="1"/>
    </row>
    <row r="36" spans="1:8" ht="18" x14ac:dyDescent="0.35">
      <c r="A36" s="113">
        <v>2</v>
      </c>
      <c r="B36" s="89"/>
      <c r="C36" s="97">
        <f>'4637'!B23</f>
        <v>1</v>
      </c>
      <c r="D36" s="97" t="str">
        <f>'4637'!C23</f>
        <v>CENEFA 2 LADOS</v>
      </c>
      <c r="E36" s="97">
        <f>'4637'!D23</f>
        <v>2195</v>
      </c>
      <c r="F36" s="97">
        <f>'4637'!E23</f>
        <v>220</v>
      </c>
      <c r="G36" s="105" t="str">
        <f>G60</f>
        <v>BLANCO 22191 OPACO MERINO</v>
      </c>
      <c r="H36" s="1"/>
    </row>
    <row r="37" spans="1:8" ht="18" x14ac:dyDescent="0.35">
      <c r="A37" s="113">
        <v>3</v>
      </c>
      <c r="B37" s="89"/>
      <c r="C37" s="97">
        <f>'4637'!B24</f>
        <v>1</v>
      </c>
      <c r="D37" s="97" t="str">
        <f>'4637'!C24</f>
        <v>CENEFA 2 LADOS</v>
      </c>
      <c r="E37" s="97">
        <f>'4637'!D24</f>
        <v>850</v>
      </c>
      <c r="F37" s="97">
        <f>'4637'!E24</f>
        <v>220</v>
      </c>
      <c r="G37" s="105" t="str">
        <f>G61</f>
        <v>BLANCO 22191 OPACO MERINO</v>
      </c>
      <c r="H37" s="1"/>
    </row>
    <row r="38" spans="1:8" ht="18" x14ac:dyDescent="0.35">
      <c r="A38" s="113">
        <v>4</v>
      </c>
      <c r="B38" s="89"/>
      <c r="C38" s="97">
        <f>'4637'!B25</f>
        <v>1</v>
      </c>
      <c r="D38" s="97" t="str">
        <f>'4637'!C25</f>
        <v>CENEFA 2 LADOS</v>
      </c>
      <c r="E38" s="97">
        <f>'4637'!D25</f>
        <v>855</v>
      </c>
      <c r="F38" s="97">
        <f>'4637'!E25</f>
        <v>220</v>
      </c>
      <c r="G38" s="105" t="str">
        <f>G62</f>
        <v>BLANCO 22191 OPACO MERINO</v>
      </c>
      <c r="H38" s="1"/>
    </row>
    <row r="39" spans="1:8" ht="15.6" x14ac:dyDescent="0.3">
      <c r="B39" s="89"/>
      <c r="C39" s="6">
        <f>SUM(C35:C38)</f>
        <v>4</v>
      </c>
      <c r="D39" s="6"/>
      <c r="E39" s="6"/>
      <c r="F39" s="6"/>
      <c r="G39" s="6"/>
      <c r="H39" s="1"/>
    </row>
    <row r="40" spans="1:8" ht="15.6" x14ac:dyDescent="0.3">
      <c r="B40" s="1"/>
      <c r="C40" s="6"/>
      <c r="D40" s="6"/>
      <c r="E40" s="6"/>
      <c r="F40" s="6"/>
      <c r="G40" s="6"/>
      <c r="H40" s="1"/>
    </row>
    <row r="41" spans="1:8" ht="15.6" x14ac:dyDescent="0.3">
      <c r="B41" s="1"/>
      <c r="C41" s="6"/>
      <c r="D41" s="6"/>
      <c r="E41" s="6"/>
      <c r="F41" s="6"/>
      <c r="G41" s="6"/>
      <c r="H41" s="1"/>
    </row>
    <row r="42" spans="1:8" ht="15.6" x14ac:dyDescent="0.3">
      <c r="B42" s="1"/>
      <c r="C42" s="6"/>
      <c r="D42" s="6"/>
      <c r="E42" s="6"/>
      <c r="F42" s="6"/>
      <c r="G42" s="6"/>
      <c r="H42" s="1"/>
    </row>
    <row r="43" spans="1:8" ht="15.6" x14ac:dyDescent="0.3">
      <c r="B43" s="1"/>
      <c r="C43" s="6"/>
      <c r="D43" s="6"/>
      <c r="E43" s="6"/>
      <c r="F43" s="6"/>
      <c r="G43" s="6"/>
      <c r="H43" s="1"/>
    </row>
    <row r="44" spans="1:8" ht="15.6" x14ac:dyDescent="0.3">
      <c r="B44" s="1"/>
      <c r="C44" s="6"/>
      <c r="D44" s="6"/>
      <c r="E44" s="6"/>
      <c r="F44" s="6"/>
      <c r="G44" s="6"/>
      <c r="H44" s="1"/>
    </row>
    <row r="45" spans="1:8" ht="15.6" x14ac:dyDescent="0.3">
      <c r="B45" s="1"/>
      <c r="C45" s="6"/>
      <c r="D45" s="6"/>
      <c r="E45" s="6"/>
      <c r="F45" s="6"/>
      <c r="G45" s="6"/>
      <c r="H45" s="1"/>
    </row>
    <row r="46" spans="1:8" ht="15.6" x14ac:dyDescent="0.3">
      <c r="B46" s="1"/>
      <c r="C46" s="6"/>
      <c r="D46" s="6"/>
      <c r="E46" s="6"/>
      <c r="F46" s="6"/>
      <c r="G46" s="6"/>
      <c r="H46" s="1"/>
    </row>
    <row r="47" spans="1:8" ht="15.6" x14ac:dyDescent="0.3">
      <c r="B47" s="1"/>
      <c r="C47" s="6"/>
      <c r="D47" s="6"/>
      <c r="E47" s="6"/>
      <c r="F47" s="6"/>
      <c r="G47" s="6"/>
      <c r="H47" s="1"/>
    </row>
    <row r="48" spans="1:8" ht="15.6" x14ac:dyDescent="0.3">
      <c r="B48" s="1"/>
      <c r="C48" s="1"/>
      <c r="D48" s="1"/>
      <c r="E48" s="1"/>
      <c r="F48" s="1"/>
      <c r="G48" s="1"/>
      <c r="H48" s="1"/>
    </row>
    <row r="49" spans="2:8" ht="15.6" x14ac:dyDescent="0.3">
      <c r="B49" s="1"/>
      <c r="C49" s="1"/>
      <c r="D49" s="35" t="s">
        <v>27</v>
      </c>
      <c r="E49" s="14">
        <f>'4637'!G8</f>
        <v>7097</v>
      </c>
      <c r="F49" s="1"/>
      <c r="G49" s="1"/>
      <c r="H49" s="1"/>
    </row>
    <row r="50" spans="2:8" ht="17.25" customHeight="1" x14ac:dyDescent="0.3">
      <c r="B50" s="1"/>
      <c r="C50" s="1"/>
      <c r="D50" s="36" t="s">
        <v>67</v>
      </c>
      <c r="E50" s="37" t="str">
        <f>'4637'!C10</f>
        <v>MAESTRANZA MAROTI SPA</v>
      </c>
      <c r="F50" s="38"/>
      <c r="G50" s="38"/>
      <c r="H50" s="1"/>
    </row>
    <row r="51" spans="2:8" ht="4.5" customHeight="1" x14ac:dyDescent="0.3">
      <c r="B51" s="1"/>
      <c r="C51" s="1"/>
      <c r="D51" s="39"/>
      <c r="E51" s="40"/>
      <c r="F51" s="1"/>
      <c r="G51" s="1"/>
      <c r="H51" s="1"/>
    </row>
    <row r="52" spans="2:8" ht="15.6" x14ac:dyDescent="0.3">
      <c r="B52" s="1"/>
      <c r="C52" s="1"/>
      <c r="D52" s="41" t="str">
        <f>'4637'!F11</f>
        <v>FECHA LIMITE :</v>
      </c>
      <c r="E52" s="13">
        <f>'4637'!G11</f>
        <v>45504</v>
      </c>
      <c r="F52" s="1"/>
      <c r="G52" s="1" t="s">
        <v>134</v>
      </c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22" t="s">
        <v>68</v>
      </c>
      <c r="C55" s="122"/>
      <c r="D55" s="122"/>
      <c r="E55" s="122"/>
      <c r="F55" s="122"/>
      <c r="G55" s="122"/>
      <c r="H55" s="1"/>
    </row>
    <row r="56" spans="2:8" ht="15.6" x14ac:dyDescent="0.3">
      <c r="B56" s="1"/>
      <c r="C56" s="1"/>
      <c r="D56" s="1"/>
      <c r="E56" s="1"/>
      <c r="F56" s="1"/>
      <c r="G56" s="1"/>
      <c r="H56" s="1"/>
    </row>
    <row r="57" spans="2:8" ht="15.75" customHeight="1" x14ac:dyDescent="0.3">
      <c r="B57" s="1"/>
      <c r="C57" s="123" t="s">
        <v>69</v>
      </c>
      <c r="D57" s="124"/>
      <c r="E57" s="125"/>
      <c r="F57" s="125"/>
      <c r="G57" s="126"/>
      <c r="H57" s="1"/>
    </row>
    <row r="58" spans="2:8" s="15" customFormat="1" ht="12.75" customHeight="1" x14ac:dyDescent="0.3">
      <c r="B58" s="1"/>
      <c r="C58" s="33" t="s">
        <v>10</v>
      </c>
      <c r="D58" s="42" t="s">
        <v>11</v>
      </c>
      <c r="E58" s="43" t="s">
        <v>7</v>
      </c>
      <c r="F58" s="43" t="s">
        <v>8</v>
      </c>
      <c r="G58" s="104" t="s">
        <v>12</v>
      </c>
      <c r="H58" s="1"/>
    </row>
    <row r="59" spans="2:8" s="15" customFormat="1" ht="15" customHeight="1" x14ac:dyDescent="0.35">
      <c r="B59" s="112" t="s">
        <v>147</v>
      </c>
      <c r="C59" s="95">
        <f>'4637'!B22</f>
        <v>1</v>
      </c>
      <c r="D59" s="96" t="str">
        <f>'4637'!C22</f>
        <v>CENEFA 2 LADOS</v>
      </c>
      <c r="E59" s="96">
        <f>'4637'!D22</f>
        <v>2175</v>
      </c>
      <c r="F59" s="103">
        <f>'4637'!E22</f>
        <v>220</v>
      </c>
      <c r="G59" s="106" t="str">
        <f>'4637'!F22</f>
        <v>BLANCO 22191 OPACO MERINO</v>
      </c>
      <c r="H59" s="1"/>
    </row>
    <row r="60" spans="2:8" s="15" customFormat="1" ht="15" customHeight="1" x14ac:dyDescent="0.35">
      <c r="B60" s="89"/>
      <c r="C60" s="95">
        <f>'4637'!B23</f>
        <v>1</v>
      </c>
      <c r="D60" s="96" t="str">
        <f>'4637'!C23</f>
        <v>CENEFA 2 LADOS</v>
      </c>
      <c r="E60" s="96">
        <f>'4637'!D23</f>
        <v>2195</v>
      </c>
      <c r="F60" s="103">
        <f>'4637'!E23</f>
        <v>220</v>
      </c>
      <c r="G60" s="106" t="str">
        <f>'4637'!F23</f>
        <v>BLANCO 22191 OPACO MERINO</v>
      </c>
      <c r="H60" s="1"/>
    </row>
    <row r="61" spans="2:8" s="15" customFormat="1" ht="15" customHeight="1" x14ac:dyDescent="0.35">
      <c r="B61" s="89"/>
      <c r="C61" s="95">
        <f>'4637'!B24</f>
        <v>1</v>
      </c>
      <c r="D61" s="96" t="str">
        <f>'4637'!C24</f>
        <v>CENEFA 2 LADOS</v>
      </c>
      <c r="E61" s="96">
        <f>'4637'!D24</f>
        <v>850</v>
      </c>
      <c r="F61" s="103">
        <f>'4637'!E24</f>
        <v>220</v>
      </c>
      <c r="G61" s="106" t="str">
        <f>'4637'!F24</f>
        <v>BLANCO 22191 OPACO MERINO</v>
      </c>
      <c r="H61" s="1"/>
    </row>
    <row r="62" spans="2:8" s="15" customFormat="1" ht="15" customHeight="1" x14ac:dyDescent="0.35">
      <c r="B62" s="89"/>
      <c r="C62" s="95">
        <f>'4637'!B25</f>
        <v>1</v>
      </c>
      <c r="D62" s="96" t="str">
        <f>'4637'!C25</f>
        <v>CENEFA 2 LADOS</v>
      </c>
      <c r="E62" s="96">
        <f>'4637'!D25</f>
        <v>855</v>
      </c>
      <c r="F62" s="103">
        <f>'4637'!E25</f>
        <v>220</v>
      </c>
      <c r="G62" s="106" t="str">
        <f>'4637'!F25</f>
        <v>BLANCO 22191 OPACO MERINO</v>
      </c>
      <c r="H62" s="1"/>
    </row>
    <row r="63" spans="2:8" s="15" customFormat="1" ht="15" customHeight="1" x14ac:dyDescent="0.35">
      <c r="B63" s="89"/>
      <c r="C63" s="111">
        <f>SUM(C59:C62)</f>
        <v>4</v>
      </c>
      <c r="D63" s="111"/>
      <c r="E63" s="111"/>
      <c r="F63" s="111"/>
      <c r="G63" s="1"/>
      <c r="H63" s="1"/>
    </row>
    <row r="64" spans="2:8" s="15" customFormat="1" ht="15" customHeight="1" x14ac:dyDescent="0.3">
      <c r="B64" s="44"/>
      <c r="C64" s="46"/>
      <c r="D64" s="46"/>
      <c r="E64" s="46"/>
      <c r="F64" s="46"/>
      <c r="G64" s="46"/>
      <c r="H64" s="1"/>
    </row>
    <row r="65" spans="2:8" ht="15.6" x14ac:dyDescent="0.3">
      <c r="B65" s="6"/>
      <c r="C65" s="6"/>
      <c r="D65" s="1"/>
      <c r="E65" s="6"/>
      <c r="F65" s="6"/>
      <c r="G65" s="39"/>
      <c r="H65" s="1"/>
    </row>
    <row r="66" spans="2:8" ht="15.6" x14ac:dyDescent="0.3">
      <c r="B66" s="6"/>
      <c r="C66" s="6"/>
      <c r="D66" s="1"/>
      <c r="E66" s="6"/>
      <c r="F66" s="6"/>
      <c r="G66" s="6"/>
      <c r="H66" s="1"/>
    </row>
    <row r="67" spans="2:8" ht="15.6" x14ac:dyDescent="0.3">
      <c r="B67" s="1"/>
      <c r="C67" s="1"/>
      <c r="D67" s="1"/>
      <c r="E67" s="1"/>
      <c r="F67" s="1"/>
      <c r="G67" s="1"/>
      <c r="H67" s="1"/>
    </row>
    <row r="68" spans="2:8" ht="15.6" x14ac:dyDescent="0.3">
      <c r="B68" s="1"/>
      <c r="C68" s="1"/>
      <c r="D68" s="1"/>
      <c r="E68" s="1"/>
      <c r="F68" s="1"/>
      <c r="G68" s="1"/>
      <c r="H68" s="1"/>
    </row>
    <row r="69" spans="2:8" ht="15.6" x14ac:dyDescent="0.3">
      <c r="B69" s="1"/>
      <c r="C69" s="1"/>
      <c r="D69" s="1"/>
      <c r="E69" s="1"/>
      <c r="F69" s="1"/>
      <c r="G69" s="1"/>
      <c r="H69" s="1"/>
    </row>
    <row r="70" spans="2:8" ht="15" customHeight="1" x14ac:dyDescent="0.3">
      <c r="B70" s="1"/>
      <c r="C70" s="1"/>
      <c r="D70" s="1"/>
      <c r="E70" s="1"/>
      <c r="F70" s="1"/>
      <c r="G70" s="1"/>
      <c r="H70" s="1"/>
    </row>
    <row r="71" spans="2:8" ht="15.6" x14ac:dyDescent="0.3">
      <c r="B71" s="1"/>
      <c r="C71" s="1"/>
      <c r="D71" s="1"/>
      <c r="E71" s="1"/>
      <c r="F71" s="1"/>
      <c r="G71" s="1"/>
      <c r="H71" s="1"/>
    </row>
    <row r="72" spans="2:8" ht="15.6" x14ac:dyDescent="0.3">
      <c r="B72" s="6"/>
      <c r="C72" s="45"/>
      <c r="D72" s="1"/>
      <c r="E72" s="1"/>
      <c r="F72" s="1"/>
      <c r="G72" s="1"/>
      <c r="H72" s="1"/>
    </row>
    <row r="73" spans="2:8" ht="15.6" x14ac:dyDescent="0.3">
      <c r="B73" s="1"/>
      <c r="C73" s="1"/>
      <c r="D73" s="1"/>
      <c r="E73" s="1"/>
      <c r="F73" s="1"/>
      <c r="G73" s="1"/>
      <c r="H73" s="1"/>
    </row>
    <row r="74" spans="2:8" x14ac:dyDescent="0.3">
      <c r="C74" s="19"/>
      <c r="D74" s="19"/>
      <c r="E74" s="19"/>
      <c r="F74" s="19"/>
      <c r="G74" s="19"/>
    </row>
    <row r="75" spans="2:8" x14ac:dyDescent="0.3">
      <c r="C75" s="19"/>
      <c r="D75" s="19"/>
      <c r="F75" s="19"/>
      <c r="G75" s="19"/>
    </row>
  </sheetData>
  <mergeCells count="6">
    <mergeCell ref="N3:O3"/>
    <mergeCell ref="B21:G21"/>
    <mergeCell ref="B10:G10"/>
    <mergeCell ref="B55:G55"/>
    <mergeCell ref="C57:G5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2024-07-30T13:40:05Z</cp:lastPrinted>
  <dcterms:created xsi:type="dcterms:W3CDTF">2013-03-19T12:54:14Z</dcterms:created>
  <dcterms:modified xsi:type="dcterms:W3CDTF">2024-07-30T13:40:51Z</dcterms:modified>
</cp:coreProperties>
</file>