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7 JULIO 2024\"/>
    </mc:Choice>
  </mc:AlternateContent>
  <xr:revisionPtr revIDLastSave="0" documentId="13_ncr:1_{DE5293DA-618F-4D0B-AFB4-82D42517F4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CUBIERTA!$A$42:$G$68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  <c r="B33" i="3"/>
  <c r="C33" i="3"/>
  <c r="D33" i="3"/>
  <c r="E33" i="3"/>
  <c r="F55" i="3"/>
  <c r="F31" i="3" s="1"/>
  <c r="F54" i="3"/>
  <c r="F30" i="3" s="1"/>
  <c r="B57" i="3"/>
  <c r="C57" i="3"/>
  <c r="D57" i="3"/>
  <c r="E57" i="3"/>
  <c r="H25" i="4"/>
  <c r="H24" i="4"/>
  <c r="H23" i="4"/>
  <c r="H22" i="4"/>
  <c r="B31" i="3" l="1"/>
  <c r="I24" i="3" s="1"/>
  <c r="I15" i="3" s="1"/>
  <c r="B15" i="3" s="1"/>
  <c r="C31" i="3"/>
  <c r="F24" i="3" s="1"/>
  <c r="F15" i="3" s="1"/>
  <c r="D31" i="3"/>
  <c r="J24" i="3" s="1"/>
  <c r="E31" i="3"/>
  <c r="K24" i="3" s="1"/>
  <c r="B32" i="3"/>
  <c r="C32" i="3"/>
  <c r="D32" i="3"/>
  <c r="E32" i="3"/>
  <c r="B55" i="3"/>
  <c r="C55" i="3"/>
  <c r="D55" i="3"/>
  <c r="E55" i="3"/>
  <c r="B56" i="3"/>
  <c r="C56" i="3"/>
  <c r="D56" i="3"/>
  <c r="E56" i="3"/>
  <c r="K15" i="3" l="1"/>
  <c r="E24" i="3"/>
  <c r="B24" i="3"/>
  <c r="J15" i="3"/>
  <c r="D15" i="3" s="1"/>
  <c r="D24" i="3"/>
  <c r="E15" i="3"/>
  <c r="L22" i="4"/>
  <c r="H27" i="4" l="1"/>
  <c r="H28" i="4" s="1"/>
  <c r="H29" i="4" l="1"/>
  <c r="E30" i="3"/>
  <c r="K23" i="3" s="1"/>
  <c r="D30" i="3"/>
  <c r="J23" i="3" s="1"/>
  <c r="C30" i="3"/>
  <c r="F23" i="3" s="1"/>
  <c r="F14" i="3" s="1"/>
  <c r="B30" i="3"/>
  <c r="E54" i="3"/>
  <c r="D54" i="3"/>
  <c r="C54" i="3"/>
  <c r="B54" i="3"/>
  <c r="J14" i="3" l="1"/>
  <c r="D23" i="3"/>
  <c r="K14" i="3"/>
  <c r="E14" i="3" s="1"/>
  <c r="E23" i="3"/>
  <c r="D14" i="3"/>
  <c r="N5" i="3"/>
  <c r="B23" i="3"/>
  <c r="B14" i="3"/>
  <c r="M5" i="3" l="1"/>
  <c r="L5" i="3"/>
  <c r="K5" i="3"/>
  <c r="C47" i="3" l="1"/>
  <c r="C7" i="3"/>
  <c r="D45" i="3"/>
  <c r="D5" i="3"/>
  <c r="D47" i="3"/>
  <c r="D7" i="3"/>
  <c r="D44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2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<sst xmlns="http://schemas.openxmlformats.org/spreadsheetml/2006/main" count="257" uniqueCount="151">
  <si>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</si>
  <si>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</si>
  <si>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</si>
  <si>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</si>
  <si>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</si>
  <si>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</si>
  <si>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</si>
  <si>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</si>
  <si>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</si>
  <si>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</si>
  <si>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</si>
  <si>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</si>
  <si>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</si>
  <si>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</si>
  <si>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</si>
  <si>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</si>
  <si>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</si>
  <si>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</si>
  <si>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</si>
  <si>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</si>
  <si>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</si>
  <si>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</si>
  <si>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</si>
  <si>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</si>
  <si>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</si>
  <si>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</si>
  <si>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</si>
  <si>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</si>
  <si>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</si>
  <si>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</si>
  <si>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</si>
  <si>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</si>
  <si>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</si>
  <si>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</si>
  <si>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</si>
  <si>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</si>
  <si>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</si>
  <si>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</si>
  <si>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</si>
  <si>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</si>
  <si>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</si>
  <si>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</si>
  <si>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</si>
  <si>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</si>
  <si>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</si>
  <si>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</si>
  <si>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</si>
  <si>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</si>
  <si>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</si>
  <si>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</si>
  <si>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</si>
  <si>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</si>
  <si>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</si>
  <si>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</si>
  <si>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</si>
  <si>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</si>
  <si>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</si>
  <si>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</si>
  <si>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</si>
  <si>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</si>
  <si>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</si>
  <si>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</si>
  <si>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</si>
  <si>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</si>
  <si>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</si>
  <si>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</si>
  <si>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</si>
  <si>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</si>
  <si>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</si>
  <si>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</si>
  <si>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</si>
  <si>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</si>
  <si>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</si>
  <si>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</si>
  <si>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</si>
  <si>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</si>
  <si>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</si>
  <si>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</si>
  <si>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</si>
  <si>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</si>
  <si>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</si>
  <si>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</si>
  <si>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</si>
  <si>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</si>
  <si>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</si>
  <si>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</si>
  <si>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</si>
  <si>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</si>
  <si>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</si>
  <si>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</si>
  <si>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</si>
  <si>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</si>
  <si>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</si>
  <si>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</si>
  <si>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</si>
  <si>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</si>
  <si>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</si>
  <si>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</si>
  <si>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</si>
  <si>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</si>
  <si>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</si>
  <si>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</si>
  <si>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</si>
  <si>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</si>
  <si>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</si>
  <si>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</si>
  <si>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</si>
  <si>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</si>
  <si>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</si>
  <si>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</si>
  <si>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</si>
  <si>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</si>
  <si>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</si>
  <si>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</si>
  <si>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</si>
  <si>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</si>
  <si>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</si>
  <si>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</si>
  <si>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</si>
  <si>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</si>
  <si>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</si>
  <si>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</si>
  <si>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</si>
  <si>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</si>
  <si>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</si>
  <si>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</si>
  <si>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</si>
  <si>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</si>
  <si>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</si>
  <si>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</si>
  <si>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</si>
  <si>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</si>
  <si>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</si>
  <si>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</si>
  <si>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</si>
  <si>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</si>
  <si>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MDF18MM</t>
  </si>
  <si>
    <t>NO</t>
  </si>
  <si>
    <t>ABONO 50% SALDO C/ENTREGA</t>
  </si>
  <si>
    <t>4 de 135</t>
  </si>
  <si>
    <t>162x132</t>
  </si>
  <si>
    <t>N° 10994</t>
  </si>
  <si>
    <t>IMAN INGENIERIA SPA</t>
  </si>
  <si>
    <t>76.792.833-5</t>
  </si>
  <si>
    <t>SANTIAGO</t>
  </si>
  <si>
    <t>CARLOS AGUAYO</t>
  </si>
  <si>
    <t>+569 26090569</t>
  </si>
  <si>
    <t>FLORENTINO AZUL BRILLO F6</t>
  </si>
  <si>
    <t>CORTE 45°</t>
  </si>
  <si>
    <t>DESFONDADO</t>
  </si>
  <si>
    <t>CUB CON RESPALDO  FRENTE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</si>
</sst>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1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1" fillId="0" borderId="0" xfId="0" applyFont="1"/>
    <xf numFmtId="0" fontId="6" fillId="3" borderId="0" xfId="2" applyFill="1"/>
    <xf numFmtId="0" fontId="22" fillId="0" borderId="0" xfId="0" quotePrefix="1" applyFont="1"/>
    <xf numFmtId="165" fontId="17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3" fillId="0" borderId="2" xfId="0" applyFont="1" applyBorder="1"/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25</xdr:row>
      <xdr:rowOff>205740</xdr:rowOff>
    </xdr:from>
    <xdr:to>
      <xdr:col>5</xdr:col>
      <xdr:colOff>1506856</xdr:colOff>
      <xdr:row>29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9076" y="7235190"/>
          <a:ext cx="5993130" cy="7181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$ 198.264.-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1279918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716280</xdr:colOff>
      <xdr:row>17</xdr:row>
      <xdr:rowOff>60960</xdr:rowOff>
    </xdr:from>
    <xdr:to>
      <xdr:col>5</xdr:col>
      <xdr:colOff>2240279</xdr:colOff>
      <xdr:row>19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58</xdr:row>
      <xdr:rowOff>0</xdr:rowOff>
    </xdr:from>
    <xdr:to>
      <xdr:col>2</xdr:col>
      <xdr:colOff>1019175</xdr:colOff>
      <xdr:row>59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0</xdr:rowOff>
    </xdr:from>
    <xdr:to>
      <xdr:col>3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0</xdr:rowOff>
    </xdr:from>
    <xdr:to>
      <xdr:col>4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0</xdr:rowOff>
    </xdr:from>
    <xdr:to>
      <xdr:col>5</xdr:col>
      <xdr:colOff>447675</xdr:colOff>
      <xdr:row>59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15238</xdr:rowOff>
    </xdr:from>
    <xdr:to>
      <xdr:col>6</xdr:col>
      <xdr:colOff>68580</xdr:colOff>
      <xdr:row>39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1905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61</xdr:row>
      <xdr:rowOff>32385</xdr:rowOff>
    </xdr:from>
    <xdr:to>
      <xdr:col>6</xdr:col>
      <xdr:colOff>19050</xdr:colOff>
      <xdr:row>66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0</xdr:col>
      <xdr:colOff>55245</xdr:colOff>
      <xdr:row>42</xdr:row>
      <xdr:rowOff>175260</xdr:rowOff>
    </xdr:from>
    <xdr:to>
      <xdr:col>1</xdr:col>
      <xdr:colOff>654164</xdr:colOff>
      <xdr:row>48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0</xdr:col>
      <xdr:colOff>177166</xdr:colOff>
      <xdr:row>2</xdr:row>
      <xdr:rowOff>152400</xdr:rowOff>
    </xdr:from>
    <xdr:to>
      <xdr:col>1</xdr:col>
      <xdr:colOff>703592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5"/>
  <sheetViews>
    <sheetView tabSelected="1" topLeftCell="A18" workbookViewId="0">
      <selection activeCell="B25" sqref="B25"/>
    </sheetView>
  </sheetViews>
  <sheetFormatPr baseColWidth="10" defaultRowHeight="14.4" x14ac:dyDescent="0.3"/>
  <cols>
    <col min="1" max="1" width="2.88671875" customWidth="1"/>
    <col min="2" max="2" width="8.5546875" customWidth="1"/>
    <col min="3" max="3" width="38.5546875" customWidth="1"/>
    <col min="4" max="4" width="9.5546875" customWidth="1"/>
    <col min="5" max="5" width="8.88671875" customWidth="1"/>
    <col min="6" max="6" width="26.4414062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4" t="s">
        <v>16</v>
      </c>
      <c r="C8" s="85"/>
      <c r="D8" s="86" t="s">
        <v>141</v>
      </c>
      <c r="E8" s="1"/>
      <c r="F8" s="87" t="s">
        <v>27</v>
      </c>
      <c r="G8" s="88">
        <v>7092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9" t="s">
        <v>142</v>
      </c>
      <c r="D10" s="49"/>
      <c r="E10" s="49"/>
      <c r="F10" s="50" t="s">
        <v>28</v>
      </c>
      <c r="G10" s="51">
        <v>45474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112" t="s">
        <v>143</v>
      </c>
      <c r="D11" s="54"/>
      <c r="E11" s="54"/>
      <c r="F11" s="54" t="s">
        <v>125</v>
      </c>
      <c r="G11" s="55">
        <v>45477</v>
      </c>
      <c r="H11" s="56"/>
      <c r="I11" s="1"/>
    </row>
    <row r="12" spans="1:17" ht="15.6" x14ac:dyDescent="0.3">
      <c r="A12" s="1"/>
      <c r="B12" s="53" t="s">
        <v>132</v>
      </c>
      <c r="D12" s="54"/>
      <c r="E12" s="54"/>
      <c r="F12" s="54"/>
      <c r="G12" s="91"/>
      <c r="H12" s="56"/>
      <c r="I12" s="1"/>
    </row>
    <row r="13" spans="1:17" ht="15.6" x14ac:dyDescent="0.3">
      <c r="A13" s="1"/>
      <c r="B13" s="57" t="s">
        <v>112</v>
      </c>
      <c r="C13" t="s">
        <v>145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13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14" t="s">
        <v>146</v>
      </c>
      <c r="D15" s="60"/>
      <c r="E15" s="54"/>
      <c r="F15" s="54" t="s">
        <v>29</v>
      </c>
      <c r="G15" s="54" t="s">
        <v>137</v>
      </c>
      <c r="H15" s="56"/>
      <c r="I15" s="1"/>
    </row>
    <row r="16" spans="1:17" ht="15.6" x14ac:dyDescent="0.3">
      <c r="A16" s="1"/>
      <c r="B16" s="57" t="s">
        <v>1</v>
      </c>
      <c r="C16" s="38"/>
      <c r="D16" s="38"/>
      <c r="E16" s="38"/>
      <c r="F16" s="61" t="s">
        <v>75</v>
      </c>
      <c r="G16" s="92" t="s">
        <v>138</v>
      </c>
      <c r="H16" s="59"/>
      <c r="I16" s="1"/>
    </row>
    <row r="17" spans="1:19" ht="16.2" thickBot="1" x14ac:dyDescent="0.35">
      <c r="A17" s="1"/>
      <c r="B17" s="62" t="s">
        <v>3</v>
      </c>
      <c r="C17" s="63" t="s">
        <v>144</v>
      </c>
      <c r="D17" s="63"/>
      <c r="E17" s="64"/>
      <c r="F17" s="99" t="s">
        <v>18</v>
      </c>
      <c r="G17" s="99"/>
      <c r="H17" s="100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01" t="s">
        <v>19</v>
      </c>
      <c r="C20" s="102"/>
      <c r="D20" s="102"/>
      <c r="E20" s="102"/>
      <c r="F20" s="102"/>
      <c r="G20" s="102"/>
      <c r="H20" s="103"/>
      <c r="I20" s="1"/>
    </row>
    <row r="21" spans="1:19" ht="15.6" x14ac:dyDescent="0.3">
      <c r="A21" s="1"/>
      <c r="B21" s="65" t="s">
        <v>20</v>
      </c>
      <c r="C21" s="66" t="s">
        <v>21</v>
      </c>
      <c r="D21" s="66" t="s">
        <v>22</v>
      </c>
      <c r="E21" s="66" t="s">
        <v>8</v>
      </c>
      <c r="F21" s="67" t="s">
        <v>23</v>
      </c>
      <c r="G21" s="65" t="s">
        <v>24</v>
      </c>
      <c r="H21" s="67" t="s">
        <v>4</v>
      </c>
      <c r="I21" s="1"/>
      <c r="L21">
        <v>45000</v>
      </c>
    </row>
    <row r="22" spans="1:19" ht="18" customHeight="1" x14ac:dyDescent="0.3">
      <c r="A22" s="1"/>
      <c r="B22" s="94">
        <v>1</v>
      </c>
      <c r="C22" s="94" t="s">
        <v>150</v>
      </c>
      <c r="D22" s="93">
        <v>2420</v>
      </c>
      <c r="E22" s="93">
        <v>600</v>
      </c>
      <c r="F22" s="117" t="s">
        <v>147</v>
      </c>
      <c r="G22" s="116">
        <v>110578</v>
      </c>
      <c r="H22" s="116">
        <f>G22*B22</f>
        <v>110578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94">
        <v>2</v>
      </c>
      <c r="C23" s="94" t="s">
        <v>150</v>
      </c>
      <c r="D23" s="93">
        <v>2150</v>
      </c>
      <c r="E23" s="93">
        <v>600</v>
      </c>
      <c r="F23" s="117" t="s">
        <v>147</v>
      </c>
      <c r="G23" s="116">
        <v>98819</v>
      </c>
      <c r="H23" s="116">
        <f>G23*B23</f>
        <v>197638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94">
        <v>4</v>
      </c>
      <c r="C24" s="94" t="s">
        <v>148</v>
      </c>
      <c r="D24" s="115"/>
      <c r="E24" s="115"/>
      <c r="F24" s="94"/>
      <c r="G24" s="116">
        <v>10000</v>
      </c>
      <c r="H24" s="116">
        <f t="shared" ref="H24:H25" si="0">G24*B24</f>
        <v>40000</v>
      </c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94">
        <v>2</v>
      </c>
      <c r="C25" s="94" t="s">
        <v>149</v>
      </c>
      <c r="D25" s="115"/>
      <c r="E25" s="115"/>
      <c r="F25" s="94"/>
      <c r="G25" s="116">
        <v>7500</v>
      </c>
      <c r="H25" s="116">
        <f t="shared" si="0"/>
        <v>15000</v>
      </c>
      <c r="I25" s="1"/>
      <c r="K25" s="16"/>
      <c r="L25" s="24"/>
      <c r="M25" s="16"/>
      <c r="N25" s="16"/>
      <c r="O25" s="24"/>
      <c r="P25" s="31">
        <v>2700</v>
      </c>
      <c r="Q25">
        <v>600</v>
      </c>
      <c r="S25" t="s">
        <v>139</v>
      </c>
    </row>
    <row r="26" spans="1:19" ht="16.2" thickBot="1" x14ac:dyDescent="0.35">
      <c r="A26" s="1"/>
      <c r="B26" s="68"/>
      <c r="C26" s="68"/>
      <c r="D26" s="68"/>
      <c r="E26" s="68"/>
      <c r="F26" s="68"/>
      <c r="G26" s="90"/>
      <c r="H26" s="90"/>
      <c r="I26" s="1"/>
      <c r="L26" s="2"/>
      <c r="O26" s="2"/>
      <c r="P26">
        <v>2940</v>
      </c>
      <c r="Q26">
        <v>600</v>
      </c>
      <c r="S26" t="s">
        <v>140</v>
      </c>
    </row>
    <row r="27" spans="1:19" ht="15.6" x14ac:dyDescent="0.3">
      <c r="A27" s="1"/>
      <c r="B27" s="1"/>
      <c r="C27" s="1"/>
      <c r="D27" s="1"/>
      <c r="E27" s="1"/>
      <c r="F27" s="1"/>
      <c r="G27" s="69" t="s">
        <v>5</v>
      </c>
      <c r="H27" s="70">
        <f>SUM(H22:H26)</f>
        <v>363216</v>
      </c>
      <c r="I27" s="1"/>
      <c r="L27" s="2"/>
      <c r="O27" s="24"/>
      <c r="P27" s="31">
        <v>1890</v>
      </c>
      <c r="Q27">
        <v>600</v>
      </c>
    </row>
    <row r="28" spans="1:19" ht="15.6" x14ac:dyDescent="0.3">
      <c r="A28" s="1"/>
      <c r="B28" s="1"/>
      <c r="C28" s="1"/>
      <c r="D28" s="1"/>
      <c r="E28" s="1"/>
      <c r="F28" s="1"/>
      <c r="G28" s="71" t="s">
        <v>6</v>
      </c>
      <c r="H28" s="72">
        <f>H27*19%</f>
        <v>69011.039999999994</v>
      </c>
      <c r="I28" s="1"/>
      <c r="L28" s="2"/>
    </row>
    <row r="29" spans="1:19" ht="16.2" thickBot="1" x14ac:dyDescent="0.35">
      <c r="A29" s="1"/>
      <c r="B29" s="1"/>
      <c r="C29" s="1"/>
      <c r="D29" s="1"/>
      <c r="E29" s="1"/>
      <c r="F29" s="1"/>
      <c r="G29" s="73" t="s">
        <v>4</v>
      </c>
      <c r="H29" s="74">
        <f>H27+H28</f>
        <v>432227.04</v>
      </c>
      <c r="I29" s="1"/>
      <c r="L29" s="2"/>
    </row>
    <row r="30" spans="1:19" ht="15.6" x14ac:dyDescent="0.3">
      <c r="A30" s="1"/>
      <c r="B30" s="1"/>
      <c r="C30" s="1"/>
      <c r="D30" s="1"/>
      <c r="E30" s="1"/>
      <c r="F30" s="1"/>
      <c r="H30" s="31"/>
      <c r="I30" s="1"/>
    </row>
    <row r="31" spans="1:19" ht="15.6" x14ac:dyDescent="0.3">
      <c r="A31" s="1"/>
      <c r="B31" s="75" t="s">
        <v>124</v>
      </c>
      <c r="C31" s="76"/>
      <c r="D31" s="77"/>
      <c r="E31" s="77"/>
      <c r="F31" s="68"/>
      <c r="I31" s="1"/>
    </row>
    <row r="32" spans="1:19" ht="15.6" x14ac:dyDescent="0.3">
      <c r="A32" s="1"/>
      <c r="B32" s="75" t="s">
        <v>123</v>
      </c>
      <c r="C32" s="76"/>
      <c r="D32" s="77"/>
      <c r="E32" s="77"/>
      <c r="F32" s="68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78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7:H17"/>
    <mergeCell ref="B20:H20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04" t="s">
        <v>31</v>
      </c>
      <c r="C2" s="104"/>
      <c r="D2" s="104"/>
      <c r="E2" s="17"/>
      <c r="G2" s="104" t="s">
        <v>70</v>
      </c>
      <c r="H2" s="104"/>
      <c r="I2" s="104"/>
      <c r="P2" s="105" t="s">
        <v>58</v>
      </c>
      <c r="Q2" s="105"/>
      <c r="R2" s="105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05" t="s">
        <v>58</v>
      </c>
      <c r="M8" s="105"/>
      <c r="N8" s="10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9"/>
  <sheetViews>
    <sheetView topLeftCell="A31" zoomScaleNormal="100" workbookViewId="0">
      <selection activeCell="A42" sqref="A42:G68"/>
    </sheetView>
  </sheetViews>
  <sheetFormatPr baseColWidth="10" defaultRowHeight="14.4" x14ac:dyDescent="0.3"/>
  <cols>
    <col min="1" max="2" width="10.5546875" customWidth="1"/>
    <col min="3" max="3" width="41.6640625" customWidth="1"/>
    <col min="4" max="5" width="9.6640625" customWidth="1"/>
    <col min="6" max="6" width="40.5546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127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06" t="s">
        <v>61</v>
      </c>
      <c r="L3" s="106"/>
      <c r="M3" s="106" t="s">
        <v>14</v>
      </c>
      <c r="N3" s="106"/>
    </row>
    <row r="4" spans="1:14" ht="15.75" customHeight="1" x14ac:dyDescent="0.3">
      <c r="A4" s="1"/>
      <c r="B4" s="1"/>
      <c r="C4" s="35" t="s">
        <v>27</v>
      </c>
      <c r="D4" s="14">
        <f>'4637'!G8</f>
        <v>7092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IMAN INGENIERIA SPA</v>
      </c>
      <c r="E5" s="38"/>
      <c r="F5" s="38"/>
      <c r="G5" s="1"/>
      <c r="K5">
        <f>LOOKUP(F14,REGLAS!$I$4:$I$37,REGLAS!$G$4:$G$37)+J14</f>
        <v>2470</v>
      </c>
      <c r="L5">
        <f>LOOKUP(F14,REGLAS!$I$4:$I$37,REGLAS!$H$4:$H$37)+K14</f>
        <v>570</v>
      </c>
      <c r="M5" t="e">
        <f>LOOKUP(F23,REGLAS!$D$4:$D$37,REGLAS!$B$4:$B$37)+#REF!</f>
        <v>#REF!</v>
      </c>
      <c r="N5">
        <f>LOOKUP(F23,REGLAS!$D$4:$D$37,REGLAS!$C$4:$C$37)+J23</f>
        <v>2550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0" t="str">
        <f>'4637'!F11</f>
        <v>FECHA LIMITE :</v>
      </c>
      <c r="D7" s="13">
        <f>'4637'!G11</f>
        <v>45477</v>
      </c>
      <c r="E7" s="1"/>
      <c r="F7" s="1"/>
      <c r="G7" s="1"/>
    </row>
    <row r="8" spans="1:14" ht="15.6" x14ac:dyDescent="0.3">
      <c r="A8" s="1"/>
      <c r="B8" s="1"/>
      <c r="C8" s="47" t="s">
        <v>126</v>
      </c>
      <c r="D8" s="1"/>
      <c r="E8" s="1"/>
      <c r="F8" s="1" t="s">
        <v>135</v>
      </c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07" t="s">
        <v>61</v>
      </c>
      <c r="B10" s="107"/>
      <c r="C10" s="107"/>
      <c r="D10" s="107"/>
      <c r="E10" s="107"/>
      <c r="F10" s="107"/>
      <c r="G10" s="1"/>
    </row>
    <row r="11" spans="1:14" ht="15.6" x14ac:dyDescent="0.3">
      <c r="A11" s="1"/>
      <c r="B11" s="1"/>
      <c r="C11" s="12"/>
      <c r="D11" s="1"/>
      <c r="E11" s="1"/>
      <c r="F11" s="1"/>
      <c r="G11" s="1">
        <v>20</v>
      </c>
    </row>
    <row r="12" spans="1:14" ht="15.6" x14ac:dyDescent="0.3">
      <c r="A12" s="1"/>
      <c r="B12" s="1"/>
      <c r="C12" s="1"/>
      <c r="D12" s="46" t="s">
        <v>7</v>
      </c>
      <c r="E12" s="46" t="s">
        <v>8</v>
      </c>
      <c r="F12" s="1"/>
      <c r="G12" s="1"/>
    </row>
    <row r="13" spans="1:14" ht="15.6" x14ac:dyDescent="0.3">
      <c r="A13" s="46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89" t="s">
        <v>136</v>
      </c>
      <c r="B14" s="97">
        <f t="shared" ref="B14" si="0">I14</f>
        <v>1</v>
      </c>
      <c r="C14" s="98"/>
      <c r="D14" s="97">
        <f>J14+D$13</f>
        <v>2470</v>
      </c>
      <c r="E14" s="97">
        <f>K14+E$13</f>
        <v>570</v>
      </c>
      <c r="F14" s="97" t="str">
        <f>F23</f>
        <v>CUB CON RESPALDO  FRENTE 90° R8</v>
      </c>
      <c r="G14" s="1"/>
      <c r="I14" s="3">
        <f>I23</f>
        <v>1</v>
      </c>
      <c r="J14" s="4">
        <f>J23</f>
        <v>2420</v>
      </c>
      <c r="K14" s="4">
        <f>K23</f>
        <v>600</v>
      </c>
    </row>
    <row r="15" spans="1:14" ht="18" x14ac:dyDescent="0.35">
      <c r="A15" s="89"/>
      <c r="B15" s="97">
        <f t="shared" ref="B15" si="1">I15</f>
        <v>2</v>
      </c>
      <c r="C15" s="98"/>
      <c r="D15" s="97">
        <f t="shared" ref="D15" si="2">J15+D$13</f>
        <v>2200</v>
      </c>
      <c r="E15" s="97">
        <f>K15+E$13</f>
        <v>570</v>
      </c>
      <c r="F15" s="97" t="str">
        <f>F24</f>
        <v>CUB CON RESPALDO  FRENTE 90° R8</v>
      </c>
      <c r="G15" s="1"/>
      <c r="I15" s="3">
        <f>I24</f>
        <v>2</v>
      </c>
      <c r="J15" s="4">
        <f>J24</f>
        <v>2150</v>
      </c>
      <c r="K15" s="4">
        <f>K24</f>
        <v>600</v>
      </c>
    </row>
    <row r="16" spans="1:14" ht="15.6" x14ac:dyDescent="0.3">
      <c r="A16" s="89"/>
      <c r="B16" s="6"/>
      <c r="C16" s="6"/>
      <c r="D16" s="6"/>
      <c r="E16" s="6"/>
      <c r="F16" s="6"/>
      <c r="G16" s="1"/>
      <c r="I16" s="83"/>
      <c r="J16" s="2"/>
      <c r="K16" s="2"/>
    </row>
    <row r="17" spans="1:11" ht="15.6" x14ac:dyDescent="0.3">
      <c r="A17" s="46"/>
      <c r="B17" s="6"/>
      <c r="C17" s="6"/>
      <c r="D17" s="6"/>
      <c r="E17" s="82"/>
      <c r="F17" s="6"/>
      <c r="G17" s="1"/>
      <c r="I17" s="2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07" t="s">
        <v>14</v>
      </c>
      <c r="B19" s="107"/>
      <c r="C19" s="107"/>
      <c r="D19" s="107"/>
      <c r="E19" s="107"/>
      <c r="F19" s="107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46" t="s">
        <v>7</v>
      </c>
      <c r="E21" s="46" t="s">
        <v>8</v>
      </c>
      <c r="F21" s="1"/>
      <c r="G21" s="1"/>
    </row>
    <row r="22" spans="1:11" ht="15.6" x14ac:dyDescent="0.3">
      <c r="A22" s="46" t="s">
        <v>9</v>
      </c>
      <c r="B22" s="33" t="s">
        <v>10</v>
      </c>
      <c r="C22" s="33" t="s">
        <v>11</v>
      </c>
      <c r="D22" s="20">
        <v>40</v>
      </c>
      <c r="E22" s="20">
        <v>130</v>
      </c>
      <c r="F22" s="33" t="s">
        <v>110</v>
      </c>
      <c r="G22" s="1"/>
      <c r="J22" s="5" t="s">
        <v>7</v>
      </c>
      <c r="K22" s="5" t="s">
        <v>8</v>
      </c>
    </row>
    <row r="23" spans="1:11" ht="18" x14ac:dyDescent="0.35">
      <c r="A23" s="89" t="s">
        <v>136</v>
      </c>
      <c r="B23" s="98">
        <f>I23</f>
        <v>1</v>
      </c>
      <c r="C23" s="98"/>
      <c r="D23" s="98">
        <f>J23+D$22</f>
        <v>2460</v>
      </c>
      <c r="E23" s="98">
        <f>K23+E$22</f>
        <v>730</v>
      </c>
      <c r="F23" s="98" t="str">
        <f>C30</f>
        <v>CUB CON RESPALDO  FRENTE 90° R8</v>
      </c>
      <c r="G23" s="1"/>
      <c r="I23" s="3">
        <v>1</v>
      </c>
      <c r="J23" s="4">
        <f>D30</f>
        <v>2420</v>
      </c>
      <c r="K23" s="2">
        <f>E30</f>
        <v>600</v>
      </c>
    </row>
    <row r="24" spans="1:11" ht="18" x14ac:dyDescent="0.35">
      <c r="A24" s="89"/>
      <c r="B24" s="98">
        <f t="shared" ref="B24" si="3">I24</f>
        <v>2</v>
      </c>
      <c r="C24" s="98"/>
      <c r="D24" s="98">
        <f>J24+D$22</f>
        <v>2190</v>
      </c>
      <c r="E24" s="98">
        <f>K24+E$22</f>
        <v>730</v>
      </c>
      <c r="F24" s="98" t="str">
        <f>C31</f>
        <v>CUB CON RESPALDO  FRENTE 90° R8</v>
      </c>
      <c r="G24" s="1"/>
      <c r="I24" s="3">
        <f>B31</f>
        <v>2</v>
      </c>
      <c r="J24" s="4">
        <f>D31</f>
        <v>2150</v>
      </c>
      <c r="K24" s="2">
        <f>E31</f>
        <v>600</v>
      </c>
    </row>
    <row r="25" spans="1:11" ht="15.6" x14ac:dyDescent="0.3">
      <c r="A25" s="89"/>
      <c r="B25" s="6"/>
      <c r="C25" s="6"/>
      <c r="D25" s="6"/>
      <c r="E25" s="6"/>
      <c r="F25" s="6"/>
      <c r="G25" s="1"/>
      <c r="I25" s="83"/>
      <c r="J25" s="2"/>
      <c r="K25" s="2"/>
    </row>
    <row r="26" spans="1:11" ht="16.2" thickBot="1" x14ac:dyDescent="0.35">
      <c r="A26" s="46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46"/>
      <c r="B27" s="21" t="s">
        <v>107</v>
      </c>
      <c r="C27" s="22"/>
      <c r="D27" s="22"/>
      <c r="E27" s="22"/>
      <c r="F27" s="23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46" t="s">
        <v>9</v>
      </c>
      <c r="B29" s="81" t="s">
        <v>10</v>
      </c>
      <c r="C29" s="81" t="s">
        <v>110</v>
      </c>
      <c r="D29" s="81" t="s">
        <v>7</v>
      </c>
      <c r="E29" s="81" t="s">
        <v>8</v>
      </c>
      <c r="F29" s="81" t="s">
        <v>23</v>
      </c>
      <c r="G29" s="1"/>
    </row>
    <row r="30" spans="1:11" ht="18" x14ac:dyDescent="0.35">
      <c r="A30" s="89" t="s">
        <v>136</v>
      </c>
      <c r="B30" s="97">
        <f>'4637'!B22</f>
        <v>1</v>
      </c>
      <c r="C30" s="97" t="str">
        <f>'4637'!C22</f>
        <v>CUB CON RESPALDO  FRENTE 90° R8</v>
      </c>
      <c r="D30" s="97">
        <f>'4637'!D22</f>
        <v>2420</v>
      </c>
      <c r="E30" s="97">
        <f>'4637'!E22</f>
        <v>600</v>
      </c>
      <c r="F30" s="121" t="str">
        <f>F54</f>
        <v>FLORENTINO AZUL BRILLO F6</v>
      </c>
      <c r="G30" s="1"/>
    </row>
    <row r="31" spans="1:11" ht="18" x14ac:dyDescent="0.35">
      <c r="A31" s="89"/>
      <c r="B31" s="97">
        <f>'4637'!B23</f>
        <v>2</v>
      </c>
      <c r="C31" s="97" t="str">
        <f>'4637'!C23</f>
        <v>CUB CON RESPALDO  FRENTE 90° R8</v>
      </c>
      <c r="D31" s="97">
        <f>'4637'!D23</f>
        <v>2150</v>
      </c>
      <c r="E31" s="97">
        <f>'4637'!E23</f>
        <v>600</v>
      </c>
      <c r="F31" s="121" t="str">
        <f>F55</f>
        <v>FLORENTINO AZUL BRILLO F6</v>
      </c>
      <c r="G31" s="1"/>
    </row>
    <row r="32" spans="1:11" ht="18" x14ac:dyDescent="0.35">
      <c r="A32" s="89"/>
      <c r="B32" s="97">
        <f>'4637'!B24</f>
        <v>4</v>
      </c>
      <c r="C32" s="97" t="str">
        <f>'4637'!C24</f>
        <v>CORTE 45°</v>
      </c>
      <c r="D32" s="97">
        <f>'4637'!D24</f>
        <v>0</v>
      </c>
      <c r="E32" s="97">
        <f>'4637'!E24</f>
        <v>0</v>
      </c>
      <c r="F32" s="121"/>
      <c r="G32" s="1"/>
    </row>
    <row r="33" spans="1:7" ht="18" x14ac:dyDescent="0.35">
      <c r="A33" s="89"/>
      <c r="B33" s="97">
        <f>'4637'!B25</f>
        <v>2</v>
      </c>
      <c r="C33" s="97" t="str">
        <f>'4637'!C25</f>
        <v>DESFONDADO</v>
      </c>
      <c r="D33" s="97">
        <f>'4637'!D25</f>
        <v>0</v>
      </c>
      <c r="E33" s="97">
        <f>'4637'!E25</f>
        <v>0</v>
      </c>
      <c r="F33" s="121"/>
      <c r="G33" s="1"/>
    </row>
    <row r="34" spans="1:7" ht="15.6" x14ac:dyDescent="0.3">
      <c r="A34" s="89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35" t="s">
        <v>27</v>
      </c>
      <c r="D44" s="14">
        <f>'4637'!G8</f>
        <v>7092</v>
      </c>
      <c r="E44" s="1"/>
      <c r="F44" s="1"/>
      <c r="G44" s="1"/>
    </row>
    <row r="45" spans="1:7" ht="17.25" customHeight="1" x14ac:dyDescent="0.3">
      <c r="A45" s="1"/>
      <c r="B45" s="1"/>
      <c r="C45" s="36" t="s">
        <v>67</v>
      </c>
      <c r="D45" s="37" t="str">
        <f>'4637'!C10</f>
        <v>IMAN INGENIERIA SPA</v>
      </c>
      <c r="E45" s="38"/>
      <c r="F45" s="38"/>
      <c r="G45" s="1"/>
    </row>
    <row r="46" spans="1:7" ht="4.5" customHeight="1" x14ac:dyDescent="0.3">
      <c r="A46" s="1"/>
      <c r="B46" s="1"/>
      <c r="C46" s="39"/>
      <c r="D46" s="40"/>
      <c r="E46" s="1"/>
      <c r="F46" s="1"/>
      <c r="G46" s="1"/>
    </row>
    <row r="47" spans="1:7" ht="15.6" x14ac:dyDescent="0.3">
      <c r="A47" s="1"/>
      <c r="B47" s="1"/>
      <c r="C47" s="41" t="str">
        <f>'4637'!F11</f>
        <v>FECHA LIMITE :</v>
      </c>
      <c r="D47" s="13">
        <f>'4637'!G11</f>
        <v>45477</v>
      </c>
      <c r="E47" s="1"/>
      <c r="F47" s="1" t="s">
        <v>134</v>
      </c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07" t="s">
        <v>68</v>
      </c>
      <c r="B50" s="107"/>
      <c r="C50" s="107"/>
      <c r="D50" s="107"/>
      <c r="E50" s="107"/>
      <c r="F50" s="107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08" t="s">
        <v>69</v>
      </c>
      <c r="C52" s="109"/>
      <c r="D52" s="110"/>
      <c r="E52" s="110"/>
      <c r="F52" s="111"/>
      <c r="G52" s="1"/>
    </row>
    <row r="53" spans="1:7" s="15" customFormat="1" ht="12.75" customHeight="1" x14ac:dyDescent="0.3">
      <c r="A53" s="1"/>
      <c r="B53" s="33" t="s">
        <v>10</v>
      </c>
      <c r="C53" s="42" t="s">
        <v>11</v>
      </c>
      <c r="D53" s="43" t="s">
        <v>7</v>
      </c>
      <c r="E53" s="43" t="s">
        <v>8</v>
      </c>
      <c r="F53" s="119" t="s">
        <v>12</v>
      </c>
      <c r="G53" s="1"/>
    </row>
    <row r="54" spans="1:7" s="15" customFormat="1" ht="15" customHeight="1" x14ac:dyDescent="0.35">
      <c r="A54" s="89" t="s">
        <v>136</v>
      </c>
      <c r="B54" s="95">
        <f>'4637'!B22</f>
        <v>1</v>
      </c>
      <c r="C54" s="96" t="str">
        <f>'4637'!C22</f>
        <v>CUB CON RESPALDO  FRENTE 90° R8</v>
      </c>
      <c r="D54" s="96">
        <f>'4637'!D22</f>
        <v>2420</v>
      </c>
      <c r="E54" s="118">
        <f>'4637'!E22</f>
        <v>600</v>
      </c>
      <c r="F54" s="122" t="str">
        <f>'4637'!F22</f>
        <v>FLORENTINO AZUL BRILLO F6</v>
      </c>
      <c r="G54" s="1"/>
    </row>
    <row r="55" spans="1:7" s="15" customFormat="1" ht="15" customHeight="1" x14ac:dyDescent="0.35">
      <c r="A55" s="89"/>
      <c r="B55" s="95">
        <f>'4637'!B23</f>
        <v>2</v>
      </c>
      <c r="C55" s="96" t="str">
        <f>'4637'!C23</f>
        <v>CUB CON RESPALDO  FRENTE 90° R8</v>
      </c>
      <c r="D55" s="96">
        <f>'4637'!D23</f>
        <v>2150</v>
      </c>
      <c r="E55" s="118">
        <f>'4637'!E23</f>
        <v>600</v>
      </c>
      <c r="F55" s="122" t="str">
        <f>'4637'!F23</f>
        <v>FLORENTINO AZUL BRILLO F6</v>
      </c>
      <c r="G55" s="1"/>
    </row>
    <row r="56" spans="1:7" s="15" customFormat="1" ht="15" customHeight="1" x14ac:dyDescent="0.35">
      <c r="A56" s="89"/>
      <c r="B56" s="95">
        <f>'4637'!B24</f>
        <v>4</v>
      </c>
      <c r="C56" s="96" t="str">
        <f>'4637'!C24</f>
        <v>CORTE 45°</v>
      </c>
      <c r="D56" s="96">
        <f>'4637'!D24</f>
        <v>0</v>
      </c>
      <c r="E56" s="118">
        <f>'4637'!E24</f>
        <v>0</v>
      </c>
      <c r="F56" s="120"/>
      <c r="G56" s="1"/>
    </row>
    <row r="57" spans="1:7" s="15" customFormat="1" ht="15" customHeight="1" x14ac:dyDescent="0.35">
      <c r="A57" s="89"/>
      <c r="B57" s="95">
        <f>'4637'!B25</f>
        <v>2</v>
      </c>
      <c r="C57" s="96" t="str">
        <f>'4637'!C25</f>
        <v>DESFONDADO</v>
      </c>
      <c r="D57" s="96">
        <f>'4637'!D25</f>
        <v>0</v>
      </c>
      <c r="E57" s="118">
        <f>'4637'!E25</f>
        <v>0</v>
      </c>
      <c r="F57" s="120"/>
      <c r="G57" s="1"/>
    </row>
    <row r="58" spans="1:7" s="15" customFormat="1" ht="15" customHeight="1" x14ac:dyDescent="0.3">
      <c r="A58" s="44"/>
      <c r="B58" s="46"/>
      <c r="C58" s="46"/>
      <c r="D58" s="46"/>
      <c r="E58" s="46"/>
      <c r="F58" s="46"/>
      <c r="G58" s="1"/>
    </row>
    <row r="59" spans="1:7" ht="15.6" x14ac:dyDescent="0.3">
      <c r="A59" s="6"/>
      <c r="B59" s="6"/>
      <c r="C59" s="1"/>
      <c r="D59" s="6"/>
      <c r="E59" s="6"/>
      <c r="F59" s="39"/>
      <c r="G59" s="1"/>
    </row>
    <row r="60" spans="1:7" ht="15.6" x14ac:dyDescent="0.3">
      <c r="A60" s="6"/>
      <c r="B60" s="6"/>
      <c r="C60" s="1"/>
      <c r="D60" s="6"/>
      <c r="E60" s="6"/>
      <c r="F60" s="6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" customHeight="1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6"/>
      <c r="B66" s="45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x14ac:dyDescent="0.3">
      <c r="B68" s="19"/>
      <c r="C68" s="19"/>
      <c r="D68" s="19"/>
      <c r="E68" s="19"/>
      <c r="F68" s="19"/>
    </row>
    <row r="69" spans="1:7" x14ac:dyDescent="0.3">
      <c r="B69" s="19"/>
      <c r="C69" s="19"/>
      <c r="E69" s="19"/>
      <c r="F69" s="19"/>
    </row>
  </sheetData>
  <mergeCells count="6">
    <mergeCell ref="M3:N3"/>
    <mergeCell ref="A19:F19"/>
    <mergeCell ref="A10:F10"/>
    <mergeCell ref="A50:F50"/>
    <mergeCell ref="B52:F5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2024-07-01T14:52:38Z</cp:lastPrinted>
  <dcterms:created xsi:type="dcterms:W3CDTF">2013-03-19T12:54:14Z</dcterms:created>
  <dcterms:modified xsi:type="dcterms:W3CDTF">2024-07-01T14:53:40Z</dcterms:modified>
</cp:coreProperties>
</file>