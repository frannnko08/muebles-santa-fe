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85C459C4-A40F-45C6-BA84-039D34FF40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'4637'!$A$1:$H$38</definedName>
    <definedName name="_xlnm.Print_Area" localSheetId="2">CUBIERTA!$A$56:$G$86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C20" i="3" s="1"/>
  <c r="J17" i="3"/>
  <c r="C17" i="3" s="1"/>
  <c r="J18" i="3"/>
  <c r="C18" i="3" s="1"/>
  <c r="J19" i="3"/>
  <c r="C19" i="3" s="1"/>
  <c r="C43" i="3"/>
  <c r="D43" i="3"/>
  <c r="E43" i="3"/>
  <c r="F43" i="3"/>
  <c r="C44" i="3"/>
  <c r="J31" i="3" s="1"/>
  <c r="C31" i="3" s="1"/>
  <c r="D44" i="3"/>
  <c r="G31" i="3" s="1"/>
  <c r="G17" i="3" s="1"/>
  <c r="E44" i="3"/>
  <c r="K31" i="3" s="1"/>
  <c r="E31" i="3" s="1"/>
  <c r="F44" i="3"/>
  <c r="L31" i="3" s="1"/>
  <c r="F31" i="3" s="1"/>
  <c r="C45" i="3"/>
  <c r="J32" i="3" s="1"/>
  <c r="C32" i="3" s="1"/>
  <c r="D45" i="3"/>
  <c r="G32" i="3" s="1"/>
  <c r="G18" i="3" s="1"/>
  <c r="E45" i="3"/>
  <c r="K32" i="3" s="1"/>
  <c r="E32" i="3" s="1"/>
  <c r="F45" i="3"/>
  <c r="L32" i="3" s="1"/>
  <c r="F32" i="3" s="1"/>
  <c r="C46" i="3"/>
  <c r="J33" i="3" s="1"/>
  <c r="C33" i="3" s="1"/>
  <c r="D46" i="3"/>
  <c r="G33" i="3" s="1"/>
  <c r="G19" i="3" s="1"/>
  <c r="E46" i="3"/>
  <c r="K33" i="3" s="1"/>
  <c r="E33" i="3" s="1"/>
  <c r="F46" i="3"/>
  <c r="L33" i="3" s="1"/>
  <c r="F33" i="3" s="1"/>
  <c r="C47" i="3"/>
  <c r="J34" i="3" s="1"/>
  <c r="C34" i="3" s="1"/>
  <c r="D47" i="3"/>
  <c r="G34" i="3" s="1"/>
  <c r="G20" i="3" s="1"/>
  <c r="E47" i="3"/>
  <c r="K34" i="3" s="1"/>
  <c r="E34" i="3" s="1"/>
  <c r="F47" i="3"/>
  <c r="L34" i="3" s="1"/>
  <c r="F34" i="3" s="1"/>
  <c r="C71" i="3"/>
  <c r="D71" i="3"/>
  <c r="E71" i="3"/>
  <c r="F71" i="3"/>
  <c r="G71" i="3"/>
  <c r="G44" i="3" s="1"/>
  <c r="C72" i="3"/>
  <c r="D72" i="3"/>
  <c r="E72" i="3"/>
  <c r="F72" i="3"/>
  <c r="G72" i="3"/>
  <c r="G45" i="3" s="1"/>
  <c r="C73" i="3"/>
  <c r="D73" i="3"/>
  <c r="E73" i="3"/>
  <c r="F73" i="3"/>
  <c r="G73" i="3"/>
  <c r="G46" i="3" s="1"/>
  <c r="C74" i="3"/>
  <c r="D74" i="3"/>
  <c r="E74" i="3"/>
  <c r="F74" i="3"/>
  <c r="G74" i="3"/>
  <c r="G47" i="3" s="1"/>
  <c r="H28" i="4"/>
  <c r="H27" i="4"/>
  <c r="H26" i="4"/>
  <c r="H25" i="4"/>
  <c r="H24" i="4"/>
  <c r="H23" i="4"/>
  <c r="H22" i="4"/>
  <c r="B29" i="4"/>
  <c r="G70" i="3"/>
  <c r="G43" i="3" s="1"/>
  <c r="L19" i="3" l="1"/>
  <c r="F19" i="3" s="1"/>
  <c r="L18" i="3"/>
  <c r="F18" i="3" s="1"/>
  <c r="L17" i="3"/>
  <c r="F17" i="3" s="1"/>
  <c r="L20" i="3"/>
  <c r="F20" i="3" s="1"/>
  <c r="K19" i="3"/>
  <c r="E19" i="3" s="1"/>
  <c r="K18" i="3"/>
  <c r="E18" i="3" s="1"/>
  <c r="K17" i="3"/>
  <c r="E17" i="3" s="1"/>
  <c r="K20" i="3"/>
  <c r="E20" i="3" s="1"/>
  <c r="G69" i="3"/>
  <c r="G42" i="3" s="1"/>
  <c r="G68" i="3"/>
  <c r="G41" i="3" s="1"/>
  <c r="C42" i="3" l="1"/>
  <c r="J29" i="3" s="1"/>
  <c r="J15" i="3" s="1"/>
  <c r="C15" i="3" s="1"/>
  <c r="D42" i="3"/>
  <c r="G29" i="3" s="1"/>
  <c r="G15" i="3" s="1"/>
  <c r="E42" i="3"/>
  <c r="K29" i="3" s="1"/>
  <c r="F42" i="3"/>
  <c r="L29" i="3" s="1"/>
  <c r="J30" i="3"/>
  <c r="G30" i="3"/>
  <c r="G16" i="3" s="1"/>
  <c r="K30" i="3"/>
  <c r="L30" i="3"/>
  <c r="C69" i="3"/>
  <c r="D69" i="3"/>
  <c r="E69" i="3"/>
  <c r="F69" i="3"/>
  <c r="C70" i="3"/>
  <c r="D70" i="3"/>
  <c r="E70" i="3"/>
  <c r="F70" i="3"/>
  <c r="F30" i="3" l="1"/>
  <c r="L16" i="3"/>
  <c r="F16" i="3" s="1"/>
  <c r="E30" i="3"/>
  <c r="K16" i="3"/>
  <c r="E16" i="3" s="1"/>
  <c r="C30" i="3"/>
  <c r="J16" i="3"/>
  <c r="C16" i="3" s="1"/>
  <c r="L15" i="3"/>
  <c r="F15" i="3" s="1"/>
  <c r="F29" i="3"/>
  <c r="C29" i="3"/>
  <c r="K15" i="3"/>
  <c r="E15" i="3" s="1"/>
  <c r="E29" i="3"/>
  <c r="L22" i="4"/>
  <c r="H31" i="4" l="1"/>
  <c r="H32" i="4" s="1"/>
  <c r="H33" i="4" l="1"/>
  <c r="F41" i="3"/>
  <c r="L28" i="3" s="1"/>
  <c r="E41" i="3"/>
  <c r="K28" i="3" s="1"/>
  <c r="D41" i="3"/>
  <c r="G28" i="3" s="1"/>
  <c r="G14" i="3" s="1"/>
  <c r="C41" i="3"/>
  <c r="F68" i="3"/>
  <c r="E68" i="3"/>
  <c r="D68" i="3"/>
  <c r="C68" i="3"/>
  <c r="C75" i="3" s="1"/>
  <c r="J28" i="3" l="1"/>
  <c r="J14" i="3" s="1"/>
  <c r="C48" i="3"/>
  <c r="K14" i="3"/>
  <c r="E14" i="3" s="1"/>
  <c r="E28" i="3"/>
  <c r="L14" i="3"/>
  <c r="F14" i="3" s="1"/>
  <c r="F28" i="3"/>
  <c r="O5" i="3"/>
  <c r="C28" i="3"/>
  <c r="C14" i="3"/>
  <c r="N5" i="3" l="1"/>
  <c r="M5" i="3"/>
  <c r="L5" i="3"/>
  <c r="D61" i="3" l="1"/>
  <c r="D7" i="3"/>
  <c r="E59" i="3"/>
  <c r="E5" i="3"/>
  <c r="E61" i="3"/>
  <c r="E7" i="3"/>
  <c r="E58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<sst xmlns="http://schemas.openxmlformats.org/spreadsheetml/2006/main" count="267" uniqueCount="150">
  <si>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</si>
  <si>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</si>
  <si>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</si>
  <si>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</si>
  <si>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</si>
  <si>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</si>
  <si>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</si>
  <si>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</si>
  <si>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</si>
  <si>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</si>
  <si>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</si>
  <si>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</si>
  <si>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</si>
  <si>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</si>
  <si>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</si>
  <si>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</si>
  <si>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</si>
  <si>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</si>
  <si>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</si>
  <si>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</si>
  <si>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</si>
  <si>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</si>
  <si>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</si>
  <si>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</si>
  <si>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</si>
  <si>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</si>
  <si>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</si>
  <si>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</si>
  <si>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</si>
  <si>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</si>
  <si>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</si>
  <si>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</si>
  <si>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</si>
  <si>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</si>
  <si>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</si>
  <si>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</si>
  <si>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</si>
  <si>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</si>
  <si>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</si>
  <si>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</si>
  <si>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</si>
  <si>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</si>
  <si>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</si>
  <si>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</si>
  <si>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</si>
  <si>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</si>
  <si>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</si>
  <si>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</si>
  <si>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</si>
  <si>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</si>
  <si>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</si>
  <si>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</si>
  <si>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</si>
  <si>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</si>
  <si>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</si>
  <si>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</si>
  <si>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</si>
  <si>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</si>
  <si>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</si>
  <si>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</si>
  <si>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</si>
  <si>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</si>
  <si>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</si>
  <si>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</si>
  <si>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</si>
  <si>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</si>
  <si>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</si>
  <si>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</si>
  <si>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</si>
  <si>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</si>
  <si>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</si>
  <si>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</si>
  <si>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</si>
  <si>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</si>
  <si>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</si>
  <si>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</si>
  <si>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</si>
  <si>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</si>
  <si>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</si>
  <si>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</si>
  <si>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</si>
  <si>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</si>
  <si>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</si>
  <si>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</si>
  <si>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</si>
  <si>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</si>
  <si>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</si>
  <si>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</si>
  <si>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</si>
  <si>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</si>
  <si>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</si>
  <si>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</si>
  <si>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</si>
  <si>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</si>
  <si>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</si>
  <si>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</si>
  <si>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</si>
  <si>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</si>
  <si>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</si>
  <si>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</si>
  <si>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</si>
  <si>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</si>
  <si>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</si>
  <si>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</si>
  <si>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</si>
  <si>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</si>
  <si>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</si>
  <si>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</si>
  <si>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</si>
  <si>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</si>
  <si>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</si>
  <si>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</si>
  <si>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</si>
  <si>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</si>
  <si>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</si>
  <si>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</si>
  <si>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</si>
  <si>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</si>
  <si>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</si>
  <si>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</si>
  <si>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</si>
  <si>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</si>
  <si>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</si>
  <si>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</si>
  <si>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</si>
  <si>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</si>
  <si>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</si>
  <si>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</si>
  <si>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</si>
  <si>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</si>
  <si>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</si>
  <si>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</si>
  <si>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</si>
  <si>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</si>
  <si>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</si>
  <si>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</si>
  <si>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NO</t>
  </si>
  <si>
    <t>ABONO 50% SALDO C/ENTREGA</t>
  </si>
  <si>
    <t>162x132</t>
  </si>
  <si>
    <t>FABRICACION DE MUEBLES</t>
  </si>
  <si>
    <t>ROSSY VALDES</t>
  </si>
  <si>
    <t>+569 25158 9695</t>
  </si>
  <si>
    <t>MUEBLES MORENOS SPA</t>
  </si>
  <si>
    <t>77.575.278-5</t>
  </si>
  <si>
    <t>FRANCISCO MORENO</t>
  </si>
  <si>
    <t>PC 6 EL SALITRE LT B PROY EL SALITRE LLAYLLAY</t>
  </si>
  <si>
    <t>SAN FELIPE</t>
  </si>
  <si>
    <t>N° 10980</t>
  </si>
  <si>
    <t>VAINILLA 2109 BR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</si>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</sst>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 applyBorder="1" applyAlignment="1">
      <alignment horizontal="center" vertical="center"/>
    </xf>
    <xf numFmtId="1" fontId="17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Alignment="1">
      <alignment horizontal="right"/>
    </xf>
    <xf numFmtId="0" fontId="2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0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30</xdr:row>
      <xdr:rowOff>0</xdr:rowOff>
    </xdr:from>
    <xdr:to>
      <xdr:col>5</xdr:col>
      <xdr:colOff>1522096</xdr:colOff>
      <xdr:row>33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CANCELADO $ 387.658.-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22</xdr:row>
      <xdr:rowOff>60960</xdr:rowOff>
    </xdr:from>
    <xdr:to>
      <xdr:col>6</xdr:col>
      <xdr:colOff>2240279</xdr:colOff>
      <xdr:row>24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62</xdr:row>
      <xdr:rowOff>171450</xdr:rowOff>
    </xdr:from>
    <xdr:to>
      <xdr:col>6</xdr:col>
      <xdr:colOff>1685924</xdr:colOff>
      <xdr:row>64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58</xdr:row>
      <xdr:rowOff>38100</xdr:rowOff>
    </xdr:from>
    <xdr:to>
      <xdr:col>7</xdr:col>
      <xdr:colOff>0</xdr:colOff>
      <xdr:row>59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3</xdr:col>
      <xdr:colOff>38100</xdr:colOff>
      <xdr:row>77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76</xdr:row>
      <xdr:rowOff>0</xdr:rowOff>
    </xdr:from>
    <xdr:to>
      <xdr:col>3</xdr:col>
      <xdr:colOff>1019175</xdr:colOff>
      <xdr:row>77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76</xdr:row>
      <xdr:rowOff>0</xdr:rowOff>
    </xdr:from>
    <xdr:to>
      <xdr:col>4</xdr:col>
      <xdr:colOff>352425</xdr:colOff>
      <xdr:row>77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76</xdr:row>
      <xdr:rowOff>0</xdr:rowOff>
    </xdr:from>
    <xdr:to>
      <xdr:col>5</xdr:col>
      <xdr:colOff>257175</xdr:colOff>
      <xdr:row>77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76</xdr:row>
      <xdr:rowOff>0</xdr:rowOff>
    </xdr:from>
    <xdr:to>
      <xdr:col>6</xdr:col>
      <xdr:colOff>447675</xdr:colOff>
      <xdr:row>77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76</xdr:row>
      <xdr:rowOff>0</xdr:rowOff>
    </xdr:from>
    <xdr:to>
      <xdr:col>7</xdr:col>
      <xdr:colOff>0</xdr:colOff>
      <xdr:row>77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304800</xdr:colOff>
      <xdr:row>78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77</xdr:row>
      <xdr:rowOff>0</xdr:rowOff>
    </xdr:from>
    <xdr:to>
      <xdr:col>3</xdr:col>
      <xdr:colOff>1276350</xdr:colOff>
      <xdr:row>78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77</xdr:row>
      <xdr:rowOff>0</xdr:rowOff>
    </xdr:from>
    <xdr:to>
      <xdr:col>4</xdr:col>
      <xdr:colOff>619125</xdr:colOff>
      <xdr:row>78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77</xdr:row>
      <xdr:rowOff>0</xdr:rowOff>
    </xdr:from>
    <xdr:to>
      <xdr:col>5</xdr:col>
      <xdr:colOff>523875</xdr:colOff>
      <xdr:row>78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77</xdr:row>
      <xdr:rowOff>0</xdr:rowOff>
    </xdr:from>
    <xdr:to>
      <xdr:col>6</xdr:col>
      <xdr:colOff>723900</xdr:colOff>
      <xdr:row>78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77</xdr:row>
      <xdr:rowOff>0</xdr:rowOff>
    </xdr:from>
    <xdr:to>
      <xdr:col>7</xdr:col>
      <xdr:colOff>0</xdr:colOff>
      <xdr:row>78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49</xdr:row>
      <xdr:rowOff>15238</xdr:rowOff>
    </xdr:from>
    <xdr:to>
      <xdr:col>7</xdr:col>
      <xdr:colOff>68580</xdr:colOff>
      <xdr:row>53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37</xdr:row>
      <xdr:rowOff>1905</xdr:rowOff>
    </xdr:from>
    <xdr:to>
      <xdr:col>7</xdr:col>
      <xdr:colOff>19049</xdr:colOff>
      <xdr:row>38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79</xdr:row>
      <xdr:rowOff>32385</xdr:rowOff>
    </xdr:from>
    <xdr:to>
      <xdr:col>7</xdr:col>
      <xdr:colOff>19050</xdr:colOff>
      <xdr:row>84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56</xdr:row>
      <xdr:rowOff>175260</xdr:rowOff>
    </xdr:from>
    <xdr:to>
      <xdr:col>2</xdr:col>
      <xdr:colOff>585584</xdr:colOff>
      <xdr:row>62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9"/>
  <sheetViews>
    <sheetView topLeftCell="A7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26.21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147</v>
      </c>
      <c r="E8" s="1"/>
      <c r="F8" s="87" t="s">
        <v>27</v>
      </c>
      <c r="G8" s="88">
        <v>7096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142</v>
      </c>
      <c r="D10" s="49"/>
      <c r="E10" s="49"/>
      <c r="F10" s="50" t="s">
        <v>28</v>
      </c>
      <c r="G10" s="51">
        <v>45502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 t="s">
        <v>143</v>
      </c>
      <c r="D11" s="54"/>
      <c r="E11" s="54"/>
      <c r="F11" s="54" t="s">
        <v>125</v>
      </c>
      <c r="G11" s="55">
        <v>45506</v>
      </c>
      <c r="H11" s="56"/>
      <c r="I11" s="1"/>
    </row>
    <row r="12" spans="1:17" ht="15.6" x14ac:dyDescent="0.3">
      <c r="A12" s="1"/>
      <c r="B12" s="53" t="s">
        <v>132</v>
      </c>
      <c r="C12" t="s">
        <v>139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t="s">
        <v>140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 t="s">
        <v>144</v>
      </c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141</v>
      </c>
      <c r="D15" s="60"/>
      <c r="E15" s="54"/>
      <c r="F15" s="54" t="s">
        <v>29</v>
      </c>
      <c r="G15" s="54" t="s">
        <v>136</v>
      </c>
      <c r="H15" s="56"/>
      <c r="I15" s="1"/>
    </row>
    <row r="16" spans="1:17" ht="15.6" x14ac:dyDescent="0.3">
      <c r="A16" s="1"/>
      <c r="B16" s="108" t="s">
        <v>1</v>
      </c>
      <c r="C16" s="38" t="s">
        <v>145</v>
      </c>
      <c r="D16" s="38"/>
      <c r="E16" s="38"/>
      <c r="F16" s="61" t="s">
        <v>75</v>
      </c>
      <c r="G16" s="92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146</v>
      </c>
      <c r="D17" s="63"/>
      <c r="E17" s="64"/>
      <c r="F17" s="109" t="s">
        <v>18</v>
      </c>
      <c r="G17" s="109"/>
      <c r="H17" s="11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1</v>
      </c>
      <c r="C22" s="94" t="s">
        <v>62</v>
      </c>
      <c r="D22" s="93">
        <v>750</v>
      </c>
      <c r="E22" s="93">
        <v>315</v>
      </c>
      <c r="F22" s="103" t="s">
        <v>148</v>
      </c>
      <c r="G22" s="102">
        <v>17819</v>
      </c>
      <c r="H22" s="102">
        <f t="shared" ref="H22:H28" si="0">G22*B22</f>
        <v>17819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4">
        <v>1</v>
      </c>
      <c r="C23" s="94" t="s">
        <v>62</v>
      </c>
      <c r="D23" s="93">
        <v>750</v>
      </c>
      <c r="E23" s="93">
        <v>453</v>
      </c>
      <c r="F23" s="103" t="s">
        <v>148</v>
      </c>
      <c r="G23" s="102">
        <v>24310</v>
      </c>
      <c r="H23" s="102">
        <f t="shared" si="0"/>
        <v>24310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94">
        <v>4</v>
      </c>
      <c r="C24" s="94" t="s">
        <v>62</v>
      </c>
      <c r="D24" s="93">
        <v>750</v>
      </c>
      <c r="E24" s="93">
        <v>347</v>
      </c>
      <c r="F24" s="103" t="s">
        <v>148</v>
      </c>
      <c r="G24" s="102">
        <v>19324</v>
      </c>
      <c r="H24" s="102">
        <f t="shared" si="0"/>
        <v>77296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94">
        <v>3</v>
      </c>
      <c r="C25" s="94" t="s">
        <v>62</v>
      </c>
      <c r="D25" s="93">
        <v>750</v>
      </c>
      <c r="E25" s="93">
        <v>647</v>
      </c>
      <c r="F25" s="103" t="s">
        <v>148</v>
      </c>
      <c r="G25" s="102">
        <v>33437</v>
      </c>
      <c r="H25" s="102">
        <f t="shared" si="0"/>
        <v>100311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94">
        <v>3</v>
      </c>
      <c r="C26" s="94" t="s">
        <v>62</v>
      </c>
      <c r="D26" s="93">
        <v>750</v>
      </c>
      <c r="E26" s="93">
        <v>497</v>
      </c>
      <c r="F26" s="103" t="s">
        <v>148</v>
      </c>
      <c r="G26" s="102">
        <v>26380</v>
      </c>
      <c r="H26" s="102">
        <f t="shared" si="0"/>
        <v>79140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94">
        <v>1</v>
      </c>
      <c r="C27" s="94" t="s">
        <v>62</v>
      </c>
      <c r="D27" s="93">
        <v>750</v>
      </c>
      <c r="E27" s="93">
        <v>297</v>
      </c>
      <c r="F27" s="103" t="s">
        <v>148</v>
      </c>
      <c r="G27" s="102">
        <v>16972</v>
      </c>
      <c r="H27" s="102">
        <f t="shared" si="0"/>
        <v>16972</v>
      </c>
      <c r="K27" s="16"/>
      <c r="L27" s="24"/>
      <c r="M27" s="16"/>
      <c r="N27" s="16"/>
      <c r="O27" s="24"/>
      <c r="P27" s="31"/>
    </row>
    <row r="28" spans="1:19" ht="18" customHeight="1" x14ac:dyDescent="0.3">
      <c r="A28" s="1"/>
      <c r="B28" s="94">
        <v>1</v>
      </c>
      <c r="C28" s="94" t="s">
        <v>62</v>
      </c>
      <c r="D28" s="93">
        <v>750</v>
      </c>
      <c r="E28" s="93">
        <v>147</v>
      </c>
      <c r="F28" s="103" t="s">
        <v>148</v>
      </c>
      <c r="G28" s="102">
        <v>9915</v>
      </c>
      <c r="H28" s="102">
        <f t="shared" si="0"/>
        <v>9915</v>
      </c>
      <c r="K28" s="16"/>
      <c r="L28" s="24"/>
      <c r="M28" s="16"/>
      <c r="N28" s="16"/>
      <c r="O28" s="24"/>
      <c r="P28" s="31"/>
    </row>
    <row r="29" spans="1:19" ht="18" customHeight="1" x14ac:dyDescent="0.3">
      <c r="A29" s="1"/>
      <c r="B29" s="122">
        <f>SUM(B22:B28)</f>
        <v>14</v>
      </c>
      <c r="C29" s="122"/>
      <c r="D29" s="123"/>
      <c r="E29" s="123"/>
      <c r="F29" s="124"/>
      <c r="G29" s="90"/>
      <c r="H29" s="90"/>
      <c r="K29" s="16"/>
      <c r="L29" s="24"/>
      <c r="M29" s="16"/>
      <c r="N29" s="16"/>
      <c r="O29" s="24"/>
      <c r="P29" s="31"/>
    </row>
    <row r="30" spans="1:19" ht="16.2" thickBot="1" x14ac:dyDescent="0.35">
      <c r="A30" s="1"/>
      <c r="B30" s="68"/>
      <c r="C30" s="68"/>
      <c r="D30" s="68"/>
      <c r="E30" s="68"/>
      <c r="F30" s="68"/>
      <c r="G30" s="90"/>
      <c r="H30" s="90"/>
      <c r="I30" s="1"/>
      <c r="L30" s="2"/>
      <c r="O30" s="2"/>
      <c r="P30">
        <v>2940</v>
      </c>
      <c r="Q30">
        <v>600</v>
      </c>
      <c r="S30" t="s">
        <v>138</v>
      </c>
    </row>
    <row r="31" spans="1:19" ht="15.6" x14ac:dyDescent="0.3">
      <c r="A31" s="1"/>
      <c r="B31" s="1"/>
      <c r="C31" s="1"/>
      <c r="D31" s="1"/>
      <c r="E31" s="1"/>
      <c r="F31" s="1"/>
      <c r="G31" s="69" t="s">
        <v>5</v>
      </c>
      <c r="H31" s="70">
        <f>SUM(H22:H30)</f>
        <v>325763</v>
      </c>
      <c r="I31" s="1"/>
      <c r="L31" s="2"/>
      <c r="O31" s="24"/>
      <c r="P31" s="31">
        <v>1890</v>
      </c>
      <c r="Q31">
        <v>600</v>
      </c>
    </row>
    <row r="32" spans="1:19" ht="15.6" x14ac:dyDescent="0.3">
      <c r="A32" s="1"/>
      <c r="B32" s="1"/>
      <c r="C32" s="1"/>
      <c r="D32" s="1"/>
      <c r="E32" s="1"/>
      <c r="F32" s="1"/>
      <c r="G32" s="71" t="s">
        <v>6</v>
      </c>
      <c r="H32" s="72">
        <f>H31*19%</f>
        <v>61894.97</v>
      </c>
      <c r="I32" s="1"/>
      <c r="L32" s="2"/>
    </row>
    <row r="33" spans="1:12" ht="16.2" thickBot="1" x14ac:dyDescent="0.35">
      <c r="A33" s="1"/>
      <c r="B33" s="1"/>
      <c r="C33" s="1"/>
      <c r="D33" s="1"/>
      <c r="E33" s="1"/>
      <c r="F33" s="1"/>
      <c r="G33" s="73" t="s">
        <v>4</v>
      </c>
      <c r="H33" s="74">
        <f>H31+H32</f>
        <v>387657.97</v>
      </c>
      <c r="I33" s="1"/>
      <c r="L33" s="2"/>
    </row>
    <row r="34" spans="1:12" ht="15.6" x14ac:dyDescent="0.3">
      <c r="A34" s="1"/>
      <c r="B34" s="1"/>
      <c r="C34" s="1"/>
      <c r="D34" s="1"/>
      <c r="E34" s="1"/>
      <c r="F34" s="1"/>
      <c r="H34" s="31"/>
      <c r="I34" s="1"/>
    </row>
    <row r="35" spans="1:12" ht="15.6" x14ac:dyDescent="0.3">
      <c r="A35" s="1"/>
      <c r="B35" s="75" t="s">
        <v>124</v>
      </c>
      <c r="C35" s="76"/>
      <c r="D35" s="77"/>
      <c r="E35" s="77"/>
      <c r="F35" s="68"/>
      <c r="I35" s="1"/>
    </row>
    <row r="36" spans="1:12" ht="15.6" x14ac:dyDescent="0.3">
      <c r="A36" s="1"/>
      <c r="B36" s="75" t="s">
        <v>123</v>
      </c>
      <c r="C36" s="76"/>
      <c r="D36" s="77"/>
      <c r="E36" s="77"/>
      <c r="F36" s="68"/>
      <c r="G36" s="1"/>
      <c r="H36" s="1"/>
      <c r="I36" s="1"/>
    </row>
    <row r="37" spans="1:12" ht="15.6" x14ac:dyDescent="0.3">
      <c r="A37" s="1"/>
      <c r="B37" s="1" t="s">
        <v>25</v>
      </c>
      <c r="C37" s="1"/>
      <c r="D37" s="1"/>
      <c r="E37" s="78" t="s">
        <v>26</v>
      </c>
      <c r="F37" s="1"/>
      <c r="G37" s="1"/>
      <c r="H37" s="1"/>
      <c r="I37" s="1"/>
    </row>
    <row r="38" spans="1:12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12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7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7"/>
  <sheetViews>
    <sheetView tabSelected="1" topLeftCell="A45" zoomScaleNormal="100" workbookViewId="0">
      <selection activeCell="A56" sqref="A56:G86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6" t="s">
        <v>61</v>
      </c>
      <c r="M3" s="116"/>
      <c r="N3" s="116" t="s">
        <v>14</v>
      </c>
      <c r="O3" s="116"/>
    </row>
    <row r="4" spans="1:15" ht="15.75" customHeight="1" x14ac:dyDescent="0.3">
      <c r="B4" s="1"/>
      <c r="C4" s="1"/>
      <c r="D4" s="35" t="s">
        <v>27</v>
      </c>
      <c r="E4" s="14">
        <f>'4637'!G8</f>
        <v>7096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MUEBLES MORENOS SPA</v>
      </c>
      <c r="F5" s="38"/>
      <c r="G5" s="38"/>
      <c r="H5" s="1"/>
      <c r="L5">
        <f>LOOKUP(G14,REGLAS!$I$4:$I$37,REGLAS!$G$4:$G$37)+K14</f>
        <v>800</v>
      </c>
      <c r="M5">
        <f>LOOKUP(G14,REGLAS!$I$4:$I$37,REGLAS!$H$4:$H$37)+L14</f>
        <v>313</v>
      </c>
      <c r="N5" t="e">
        <f>LOOKUP(G28,REGLAS!$D$4:$D$37,REGLAS!$B$4:$B$37)+#REF!</f>
        <v>#REF!</v>
      </c>
      <c r="O5">
        <f>LOOKUP(G28,REGLAS!$D$4:$D$37,REGLAS!$C$4:$C$37)+K28</f>
        <v>840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80" t="str">
        <f>'4637'!F11</f>
        <v>FECHA LIMITE :</v>
      </c>
      <c r="E7" s="13">
        <f>'4637'!G11</f>
        <v>45506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7" t="s">
        <v>61</v>
      </c>
      <c r="C10" s="117"/>
      <c r="D10" s="117"/>
      <c r="E10" s="117"/>
      <c r="F10" s="117"/>
      <c r="G10" s="117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31">
        <v>1</v>
      </c>
      <c r="B14" s="127" t="s">
        <v>149</v>
      </c>
      <c r="C14" s="97">
        <f t="shared" ref="C14" si="0">J14</f>
        <v>1</v>
      </c>
      <c r="D14" s="98"/>
      <c r="E14" s="97">
        <f>K14+E$13</f>
        <v>800</v>
      </c>
      <c r="F14" s="97">
        <f>L14+F$13</f>
        <v>313</v>
      </c>
      <c r="G14" s="97" t="str">
        <f>G28</f>
        <v>PR2</v>
      </c>
      <c r="H14" s="1"/>
      <c r="J14" s="3">
        <f t="shared" ref="J14:L16" si="1">J28</f>
        <v>1</v>
      </c>
      <c r="K14" s="4">
        <f t="shared" si="1"/>
        <v>750</v>
      </c>
      <c r="L14" s="4">
        <f t="shared" si="1"/>
        <v>315</v>
      </c>
    </row>
    <row r="15" spans="1:15" ht="18" x14ac:dyDescent="0.35">
      <c r="A15" s="131">
        <v>2</v>
      </c>
      <c r="B15" s="89"/>
      <c r="C15" s="97">
        <f t="shared" ref="C15" si="2">J15</f>
        <v>1</v>
      </c>
      <c r="D15" s="98"/>
      <c r="E15" s="97">
        <f t="shared" ref="E15" si="3">K15+E$13</f>
        <v>800</v>
      </c>
      <c r="F15" s="97">
        <f>L15+F$13</f>
        <v>451</v>
      </c>
      <c r="G15" s="97" t="str">
        <f>G29</f>
        <v>PR2</v>
      </c>
      <c r="H15" s="1"/>
      <c r="J15" s="3">
        <f t="shared" si="1"/>
        <v>1</v>
      </c>
      <c r="K15" s="4">
        <f t="shared" si="1"/>
        <v>750</v>
      </c>
      <c r="L15" s="4">
        <f t="shared" si="1"/>
        <v>453</v>
      </c>
    </row>
    <row r="16" spans="1:15" ht="18" x14ac:dyDescent="0.35">
      <c r="A16" s="131">
        <v>3</v>
      </c>
      <c r="B16" s="89"/>
      <c r="C16" s="97">
        <f t="shared" ref="C16" si="4">J16</f>
        <v>4</v>
      </c>
      <c r="D16" s="98"/>
      <c r="E16" s="97">
        <f t="shared" ref="E16" si="5">K16+E$13</f>
        <v>800</v>
      </c>
      <c r="F16" s="97">
        <f>L16+F$13</f>
        <v>345</v>
      </c>
      <c r="G16" s="97" t="str">
        <f>G30</f>
        <v>PR2</v>
      </c>
      <c r="H16" s="1"/>
      <c r="J16" s="3">
        <f t="shared" si="1"/>
        <v>4</v>
      </c>
      <c r="K16" s="4">
        <f t="shared" si="1"/>
        <v>750</v>
      </c>
      <c r="L16" s="4">
        <f t="shared" si="1"/>
        <v>347</v>
      </c>
    </row>
    <row r="17" spans="1:12" ht="18" x14ac:dyDescent="0.35">
      <c r="A17" s="131">
        <v>4</v>
      </c>
      <c r="B17" s="89"/>
      <c r="C17" s="97">
        <f t="shared" ref="C17:C19" si="6">J17</f>
        <v>3</v>
      </c>
      <c r="D17" s="98"/>
      <c r="E17" s="97">
        <f t="shared" ref="E17:E19" si="7">K17+E$13</f>
        <v>800</v>
      </c>
      <c r="F17" s="97">
        <f t="shared" ref="F17:F19" si="8">L17+F$13</f>
        <v>645</v>
      </c>
      <c r="G17" s="97" t="str">
        <f t="shared" ref="G17:G20" si="9">G31</f>
        <v>PR2</v>
      </c>
      <c r="H17" s="1"/>
      <c r="J17" s="3">
        <f t="shared" ref="J17:L17" si="10">J31</f>
        <v>3</v>
      </c>
      <c r="K17" s="4">
        <f t="shared" si="10"/>
        <v>750</v>
      </c>
      <c r="L17" s="4">
        <f t="shared" si="10"/>
        <v>647</v>
      </c>
    </row>
    <row r="18" spans="1:12" ht="18" x14ac:dyDescent="0.35">
      <c r="A18" s="131">
        <v>5</v>
      </c>
      <c r="B18" s="89"/>
      <c r="C18" s="97">
        <f t="shared" si="6"/>
        <v>3</v>
      </c>
      <c r="D18" s="98"/>
      <c r="E18" s="97">
        <f t="shared" si="7"/>
        <v>800</v>
      </c>
      <c r="F18" s="97">
        <f t="shared" si="8"/>
        <v>495</v>
      </c>
      <c r="G18" s="97" t="str">
        <f t="shared" si="9"/>
        <v>PR2</v>
      </c>
      <c r="H18" s="1"/>
      <c r="J18" s="3">
        <f t="shared" ref="J18:L18" si="11">J32</f>
        <v>3</v>
      </c>
      <c r="K18" s="4">
        <f t="shared" si="11"/>
        <v>750</v>
      </c>
      <c r="L18" s="4">
        <f t="shared" si="11"/>
        <v>497</v>
      </c>
    </row>
    <row r="19" spans="1:12" ht="18" x14ac:dyDescent="0.35">
      <c r="A19" s="131">
        <v>6</v>
      </c>
      <c r="B19" s="89"/>
      <c r="C19" s="97">
        <f t="shared" si="6"/>
        <v>1</v>
      </c>
      <c r="D19" s="98"/>
      <c r="E19" s="97">
        <f t="shared" si="7"/>
        <v>800</v>
      </c>
      <c r="F19" s="97">
        <f t="shared" si="8"/>
        <v>295</v>
      </c>
      <c r="G19" s="97" t="str">
        <f t="shared" si="9"/>
        <v>PR2</v>
      </c>
      <c r="H19" s="1"/>
      <c r="J19" s="3">
        <f t="shared" ref="J19:L20" si="12">J33</f>
        <v>1</v>
      </c>
      <c r="K19" s="4">
        <f t="shared" si="12"/>
        <v>750</v>
      </c>
      <c r="L19" s="4">
        <f t="shared" si="12"/>
        <v>297</v>
      </c>
    </row>
    <row r="20" spans="1:12" ht="18" x14ac:dyDescent="0.35">
      <c r="A20" s="131">
        <v>7</v>
      </c>
      <c r="B20" s="89"/>
      <c r="C20" s="97">
        <f t="shared" ref="C20" si="13">J20</f>
        <v>1</v>
      </c>
      <c r="D20" s="98"/>
      <c r="E20" s="97">
        <f t="shared" ref="E20" si="14">K20+E$13</f>
        <v>800</v>
      </c>
      <c r="F20" s="97">
        <f t="shared" ref="F20" si="15">L20+F$13</f>
        <v>145</v>
      </c>
      <c r="G20" s="97" t="str">
        <f t="shared" si="9"/>
        <v>PR2</v>
      </c>
      <c r="H20" s="1"/>
      <c r="J20" s="3">
        <f t="shared" si="12"/>
        <v>1</v>
      </c>
      <c r="K20" s="4">
        <f t="shared" si="12"/>
        <v>750</v>
      </c>
      <c r="L20" s="4">
        <f t="shared" si="12"/>
        <v>147</v>
      </c>
    </row>
    <row r="21" spans="1:12" ht="15.6" x14ac:dyDescent="0.3">
      <c r="B21" s="89"/>
      <c r="C21" s="6"/>
      <c r="D21" s="6"/>
      <c r="E21" s="6"/>
      <c r="F21" s="6"/>
      <c r="G21" s="6"/>
      <c r="H21" s="1"/>
      <c r="J21" s="83"/>
      <c r="K21" s="2"/>
      <c r="L21" s="2"/>
    </row>
    <row r="22" spans="1:12" ht="15.6" x14ac:dyDescent="0.3">
      <c r="B22" s="46"/>
      <c r="C22" s="6"/>
      <c r="D22" s="6"/>
      <c r="E22" s="6"/>
      <c r="F22" s="82"/>
      <c r="G22" s="6"/>
      <c r="H22" s="1"/>
      <c r="J22" s="2"/>
      <c r="K22" s="2"/>
      <c r="L22" s="2"/>
    </row>
    <row r="23" spans="1:12" ht="6.75" customHeight="1" x14ac:dyDescent="0.3">
      <c r="B23" s="1"/>
      <c r="C23" s="1"/>
      <c r="D23" s="1"/>
      <c r="E23" s="1"/>
      <c r="F23" s="1"/>
      <c r="G23" s="1"/>
      <c r="H23" s="1"/>
    </row>
    <row r="24" spans="1:12" ht="15.6" x14ac:dyDescent="0.3">
      <c r="B24" s="117" t="s">
        <v>14</v>
      </c>
      <c r="C24" s="117"/>
      <c r="D24" s="117"/>
      <c r="E24" s="117"/>
      <c r="F24" s="117"/>
      <c r="G24" s="117"/>
      <c r="H24" s="1"/>
    </row>
    <row r="25" spans="1:12" ht="10.5" customHeight="1" x14ac:dyDescent="0.3">
      <c r="B25" s="1"/>
      <c r="C25" s="1"/>
      <c r="D25" s="12"/>
      <c r="E25" s="1"/>
      <c r="F25" s="1"/>
      <c r="G25" s="1"/>
      <c r="H25" s="1"/>
    </row>
    <row r="26" spans="1:12" ht="15.6" x14ac:dyDescent="0.3">
      <c r="B26" s="1"/>
      <c r="C26" s="1"/>
      <c r="D26" s="1"/>
      <c r="E26" s="46" t="s">
        <v>7</v>
      </c>
      <c r="F26" s="46" t="s">
        <v>8</v>
      </c>
      <c r="G26" s="1"/>
      <c r="H26" s="1"/>
    </row>
    <row r="27" spans="1:12" ht="15.6" x14ac:dyDescent="0.3">
      <c r="B27" s="46" t="s">
        <v>9</v>
      </c>
      <c r="C27" s="33" t="s">
        <v>10</v>
      </c>
      <c r="D27" s="33" t="s">
        <v>11</v>
      </c>
      <c r="E27" s="20">
        <v>40</v>
      </c>
      <c r="F27" s="20">
        <v>90</v>
      </c>
      <c r="G27" s="33" t="s">
        <v>110</v>
      </c>
      <c r="H27" s="1"/>
      <c r="K27" s="5" t="s">
        <v>7</v>
      </c>
      <c r="L27" s="5" t="s">
        <v>8</v>
      </c>
    </row>
    <row r="28" spans="1:12" ht="18" x14ac:dyDescent="0.35">
      <c r="A28" s="131">
        <v>1</v>
      </c>
      <c r="B28" s="127" t="s">
        <v>149</v>
      </c>
      <c r="C28" s="98">
        <f>J28</f>
        <v>1</v>
      </c>
      <c r="D28" s="98"/>
      <c r="E28" s="98">
        <f t="shared" ref="E28:F30" si="16">K28+E$27</f>
        <v>790</v>
      </c>
      <c r="F28" s="98">
        <f t="shared" si="16"/>
        <v>405</v>
      </c>
      <c r="G28" s="98" t="str">
        <f>D41</f>
        <v>PR2</v>
      </c>
      <c r="H28" s="1"/>
      <c r="J28" s="3">
        <f>C41</f>
        <v>1</v>
      </c>
      <c r="K28" s="4">
        <f t="shared" ref="K28:L30" si="17">E41</f>
        <v>750</v>
      </c>
      <c r="L28" s="4">
        <f t="shared" si="17"/>
        <v>315</v>
      </c>
    </row>
    <row r="29" spans="1:12" ht="18" x14ac:dyDescent="0.35">
      <c r="A29" s="131">
        <v>2</v>
      </c>
      <c r="B29" s="89"/>
      <c r="C29" s="98">
        <f t="shared" ref="C29" si="18">J29</f>
        <v>1</v>
      </c>
      <c r="D29" s="98"/>
      <c r="E29" s="98">
        <f t="shared" si="16"/>
        <v>790</v>
      </c>
      <c r="F29" s="98">
        <f t="shared" si="16"/>
        <v>543</v>
      </c>
      <c r="G29" s="98" t="str">
        <f>D42</f>
        <v>PR2</v>
      </c>
      <c r="H29" s="1"/>
      <c r="J29" s="3">
        <f>C42</f>
        <v>1</v>
      </c>
      <c r="K29" s="4">
        <f t="shared" si="17"/>
        <v>750</v>
      </c>
      <c r="L29" s="4">
        <f t="shared" si="17"/>
        <v>453</v>
      </c>
    </row>
    <row r="30" spans="1:12" ht="18" x14ac:dyDescent="0.35">
      <c r="A30" s="131">
        <v>3</v>
      </c>
      <c r="B30" s="89"/>
      <c r="C30" s="98">
        <f t="shared" ref="C30" si="19">J30</f>
        <v>4</v>
      </c>
      <c r="D30" s="98"/>
      <c r="E30" s="98">
        <f t="shared" si="16"/>
        <v>790</v>
      </c>
      <c r="F30" s="98">
        <f t="shared" si="16"/>
        <v>437</v>
      </c>
      <c r="G30" s="98" t="str">
        <f>D43</f>
        <v>PR2</v>
      </c>
      <c r="H30" s="1"/>
      <c r="J30" s="3">
        <f>C43</f>
        <v>4</v>
      </c>
      <c r="K30" s="4">
        <f t="shared" si="17"/>
        <v>750</v>
      </c>
      <c r="L30" s="4">
        <f t="shared" si="17"/>
        <v>347</v>
      </c>
    </row>
    <row r="31" spans="1:12" ht="18" x14ac:dyDescent="0.35">
      <c r="A31" s="131">
        <v>4</v>
      </c>
      <c r="B31" s="89"/>
      <c r="C31" s="98">
        <f t="shared" ref="C31:C34" si="20">J31</f>
        <v>3</v>
      </c>
      <c r="D31" s="98"/>
      <c r="E31" s="98">
        <f>K31+E$27</f>
        <v>790</v>
      </c>
      <c r="F31" s="98">
        <f>L31+F$27</f>
        <v>737</v>
      </c>
      <c r="G31" s="98" t="str">
        <f>D44</f>
        <v>PR2</v>
      </c>
      <c r="H31" s="1"/>
      <c r="J31" s="3">
        <f>C44</f>
        <v>3</v>
      </c>
      <c r="K31" s="4">
        <f>E44</f>
        <v>750</v>
      </c>
      <c r="L31" s="4">
        <f>F44</f>
        <v>647</v>
      </c>
    </row>
    <row r="32" spans="1:12" ht="18" x14ac:dyDescent="0.35">
      <c r="A32" s="131">
        <v>5</v>
      </c>
      <c r="B32" s="89"/>
      <c r="C32" s="98">
        <f t="shared" si="20"/>
        <v>3</v>
      </c>
      <c r="D32" s="98"/>
      <c r="E32" s="98">
        <f>K32+E$27</f>
        <v>790</v>
      </c>
      <c r="F32" s="98">
        <f>L32+F$27</f>
        <v>587</v>
      </c>
      <c r="G32" s="98" t="str">
        <f>D45</f>
        <v>PR2</v>
      </c>
      <c r="H32" s="1"/>
      <c r="J32" s="3">
        <f>C45</f>
        <v>3</v>
      </c>
      <c r="K32" s="4">
        <f>E45</f>
        <v>750</v>
      </c>
      <c r="L32" s="4">
        <f>F45</f>
        <v>497</v>
      </c>
    </row>
    <row r="33" spans="1:12" ht="18" x14ac:dyDescent="0.35">
      <c r="A33" s="131">
        <v>6</v>
      </c>
      <c r="B33" s="89"/>
      <c r="C33" s="98">
        <f t="shared" si="20"/>
        <v>1</v>
      </c>
      <c r="D33" s="98"/>
      <c r="E33" s="98">
        <f>K33+E$27</f>
        <v>790</v>
      </c>
      <c r="F33" s="98">
        <f>L33+F$27</f>
        <v>387</v>
      </c>
      <c r="G33" s="98" t="str">
        <f>D46</f>
        <v>PR2</v>
      </c>
      <c r="H33" s="1"/>
      <c r="J33" s="3">
        <f>C46</f>
        <v>1</v>
      </c>
      <c r="K33" s="4">
        <f>E46</f>
        <v>750</v>
      </c>
      <c r="L33" s="4">
        <f>F46</f>
        <v>297</v>
      </c>
    </row>
    <row r="34" spans="1:12" ht="18" x14ac:dyDescent="0.35">
      <c r="A34" s="131">
        <v>7</v>
      </c>
      <c r="B34" s="89"/>
      <c r="C34" s="98">
        <f t="shared" si="20"/>
        <v>1</v>
      </c>
      <c r="D34" s="98"/>
      <c r="E34" s="98">
        <f>K34+E$27</f>
        <v>790</v>
      </c>
      <c r="F34" s="98">
        <f>L34+F$27</f>
        <v>237</v>
      </c>
      <c r="G34" s="98" t="str">
        <f>D47</f>
        <v>PR2</v>
      </c>
      <c r="H34" s="1"/>
      <c r="J34" s="3">
        <f>C47</f>
        <v>1</v>
      </c>
      <c r="K34" s="4">
        <f>E47</f>
        <v>750</v>
      </c>
      <c r="L34" s="4">
        <f>F47</f>
        <v>147</v>
      </c>
    </row>
    <row r="35" spans="1:12" ht="18" x14ac:dyDescent="0.35">
      <c r="B35" s="89"/>
      <c r="C35" s="128"/>
      <c r="D35" s="128"/>
      <c r="E35" s="128"/>
      <c r="F35" s="128"/>
      <c r="G35" s="128"/>
      <c r="H35" s="1"/>
      <c r="J35" s="129"/>
      <c r="K35" s="130"/>
      <c r="L35" s="130"/>
    </row>
    <row r="36" spans="1:12" ht="15.6" x14ac:dyDescent="0.3">
      <c r="B36" s="89"/>
      <c r="C36" s="6"/>
      <c r="D36" s="6"/>
      <c r="E36" s="6"/>
      <c r="F36" s="6"/>
      <c r="G36" s="6"/>
      <c r="H36" s="1"/>
      <c r="J36" s="83"/>
      <c r="K36" s="2"/>
      <c r="L36" s="2"/>
    </row>
    <row r="37" spans="1:12" ht="16.2" thickBot="1" x14ac:dyDescent="0.35">
      <c r="B37" s="46"/>
      <c r="C37" s="6"/>
      <c r="D37" s="6"/>
      <c r="E37" s="6"/>
      <c r="F37" s="6"/>
      <c r="G37" s="6"/>
      <c r="H37" s="1"/>
      <c r="J37" s="2"/>
      <c r="K37" s="2"/>
      <c r="L37" s="2"/>
    </row>
    <row r="38" spans="1:12" ht="16.2" thickBot="1" x14ac:dyDescent="0.35">
      <c r="B38" s="46"/>
      <c r="C38" s="21" t="s">
        <v>107</v>
      </c>
      <c r="D38" s="22"/>
      <c r="E38" s="22"/>
      <c r="F38" s="22"/>
      <c r="G38" s="23"/>
      <c r="H38" s="1"/>
      <c r="J38" s="2"/>
      <c r="K38" s="2"/>
      <c r="L38" s="2"/>
    </row>
    <row r="39" spans="1:12" ht="10.5" customHeight="1" x14ac:dyDescent="0.3">
      <c r="B39" s="1"/>
      <c r="C39" s="1"/>
      <c r="D39" s="1"/>
      <c r="E39" s="1"/>
      <c r="F39" s="1"/>
      <c r="G39" s="1"/>
      <c r="H39" s="1"/>
    </row>
    <row r="40" spans="1:12" ht="15.6" x14ac:dyDescent="0.3">
      <c r="B40" s="46" t="s">
        <v>9</v>
      </c>
      <c r="C40" s="81" t="s">
        <v>10</v>
      </c>
      <c r="D40" s="81" t="s">
        <v>110</v>
      </c>
      <c r="E40" s="81" t="s">
        <v>7</v>
      </c>
      <c r="F40" s="81" t="s">
        <v>8</v>
      </c>
      <c r="G40" s="81" t="s">
        <v>23</v>
      </c>
      <c r="H40" s="1"/>
    </row>
    <row r="41" spans="1:12" ht="18" x14ac:dyDescent="0.35">
      <c r="A41" s="131">
        <v>1</v>
      </c>
      <c r="B41" s="127" t="s">
        <v>149</v>
      </c>
      <c r="C41" s="97">
        <f>'4637'!B22</f>
        <v>1</v>
      </c>
      <c r="D41" s="97" t="str">
        <f>'4637'!C22</f>
        <v>PR2</v>
      </c>
      <c r="E41" s="97">
        <f>'4637'!D22</f>
        <v>750</v>
      </c>
      <c r="F41" s="97">
        <f>'4637'!E22</f>
        <v>315</v>
      </c>
      <c r="G41" s="106" t="str">
        <f>G68</f>
        <v>VAINILLA 2109 BR</v>
      </c>
      <c r="H41" s="1"/>
    </row>
    <row r="42" spans="1:12" ht="18" x14ac:dyDescent="0.35">
      <c r="A42" s="131">
        <v>2</v>
      </c>
      <c r="B42" s="89"/>
      <c r="C42" s="97">
        <f>'4637'!B23</f>
        <v>1</v>
      </c>
      <c r="D42" s="97" t="str">
        <f>'4637'!C23</f>
        <v>PR2</v>
      </c>
      <c r="E42" s="97">
        <f>'4637'!D23</f>
        <v>750</v>
      </c>
      <c r="F42" s="97">
        <f>'4637'!E23</f>
        <v>453</v>
      </c>
      <c r="G42" s="106" t="str">
        <f>G69</f>
        <v>VAINILLA 2109 BR</v>
      </c>
      <c r="H42" s="1"/>
    </row>
    <row r="43" spans="1:12" ht="18" x14ac:dyDescent="0.35">
      <c r="A43" s="131">
        <v>3</v>
      </c>
      <c r="B43" s="89"/>
      <c r="C43" s="97">
        <f>'4637'!B24</f>
        <v>4</v>
      </c>
      <c r="D43" s="97" t="str">
        <f>'4637'!C24</f>
        <v>PR2</v>
      </c>
      <c r="E43" s="97">
        <f>'4637'!D24</f>
        <v>750</v>
      </c>
      <c r="F43" s="97">
        <f>'4637'!E24</f>
        <v>347</v>
      </c>
      <c r="G43" s="106" t="str">
        <f>G70</f>
        <v>VAINILLA 2109 BR</v>
      </c>
      <c r="H43" s="1"/>
    </row>
    <row r="44" spans="1:12" ht="18" x14ac:dyDescent="0.35">
      <c r="A44" s="131">
        <v>4</v>
      </c>
      <c r="B44" s="89"/>
      <c r="C44" s="97">
        <f>'4637'!B25</f>
        <v>3</v>
      </c>
      <c r="D44" s="97" t="str">
        <f>'4637'!C25</f>
        <v>PR2</v>
      </c>
      <c r="E44" s="97">
        <f>'4637'!D25</f>
        <v>750</v>
      </c>
      <c r="F44" s="97">
        <f>'4637'!E25</f>
        <v>647</v>
      </c>
      <c r="G44" s="106" t="str">
        <f>G71</f>
        <v>VAINILLA 2109 BR</v>
      </c>
      <c r="H44" s="1"/>
    </row>
    <row r="45" spans="1:12" ht="18" x14ac:dyDescent="0.35">
      <c r="A45" s="131">
        <v>5</v>
      </c>
      <c r="B45" s="89"/>
      <c r="C45" s="97">
        <f>'4637'!B26</f>
        <v>3</v>
      </c>
      <c r="D45" s="97" t="str">
        <f>'4637'!C26</f>
        <v>PR2</v>
      </c>
      <c r="E45" s="97">
        <f>'4637'!D26</f>
        <v>750</v>
      </c>
      <c r="F45" s="97">
        <f>'4637'!E26</f>
        <v>497</v>
      </c>
      <c r="G45" s="106" t="str">
        <f>G72</f>
        <v>VAINILLA 2109 BR</v>
      </c>
      <c r="H45" s="1"/>
    </row>
    <row r="46" spans="1:12" ht="18" x14ac:dyDescent="0.35">
      <c r="A46" s="131">
        <v>6</v>
      </c>
      <c r="B46" s="89"/>
      <c r="C46" s="97">
        <f>'4637'!B27</f>
        <v>1</v>
      </c>
      <c r="D46" s="97" t="str">
        <f>'4637'!C27</f>
        <v>PR2</v>
      </c>
      <c r="E46" s="97">
        <f>'4637'!D27</f>
        <v>750</v>
      </c>
      <c r="F46" s="97">
        <f>'4637'!E27</f>
        <v>297</v>
      </c>
      <c r="G46" s="106" t="str">
        <f>G73</f>
        <v>VAINILLA 2109 BR</v>
      </c>
      <c r="H46" s="1"/>
    </row>
    <row r="47" spans="1:12" ht="18" x14ac:dyDescent="0.35">
      <c r="A47" s="131">
        <v>7</v>
      </c>
      <c r="B47" s="89"/>
      <c r="C47" s="97">
        <f>'4637'!B28</f>
        <v>1</v>
      </c>
      <c r="D47" s="97" t="str">
        <f>'4637'!C28</f>
        <v>PR2</v>
      </c>
      <c r="E47" s="97">
        <f>'4637'!D28</f>
        <v>750</v>
      </c>
      <c r="F47" s="97">
        <f>'4637'!E28</f>
        <v>147</v>
      </c>
      <c r="G47" s="106" t="str">
        <f>G74</f>
        <v>VAINILLA 2109 BR</v>
      </c>
      <c r="H47" s="1"/>
    </row>
    <row r="48" spans="1:12" ht="15.6" x14ac:dyDescent="0.3">
      <c r="B48" s="89"/>
      <c r="C48" s="6">
        <f>SUM(C41:C47)</f>
        <v>14</v>
      </c>
      <c r="D48" s="6"/>
      <c r="E48" s="6"/>
      <c r="F48" s="6"/>
      <c r="G48" s="6"/>
      <c r="H48" s="1"/>
    </row>
    <row r="49" spans="2:8" ht="15.6" x14ac:dyDescent="0.3">
      <c r="B49" s="1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6"/>
      <c r="D52" s="6"/>
      <c r="E52" s="6"/>
      <c r="F52" s="6"/>
      <c r="G52" s="6"/>
      <c r="H52" s="1"/>
    </row>
    <row r="53" spans="2:8" ht="15.6" x14ac:dyDescent="0.3">
      <c r="B53" s="1"/>
      <c r="C53" s="6"/>
      <c r="D53" s="6"/>
      <c r="E53" s="6"/>
      <c r="F53" s="6"/>
      <c r="G53" s="6"/>
      <c r="H53" s="1"/>
    </row>
    <row r="54" spans="2:8" ht="15.6" x14ac:dyDescent="0.3">
      <c r="B54" s="1"/>
      <c r="C54" s="6"/>
      <c r="D54" s="6"/>
      <c r="E54" s="6"/>
      <c r="F54" s="6"/>
      <c r="G54" s="6"/>
      <c r="H54" s="1"/>
    </row>
    <row r="55" spans="2:8" ht="15.6" x14ac:dyDescent="0.3">
      <c r="B55" s="1"/>
      <c r="C55" s="6"/>
      <c r="D55" s="6"/>
      <c r="E55" s="6"/>
      <c r="F55" s="6"/>
      <c r="G55" s="6"/>
      <c r="H55" s="1"/>
    </row>
    <row r="56" spans="2:8" ht="15.6" x14ac:dyDescent="0.3">
      <c r="B56" s="1"/>
      <c r="C56" s="6"/>
      <c r="D56" s="6"/>
      <c r="E56" s="6"/>
      <c r="F56" s="6"/>
      <c r="G56" s="6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35" t="s">
        <v>27</v>
      </c>
      <c r="E58" s="14">
        <f>'4637'!G8</f>
        <v>7096</v>
      </c>
      <c r="F58" s="1"/>
      <c r="G58" s="1"/>
      <c r="H58" s="1"/>
    </row>
    <row r="59" spans="2:8" ht="17.25" customHeight="1" x14ac:dyDescent="0.3">
      <c r="B59" s="1"/>
      <c r="C59" s="1"/>
      <c r="D59" s="36" t="s">
        <v>67</v>
      </c>
      <c r="E59" s="37" t="str">
        <f>'4637'!C10</f>
        <v>MUEBLES MORENOS SPA</v>
      </c>
      <c r="F59" s="38"/>
      <c r="G59" s="38"/>
      <c r="H59" s="1"/>
    </row>
    <row r="60" spans="2:8" ht="4.5" customHeight="1" x14ac:dyDescent="0.3">
      <c r="B60" s="1"/>
      <c r="C60" s="1"/>
      <c r="D60" s="39"/>
      <c r="E60" s="40"/>
      <c r="F60" s="1"/>
      <c r="G60" s="1"/>
      <c r="H60" s="1"/>
    </row>
    <row r="61" spans="2:8" ht="15.6" x14ac:dyDescent="0.3">
      <c r="B61" s="1"/>
      <c r="C61" s="1"/>
      <c r="D61" s="41" t="str">
        <f>'4637'!F11</f>
        <v>FECHA LIMITE :</v>
      </c>
      <c r="E61" s="13">
        <f>'4637'!G11</f>
        <v>45506</v>
      </c>
      <c r="F61" s="1"/>
      <c r="G61" s="1" t="s">
        <v>134</v>
      </c>
      <c r="H61" s="1"/>
    </row>
    <row r="62" spans="2:8" ht="15.6" x14ac:dyDescent="0.3">
      <c r="B62" s="1"/>
      <c r="C62" s="1"/>
      <c r="D62" s="1"/>
      <c r="E62" s="1"/>
      <c r="F62" s="1"/>
      <c r="G62" s="1"/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ht="15.6" x14ac:dyDescent="0.3">
      <c r="B64" s="117" t="s">
        <v>68</v>
      </c>
      <c r="C64" s="117"/>
      <c r="D64" s="117"/>
      <c r="E64" s="117"/>
      <c r="F64" s="117"/>
      <c r="G64" s="117"/>
      <c r="H64" s="1"/>
    </row>
    <row r="65" spans="2:8" ht="15.6" x14ac:dyDescent="0.3">
      <c r="B65" s="1"/>
      <c r="C65" s="1"/>
      <c r="D65" s="1"/>
      <c r="E65" s="1"/>
      <c r="F65" s="1"/>
      <c r="G65" s="1"/>
      <c r="H65" s="1"/>
    </row>
    <row r="66" spans="2:8" ht="15.75" customHeight="1" x14ac:dyDescent="0.3">
      <c r="B66" s="1"/>
      <c r="C66" s="118" t="s">
        <v>69</v>
      </c>
      <c r="D66" s="119"/>
      <c r="E66" s="120"/>
      <c r="F66" s="120"/>
      <c r="G66" s="121"/>
      <c r="H66" s="1"/>
    </row>
    <row r="67" spans="2:8" s="15" customFormat="1" ht="12.75" customHeight="1" x14ac:dyDescent="0.3">
      <c r="B67" s="1"/>
      <c r="C67" s="33" t="s">
        <v>10</v>
      </c>
      <c r="D67" s="42" t="s">
        <v>11</v>
      </c>
      <c r="E67" s="43" t="s">
        <v>7</v>
      </c>
      <c r="F67" s="43" t="s">
        <v>8</v>
      </c>
      <c r="G67" s="105" t="s">
        <v>12</v>
      </c>
      <c r="H67" s="1"/>
    </row>
    <row r="68" spans="2:8" s="15" customFormat="1" ht="15" customHeight="1" x14ac:dyDescent="0.35">
      <c r="B68" s="127" t="s">
        <v>149</v>
      </c>
      <c r="C68" s="95">
        <f>'4637'!B22</f>
        <v>1</v>
      </c>
      <c r="D68" s="96" t="str">
        <f>'4637'!C22</f>
        <v>PR2</v>
      </c>
      <c r="E68" s="96">
        <f>'4637'!D22</f>
        <v>750</v>
      </c>
      <c r="F68" s="104">
        <f>'4637'!E22</f>
        <v>315</v>
      </c>
      <c r="G68" s="107" t="str">
        <f>'4637'!F22</f>
        <v>VAINILLA 2109 BR</v>
      </c>
      <c r="H68" s="1"/>
    </row>
    <row r="69" spans="2:8" s="15" customFormat="1" ht="15" customHeight="1" x14ac:dyDescent="0.35">
      <c r="B69" s="89"/>
      <c r="C69" s="95">
        <f>'4637'!B23</f>
        <v>1</v>
      </c>
      <c r="D69" s="96" t="str">
        <f>'4637'!C23</f>
        <v>PR2</v>
      </c>
      <c r="E69" s="96">
        <f>'4637'!D23</f>
        <v>750</v>
      </c>
      <c r="F69" s="104">
        <f>'4637'!E23</f>
        <v>453</v>
      </c>
      <c r="G69" s="107" t="str">
        <f>'4637'!F23</f>
        <v>VAINILLA 2109 BR</v>
      </c>
      <c r="H69" s="1"/>
    </row>
    <row r="70" spans="2:8" s="15" customFormat="1" ht="15" customHeight="1" x14ac:dyDescent="0.35">
      <c r="B70" s="89"/>
      <c r="C70" s="95">
        <f>'4637'!B24</f>
        <v>4</v>
      </c>
      <c r="D70" s="96" t="str">
        <f>'4637'!C24</f>
        <v>PR2</v>
      </c>
      <c r="E70" s="96">
        <f>'4637'!D24</f>
        <v>750</v>
      </c>
      <c r="F70" s="104">
        <f>'4637'!E24</f>
        <v>347</v>
      </c>
      <c r="G70" s="107" t="str">
        <f>'4637'!F24</f>
        <v>VAINILLA 2109 BR</v>
      </c>
      <c r="H70" s="1"/>
    </row>
    <row r="71" spans="2:8" s="15" customFormat="1" ht="15" customHeight="1" x14ac:dyDescent="0.35">
      <c r="B71" s="89"/>
      <c r="C71" s="95">
        <f>'4637'!B25</f>
        <v>3</v>
      </c>
      <c r="D71" s="96" t="str">
        <f>'4637'!C25</f>
        <v>PR2</v>
      </c>
      <c r="E71" s="96">
        <f>'4637'!D25</f>
        <v>750</v>
      </c>
      <c r="F71" s="104">
        <f>'4637'!E25</f>
        <v>647</v>
      </c>
      <c r="G71" s="107" t="str">
        <f>'4637'!F25</f>
        <v>VAINILLA 2109 BR</v>
      </c>
      <c r="H71" s="1"/>
    </row>
    <row r="72" spans="2:8" s="15" customFormat="1" ht="15" customHeight="1" x14ac:dyDescent="0.35">
      <c r="B72" s="89"/>
      <c r="C72" s="95">
        <f>'4637'!B26</f>
        <v>3</v>
      </c>
      <c r="D72" s="96" t="str">
        <f>'4637'!C26</f>
        <v>PR2</v>
      </c>
      <c r="E72" s="96">
        <f>'4637'!D26</f>
        <v>750</v>
      </c>
      <c r="F72" s="104">
        <f>'4637'!E26</f>
        <v>497</v>
      </c>
      <c r="G72" s="107" t="str">
        <f>'4637'!F26</f>
        <v>VAINILLA 2109 BR</v>
      </c>
      <c r="H72" s="1"/>
    </row>
    <row r="73" spans="2:8" s="15" customFormat="1" ht="15" customHeight="1" x14ac:dyDescent="0.35">
      <c r="B73" s="89"/>
      <c r="C73" s="95">
        <f>'4637'!B27</f>
        <v>1</v>
      </c>
      <c r="D73" s="96" t="str">
        <f>'4637'!C27</f>
        <v>PR2</v>
      </c>
      <c r="E73" s="96">
        <f>'4637'!D27</f>
        <v>750</v>
      </c>
      <c r="F73" s="104">
        <f>'4637'!E27</f>
        <v>297</v>
      </c>
      <c r="G73" s="107" t="str">
        <f>'4637'!F27</f>
        <v>VAINILLA 2109 BR</v>
      </c>
      <c r="H73" s="1"/>
    </row>
    <row r="74" spans="2:8" s="15" customFormat="1" ht="15" customHeight="1" x14ac:dyDescent="0.35">
      <c r="B74" s="89"/>
      <c r="C74" s="95">
        <f>'4637'!B28</f>
        <v>1</v>
      </c>
      <c r="D74" s="96" t="str">
        <f>'4637'!C28</f>
        <v>PR2</v>
      </c>
      <c r="E74" s="96">
        <f>'4637'!D28</f>
        <v>750</v>
      </c>
      <c r="F74" s="104">
        <f>'4637'!E28</f>
        <v>147</v>
      </c>
      <c r="G74" s="107" t="str">
        <f>'4637'!F28</f>
        <v>VAINILLA 2109 BR</v>
      </c>
      <c r="H74" s="1"/>
    </row>
    <row r="75" spans="2:8" s="15" customFormat="1" ht="15" customHeight="1" x14ac:dyDescent="0.35">
      <c r="B75" s="89"/>
      <c r="C75" s="125">
        <f>SUM(C68:C74)</f>
        <v>14</v>
      </c>
      <c r="D75" s="125"/>
      <c r="E75" s="125"/>
      <c r="F75" s="125"/>
      <c r="G75" s="126"/>
      <c r="H75" s="1"/>
    </row>
    <row r="76" spans="2:8" s="15" customFormat="1" ht="15" customHeight="1" x14ac:dyDescent="0.3">
      <c r="B76" s="44"/>
      <c r="C76" s="46"/>
      <c r="D76" s="46"/>
      <c r="E76" s="46"/>
      <c r="F76" s="46"/>
      <c r="G76" s="46"/>
      <c r="H76" s="1"/>
    </row>
    <row r="77" spans="2:8" ht="15.6" x14ac:dyDescent="0.3">
      <c r="B77" s="6"/>
      <c r="C77" s="6"/>
      <c r="D77" s="1"/>
      <c r="E77" s="6"/>
      <c r="F77" s="6"/>
      <c r="G77" s="39"/>
      <c r="H77" s="1"/>
    </row>
    <row r="78" spans="2:8" ht="15.6" x14ac:dyDescent="0.3">
      <c r="B78" s="6"/>
      <c r="C78" s="6"/>
      <c r="D78" s="1"/>
      <c r="E78" s="6"/>
      <c r="F78" s="6"/>
      <c r="G78" s="6"/>
      <c r="H78" s="1"/>
    </row>
    <row r="79" spans="2:8" ht="15.6" x14ac:dyDescent="0.3">
      <c r="B79" s="1"/>
      <c r="C79" s="1"/>
      <c r="D79" s="1"/>
      <c r="E79" s="1"/>
      <c r="F79" s="1"/>
      <c r="G79" s="1"/>
      <c r="H79" s="1"/>
    </row>
    <row r="80" spans="2:8" ht="15.6" x14ac:dyDescent="0.3">
      <c r="B80" s="1"/>
      <c r="C80" s="1"/>
      <c r="D80" s="1"/>
      <c r="E80" s="1"/>
      <c r="F80" s="1"/>
      <c r="G80" s="1"/>
      <c r="H80" s="1"/>
    </row>
    <row r="81" spans="2:8" ht="15.6" x14ac:dyDescent="0.3">
      <c r="B81" s="1"/>
      <c r="C81" s="1"/>
      <c r="D81" s="1"/>
      <c r="E81" s="1"/>
      <c r="F81" s="1"/>
      <c r="G81" s="1"/>
      <c r="H81" s="1"/>
    </row>
    <row r="82" spans="2:8" ht="15" customHeight="1" x14ac:dyDescent="0.3">
      <c r="B82" s="1"/>
      <c r="C82" s="1"/>
      <c r="D82" s="1"/>
      <c r="E82" s="1"/>
      <c r="F82" s="1"/>
      <c r="G82" s="1"/>
      <c r="H82" s="1"/>
    </row>
    <row r="83" spans="2:8" ht="15.6" x14ac:dyDescent="0.3">
      <c r="B83" s="1"/>
      <c r="C83" s="1"/>
      <c r="D83" s="1"/>
      <c r="E83" s="1"/>
      <c r="F83" s="1"/>
      <c r="G83" s="1"/>
      <c r="H83" s="1"/>
    </row>
    <row r="84" spans="2:8" ht="15.6" x14ac:dyDescent="0.3">
      <c r="B84" s="6"/>
      <c r="C84" s="45"/>
      <c r="D84" s="1"/>
      <c r="E84" s="1"/>
      <c r="F84" s="1"/>
      <c r="G84" s="1"/>
      <c r="H84" s="1"/>
    </row>
    <row r="85" spans="2:8" ht="15.6" x14ac:dyDescent="0.3">
      <c r="B85" s="1"/>
      <c r="C85" s="1"/>
      <c r="D85" s="1"/>
      <c r="E85" s="1"/>
      <c r="F85" s="1"/>
      <c r="G85" s="1"/>
      <c r="H85" s="1"/>
    </row>
    <row r="86" spans="2:8" x14ac:dyDescent="0.3">
      <c r="C86" s="19"/>
      <c r="D86" s="19"/>
      <c r="E86" s="19"/>
      <c r="F86" s="19"/>
      <c r="G86" s="19"/>
    </row>
    <row r="87" spans="2:8" x14ac:dyDescent="0.3">
      <c r="C87" s="19"/>
      <c r="D87" s="19"/>
      <c r="F87" s="19"/>
      <c r="G87" s="19"/>
    </row>
  </sheetData>
  <mergeCells count="6">
    <mergeCell ref="N3:O3"/>
    <mergeCell ref="B24:G24"/>
    <mergeCell ref="B10:G10"/>
    <mergeCell ref="B64:G64"/>
    <mergeCell ref="C66:G66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2024-07-29T16:58:03Z</cp:lastPrinted>
  <dcterms:created xsi:type="dcterms:W3CDTF">2013-03-19T12:54:14Z</dcterms:created>
  <dcterms:modified xsi:type="dcterms:W3CDTF">2024-07-29T16:58:39Z</dcterms:modified>
</cp:coreProperties>
</file>