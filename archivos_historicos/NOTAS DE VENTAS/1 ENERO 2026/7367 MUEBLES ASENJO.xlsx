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6\"/>
    </mc:Choice>
  </mc:AlternateContent>
  <xr:revisionPtr revIDLastSave="0" documentId="13_ncr:1_{BAD8245B-C6FE-45BA-982F-56FC243A9B1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H22" i="4"/>
  <c r="H21" i="4"/>
  <c r="B29" i="3" l="1"/>
  <c r="I22" i="3" s="1"/>
  <c r="I14" i="3" s="1"/>
  <c r="B14" i="3" s="1"/>
  <c r="C29" i="3"/>
  <c r="F14" i="3" s="1"/>
  <c r="D29" i="3"/>
  <c r="J22" i="3" s="1"/>
  <c r="E29" i="3"/>
  <c r="F29" i="3"/>
  <c r="B51" i="3"/>
  <c r="C51" i="3"/>
  <c r="D51" i="3"/>
  <c r="E51" i="3"/>
  <c r="F51" i="3"/>
  <c r="H25" i="4"/>
  <c r="K22" i="3" l="1"/>
  <c r="K14" i="3" s="1"/>
  <c r="E14" i="3" s="1"/>
  <c r="D22" i="3"/>
  <c r="J14" i="3"/>
  <c r="D14" i="3" s="1"/>
  <c r="B22" i="3"/>
  <c r="F22" i="3"/>
  <c r="E22" i="3" l="1"/>
  <c r="H26" i="4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<sst xmlns="http://schemas.openxmlformats.org/spreadsheetml/2006/main" count="249" uniqueCount="144">
  <si>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</si>
  <si>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</si>
  <si>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</si>
  <si>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</si>
  <si>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</si>
  <si>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</si>
  <si>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</si>
  <si>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</si>
  <si>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</si>
  <si>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</si>
  <si>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</si>
  <si>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</si>
  <si>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</si>
  <si>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</si>
  <si>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</si>
  <si>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</si>
  <si>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</si>
  <si>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</si>
  <si>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</si>
  <si>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</si>
  <si>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</si>
  <si>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</si>
  <si>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</si>
  <si>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</si>
  <si>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</si>
  <si>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</si>
  <si>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</si>
  <si>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</si>
  <si>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</si>
  <si>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</si>
  <si>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</si>
  <si>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</si>
  <si>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</si>
  <si>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</si>
  <si>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</si>
  <si>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</si>
  <si>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</si>
  <si>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</si>
  <si>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</si>
  <si>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</si>
  <si>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</si>
  <si>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</si>
  <si>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</si>
  <si>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</si>
  <si>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</si>
  <si>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</si>
  <si>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</si>
  <si>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</si>
  <si>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</si>
  <si>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</si>
  <si>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</si>
  <si>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</si>
  <si>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</si>
  <si>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</si>
  <si>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</si>
  <si>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</si>
  <si>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</si>
  <si>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</si>
  <si>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</si>
  <si>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</si>
  <si>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</si>
  <si>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</si>
  <si>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</si>
  <si>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</si>
  <si>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</si>
  <si>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</si>
  <si>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</si>
  <si>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</si>
  <si>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</si>
  <si>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</si>
  <si>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</si>
  <si>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</si>
  <si>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</si>
  <si>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</si>
  <si>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</si>
  <si>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</si>
  <si>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</si>
  <si>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</si>
  <si>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</si>
  <si>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</si>
  <si>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</si>
  <si>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</si>
  <si>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</si>
  <si>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</si>
  <si>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</si>
  <si>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</si>
  <si>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</si>
  <si>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</si>
  <si>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</si>
  <si>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</si>
  <si>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</si>
  <si>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</si>
  <si>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</si>
  <si>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</si>
  <si>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</si>
  <si>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</si>
  <si>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</si>
  <si>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</si>
  <si>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</si>
  <si>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</si>
  <si>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</si>
  <si>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</si>
  <si>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</si>
  <si>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</si>
  <si>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</si>
  <si>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</si>
  <si>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</si>
  <si>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</si>
  <si>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</si>
  <si>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</si>
  <si>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</si>
  <si>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</si>
  <si>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</si>
  <si>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</si>
  <si>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</si>
  <si>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</si>
  <si>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</si>
  <si>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</si>
  <si>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</si>
  <si>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</si>
  <si>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</si>
  <si>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</si>
  <si>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</si>
  <si>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</si>
  <si>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</si>
  <si>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</si>
  <si>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</si>
  <si>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</si>
  <si>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</si>
  <si>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</si>
  <si>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</si>
  <si>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</si>
  <si>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</si>
  <si>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</si>
  <si>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</si>
  <si>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</si>
  <si>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</si>
  <si>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</si>
  <si>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</si>
  <si>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</si>
  <si>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</si>
  <si>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90° R8</t>
  </si>
  <si>
    <t>N° 11843</t>
  </si>
  <si>
    <t>ROBE GRANITE 42007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</si>
</sst>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565543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7367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46045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23831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141</v>
      </c>
      <c r="D21" s="107">
        <v>2000</v>
      </c>
      <c r="E21" s="107">
        <v>600</v>
      </c>
      <c r="F21" s="105" t="s">
        <v>143</v>
      </c>
      <c r="G21" s="106">
        <v>84927</v>
      </c>
      <c r="H21" s="106">
        <f t="shared" ref="H21" si="0">G21*B21</f>
        <v>84927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5">
        <v>1</v>
      </c>
      <c r="C22" s="105" t="s">
        <v>141</v>
      </c>
      <c r="D22" s="107">
        <v>1300</v>
      </c>
      <c r="E22" s="107">
        <v>600</v>
      </c>
      <c r="F22" s="105" t="s">
        <v>143</v>
      </c>
      <c r="G22" s="106">
        <v>56348</v>
      </c>
      <c r="H22" s="106">
        <f t="shared" ref="H22" si="1">G22*B22</f>
        <v>56348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6"/>
      <c r="C23" s="96"/>
      <c r="D23" s="96"/>
      <c r="E23" s="96"/>
      <c r="F23" s="97"/>
      <c r="G23" s="98"/>
      <c r="H23" s="98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141275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26842.25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168117.25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9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abSelected="1" zoomScaleNormal="100" workbookViewId="0">
      <selection activeCell="H20" sqref="H20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7367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1</v>
      </c>
      <c r="C14" s="25"/>
      <c r="D14" s="25">
        <f>J14+80</f>
        <v>2080</v>
      </c>
      <c r="E14" s="35">
        <f>K14+E$13</f>
        <v>570</v>
      </c>
      <c r="F14" s="102" t="str">
        <f>C29</f>
        <v>CUB C/R 90° R8</v>
      </c>
      <c r="G14" s="1"/>
      <c r="I14" s="89">
        <f>I22</f>
        <v>1</v>
      </c>
      <c r="J14" s="4">
        <f>J22</f>
        <v>2000</v>
      </c>
      <c r="K14" s="4">
        <f>K22</f>
        <v>600</v>
      </c>
    </row>
    <row r="15" spans="1:14" ht="15.6" x14ac:dyDescent="0.3">
      <c r="A15" s="95"/>
      <c r="B15" s="25">
        <f t="shared" ref="B15" si="1">I15</f>
        <v>1</v>
      </c>
      <c r="C15" s="25"/>
      <c r="D15" s="25">
        <f>J15+80</f>
        <v>1380</v>
      </c>
      <c r="E15" s="35">
        <f>K15+E$13</f>
        <v>570</v>
      </c>
      <c r="F15" s="102" t="str">
        <f>C30</f>
        <v>CUB C/R 90° R8</v>
      </c>
      <c r="G15" s="1"/>
      <c r="I15" s="89">
        <f>I23</f>
        <v>1</v>
      </c>
      <c r="J15" s="4">
        <f>J23</f>
        <v>1300</v>
      </c>
      <c r="K15" s="4">
        <f>K23</f>
        <v>600</v>
      </c>
    </row>
    <row r="16" spans="1:14" ht="15.6" x14ac:dyDescent="0.3">
      <c r="A16" s="52"/>
      <c r="B16" s="6"/>
      <c r="C16" s="6"/>
      <c r="D16" s="6"/>
      <c r="E16" s="10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9" t="s">
        <v>14</v>
      </c>
      <c r="B18" s="119"/>
      <c r="C18" s="119"/>
      <c r="D18" s="119"/>
      <c r="E18" s="119"/>
      <c r="F18" s="11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2">I22</f>
        <v>1</v>
      </c>
      <c r="C22" s="16"/>
      <c r="D22" s="16">
        <f>J22+D$21</f>
        <v>2040</v>
      </c>
      <c r="E22" s="16">
        <f>K22+E$21</f>
        <v>730</v>
      </c>
      <c r="F22" s="103" t="str">
        <f>C29</f>
        <v>CUB C/R 90° R8</v>
      </c>
      <c r="G22" s="1"/>
      <c r="I22" s="3">
        <f>B29</f>
        <v>1</v>
      </c>
      <c r="J22" s="4">
        <f>D29</f>
        <v>2000</v>
      </c>
      <c r="K22" s="4">
        <f t="shared" ref="K22" si="3">E29</f>
        <v>600</v>
      </c>
    </row>
    <row r="23" spans="1:11" ht="15.6" x14ac:dyDescent="0.3">
      <c r="A23" s="95"/>
      <c r="B23" s="16">
        <f t="shared" ref="B23" si="4">I23</f>
        <v>1</v>
      </c>
      <c r="C23" s="16"/>
      <c r="D23" s="16">
        <f>J23+D$21</f>
        <v>1340</v>
      </c>
      <c r="E23" s="16">
        <f>K23+E$21</f>
        <v>730</v>
      </c>
      <c r="F23" s="103" t="str">
        <f>C30</f>
        <v>CUB C/R 90° R8</v>
      </c>
      <c r="G23" s="1"/>
      <c r="I23" s="3">
        <f>B30</f>
        <v>1</v>
      </c>
      <c r="J23" s="4">
        <f>D30</f>
        <v>1300</v>
      </c>
      <c r="K23" s="4">
        <f t="shared" ref="K23" si="5">E30</f>
        <v>600</v>
      </c>
    </row>
    <row r="24" spans="1:11" ht="15.6" x14ac:dyDescent="0.3">
      <c r="A24" s="95"/>
      <c r="B24" s="124"/>
      <c r="C24" s="124"/>
      <c r="D24" s="124"/>
      <c r="E24" s="124"/>
      <c r="F24" s="125"/>
      <c r="G24" s="1"/>
      <c r="I24" s="126"/>
      <c r="J24" s="127"/>
      <c r="K24" s="127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5" t="s">
        <v>140</v>
      </c>
      <c r="B29" s="25">
        <f>'4637'!B21</f>
        <v>1</v>
      </c>
      <c r="C29" s="102" t="str">
        <f>'4637'!C21</f>
        <v>CUB C/R 90° R8</v>
      </c>
      <c r="D29" s="25">
        <f>'4637'!D21</f>
        <v>2000</v>
      </c>
      <c r="E29" s="25">
        <f>'4637'!E21</f>
        <v>600</v>
      </c>
      <c r="F29" s="25" t="str">
        <f>'4637'!F21</f>
        <v>ROBE GRANITE 42007 GL</v>
      </c>
      <c r="G29" s="1"/>
    </row>
    <row r="30" spans="1:11" ht="15.6" x14ac:dyDescent="0.3">
      <c r="A30" s="95"/>
      <c r="B30" s="25">
        <f>'4637'!B22</f>
        <v>1</v>
      </c>
      <c r="C30" s="102" t="str">
        <f>'4637'!C22</f>
        <v>CUB C/R 90° R8</v>
      </c>
      <c r="D30" s="25">
        <f>'4637'!D22</f>
        <v>1300</v>
      </c>
      <c r="E30" s="25">
        <f>'4637'!E22</f>
        <v>600</v>
      </c>
      <c r="F30" s="25" t="str">
        <f>'4637'!F22</f>
        <v>ROBE GRANITE 42007 GL</v>
      </c>
      <c r="G30" s="1"/>
    </row>
    <row r="31" spans="1:11" ht="15.6" x14ac:dyDescent="0.3">
      <c r="A31" s="95"/>
      <c r="B31" s="6"/>
      <c r="C31" s="110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7367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9" t="s">
        <v>68</v>
      </c>
      <c r="B47" s="119"/>
      <c r="C47" s="119"/>
      <c r="D47" s="119"/>
      <c r="E47" s="119"/>
      <c r="F47" s="119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0" t="s">
        <v>69</v>
      </c>
      <c r="C49" s="121"/>
      <c r="D49" s="122"/>
      <c r="E49" s="122"/>
      <c r="F49" s="123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5" t="s">
        <v>140</v>
      </c>
      <c r="B51" s="38">
        <f>'4637'!B21</f>
        <v>1</v>
      </c>
      <c r="C51" s="101" t="str">
        <f>'4637'!C21</f>
        <v>CUB C/R 90° R8</v>
      </c>
      <c r="D51" s="39">
        <f>'4637'!D21</f>
        <v>2000</v>
      </c>
      <c r="E51" s="39">
        <f>'4637'!E21</f>
        <v>600</v>
      </c>
      <c r="F51" s="38" t="str">
        <f>'4637'!F21</f>
        <v>ROBE GRANITE 42007 GL</v>
      </c>
      <c r="G51" s="1"/>
    </row>
    <row r="52" spans="1:7" s="15" customFormat="1" ht="15" customHeight="1" x14ac:dyDescent="0.3">
      <c r="A52" s="95"/>
      <c r="B52" s="38">
        <f>'4637'!B22</f>
        <v>1</v>
      </c>
      <c r="C52" s="101" t="str">
        <f>'4637'!C22</f>
        <v>CUB C/R 90° R8</v>
      </c>
      <c r="D52" s="39">
        <f>'4637'!D22</f>
        <v>1300</v>
      </c>
      <c r="E52" s="39">
        <f>'4637'!E22</f>
        <v>600</v>
      </c>
      <c r="F52" s="38" t="str">
        <f>'4637'!F22</f>
        <v>ROBE GRANITE 42007 GL</v>
      </c>
      <c r="G52" s="1"/>
    </row>
    <row r="53" spans="1:7" s="15" customFormat="1" ht="15" customHeight="1" x14ac:dyDescent="0.3">
      <c r="B53" s="52"/>
      <c r="C53" s="109"/>
      <c r="D53" s="52"/>
      <c r="E53" s="52"/>
      <c r="F53" s="52"/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2025-12-05T12:21:12Z</cp:lastPrinted>
  <dcterms:created xsi:type="dcterms:W3CDTF">2013-03-19T12:54:14Z</dcterms:created>
  <dcterms:modified xsi:type="dcterms:W3CDTF">2026-01-23T13:29:42Z</dcterms:modified>
</cp:coreProperties>
</file>