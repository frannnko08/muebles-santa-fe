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6\"/>
    </mc:Choice>
  </mc:AlternateContent>
  <xr:revisionPtr revIDLastSave="0" documentId="13_ncr:1_{CC6DA0D1-D765-4268-A477-0E3E7F2B8D2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6" i="3" l="1"/>
  <c r="I21" i="3" s="1"/>
  <c r="I14" i="3" s="1"/>
  <c r="B14" i="3" s="1"/>
  <c r="C26" i="3"/>
  <c r="F14" i="3" s="1"/>
  <c r="D26" i="3"/>
  <c r="J21" i="3" s="1"/>
  <c r="E26" i="3"/>
  <c r="F26" i="3"/>
  <c r="B47" i="3"/>
  <c r="C47" i="3"/>
  <c r="D47" i="3"/>
  <c r="E47" i="3"/>
  <c r="F47" i="3"/>
  <c r="H24" i="4"/>
  <c r="K21" i="3" l="1"/>
  <c r="K14" i="3" s="1"/>
  <c r="E14" i="3" s="1"/>
  <c r="D21" i="3"/>
  <c r="J14" i="3"/>
  <c r="D14" i="3" s="1"/>
  <c r="B21" i="3"/>
  <c r="F21" i="3"/>
  <c r="E21" i="3" l="1"/>
  <c r="H25" i="4"/>
  <c r="H26" i="4" l="1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<sst xmlns="http://schemas.openxmlformats.org/spreadsheetml/2006/main" count="247" uniqueCount="144">
  <si>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</si>
  <si>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</si>
  <si>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</si>
  <si>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</si>
  <si>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</si>
  <si>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</si>
  <si>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</si>
  <si>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</si>
  <si>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</si>
  <si>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</si>
  <si>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</si>
  <si>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</si>
  <si>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</si>
  <si>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</si>
  <si>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</si>
  <si>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</si>
  <si>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</si>
  <si>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</si>
  <si>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</si>
  <si>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</si>
  <si>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</si>
  <si>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</si>
  <si>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</si>
  <si>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</si>
  <si>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</si>
  <si>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</si>
  <si>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</si>
  <si>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</si>
  <si>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</si>
  <si>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</si>
  <si>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</si>
  <si>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</si>
  <si>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</si>
  <si>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</si>
  <si>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</si>
  <si>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</si>
  <si>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</si>
  <si>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</si>
  <si>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</si>
  <si>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</si>
  <si>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</si>
  <si>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</si>
  <si>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</si>
  <si>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</si>
  <si>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</si>
  <si>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</si>
  <si>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</si>
  <si>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</si>
  <si>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</si>
  <si>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</si>
  <si>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</si>
  <si>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</si>
  <si>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</si>
  <si>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</si>
  <si>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</si>
  <si>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</si>
  <si>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</si>
  <si>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</si>
  <si>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</si>
  <si>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</si>
  <si>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</si>
  <si>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</si>
  <si>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</si>
  <si>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</si>
  <si>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</si>
  <si>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</si>
  <si>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</si>
  <si>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</si>
  <si>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</si>
  <si>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</si>
  <si>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</si>
  <si>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</si>
  <si>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</si>
  <si>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</si>
  <si>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</si>
  <si>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</si>
  <si>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</si>
  <si>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</si>
  <si>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</si>
  <si>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</si>
  <si>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</si>
  <si>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</si>
  <si>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</si>
  <si>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</si>
  <si>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</si>
  <si>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</si>
  <si>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</si>
  <si>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</si>
  <si>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</si>
  <si>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</si>
  <si>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</si>
  <si>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</si>
  <si>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</si>
  <si>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</si>
  <si>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</si>
  <si>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</si>
  <si>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</si>
  <si>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</si>
  <si>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</si>
  <si>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</si>
  <si>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</si>
  <si>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</si>
  <si>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</si>
  <si>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</si>
  <si>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</si>
  <si>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</si>
  <si>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</si>
  <si>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</si>
  <si>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</si>
  <si>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</si>
  <si>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</si>
  <si>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</si>
  <si>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</si>
  <si>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</si>
  <si>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</si>
  <si>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</si>
  <si>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</si>
  <si>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</si>
  <si>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</si>
  <si>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</si>
  <si>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</si>
  <si>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</si>
  <si>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</si>
  <si>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</si>
  <si>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</si>
  <si>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</si>
  <si>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</si>
  <si>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</si>
  <si>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</si>
  <si>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</si>
  <si>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</si>
  <si>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</si>
  <si>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</si>
  <si>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</si>
  <si>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</si>
  <si>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</si>
  <si>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</si>
  <si>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</si>
  <si>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</si>
  <si>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</si>
  <si>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</si>
  <si>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</si>
  <si>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N° 11787</t>
  </si>
  <si>
    <t>SHELL WHITE 20011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</si>
</sst>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565543</xdr:colOff>
      <xdr:row>41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7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7365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45993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23667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141</v>
      </c>
      <c r="D21" s="107">
        <v>1810</v>
      </c>
      <c r="E21" s="107">
        <v>600</v>
      </c>
      <c r="F21" s="105" t="s">
        <v>143</v>
      </c>
      <c r="G21" s="106">
        <v>61386</v>
      </c>
      <c r="H21" s="106">
        <f t="shared" ref="H21" si="0">G21*B21</f>
        <v>61386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61386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11663.34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73049.34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zoomScaleNormal="100" workbookViewId="0">
      <selection activeCell="A61" sqref="A61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7365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1</v>
      </c>
      <c r="C14" s="25"/>
      <c r="D14" s="25">
        <f>J14+80</f>
        <v>1890</v>
      </c>
      <c r="E14" s="35">
        <f>K14+E$13</f>
        <v>570</v>
      </c>
      <c r="F14" s="102" t="str">
        <f>C26</f>
        <v>CUB C/R 90° R8</v>
      </c>
      <c r="G14" s="1"/>
      <c r="I14" s="89">
        <f>I21</f>
        <v>1</v>
      </c>
      <c r="J14" s="4">
        <f>J21</f>
        <v>1810</v>
      </c>
      <c r="K14" s="4">
        <f>K21</f>
        <v>600</v>
      </c>
    </row>
    <row r="15" spans="1:14" ht="15.6" x14ac:dyDescent="0.3">
      <c r="A15" s="52"/>
      <c r="B15" s="6"/>
      <c r="C15" s="6"/>
      <c r="D15" s="6"/>
      <c r="E15" s="108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1</v>
      </c>
      <c r="C21" s="16"/>
      <c r="D21" s="16">
        <f>J21+D$20</f>
        <v>1850</v>
      </c>
      <c r="E21" s="16">
        <f>K21+E$20</f>
        <v>730</v>
      </c>
      <c r="F21" s="103" t="str">
        <f>C26</f>
        <v>CUB C/R 90° R8</v>
      </c>
      <c r="G21" s="1"/>
      <c r="I21" s="3">
        <f>B26</f>
        <v>1</v>
      </c>
      <c r="J21" s="4">
        <f>D26</f>
        <v>1810</v>
      </c>
      <c r="K21" s="4">
        <f t="shared" ref="K21" si="2">E26</f>
        <v>600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110</v>
      </c>
      <c r="D25" s="88" t="s">
        <v>7</v>
      </c>
      <c r="E25" s="88" t="s">
        <v>8</v>
      </c>
      <c r="F25" s="88" t="s">
        <v>23</v>
      </c>
      <c r="G25" s="1"/>
    </row>
    <row r="26" spans="1:11" ht="15.6" x14ac:dyDescent="0.3">
      <c r="A26" s="95" t="s">
        <v>140</v>
      </c>
      <c r="B26" s="25">
        <f>'4637'!B21</f>
        <v>1</v>
      </c>
      <c r="C26" s="102" t="str">
        <f>'4637'!C21</f>
        <v>CUB C/R 90° R8</v>
      </c>
      <c r="D26" s="25">
        <f>'4637'!D21</f>
        <v>1810</v>
      </c>
      <c r="E26" s="25">
        <f>'4637'!E21</f>
        <v>600</v>
      </c>
      <c r="F26" s="25" t="str">
        <f>'4637'!F21</f>
        <v>SHELL WHITE 20011 SF</v>
      </c>
      <c r="G26" s="1"/>
    </row>
    <row r="27" spans="1:11" ht="15.6" x14ac:dyDescent="0.3">
      <c r="A27" s="95"/>
      <c r="B27" s="6"/>
      <c r="C27" s="110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40" t="s">
        <v>27</v>
      </c>
      <c r="D37" s="14">
        <f>'4637'!G8</f>
        <v>7365</v>
      </c>
      <c r="E37" s="1"/>
      <c r="F37" s="1"/>
      <c r="G37" s="1"/>
    </row>
    <row r="38" spans="1:7" ht="17.25" customHeight="1" x14ac:dyDescent="0.3">
      <c r="A38" s="1"/>
      <c r="B38" s="1"/>
      <c r="C38" s="41" t="s">
        <v>67</v>
      </c>
      <c r="D38" s="42" t="str">
        <f>'4637'!C10</f>
        <v>MUEBLES ASENJO LTDA.</v>
      </c>
      <c r="E38" s="43"/>
      <c r="F38" s="43"/>
      <c r="G38" s="1"/>
    </row>
    <row r="39" spans="1:7" ht="4.5" customHeight="1" x14ac:dyDescent="0.3">
      <c r="A39" s="1"/>
      <c r="B39" s="1"/>
      <c r="C39" s="44"/>
      <c r="D39" s="45"/>
      <c r="E39" s="1"/>
      <c r="F39" s="1"/>
      <c r="G39" s="1"/>
    </row>
    <row r="40" spans="1:7" ht="15.6" x14ac:dyDescent="0.3">
      <c r="A40" s="1"/>
      <c r="B40" s="1"/>
      <c r="C40" s="46" t="str">
        <f>'4637'!F11</f>
        <v>FECHA LIMITE :</v>
      </c>
      <c r="D40" s="13">
        <f>'4637'!G11</f>
        <v>0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19" t="s">
        <v>68</v>
      </c>
      <c r="B43" s="119"/>
      <c r="C43" s="119"/>
      <c r="D43" s="119"/>
      <c r="E43" s="119"/>
      <c r="F43" s="119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20" t="s">
        <v>69</v>
      </c>
      <c r="C45" s="121"/>
      <c r="D45" s="122"/>
      <c r="E45" s="122"/>
      <c r="F45" s="123"/>
      <c r="G45" s="1"/>
    </row>
    <row r="46" spans="1:7" s="15" customFormat="1" ht="12.75" customHeight="1" x14ac:dyDescent="0.3">
      <c r="A46" s="1"/>
      <c r="B46" s="36" t="s">
        <v>10</v>
      </c>
      <c r="C46" s="47" t="s">
        <v>11</v>
      </c>
      <c r="D46" s="48" t="s">
        <v>7</v>
      </c>
      <c r="E46" s="48" t="s">
        <v>8</v>
      </c>
      <c r="F46" s="49" t="s">
        <v>12</v>
      </c>
      <c r="G46" s="1"/>
    </row>
    <row r="47" spans="1:7" s="15" customFormat="1" ht="15" customHeight="1" x14ac:dyDescent="0.3">
      <c r="A47" s="95" t="s">
        <v>140</v>
      </c>
      <c r="B47" s="38">
        <f>'4637'!B21</f>
        <v>1</v>
      </c>
      <c r="C47" s="101" t="str">
        <f>'4637'!C21</f>
        <v>CUB C/R 90° R8</v>
      </c>
      <c r="D47" s="39">
        <f>'4637'!D21</f>
        <v>1810</v>
      </c>
      <c r="E47" s="39">
        <f>'4637'!E21</f>
        <v>600</v>
      </c>
      <c r="F47" s="38" t="str">
        <f>'4637'!F21</f>
        <v>SHELL WHITE 20011 SF</v>
      </c>
      <c r="G47" s="1"/>
    </row>
    <row r="48" spans="1:7" s="15" customFormat="1" ht="15" customHeight="1" x14ac:dyDescent="0.3">
      <c r="B48" s="52"/>
      <c r="C48" s="109"/>
      <c r="D48" s="52"/>
      <c r="E48" s="52"/>
      <c r="F48" s="52"/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3:F43"/>
    <mergeCell ref="B45:F4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2025-12-05T12:21:12Z</cp:lastPrinted>
  <dcterms:created xsi:type="dcterms:W3CDTF">2013-03-19T12:54:14Z</dcterms:created>
  <dcterms:modified xsi:type="dcterms:W3CDTF">2026-01-20T00:55:29Z</dcterms:modified>
</cp:coreProperties>
</file>