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CF8AC957-0C4E-4EA5-829C-5F0E2D40BF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'4637'!$B$1:$I$58</definedName>
    <definedName name="_xlnm.Print_Area" localSheetId="2">CUBIERTA!$A$1:$F$80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3" l="1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B21" i="3"/>
  <c r="F21" i="3"/>
  <c r="I21" i="3"/>
  <c r="J21" i="3"/>
  <c r="K21" i="3"/>
  <c r="I25" i="3"/>
  <c r="B27" i="3"/>
  <c r="B31" i="3"/>
  <c r="I35" i="3"/>
  <c r="I36" i="3"/>
  <c r="I39" i="3"/>
  <c r="B39" i="3" s="1"/>
  <c r="I40" i="3"/>
  <c r="B28" i="3"/>
  <c r="B32" i="3"/>
  <c r="F34" i="3"/>
  <c r="B40" i="3"/>
  <c r="B94" i="3"/>
  <c r="I60" i="3" s="1"/>
  <c r="B60" i="3" s="1"/>
  <c r="C94" i="3"/>
  <c r="F60" i="3" s="1"/>
  <c r="D94" i="3"/>
  <c r="J60" i="3" s="1"/>
  <c r="E94" i="3"/>
  <c r="K60" i="3" s="1"/>
  <c r="F94" i="3"/>
  <c r="B95" i="3"/>
  <c r="I61" i="3" s="1"/>
  <c r="B61" i="3" s="1"/>
  <c r="C95" i="3"/>
  <c r="F61" i="3" s="1"/>
  <c r="D95" i="3"/>
  <c r="J61" i="3" s="1"/>
  <c r="E95" i="3"/>
  <c r="K61" i="3" s="1"/>
  <c r="F95" i="3"/>
  <c r="B143" i="3"/>
  <c r="C143" i="3"/>
  <c r="D143" i="3"/>
  <c r="E143" i="3"/>
  <c r="F143" i="3"/>
  <c r="B142" i="3"/>
  <c r="C142" i="3"/>
  <c r="D142" i="3"/>
  <c r="E142" i="3"/>
  <c r="F142" i="3"/>
  <c r="B97" i="3"/>
  <c r="I63" i="3" s="1"/>
  <c r="B63" i="3" s="1"/>
  <c r="C97" i="3"/>
  <c r="F63" i="3" s="1"/>
  <c r="D97" i="3"/>
  <c r="J63" i="3" s="1"/>
  <c r="E97" i="3"/>
  <c r="K63" i="3" s="1"/>
  <c r="F97" i="3"/>
  <c r="B98" i="3"/>
  <c r="I64" i="3" s="1"/>
  <c r="B64" i="3" s="1"/>
  <c r="C98" i="3"/>
  <c r="F64" i="3" s="1"/>
  <c r="D98" i="3"/>
  <c r="J64" i="3" s="1"/>
  <c r="E98" i="3"/>
  <c r="K64" i="3" s="1"/>
  <c r="F98" i="3"/>
  <c r="B99" i="3"/>
  <c r="I65" i="3" s="1"/>
  <c r="B65" i="3" s="1"/>
  <c r="C99" i="3"/>
  <c r="F65" i="3" s="1"/>
  <c r="D99" i="3"/>
  <c r="J65" i="3" s="1"/>
  <c r="E99" i="3"/>
  <c r="K65" i="3" s="1"/>
  <c r="F99" i="3"/>
  <c r="B100" i="3"/>
  <c r="I66" i="3" s="1"/>
  <c r="B66" i="3" s="1"/>
  <c r="C100" i="3"/>
  <c r="F66" i="3" s="1"/>
  <c r="D100" i="3"/>
  <c r="J66" i="3" s="1"/>
  <c r="E100" i="3"/>
  <c r="K66" i="3" s="1"/>
  <c r="F100" i="3"/>
  <c r="B101" i="3"/>
  <c r="I67" i="3" s="1"/>
  <c r="B67" i="3" s="1"/>
  <c r="C101" i="3"/>
  <c r="F67" i="3" s="1"/>
  <c r="D101" i="3"/>
  <c r="J67" i="3" s="1"/>
  <c r="E101" i="3"/>
  <c r="K67" i="3" s="1"/>
  <c r="F101" i="3"/>
  <c r="B102" i="3"/>
  <c r="I68" i="3" s="1"/>
  <c r="B68" i="3" s="1"/>
  <c r="C102" i="3"/>
  <c r="F68" i="3" s="1"/>
  <c r="D102" i="3"/>
  <c r="J68" i="3" s="1"/>
  <c r="E102" i="3"/>
  <c r="K68" i="3" s="1"/>
  <c r="F102" i="3"/>
  <c r="B103" i="3"/>
  <c r="I69" i="3" s="1"/>
  <c r="B69" i="3" s="1"/>
  <c r="C103" i="3"/>
  <c r="F69" i="3" s="1"/>
  <c r="D103" i="3"/>
  <c r="J69" i="3" s="1"/>
  <c r="E103" i="3"/>
  <c r="K69" i="3" s="1"/>
  <c r="F103" i="3"/>
  <c r="B104" i="3"/>
  <c r="I70" i="3" s="1"/>
  <c r="B70" i="3" s="1"/>
  <c r="C104" i="3"/>
  <c r="F70" i="3" s="1"/>
  <c r="D104" i="3"/>
  <c r="J70" i="3" s="1"/>
  <c r="E104" i="3"/>
  <c r="K70" i="3" s="1"/>
  <c r="F104" i="3"/>
  <c r="B105" i="3"/>
  <c r="I71" i="3" s="1"/>
  <c r="B71" i="3" s="1"/>
  <c r="C105" i="3"/>
  <c r="F71" i="3" s="1"/>
  <c r="D105" i="3"/>
  <c r="J71" i="3" s="1"/>
  <c r="E105" i="3"/>
  <c r="K71" i="3" s="1"/>
  <c r="F105" i="3"/>
  <c r="B106" i="3"/>
  <c r="I72" i="3" s="1"/>
  <c r="B72" i="3" s="1"/>
  <c r="C106" i="3"/>
  <c r="F72" i="3" s="1"/>
  <c r="D106" i="3"/>
  <c r="J72" i="3" s="1"/>
  <c r="E106" i="3"/>
  <c r="K72" i="3" s="1"/>
  <c r="F106" i="3"/>
  <c r="B107" i="3"/>
  <c r="I73" i="3" s="1"/>
  <c r="B73" i="3" s="1"/>
  <c r="C107" i="3"/>
  <c r="F73" i="3" s="1"/>
  <c r="D107" i="3"/>
  <c r="J73" i="3" s="1"/>
  <c r="E107" i="3"/>
  <c r="K73" i="3" s="1"/>
  <c r="F107" i="3"/>
  <c r="B108" i="3"/>
  <c r="I74" i="3" s="1"/>
  <c r="B74" i="3" s="1"/>
  <c r="C108" i="3"/>
  <c r="F74" i="3" s="1"/>
  <c r="D108" i="3"/>
  <c r="J74" i="3" s="1"/>
  <c r="E108" i="3"/>
  <c r="K74" i="3" s="1"/>
  <c r="F108" i="3"/>
  <c r="B109" i="3"/>
  <c r="I75" i="3" s="1"/>
  <c r="B75" i="3" s="1"/>
  <c r="C109" i="3"/>
  <c r="F75" i="3" s="1"/>
  <c r="D109" i="3"/>
  <c r="J75" i="3" s="1"/>
  <c r="E109" i="3"/>
  <c r="K75" i="3" s="1"/>
  <c r="F109" i="3"/>
  <c r="B110" i="3"/>
  <c r="I76" i="3" s="1"/>
  <c r="B76" i="3" s="1"/>
  <c r="C110" i="3"/>
  <c r="F76" i="3" s="1"/>
  <c r="D110" i="3"/>
  <c r="J76" i="3" s="1"/>
  <c r="E110" i="3"/>
  <c r="K76" i="3" s="1"/>
  <c r="F110" i="3"/>
  <c r="B111" i="3"/>
  <c r="I77" i="3" s="1"/>
  <c r="B77" i="3" s="1"/>
  <c r="C111" i="3"/>
  <c r="F77" i="3" s="1"/>
  <c r="D111" i="3"/>
  <c r="J77" i="3" s="1"/>
  <c r="E111" i="3"/>
  <c r="K77" i="3" s="1"/>
  <c r="F111" i="3"/>
  <c r="B112" i="3"/>
  <c r="I78" i="3" s="1"/>
  <c r="B78" i="3" s="1"/>
  <c r="C112" i="3"/>
  <c r="F78" i="3" s="1"/>
  <c r="D112" i="3"/>
  <c r="J78" i="3" s="1"/>
  <c r="E112" i="3"/>
  <c r="K78" i="3" s="1"/>
  <c r="F112" i="3"/>
  <c r="B160" i="3"/>
  <c r="C160" i="3"/>
  <c r="D160" i="3"/>
  <c r="E160" i="3"/>
  <c r="F160" i="3"/>
  <c r="B159" i="3"/>
  <c r="C159" i="3"/>
  <c r="D159" i="3"/>
  <c r="E159" i="3"/>
  <c r="F159" i="3"/>
  <c r="B145" i="3"/>
  <c r="C145" i="3"/>
  <c r="D145" i="3"/>
  <c r="E145" i="3"/>
  <c r="F145" i="3"/>
  <c r="B146" i="3"/>
  <c r="C146" i="3"/>
  <c r="D146" i="3"/>
  <c r="E146" i="3"/>
  <c r="F146" i="3"/>
  <c r="B147" i="3"/>
  <c r="C147" i="3"/>
  <c r="D147" i="3"/>
  <c r="E147" i="3"/>
  <c r="F147" i="3"/>
  <c r="B148" i="3"/>
  <c r="C148" i="3"/>
  <c r="D148" i="3"/>
  <c r="E148" i="3"/>
  <c r="F148" i="3"/>
  <c r="B149" i="3"/>
  <c r="C149" i="3"/>
  <c r="D149" i="3"/>
  <c r="E149" i="3"/>
  <c r="F149" i="3"/>
  <c r="B150" i="3"/>
  <c r="C150" i="3"/>
  <c r="D150" i="3"/>
  <c r="E150" i="3"/>
  <c r="F150" i="3"/>
  <c r="B151" i="3"/>
  <c r="C151" i="3"/>
  <c r="D151" i="3"/>
  <c r="E151" i="3"/>
  <c r="F151" i="3"/>
  <c r="B152" i="3"/>
  <c r="C152" i="3"/>
  <c r="D152" i="3"/>
  <c r="E152" i="3"/>
  <c r="F152" i="3"/>
  <c r="B153" i="3"/>
  <c r="C153" i="3"/>
  <c r="D153" i="3"/>
  <c r="E153" i="3"/>
  <c r="F153" i="3"/>
  <c r="B154" i="3"/>
  <c r="C154" i="3"/>
  <c r="D154" i="3"/>
  <c r="E154" i="3"/>
  <c r="F154" i="3"/>
  <c r="B155" i="3"/>
  <c r="C155" i="3"/>
  <c r="D155" i="3"/>
  <c r="E155" i="3"/>
  <c r="F155" i="3"/>
  <c r="B156" i="3"/>
  <c r="C156" i="3"/>
  <c r="D156" i="3"/>
  <c r="E156" i="3"/>
  <c r="F156" i="3"/>
  <c r="B157" i="3"/>
  <c r="C157" i="3"/>
  <c r="D157" i="3"/>
  <c r="E157" i="3"/>
  <c r="F157" i="3"/>
  <c r="B158" i="3"/>
  <c r="C158" i="3"/>
  <c r="D158" i="3"/>
  <c r="E158" i="3"/>
  <c r="F158" i="3"/>
  <c r="I51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B50" i="4"/>
  <c r="J38" i="3" l="1"/>
  <c r="J37" i="3"/>
  <c r="K30" i="3"/>
  <c r="I38" i="3"/>
  <c r="B38" i="3" s="1"/>
  <c r="K26" i="3"/>
  <c r="K36" i="3"/>
  <c r="K29" i="3"/>
  <c r="I41" i="3"/>
  <c r="B41" i="3" s="1"/>
  <c r="I37" i="3"/>
  <c r="K35" i="3"/>
  <c r="F33" i="3"/>
  <c r="K41" i="3"/>
  <c r="F40" i="3"/>
  <c r="F39" i="3"/>
  <c r="B37" i="3"/>
  <c r="J36" i="3"/>
  <c r="J35" i="3"/>
  <c r="K34" i="3"/>
  <c r="K33" i="3"/>
  <c r="F32" i="3"/>
  <c r="F31" i="3"/>
  <c r="J30" i="3"/>
  <c r="J29" i="3"/>
  <c r="F28" i="3"/>
  <c r="F27" i="3"/>
  <c r="J26" i="3"/>
  <c r="F41" i="3"/>
  <c r="J41" i="3"/>
  <c r="K40" i="3"/>
  <c r="K39" i="3"/>
  <c r="F38" i="3"/>
  <c r="F37" i="3"/>
  <c r="B36" i="3"/>
  <c r="B35" i="3"/>
  <c r="J34" i="3"/>
  <c r="J33" i="3"/>
  <c r="K32" i="3"/>
  <c r="K31" i="3"/>
  <c r="B30" i="3"/>
  <c r="B29" i="3"/>
  <c r="K28" i="3"/>
  <c r="K27" i="3"/>
  <c r="B26" i="3"/>
  <c r="J40" i="3"/>
  <c r="J39" i="3"/>
  <c r="K38" i="3"/>
  <c r="K37" i="3"/>
  <c r="F36" i="3"/>
  <c r="F35" i="3"/>
  <c r="B34" i="3"/>
  <c r="B33" i="3"/>
  <c r="J32" i="3"/>
  <c r="J31" i="3"/>
  <c r="F30" i="3"/>
  <c r="F29" i="3"/>
  <c r="J28" i="3"/>
  <c r="J27" i="3"/>
  <c r="F26" i="3"/>
  <c r="K24" i="3"/>
  <c r="K23" i="3"/>
  <c r="J23" i="3"/>
  <c r="B24" i="3"/>
  <c r="B23" i="3"/>
  <c r="J24" i="3"/>
  <c r="F24" i="3"/>
  <c r="F23" i="3"/>
  <c r="B86" i="3" l="1"/>
  <c r="I52" i="3" s="1"/>
  <c r="C86" i="3"/>
  <c r="F52" i="3" s="1"/>
  <c r="D86" i="3"/>
  <c r="J52" i="3" s="1"/>
  <c r="E86" i="3"/>
  <c r="K52" i="3" s="1"/>
  <c r="F86" i="3"/>
  <c r="B87" i="3"/>
  <c r="I53" i="3" s="1"/>
  <c r="C87" i="3"/>
  <c r="F53" i="3" s="1"/>
  <c r="D87" i="3"/>
  <c r="J53" i="3" s="1"/>
  <c r="E87" i="3"/>
  <c r="K53" i="3" s="1"/>
  <c r="F87" i="3"/>
  <c r="B88" i="3"/>
  <c r="I54" i="3" s="1"/>
  <c r="C88" i="3"/>
  <c r="F54" i="3" s="1"/>
  <c r="D88" i="3"/>
  <c r="J54" i="3" s="1"/>
  <c r="E88" i="3"/>
  <c r="K54" i="3" s="1"/>
  <c r="F88" i="3"/>
  <c r="B89" i="3"/>
  <c r="I55" i="3" s="1"/>
  <c r="C89" i="3"/>
  <c r="F55" i="3" s="1"/>
  <c r="D89" i="3"/>
  <c r="J55" i="3" s="1"/>
  <c r="E89" i="3"/>
  <c r="K55" i="3" s="1"/>
  <c r="F89" i="3"/>
  <c r="B90" i="3"/>
  <c r="I56" i="3" s="1"/>
  <c r="C90" i="3"/>
  <c r="F56" i="3" s="1"/>
  <c r="D90" i="3"/>
  <c r="J56" i="3" s="1"/>
  <c r="E90" i="3"/>
  <c r="K56" i="3" s="1"/>
  <c r="F90" i="3"/>
  <c r="B91" i="3"/>
  <c r="I57" i="3" s="1"/>
  <c r="C91" i="3"/>
  <c r="F57" i="3" s="1"/>
  <c r="D91" i="3"/>
  <c r="J57" i="3" s="1"/>
  <c r="E91" i="3"/>
  <c r="K57" i="3" s="1"/>
  <c r="F91" i="3"/>
  <c r="B92" i="3"/>
  <c r="I58" i="3" s="1"/>
  <c r="B58" i="3" s="1"/>
  <c r="C92" i="3"/>
  <c r="F58" i="3" s="1"/>
  <c r="D92" i="3"/>
  <c r="J58" i="3" s="1"/>
  <c r="E92" i="3"/>
  <c r="K58" i="3" s="1"/>
  <c r="F92" i="3"/>
  <c r="B93" i="3"/>
  <c r="I59" i="3" s="1"/>
  <c r="B59" i="3" s="1"/>
  <c r="C93" i="3"/>
  <c r="F59" i="3" s="1"/>
  <c r="D93" i="3"/>
  <c r="J59" i="3" s="1"/>
  <c r="E93" i="3"/>
  <c r="K59" i="3" s="1"/>
  <c r="F93" i="3"/>
  <c r="B96" i="3"/>
  <c r="I62" i="3" s="1"/>
  <c r="B62" i="3" s="1"/>
  <c r="C96" i="3"/>
  <c r="F62" i="3" s="1"/>
  <c r="D96" i="3"/>
  <c r="J62" i="3" s="1"/>
  <c r="E96" i="3"/>
  <c r="K62" i="3" s="1"/>
  <c r="F96" i="3"/>
  <c r="B134" i="3"/>
  <c r="C134" i="3"/>
  <c r="D134" i="3"/>
  <c r="E134" i="3"/>
  <c r="F134" i="3"/>
  <c r="B135" i="3"/>
  <c r="C135" i="3"/>
  <c r="D135" i="3"/>
  <c r="E135" i="3"/>
  <c r="F135" i="3"/>
  <c r="B136" i="3"/>
  <c r="C136" i="3"/>
  <c r="D136" i="3"/>
  <c r="E136" i="3"/>
  <c r="F136" i="3"/>
  <c r="B137" i="3"/>
  <c r="C137" i="3"/>
  <c r="D137" i="3"/>
  <c r="E137" i="3"/>
  <c r="F137" i="3"/>
  <c r="B138" i="3"/>
  <c r="C138" i="3"/>
  <c r="D138" i="3"/>
  <c r="E138" i="3"/>
  <c r="F138" i="3"/>
  <c r="B139" i="3"/>
  <c r="C139" i="3"/>
  <c r="D139" i="3"/>
  <c r="E139" i="3"/>
  <c r="F139" i="3"/>
  <c r="B140" i="3"/>
  <c r="C140" i="3"/>
  <c r="D140" i="3"/>
  <c r="E140" i="3"/>
  <c r="F140" i="3"/>
  <c r="B141" i="3"/>
  <c r="C141" i="3"/>
  <c r="D141" i="3"/>
  <c r="E141" i="3"/>
  <c r="F141" i="3"/>
  <c r="B144" i="3"/>
  <c r="C144" i="3"/>
  <c r="D144" i="3"/>
  <c r="E144" i="3"/>
  <c r="F144" i="3"/>
  <c r="I30" i="4"/>
  <c r="I29" i="4"/>
  <c r="I28" i="4"/>
  <c r="I27" i="4"/>
  <c r="I26" i="4"/>
  <c r="I25" i="4"/>
  <c r="I24" i="4"/>
  <c r="I23" i="4"/>
  <c r="I22" i="4"/>
  <c r="B85" i="3"/>
  <c r="C85" i="3"/>
  <c r="F51" i="3" s="1"/>
  <c r="D85" i="3"/>
  <c r="J51" i="3" s="1"/>
  <c r="D51" i="3" s="1"/>
  <c r="E85" i="3"/>
  <c r="K51" i="3" s="1"/>
  <c r="E51" i="3" s="1"/>
  <c r="F85" i="3"/>
  <c r="B133" i="3"/>
  <c r="C133" i="3"/>
  <c r="D133" i="3"/>
  <c r="E133" i="3"/>
  <c r="F133" i="3"/>
  <c r="B54" i="3" l="1"/>
  <c r="I17" i="3"/>
  <c r="B57" i="3"/>
  <c r="I20" i="3"/>
  <c r="B20" i="3" s="1"/>
  <c r="B53" i="3"/>
  <c r="I16" i="3"/>
  <c r="B16" i="3" s="1"/>
  <c r="B56" i="3"/>
  <c r="I19" i="3"/>
  <c r="B19" i="3" s="1"/>
  <c r="B52" i="3"/>
  <c r="I15" i="3"/>
  <c r="B55" i="3"/>
  <c r="I18" i="3"/>
  <c r="B18" i="3" s="1"/>
  <c r="B161" i="3"/>
  <c r="I51" i="3"/>
  <c r="B113" i="3"/>
  <c r="K22" i="3"/>
  <c r="J18" i="3"/>
  <c r="K17" i="3"/>
  <c r="F15" i="3"/>
  <c r="F20" i="3"/>
  <c r="F19" i="3"/>
  <c r="F17" i="3"/>
  <c r="F25" i="3"/>
  <c r="K18" i="3"/>
  <c r="F16" i="3"/>
  <c r="J25" i="3"/>
  <c r="F18" i="3"/>
  <c r="F22" i="3"/>
  <c r="K20" i="3"/>
  <c r="K19" i="3"/>
  <c r="K16" i="3"/>
  <c r="K15" i="3"/>
  <c r="K25" i="3"/>
  <c r="J22" i="3"/>
  <c r="J20" i="3"/>
  <c r="J19" i="3"/>
  <c r="J17" i="3"/>
  <c r="J16" i="3"/>
  <c r="J15" i="3"/>
  <c r="B22" i="3"/>
  <c r="B17" i="3"/>
  <c r="B15" i="3"/>
  <c r="B25" i="3"/>
  <c r="K14" i="3"/>
  <c r="E14" i="3" s="1"/>
  <c r="J14" i="3"/>
  <c r="D14" i="3" s="1"/>
  <c r="F14" i="3"/>
  <c r="B51" i="3" l="1"/>
  <c r="B79" i="3" s="1"/>
  <c r="I14" i="3"/>
  <c r="B14" i="3" s="1"/>
  <c r="B42" i="3" s="1"/>
  <c r="I52" i="4"/>
  <c r="I53" i="4" l="1"/>
  <c r="N5" i="3" l="1"/>
  <c r="M5" i="3" l="1"/>
  <c r="L5" i="3"/>
  <c r="K5" i="3"/>
  <c r="C126" i="3" l="1"/>
  <c r="C7" i="3"/>
  <c r="D124" i="3"/>
  <c r="D5" i="3"/>
  <c r="D126" i="3"/>
  <c r="D7" i="3"/>
  <c r="D123" i="3"/>
  <c r="D4" i="3"/>
</calcChain>
</file>

<file path=xl/sharedStrings.xml><?xml version="1.0" encoding="utf-8"?>
<sst xmlns="http://schemas.openxmlformats.org/spreadsheetml/2006/main" count="329" uniqueCount="145">
  <si>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</si>
  <si>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</si>
  <si>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</si>
  <si>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</si>
  <si>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</si>
  <si>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</si>
  <si>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</si>
  <si>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</si>
  <si>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</si>
  <si>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</si>
  <si>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</si>
  <si>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</si>
  <si>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</si>
  <si>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</si>
  <si>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</si>
  <si>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</si>
  <si>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</si>
  <si>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</si>
  <si>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</si>
  <si>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</si>
  <si>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</si>
  <si>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</si>
  <si>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</si>
  <si>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</si>
  <si>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</si>
  <si>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</si>
  <si>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</si>
  <si>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</si>
  <si>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</si>
  <si>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</si>
  <si>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</si>
  <si>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</si>
  <si>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</si>
  <si>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</si>
  <si>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</si>
  <si>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</si>
  <si>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</si>
  <si>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</si>
  <si>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</si>
  <si>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</si>
  <si>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</si>
  <si>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</si>
  <si>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</si>
  <si>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</si>
  <si>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</si>
  <si>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</si>
  <si>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</si>
  <si>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</si>
  <si>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</si>
  <si>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</si>
  <si>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</si>
  <si>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</si>
  <si>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</si>
  <si>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</si>
  <si>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</si>
  <si>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</si>
  <si>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</si>
  <si>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</si>
  <si>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</si>
  <si>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</si>
  <si>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</si>
  <si>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</si>
  <si>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</si>
  <si>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</si>
  <si>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</si>
  <si>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</si>
  <si>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</si>
  <si>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</si>
  <si>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</si>
  <si>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</si>
  <si>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</si>
  <si>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</si>
  <si>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</si>
  <si>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</si>
  <si>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</si>
  <si>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</si>
  <si>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</si>
  <si>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</si>
  <si>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</si>
  <si>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</si>
  <si>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</si>
  <si>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</si>
  <si>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</si>
  <si>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</si>
  <si>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</si>
  <si>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</si>
  <si>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</si>
  <si>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</si>
  <si>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</si>
  <si>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</si>
  <si>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</si>
  <si>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</si>
  <si>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</si>
  <si>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</si>
  <si>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</si>
  <si>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</si>
  <si>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</si>
  <si>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</si>
  <si>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</si>
  <si>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</si>
  <si>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</si>
  <si>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</si>
  <si>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</si>
  <si>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</si>
  <si>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</si>
  <si>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</si>
  <si>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</si>
  <si>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</si>
  <si>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</si>
  <si>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</si>
  <si>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</si>
  <si>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</si>
  <si>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</si>
  <si>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</si>
  <si>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</si>
  <si>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</si>
  <si>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</si>
  <si>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</si>
  <si>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</si>
  <si>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</si>
  <si>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</si>
  <si>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</si>
  <si>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</si>
  <si>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</si>
  <si>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</si>
  <si>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</si>
  <si>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</si>
  <si>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</si>
  <si>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</si>
  <si>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</si>
  <si>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</si>
  <si>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</si>
  <si>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CONTADO</t>
  </si>
  <si>
    <t>FCA DE MUEBLES</t>
  </si>
  <si>
    <t>N° 11821</t>
  </si>
  <si>
    <t>NO</t>
  </si>
  <si>
    <t>MOBILINARES SPA</t>
  </si>
  <si>
    <t>77.099.452-7</t>
  </si>
  <si>
    <t>GONZALO PEÑA</t>
  </si>
  <si>
    <t>LINARES</t>
  </si>
  <si>
    <t>E/R 1 CARA</t>
  </si>
  <si>
    <t>SHELL WHITE 22011 SF</t>
  </si>
  <si>
    <t>TAPACANTO</t>
  </si>
  <si>
    <t>4L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</si>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</sst>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4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4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3" fillId="0" borderId="2" xfId="0" applyNumberFormat="1" applyFont="1" applyBorder="1" applyAlignment="1">
      <alignment horizontal="center" vertical="center"/>
    </xf>
    <xf numFmtId="0" fontId="15" fillId="3" borderId="0" xfId="0" applyFont="1" applyFill="1"/>
    <xf numFmtId="0" fontId="6" fillId="3" borderId="0" xfId="2" applyFill="1"/>
    <xf numFmtId="0" fontId="17" fillId="0" borderId="9" xfId="2" applyFont="1" applyFill="1" applyBorder="1" applyAlignment="1">
      <alignment horizontal="left"/>
    </xf>
    <xf numFmtId="0" fontId="18" fillId="3" borderId="0" xfId="0" applyFont="1" applyFill="1"/>
    <xf numFmtId="0" fontId="14" fillId="3" borderId="4" xfId="0" applyFont="1" applyFill="1" applyBorder="1"/>
    <xf numFmtId="0" fontId="15" fillId="0" borderId="0" xfId="0" applyFont="1"/>
    <xf numFmtId="0" fontId="19" fillId="3" borderId="0" xfId="0" applyFont="1" applyFill="1"/>
    <xf numFmtId="0" fontId="16" fillId="0" borderId="0" xfId="0" quotePrefix="1" applyFont="1" applyAlignment="1">
      <alignment horizontal="left"/>
    </xf>
    <xf numFmtId="0" fontId="18" fillId="8" borderId="32" xfId="0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41" fontId="3" fillId="0" borderId="2" xfId="3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</xdr:colOff>
      <xdr:row>51</xdr:row>
      <xdr:rowOff>169545</xdr:rowOff>
    </xdr:from>
    <xdr:to>
      <xdr:col>6</xdr:col>
      <xdr:colOff>1337310</xdr:colOff>
      <xdr:row>56</xdr:row>
      <xdr:rowOff>78105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6210" y="10974705"/>
          <a:ext cx="592074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ABONO $ 700.000.-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45</xdr:row>
      <xdr:rowOff>76200</xdr:rowOff>
    </xdr:from>
    <xdr:to>
      <xdr:col>5</xdr:col>
      <xdr:colOff>1676399</xdr:colOff>
      <xdr:row>47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127</xdr:row>
      <xdr:rowOff>171450</xdr:rowOff>
    </xdr:from>
    <xdr:to>
      <xdr:col>5</xdr:col>
      <xdr:colOff>1685924</xdr:colOff>
      <xdr:row>129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125</xdr:row>
      <xdr:rowOff>0</xdr:rowOff>
    </xdr:from>
    <xdr:to>
      <xdr:col>6</xdr:col>
      <xdr:colOff>0</xdr:colOff>
      <xdr:row>126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123</xdr:row>
      <xdr:rowOff>38100</xdr:rowOff>
    </xdr:from>
    <xdr:to>
      <xdr:col>6</xdr:col>
      <xdr:colOff>0</xdr:colOff>
      <xdr:row>124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122</xdr:row>
      <xdr:rowOff>0</xdr:rowOff>
    </xdr:from>
    <xdr:to>
      <xdr:col>6</xdr:col>
      <xdr:colOff>0</xdr:colOff>
      <xdr:row>123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38100</xdr:colOff>
      <xdr:row>163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162</xdr:row>
      <xdr:rowOff>0</xdr:rowOff>
    </xdr:from>
    <xdr:to>
      <xdr:col>2</xdr:col>
      <xdr:colOff>1019175</xdr:colOff>
      <xdr:row>162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162</xdr:row>
      <xdr:rowOff>0</xdr:rowOff>
    </xdr:from>
    <xdr:to>
      <xdr:col>3</xdr:col>
      <xdr:colOff>352425</xdr:colOff>
      <xdr:row>163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162</xdr:row>
      <xdr:rowOff>0</xdr:rowOff>
    </xdr:from>
    <xdr:to>
      <xdr:col>4</xdr:col>
      <xdr:colOff>257175</xdr:colOff>
      <xdr:row>163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162</xdr:row>
      <xdr:rowOff>0</xdr:rowOff>
    </xdr:from>
    <xdr:to>
      <xdr:col>5</xdr:col>
      <xdr:colOff>447675</xdr:colOff>
      <xdr:row>162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162</xdr:row>
      <xdr:rowOff>0</xdr:rowOff>
    </xdr:from>
    <xdr:to>
      <xdr:col>6</xdr:col>
      <xdr:colOff>0</xdr:colOff>
      <xdr:row>162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162</xdr:row>
      <xdr:rowOff>190500</xdr:rowOff>
    </xdr:from>
    <xdr:to>
      <xdr:col>2</xdr:col>
      <xdr:colOff>304800</xdr:colOff>
      <xdr:row>164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162</xdr:row>
      <xdr:rowOff>190500</xdr:rowOff>
    </xdr:from>
    <xdr:to>
      <xdr:col>2</xdr:col>
      <xdr:colOff>1276350</xdr:colOff>
      <xdr:row>164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162</xdr:row>
      <xdr:rowOff>190500</xdr:rowOff>
    </xdr:from>
    <xdr:to>
      <xdr:col>3</xdr:col>
      <xdr:colOff>619125</xdr:colOff>
      <xdr:row>164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162</xdr:row>
      <xdr:rowOff>190500</xdr:rowOff>
    </xdr:from>
    <xdr:to>
      <xdr:col>4</xdr:col>
      <xdr:colOff>523875</xdr:colOff>
      <xdr:row>164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162</xdr:row>
      <xdr:rowOff>190500</xdr:rowOff>
    </xdr:from>
    <xdr:to>
      <xdr:col>5</xdr:col>
      <xdr:colOff>723900</xdr:colOff>
      <xdr:row>164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162</xdr:row>
      <xdr:rowOff>190500</xdr:rowOff>
    </xdr:from>
    <xdr:to>
      <xdr:col>6</xdr:col>
      <xdr:colOff>0</xdr:colOff>
      <xdr:row>164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114</xdr:row>
      <xdr:rowOff>15239</xdr:rowOff>
    </xdr:from>
    <xdr:to>
      <xdr:col>6</xdr:col>
      <xdr:colOff>68580</xdr:colOff>
      <xdr:row>118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TERMINADAS ,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INCLUYE EK TAPACANTO DE PVC DE 1,5MM ES DECIR HAY QUE DESCONTAR LOS 3MM EN EL CORTE , DUDAS ME CONSUNTAN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80</xdr:row>
      <xdr:rowOff>200025</xdr:rowOff>
    </xdr:from>
    <xdr:to>
      <xdr:col>6</xdr:col>
      <xdr:colOff>19049</xdr:colOff>
      <xdr:row>82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165</xdr:row>
      <xdr:rowOff>32385</xdr:rowOff>
    </xdr:from>
    <xdr:to>
      <xdr:col>6</xdr:col>
      <xdr:colOff>19050</xdr:colOff>
      <xdr:row>169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PUERTAS TERMINADAS CON PACANTO PVC 3MM, LA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MEDIDA INCUYE EL TAPACANTO DE 1,5MM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121</xdr:row>
      <xdr:rowOff>41910</xdr:rowOff>
    </xdr:from>
    <xdr:to>
      <xdr:col>1</xdr:col>
      <xdr:colOff>801763</xdr:colOff>
      <xdr:row>127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9"/>
  <sheetViews>
    <sheetView tabSelected="1" workbookViewId="0">
      <selection activeCell="B1" sqref="B1:I5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6" width="9.109375" customWidth="1"/>
    <col min="7" max="7" width="27.44140625" customWidth="1"/>
    <col min="8" max="8" width="12.88671875" customWidth="1"/>
    <col min="9" max="9" width="11.88671875" customWidth="1"/>
  </cols>
  <sheetData>
    <row r="1" spans="1:18" ht="15.6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8" ht="15.6" x14ac:dyDescent="0.3">
      <c r="A2" s="1"/>
      <c r="B2" s="1"/>
      <c r="C2" s="1"/>
      <c r="D2" s="1"/>
      <c r="E2" s="1"/>
      <c r="F2" s="1"/>
      <c r="G2" s="7" t="s">
        <v>119</v>
      </c>
      <c r="H2" s="1"/>
      <c r="I2" s="1"/>
      <c r="J2" s="1"/>
    </row>
    <row r="3" spans="1:18" ht="15.6" x14ac:dyDescent="0.3">
      <c r="A3" s="1"/>
      <c r="B3" s="1"/>
      <c r="C3" s="1"/>
      <c r="D3" s="1"/>
      <c r="E3" s="1"/>
      <c r="F3" s="1"/>
      <c r="G3" s="1" t="s">
        <v>120</v>
      </c>
      <c r="H3" s="1"/>
      <c r="I3" s="1"/>
      <c r="J3" s="1"/>
    </row>
    <row r="4" spans="1:18" ht="15.6" x14ac:dyDescent="0.3">
      <c r="A4" s="1"/>
      <c r="B4" s="1"/>
      <c r="C4" s="1"/>
      <c r="D4" s="1"/>
      <c r="E4" s="1"/>
      <c r="F4" s="1"/>
      <c r="G4" s="1" t="s">
        <v>121</v>
      </c>
      <c r="H4" s="1"/>
      <c r="I4" s="1"/>
      <c r="J4" s="1"/>
    </row>
    <row r="5" spans="1:18" ht="15.6" x14ac:dyDescent="0.3">
      <c r="A5" s="1"/>
      <c r="B5" s="1"/>
      <c r="C5" s="1"/>
      <c r="D5" s="1"/>
      <c r="E5" s="1"/>
      <c r="F5" s="1"/>
      <c r="G5" s="1" t="s">
        <v>0</v>
      </c>
      <c r="H5" s="1"/>
      <c r="I5" s="1"/>
      <c r="J5" s="1"/>
    </row>
    <row r="6" spans="1:18" ht="15.6" x14ac:dyDescent="0.3">
      <c r="A6" s="1"/>
      <c r="B6" s="1"/>
      <c r="C6" s="1"/>
      <c r="D6" s="1"/>
      <c r="E6" s="1"/>
      <c r="F6" s="1"/>
      <c r="G6" s="1" t="s">
        <v>15</v>
      </c>
      <c r="H6" s="1"/>
      <c r="I6" s="1"/>
      <c r="J6" s="1"/>
    </row>
    <row r="7" spans="1:18" ht="16.2" thickBot="1" x14ac:dyDescent="0.35">
      <c r="A7" s="1"/>
      <c r="B7" s="1"/>
      <c r="C7" s="1"/>
      <c r="D7" s="1"/>
      <c r="E7" s="1"/>
      <c r="F7" s="1"/>
      <c r="G7" s="1" t="s">
        <v>13</v>
      </c>
      <c r="H7" s="1"/>
      <c r="I7" s="1"/>
      <c r="J7" s="1"/>
    </row>
    <row r="8" spans="1:18" ht="16.2" thickBot="1" x14ac:dyDescent="0.35">
      <c r="A8" s="1"/>
      <c r="B8" s="83" t="s">
        <v>16</v>
      </c>
      <c r="C8" s="84"/>
      <c r="D8" s="85" t="s">
        <v>134</v>
      </c>
      <c r="E8" s="1"/>
      <c r="F8" s="1"/>
      <c r="G8" s="86" t="s">
        <v>27</v>
      </c>
      <c r="H8" s="87">
        <v>7358</v>
      </c>
      <c r="I8" s="1"/>
      <c r="J8" s="1"/>
    </row>
    <row r="9" spans="1:18" ht="16.2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8" ht="16.2" thickBot="1" x14ac:dyDescent="0.35">
      <c r="A10" s="1"/>
      <c r="B10" s="53" t="s">
        <v>127</v>
      </c>
      <c r="C10" s="100" t="s">
        <v>136</v>
      </c>
      <c r="D10" s="54"/>
      <c r="E10" s="54"/>
      <c r="F10" s="54"/>
      <c r="G10" s="55" t="s">
        <v>28</v>
      </c>
      <c r="H10" s="56">
        <v>46028</v>
      </c>
      <c r="I10" s="57"/>
      <c r="J10" s="1"/>
      <c r="K10" s="1"/>
      <c r="L10" s="1"/>
      <c r="M10" s="1"/>
      <c r="N10" s="1"/>
      <c r="O10" s="1"/>
      <c r="P10" s="1"/>
      <c r="Q10" s="1"/>
      <c r="R10" s="1"/>
    </row>
    <row r="11" spans="1:18" ht="17.399999999999999" thickBot="1" x14ac:dyDescent="0.45">
      <c r="A11" s="1"/>
      <c r="B11" s="58" t="s">
        <v>2</v>
      </c>
      <c r="C11" s="101" t="s">
        <v>137</v>
      </c>
      <c r="D11" s="59"/>
      <c r="E11" s="59"/>
      <c r="F11" s="59"/>
      <c r="G11" s="59" t="s">
        <v>122</v>
      </c>
      <c r="H11" s="60"/>
      <c r="I11" s="61"/>
      <c r="J11" s="1"/>
    </row>
    <row r="12" spans="1:18" ht="15.6" x14ac:dyDescent="0.3">
      <c r="A12" s="1"/>
      <c r="B12" s="62" t="s">
        <v>128</v>
      </c>
      <c r="C12" s="102" t="s">
        <v>133</v>
      </c>
      <c r="D12" s="42"/>
      <c r="E12" s="42"/>
      <c r="F12" s="42"/>
      <c r="G12" s="42" t="s">
        <v>30</v>
      </c>
      <c r="H12" s="63"/>
      <c r="I12" s="64"/>
      <c r="J12" s="1"/>
    </row>
    <row r="13" spans="1:18" ht="15.6" x14ac:dyDescent="0.3">
      <c r="A13" s="1"/>
      <c r="B13" s="62" t="s">
        <v>129</v>
      </c>
      <c r="C13" t="s">
        <v>138</v>
      </c>
      <c r="D13" s="42"/>
      <c r="E13" s="42"/>
      <c r="F13" s="42"/>
      <c r="G13" s="42" t="s">
        <v>126</v>
      </c>
      <c r="H13" s="63" t="s">
        <v>131</v>
      </c>
      <c r="I13" s="64"/>
      <c r="J13" s="1"/>
    </row>
    <row r="14" spans="1:18" ht="15.6" x14ac:dyDescent="0.3">
      <c r="A14" s="1"/>
      <c r="B14" s="62" t="s">
        <v>130</v>
      </c>
      <c r="C14" s="97"/>
      <c r="D14" s="42"/>
      <c r="E14" s="42"/>
      <c r="F14" s="42"/>
      <c r="G14" s="42"/>
      <c r="H14" s="63"/>
      <c r="I14" s="64"/>
      <c r="J14" s="1"/>
    </row>
    <row r="15" spans="1:18" ht="15.6" x14ac:dyDescent="0.3">
      <c r="A15" s="1"/>
      <c r="B15" s="58" t="s">
        <v>17</v>
      </c>
      <c r="C15" s="103">
        <v>56972128641</v>
      </c>
      <c r="D15" s="65"/>
      <c r="E15" s="59"/>
      <c r="F15" s="59"/>
      <c r="G15" s="59" t="s">
        <v>29</v>
      </c>
      <c r="H15" s="59" t="s">
        <v>135</v>
      </c>
      <c r="I15" s="61"/>
      <c r="J15" s="1"/>
    </row>
    <row r="16" spans="1:18" ht="16.8" x14ac:dyDescent="0.4">
      <c r="A16" s="1"/>
      <c r="B16" s="62" t="s">
        <v>1</v>
      </c>
      <c r="C16" s="96"/>
      <c r="D16" s="42"/>
      <c r="E16" s="42"/>
      <c r="F16" s="42"/>
      <c r="G16" s="66" t="s">
        <v>75</v>
      </c>
      <c r="H16" s="99" t="s">
        <v>132</v>
      </c>
      <c r="I16" s="64"/>
      <c r="J16" s="1"/>
    </row>
    <row r="17" spans="1:17" ht="16.2" thickBot="1" x14ac:dyDescent="0.35">
      <c r="A17" s="1"/>
      <c r="B17" s="67" t="s">
        <v>3</v>
      </c>
      <c r="C17" s="98" t="s">
        <v>139</v>
      </c>
      <c r="D17" s="68"/>
      <c r="E17" s="69"/>
      <c r="F17" s="69"/>
      <c r="G17" s="107" t="s">
        <v>18</v>
      </c>
      <c r="H17" s="107"/>
      <c r="I17" s="108"/>
      <c r="J17" s="1"/>
    </row>
    <row r="18" spans="1:17" ht="15.6" x14ac:dyDescent="0.3">
      <c r="A18" s="1"/>
      <c r="B18" s="1"/>
      <c r="D18" s="1"/>
      <c r="E18" s="1"/>
      <c r="F18" s="1"/>
      <c r="G18" s="1"/>
      <c r="H18" s="1"/>
      <c r="I18" s="1"/>
      <c r="J18" s="1"/>
    </row>
    <row r="19" spans="1:17" ht="16.2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7" ht="16.2" thickBot="1" x14ac:dyDescent="0.35">
      <c r="A20" s="1"/>
      <c r="B20" s="109" t="s">
        <v>19</v>
      </c>
      <c r="C20" s="110"/>
      <c r="D20" s="110"/>
      <c r="E20" s="110"/>
      <c r="F20" s="110"/>
      <c r="G20" s="110"/>
      <c r="H20" s="110"/>
      <c r="I20" s="111"/>
      <c r="J20" s="1"/>
    </row>
    <row r="21" spans="1:17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104" t="s">
        <v>142</v>
      </c>
      <c r="G21" s="72" t="s">
        <v>23</v>
      </c>
      <c r="H21" s="70" t="s">
        <v>24</v>
      </c>
      <c r="I21" s="72" t="s">
        <v>4</v>
      </c>
      <c r="J21" s="1"/>
    </row>
    <row r="22" spans="1:17" ht="18" customHeight="1" x14ac:dyDescent="0.3">
      <c r="A22" s="1"/>
      <c r="B22" s="92">
        <v>6</v>
      </c>
      <c r="C22" s="92" t="s">
        <v>140</v>
      </c>
      <c r="D22" s="95">
        <v>920</v>
      </c>
      <c r="E22" s="95">
        <v>415</v>
      </c>
      <c r="F22" s="105" t="s">
        <v>143</v>
      </c>
      <c r="G22" s="92" t="s">
        <v>141</v>
      </c>
      <c r="H22" s="106">
        <v>19113</v>
      </c>
      <c r="I22" s="93">
        <f>H22*B22</f>
        <v>114678</v>
      </c>
      <c r="J22" s="1"/>
      <c r="L22" s="17"/>
      <c r="M22" s="26"/>
      <c r="N22" s="17"/>
      <c r="O22" s="17"/>
      <c r="P22" s="26"/>
      <c r="Q22" s="33"/>
    </row>
    <row r="23" spans="1:17" ht="18" customHeight="1" x14ac:dyDescent="0.3">
      <c r="A23" s="1"/>
      <c r="B23" s="92">
        <v>4</v>
      </c>
      <c r="C23" s="92" t="s">
        <v>140</v>
      </c>
      <c r="D23" s="95">
        <v>920</v>
      </c>
      <c r="E23" s="95">
        <v>445</v>
      </c>
      <c r="F23" s="105" t="s">
        <v>143</v>
      </c>
      <c r="G23" s="92" t="s">
        <v>141</v>
      </c>
      <c r="H23" s="106">
        <v>20431</v>
      </c>
      <c r="I23" s="93">
        <f t="shared" ref="I23:I49" si="0">H23*B23</f>
        <v>81724</v>
      </c>
      <c r="J23" s="1"/>
      <c r="L23" s="17"/>
      <c r="M23" s="26"/>
      <c r="N23" s="17"/>
      <c r="O23" s="17"/>
      <c r="P23" s="26"/>
      <c r="Q23" s="33"/>
    </row>
    <row r="24" spans="1:17" ht="18" customHeight="1" x14ac:dyDescent="0.3">
      <c r="A24" s="1"/>
      <c r="B24" s="92">
        <v>6</v>
      </c>
      <c r="C24" s="92" t="s">
        <v>140</v>
      </c>
      <c r="D24" s="95">
        <v>920</v>
      </c>
      <c r="E24" s="95">
        <v>465</v>
      </c>
      <c r="F24" s="105" t="s">
        <v>143</v>
      </c>
      <c r="G24" s="92" t="s">
        <v>141</v>
      </c>
      <c r="H24" s="106">
        <v>21310</v>
      </c>
      <c r="I24" s="93">
        <f t="shared" si="0"/>
        <v>127860</v>
      </c>
      <c r="J24" s="1"/>
      <c r="L24" s="17"/>
      <c r="M24" s="26"/>
      <c r="N24" s="17"/>
      <c r="O24" s="17"/>
      <c r="P24" s="26"/>
      <c r="Q24" s="33"/>
    </row>
    <row r="25" spans="1:17" ht="18" customHeight="1" x14ac:dyDescent="0.3">
      <c r="A25" s="1"/>
      <c r="B25" s="92">
        <v>2</v>
      </c>
      <c r="C25" s="92" t="s">
        <v>140</v>
      </c>
      <c r="D25" s="95">
        <v>920</v>
      </c>
      <c r="E25" s="95">
        <v>340</v>
      </c>
      <c r="F25" s="105" t="s">
        <v>143</v>
      </c>
      <c r="G25" s="92" t="s">
        <v>141</v>
      </c>
      <c r="H25" s="106">
        <v>15818</v>
      </c>
      <c r="I25" s="93">
        <f t="shared" si="0"/>
        <v>31636</v>
      </c>
      <c r="J25" s="1"/>
      <c r="L25" s="17"/>
      <c r="M25" s="26"/>
      <c r="N25" s="17"/>
      <c r="O25" s="17"/>
      <c r="P25" s="26"/>
      <c r="Q25" s="33"/>
    </row>
    <row r="26" spans="1:17" ht="18" customHeight="1" x14ac:dyDescent="0.3">
      <c r="A26" s="1"/>
      <c r="B26" s="92">
        <v>7</v>
      </c>
      <c r="C26" s="92" t="s">
        <v>140</v>
      </c>
      <c r="D26" s="95">
        <v>690</v>
      </c>
      <c r="E26" s="95">
        <v>595</v>
      </c>
      <c r="F26" s="105" t="s">
        <v>143</v>
      </c>
      <c r="G26" s="92" t="s">
        <v>141</v>
      </c>
      <c r="H26" s="106">
        <v>20410</v>
      </c>
      <c r="I26" s="93">
        <f t="shared" si="0"/>
        <v>142870</v>
      </c>
      <c r="J26" s="1"/>
      <c r="L26" s="17"/>
      <c r="M26" s="26"/>
      <c r="N26" s="17"/>
      <c r="O26" s="17"/>
      <c r="P26" s="26"/>
      <c r="Q26" s="33"/>
    </row>
    <row r="27" spans="1:17" ht="18" customHeight="1" x14ac:dyDescent="0.3">
      <c r="A27" s="1"/>
      <c r="B27" s="92">
        <v>1</v>
      </c>
      <c r="C27" s="92" t="s">
        <v>140</v>
      </c>
      <c r="D27" s="95">
        <v>690</v>
      </c>
      <c r="E27" s="95">
        <v>395</v>
      </c>
      <c r="F27" s="105" t="s">
        <v>143</v>
      </c>
      <c r="G27" s="92" t="s">
        <v>141</v>
      </c>
      <c r="H27" s="106">
        <v>13773</v>
      </c>
      <c r="I27" s="93">
        <f t="shared" si="0"/>
        <v>13773</v>
      </c>
      <c r="J27" s="1"/>
      <c r="L27" s="17"/>
      <c r="M27" s="26"/>
      <c r="N27" s="17"/>
      <c r="O27" s="17"/>
      <c r="P27" s="26"/>
      <c r="Q27" s="33"/>
    </row>
    <row r="28" spans="1:17" ht="18" customHeight="1" x14ac:dyDescent="0.3">
      <c r="A28" s="1"/>
      <c r="B28" s="92">
        <v>1</v>
      </c>
      <c r="C28" s="92" t="s">
        <v>140</v>
      </c>
      <c r="D28" s="95">
        <v>660</v>
      </c>
      <c r="E28" s="95">
        <v>450</v>
      </c>
      <c r="F28" s="105" t="s">
        <v>143</v>
      </c>
      <c r="G28" s="92" t="s">
        <v>141</v>
      </c>
      <c r="H28" s="106">
        <v>14939</v>
      </c>
      <c r="I28" s="93">
        <f t="shared" si="0"/>
        <v>14939</v>
      </c>
      <c r="J28" s="1"/>
      <c r="L28" s="17"/>
      <c r="M28" s="26"/>
      <c r="N28" s="17"/>
      <c r="O28" s="17"/>
      <c r="P28" s="26"/>
      <c r="Q28" s="33"/>
    </row>
    <row r="29" spans="1:17" ht="18" customHeight="1" x14ac:dyDescent="0.3">
      <c r="A29" s="1"/>
      <c r="B29" s="92">
        <v>1</v>
      </c>
      <c r="C29" s="92" t="s">
        <v>140</v>
      </c>
      <c r="D29" s="95">
        <v>660</v>
      </c>
      <c r="E29" s="95">
        <v>265</v>
      </c>
      <c r="F29" s="105" t="s">
        <v>143</v>
      </c>
      <c r="G29" s="92" t="s">
        <v>141</v>
      </c>
      <c r="H29" s="106">
        <v>9059</v>
      </c>
      <c r="I29" s="93">
        <f t="shared" si="0"/>
        <v>9059</v>
      </c>
      <c r="J29" s="1"/>
      <c r="L29" s="17"/>
      <c r="M29" s="26"/>
      <c r="N29" s="17"/>
      <c r="O29" s="17"/>
      <c r="P29" s="26"/>
      <c r="Q29" s="33"/>
    </row>
    <row r="30" spans="1:17" ht="18" customHeight="1" x14ac:dyDescent="0.3">
      <c r="A30" s="1"/>
      <c r="B30" s="92">
        <v>3</v>
      </c>
      <c r="C30" s="92" t="s">
        <v>140</v>
      </c>
      <c r="D30" s="95">
        <v>660</v>
      </c>
      <c r="E30" s="95">
        <v>305</v>
      </c>
      <c r="F30" s="105" t="s">
        <v>143</v>
      </c>
      <c r="G30" s="92" t="s">
        <v>141</v>
      </c>
      <c r="H30" s="106">
        <v>10330</v>
      </c>
      <c r="I30" s="93">
        <f t="shared" si="0"/>
        <v>30990</v>
      </c>
      <c r="J30" s="1"/>
      <c r="L30" s="17"/>
      <c r="M30" s="26"/>
      <c r="N30" s="17"/>
      <c r="O30" s="17"/>
      <c r="P30" s="26"/>
      <c r="Q30" s="33"/>
    </row>
    <row r="31" spans="1:17" ht="18" customHeight="1" x14ac:dyDescent="0.3">
      <c r="A31" s="1"/>
      <c r="B31" s="92">
        <v>6</v>
      </c>
      <c r="C31" s="92" t="s">
        <v>140</v>
      </c>
      <c r="D31" s="95">
        <v>660</v>
      </c>
      <c r="E31" s="95">
        <v>325</v>
      </c>
      <c r="F31" s="105" t="s">
        <v>143</v>
      </c>
      <c r="G31" s="92" t="s">
        <v>141</v>
      </c>
      <c r="H31" s="106">
        <v>10966</v>
      </c>
      <c r="I31" s="93">
        <f t="shared" si="0"/>
        <v>65796</v>
      </c>
      <c r="J31" s="1"/>
      <c r="L31" s="17"/>
      <c r="M31" s="26"/>
      <c r="N31" s="17"/>
      <c r="O31" s="17"/>
      <c r="P31" s="26"/>
      <c r="Q31" s="33"/>
    </row>
    <row r="32" spans="1:17" ht="18" customHeight="1" x14ac:dyDescent="0.3">
      <c r="A32" s="1"/>
      <c r="B32" s="92">
        <v>1</v>
      </c>
      <c r="C32" s="92" t="s">
        <v>140</v>
      </c>
      <c r="D32" s="95">
        <v>660</v>
      </c>
      <c r="E32" s="95">
        <v>432</v>
      </c>
      <c r="F32" s="105" t="s">
        <v>143</v>
      </c>
      <c r="G32" s="92" t="s">
        <v>141</v>
      </c>
      <c r="H32" s="106">
        <v>14367</v>
      </c>
      <c r="I32" s="93">
        <f t="shared" si="0"/>
        <v>14367</v>
      </c>
      <c r="J32" s="1"/>
      <c r="L32" s="17"/>
      <c r="M32" s="26"/>
      <c r="N32" s="17"/>
      <c r="O32" s="17"/>
      <c r="P32" s="26"/>
      <c r="Q32" s="33"/>
    </row>
    <row r="33" spans="1:17" ht="18" customHeight="1" x14ac:dyDescent="0.3">
      <c r="A33" s="1"/>
      <c r="B33" s="92">
        <v>1</v>
      </c>
      <c r="C33" s="92" t="s">
        <v>140</v>
      </c>
      <c r="D33" s="95">
        <v>660</v>
      </c>
      <c r="E33" s="95">
        <v>240</v>
      </c>
      <c r="F33" s="105" t="s">
        <v>143</v>
      </c>
      <c r="G33" s="92" t="s">
        <v>141</v>
      </c>
      <c r="H33" s="106">
        <v>8264</v>
      </c>
      <c r="I33" s="93">
        <f t="shared" si="0"/>
        <v>8264</v>
      </c>
      <c r="J33" s="1"/>
      <c r="L33" s="17"/>
      <c r="M33" s="26"/>
      <c r="N33" s="17"/>
      <c r="O33" s="17"/>
      <c r="P33" s="26"/>
      <c r="Q33" s="33"/>
    </row>
    <row r="34" spans="1:17" ht="18" customHeight="1" x14ac:dyDescent="0.3">
      <c r="A34" s="1"/>
      <c r="B34" s="92">
        <v>9</v>
      </c>
      <c r="C34" s="92" t="s">
        <v>140</v>
      </c>
      <c r="D34" s="95">
        <v>660</v>
      </c>
      <c r="E34" s="95">
        <v>395</v>
      </c>
      <c r="F34" s="105" t="s">
        <v>143</v>
      </c>
      <c r="G34" s="92" t="s">
        <v>141</v>
      </c>
      <c r="H34" s="106">
        <v>13191</v>
      </c>
      <c r="I34" s="93">
        <f t="shared" si="0"/>
        <v>118719</v>
      </c>
      <c r="J34" s="1"/>
      <c r="L34" s="17"/>
      <c r="M34" s="26"/>
      <c r="N34" s="17"/>
      <c r="O34" s="17"/>
      <c r="P34" s="26"/>
      <c r="Q34" s="33"/>
    </row>
    <row r="35" spans="1:17" ht="18" customHeight="1" x14ac:dyDescent="0.3">
      <c r="A35" s="1"/>
      <c r="B35" s="92">
        <v>4</v>
      </c>
      <c r="C35" s="92" t="s">
        <v>140</v>
      </c>
      <c r="D35" s="95">
        <v>660</v>
      </c>
      <c r="E35" s="95">
        <v>405</v>
      </c>
      <c r="F35" s="105" t="s">
        <v>143</v>
      </c>
      <c r="G35" s="92" t="s">
        <v>141</v>
      </c>
      <c r="H35" s="106">
        <v>13509</v>
      </c>
      <c r="I35" s="93">
        <f t="shared" si="0"/>
        <v>54036</v>
      </c>
      <c r="J35" s="1"/>
      <c r="L35" s="17"/>
      <c r="M35" s="26"/>
      <c r="N35" s="17"/>
      <c r="O35" s="17"/>
      <c r="P35" s="26"/>
      <c r="Q35" s="33"/>
    </row>
    <row r="36" spans="1:17" ht="18" customHeight="1" x14ac:dyDescent="0.3">
      <c r="A36" s="1"/>
      <c r="B36" s="92">
        <v>20</v>
      </c>
      <c r="C36" s="92" t="s">
        <v>140</v>
      </c>
      <c r="D36" s="95">
        <v>660</v>
      </c>
      <c r="E36" s="95">
        <v>355</v>
      </c>
      <c r="F36" s="105" t="s">
        <v>143</v>
      </c>
      <c r="G36" s="92" t="s">
        <v>141</v>
      </c>
      <c r="H36" s="106">
        <v>11920</v>
      </c>
      <c r="I36" s="93">
        <f t="shared" si="0"/>
        <v>238400</v>
      </c>
      <c r="J36" s="1"/>
      <c r="L36" s="17"/>
      <c r="M36" s="26"/>
      <c r="N36" s="17"/>
      <c r="O36" s="17"/>
      <c r="P36" s="26"/>
      <c r="Q36" s="33"/>
    </row>
    <row r="37" spans="1:17" ht="18" customHeight="1" x14ac:dyDescent="0.3">
      <c r="A37" s="1"/>
      <c r="B37" s="92">
        <v>4</v>
      </c>
      <c r="C37" s="92" t="s">
        <v>140</v>
      </c>
      <c r="D37" s="95">
        <v>660</v>
      </c>
      <c r="E37" s="95">
        <v>393</v>
      </c>
      <c r="F37" s="105" t="s">
        <v>143</v>
      </c>
      <c r="G37" s="92" t="s">
        <v>141</v>
      </c>
      <c r="H37" s="106">
        <v>13127</v>
      </c>
      <c r="I37" s="93">
        <f t="shared" si="0"/>
        <v>52508</v>
      </c>
      <c r="J37" s="1"/>
      <c r="L37" s="17"/>
      <c r="M37" s="26"/>
      <c r="N37" s="17"/>
      <c r="O37" s="17"/>
      <c r="P37" s="26"/>
      <c r="Q37" s="33"/>
    </row>
    <row r="38" spans="1:17" ht="18" customHeight="1" x14ac:dyDescent="0.3">
      <c r="A38" s="1"/>
      <c r="B38" s="92">
        <v>2</v>
      </c>
      <c r="C38" s="92" t="s">
        <v>140</v>
      </c>
      <c r="D38" s="95">
        <v>660</v>
      </c>
      <c r="E38" s="95">
        <v>445</v>
      </c>
      <c r="F38" s="105" t="s">
        <v>143</v>
      </c>
      <c r="G38" s="92" t="s">
        <v>141</v>
      </c>
      <c r="H38" s="106">
        <v>14780</v>
      </c>
      <c r="I38" s="93">
        <f t="shared" si="0"/>
        <v>29560</v>
      </c>
      <c r="J38" s="1"/>
      <c r="L38" s="17"/>
      <c r="M38" s="26"/>
      <c r="N38" s="17"/>
      <c r="O38" s="17"/>
      <c r="P38" s="26"/>
      <c r="Q38" s="33"/>
    </row>
    <row r="39" spans="1:17" ht="18" customHeight="1" x14ac:dyDescent="0.3">
      <c r="A39" s="1"/>
      <c r="B39" s="92">
        <v>1</v>
      </c>
      <c r="C39" s="92" t="s">
        <v>140</v>
      </c>
      <c r="D39" s="95">
        <v>660</v>
      </c>
      <c r="E39" s="95">
        <v>366</v>
      </c>
      <c r="F39" s="105" t="s">
        <v>143</v>
      </c>
      <c r="G39" s="92" t="s">
        <v>141</v>
      </c>
      <c r="H39" s="106">
        <v>12269</v>
      </c>
      <c r="I39" s="93">
        <f t="shared" si="0"/>
        <v>12269</v>
      </c>
      <c r="J39" s="1"/>
      <c r="L39" s="17"/>
      <c r="M39" s="26"/>
      <c r="N39" s="17"/>
      <c r="O39" s="17"/>
      <c r="P39" s="26"/>
      <c r="Q39" s="33"/>
    </row>
    <row r="40" spans="1:17" ht="18" customHeight="1" x14ac:dyDescent="0.3">
      <c r="A40" s="1"/>
      <c r="B40" s="92">
        <v>2</v>
      </c>
      <c r="C40" s="92" t="s">
        <v>140</v>
      </c>
      <c r="D40" s="95">
        <v>660</v>
      </c>
      <c r="E40" s="95">
        <v>330</v>
      </c>
      <c r="F40" s="105" t="s">
        <v>143</v>
      </c>
      <c r="G40" s="92" t="s">
        <v>141</v>
      </c>
      <c r="H40" s="106">
        <v>11125</v>
      </c>
      <c r="I40" s="93">
        <f t="shared" si="0"/>
        <v>22250</v>
      </c>
      <c r="J40" s="1"/>
      <c r="L40" s="17"/>
      <c r="M40" s="26"/>
      <c r="N40" s="17"/>
      <c r="O40" s="17"/>
      <c r="P40" s="26"/>
      <c r="Q40" s="33"/>
    </row>
    <row r="41" spans="1:17" ht="18" customHeight="1" x14ac:dyDescent="0.3">
      <c r="A41" s="1"/>
      <c r="B41" s="92">
        <v>4</v>
      </c>
      <c r="C41" s="92" t="s">
        <v>140</v>
      </c>
      <c r="D41" s="95">
        <v>510</v>
      </c>
      <c r="E41" s="95">
        <v>520</v>
      </c>
      <c r="F41" s="105" t="s">
        <v>143</v>
      </c>
      <c r="G41" s="92" t="s">
        <v>141</v>
      </c>
      <c r="H41" s="106">
        <v>13378</v>
      </c>
      <c r="I41" s="93">
        <f t="shared" si="0"/>
        <v>53512</v>
      </c>
      <c r="J41" s="1"/>
      <c r="L41" s="17"/>
      <c r="M41" s="26"/>
      <c r="N41" s="17"/>
      <c r="O41" s="17"/>
      <c r="P41" s="26"/>
      <c r="Q41" s="33"/>
    </row>
    <row r="42" spans="1:17" ht="15" customHeight="1" x14ac:dyDescent="0.3">
      <c r="A42" s="1"/>
      <c r="B42" s="92">
        <v>1</v>
      </c>
      <c r="C42" s="92" t="s">
        <v>140</v>
      </c>
      <c r="D42" s="95">
        <v>340</v>
      </c>
      <c r="E42" s="95">
        <v>785</v>
      </c>
      <c r="F42" s="105" t="s">
        <v>143</v>
      </c>
      <c r="G42" s="92" t="s">
        <v>141</v>
      </c>
      <c r="H42" s="106">
        <v>13546</v>
      </c>
      <c r="I42" s="93">
        <f t="shared" si="0"/>
        <v>13546</v>
      </c>
      <c r="J42" s="1"/>
    </row>
    <row r="43" spans="1:17" ht="15.6" x14ac:dyDescent="0.3">
      <c r="A43" s="1"/>
      <c r="B43" s="92">
        <v>1</v>
      </c>
      <c r="C43" s="92" t="s">
        <v>140</v>
      </c>
      <c r="D43" s="95">
        <v>294</v>
      </c>
      <c r="E43" s="95">
        <v>1015</v>
      </c>
      <c r="F43" s="105" t="s">
        <v>143</v>
      </c>
      <c r="G43" s="92" t="s">
        <v>141</v>
      </c>
      <c r="H43" s="106">
        <v>15191</v>
      </c>
      <c r="I43" s="93">
        <f t="shared" si="0"/>
        <v>15191</v>
      </c>
      <c r="J43" s="1"/>
    </row>
    <row r="44" spans="1:17" ht="15.6" x14ac:dyDescent="0.3">
      <c r="A44" s="1"/>
      <c r="B44" s="92">
        <v>1</v>
      </c>
      <c r="C44" s="92" t="s">
        <v>140</v>
      </c>
      <c r="D44" s="95">
        <v>200</v>
      </c>
      <c r="E44" s="95">
        <v>465</v>
      </c>
      <c r="F44" s="105" t="s">
        <v>143</v>
      </c>
      <c r="G44" s="92" t="s">
        <v>141</v>
      </c>
      <c r="H44" s="106">
        <v>4988</v>
      </c>
      <c r="I44" s="93">
        <f t="shared" si="0"/>
        <v>4988</v>
      </c>
      <c r="J44" s="1"/>
    </row>
    <row r="45" spans="1:17" ht="15.6" x14ac:dyDescent="0.3">
      <c r="A45" s="1"/>
      <c r="B45" s="92">
        <v>1</v>
      </c>
      <c r="C45" s="92" t="s">
        <v>140</v>
      </c>
      <c r="D45" s="95">
        <v>200</v>
      </c>
      <c r="E45" s="95">
        <v>305</v>
      </c>
      <c r="F45" s="105" t="s">
        <v>143</v>
      </c>
      <c r="G45" s="92" t="s">
        <v>141</v>
      </c>
      <c r="H45" s="106">
        <v>3342</v>
      </c>
      <c r="I45" s="93">
        <f t="shared" si="0"/>
        <v>3342</v>
      </c>
      <c r="J45" s="1"/>
    </row>
    <row r="46" spans="1:17" ht="15.6" x14ac:dyDescent="0.3">
      <c r="A46" s="1"/>
      <c r="B46" s="92">
        <v>1</v>
      </c>
      <c r="C46" s="92" t="s">
        <v>140</v>
      </c>
      <c r="D46" s="95">
        <v>140</v>
      </c>
      <c r="E46" s="95">
        <v>465</v>
      </c>
      <c r="F46" s="105" t="s">
        <v>143</v>
      </c>
      <c r="G46" s="92" t="s">
        <v>141</v>
      </c>
      <c r="H46" s="106">
        <v>3627</v>
      </c>
      <c r="I46" s="93">
        <f t="shared" si="0"/>
        <v>3627</v>
      </c>
      <c r="J46" s="1"/>
    </row>
    <row r="47" spans="1:17" ht="15.6" x14ac:dyDescent="0.3">
      <c r="A47" s="1"/>
      <c r="B47" s="92">
        <v>1</v>
      </c>
      <c r="C47" s="92" t="s">
        <v>140</v>
      </c>
      <c r="D47" s="95">
        <v>140</v>
      </c>
      <c r="E47" s="95">
        <v>305</v>
      </c>
      <c r="F47" s="105" t="s">
        <v>143</v>
      </c>
      <c r="G47" s="92" t="s">
        <v>141</v>
      </c>
      <c r="H47" s="106">
        <v>2431</v>
      </c>
      <c r="I47" s="93">
        <f t="shared" si="0"/>
        <v>2431</v>
      </c>
      <c r="J47" s="1"/>
    </row>
    <row r="48" spans="1:17" ht="15.6" x14ac:dyDescent="0.3">
      <c r="A48" s="1"/>
      <c r="B48" s="92">
        <v>1</v>
      </c>
      <c r="C48" s="92" t="s">
        <v>140</v>
      </c>
      <c r="D48" s="95">
        <v>100</v>
      </c>
      <c r="E48" s="95">
        <v>465</v>
      </c>
      <c r="F48" s="105" t="s">
        <v>143</v>
      </c>
      <c r="G48" s="92" t="s">
        <v>141</v>
      </c>
      <c r="H48" s="106">
        <v>2720</v>
      </c>
      <c r="I48" s="93">
        <f t="shared" si="0"/>
        <v>2720</v>
      </c>
      <c r="J48" s="1"/>
    </row>
    <row r="49" spans="1:10" ht="15.6" x14ac:dyDescent="0.3">
      <c r="A49" s="1"/>
      <c r="B49" s="92">
        <v>1</v>
      </c>
      <c r="C49" s="92" t="s">
        <v>140</v>
      </c>
      <c r="D49" s="95">
        <v>100</v>
      </c>
      <c r="E49" s="95">
        <v>305</v>
      </c>
      <c r="F49" s="105" t="s">
        <v>143</v>
      </c>
      <c r="G49" s="92" t="s">
        <v>141</v>
      </c>
      <c r="H49" s="106">
        <v>1823</v>
      </c>
      <c r="I49" s="93">
        <f t="shared" si="0"/>
        <v>1823</v>
      </c>
      <c r="J49" s="1"/>
    </row>
    <row r="50" spans="1:10" ht="16.2" thickBot="1" x14ac:dyDescent="0.35">
      <c r="A50" s="1"/>
      <c r="B50" s="2">
        <f>SUM(B22:B49)</f>
        <v>93</v>
      </c>
      <c r="G50" s="1"/>
      <c r="H50" s="1"/>
      <c r="I50" s="1"/>
      <c r="J50" s="1"/>
    </row>
    <row r="51" spans="1:10" ht="15.6" x14ac:dyDescent="0.3">
      <c r="A51" s="1"/>
      <c r="B51" s="1"/>
      <c r="C51" s="1"/>
      <c r="D51" s="1"/>
      <c r="E51" s="1"/>
      <c r="F51" s="1"/>
      <c r="G51" s="1"/>
      <c r="H51" s="73" t="s">
        <v>5</v>
      </c>
      <c r="I51" s="74">
        <f>SUM(I22:I49)</f>
        <v>1284878</v>
      </c>
      <c r="J51" s="1"/>
    </row>
    <row r="52" spans="1:10" ht="15.6" x14ac:dyDescent="0.3">
      <c r="A52" s="1"/>
      <c r="B52" s="1"/>
      <c r="C52" s="1"/>
      <c r="D52" s="1"/>
      <c r="E52" s="1"/>
      <c r="F52" s="1"/>
      <c r="G52" s="1"/>
      <c r="H52" s="75" t="s">
        <v>6</v>
      </c>
      <c r="I52" s="76">
        <f>I51*19%</f>
        <v>244126.82</v>
      </c>
      <c r="J52" s="1"/>
    </row>
    <row r="53" spans="1:10" ht="16.2" thickBot="1" x14ac:dyDescent="0.35">
      <c r="H53" s="77" t="s">
        <v>4</v>
      </c>
      <c r="I53" s="78">
        <f>I51+I52</f>
        <v>1529004.82</v>
      </c>
    </row>
    <row r="59" spans="1:10" ht="15.6" x14ac:dyDescent="0.3">
      <c r="B59" s="1" t="s">
        <v>25</v>
      </c>
      <c r="C59" s="1"/>
      <c r="D59" s="1"/>
      <c r="E59" s="79" t="s">
        <v>26</v>
      </c>
      <c r="F59" s="79"/>
    </row>
  </sheetData>
  <sortState xmlns:xlrd2="http://schemas.microsoft.com/office/spreadsheetml/2017/richdata2" ref="B54">
    <sortCondition sortBy="fontColor" ref="B54" dxfId="0"/>
  </sortState>
  <mergeCells count="2">
    <mergeCell ref="G17:I17"/>
    <mergeCell ref="B20:I20"/>
  </mergeCells>
  <phoneticPr fontId="10" type="noConversion"/>
  <hyperlinks>
    <hyperlink ref="E5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8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73"/>
  <sheetViews>
    <sheetView zoomScaleNormal="100" workbookViewId="0">
      <selection sqref="A1:F8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39" t="s">
        <v>27</v>
      </c>
      <c r="D4" s="14">
        <f>'4637'!H8</f>
        <v>7358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MOBILINARES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0" t="str">
        <f>'4637'!G11</f>
        <v>FECHA LIMITE :</v>
      </c>
      <c r="D7" s="13">
        <f>'4637'!H11</f>
        <v>0</v>
      </c>
      <c r="E7" s="1"/>
      <c r="F7" s="1"/>
      <c r="G7" s="1"/>
    </row>
    <row r="8" spans="1:14" ht="15.6" x14ac:dyDescent="0.3">
      <c r="A8" s="1"/>
      <c r="B8" s="1"/>
      <c r="C8" s="52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20</v>
      </c>
      <c r="E13" s="32">
        <v>20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88" t="s">
        <v>144</v>
      </c>
      <c r="B14" s="25">
        <f t="shared" ref="B14" si="0">I14</f>
        <v>6</v>
      </c>
      <c r="C14" s="25"/>
      <c r="D14" s="25">
        <f t="shared" ref="D14:D41" si="1">J14+D$13</f>
        <v>940</v>
      </c>
      <c r="E14" s="25">
        <f t="shared" ref="E14:E41" si="2">K14+E$13</f>
        <v>435</v>
      </c>
      <c r="F14" s="90" t="str">
        <f t="shared" ref="F14:F20" si="3">C85</f>
        <v>E/R 1 CARA</v>
      </c>
      <c r="G14" s="1"/>
      <c r="I14" s="3">
        <f t="shared" ref="I14:J21" si="4">I51</f>
        <v>6</v>
      </c>
      <c r="J14" s="4">
        <f t="shared" si="4"/>
        <v>920</v>
      </c>
      <c r="K14" s="4">
        <f t="shared" ref="K14:K20" si="5">E85</f>
        <v>415</v>
      </c>
    </row>
    <row r="15" spans="1:14" ht="15.6" x14ac:dyDescent="0.3">
      <c r="A15" s="88"/>
      <c r="B15" s="25">
        <f t="shared" ref="B15:B22" si="6">I15</f>
        <v>4</v>
      </c>
      <c r="C15" s="25"/>
      <c r="D15" s="25">
        <f t="shared" si="1"/>
        <v>940</v>
      </c>
      <c r="E15" s="25">
        <f t="shared" si="2"/>
        <v>465</v>
      </c>
      <c r="F15" s="90" t="str">
        <f t="shared" si="3"/>
        <v>E/R 1 CARA</v>
      </c>
      <c r="G15" s="1"/>
      <c r="I15" s="3">
        <f t="shared" si="4"/>
        <v>4</v>
      </c>
      <c r="J15" s="4">
        <f t="shared" si="4"/>
        <v>920</v>
      </c>
      <c r="K15" s="4">
        <f t="shared" si="5"/>
        <v>445</v>
      </c>
    </row>
    <row r="16" spans="1:14" ht="15.6" x14ac:dyDescent="0.3">
      <c r="A16" s="88"/>
      <c r="B16" s="25">
        <f t="shared" si="6"/>
        <v>6</v>
      </c>
      <c r="C16" s="25"/>
      <c r="D16" s="25">
        <f t="shared" si="1"/>
        <v>940</v>
      </c>
      <c r="E16" s="25">
        <f t="shared" si="2"/>
        <v>485</v>
      </c>
      <c r="F16" s="90" t="str">
        <f t="shared" si="3"/>
        <v>E/R 1 CARA</v>
      </c>
      <c r="G16" s="1"/>
      <c r="I16" s="3">
        <f t="shared" si="4"/>
        <v>6</v>
      </c>
      <c r="J16" s="4">
        <f t="shared" si="4"/>
        <v>920</v>
      </c>
      <c r="K16" s="4">
        <f t="shared" si="5"/>
        <v>465</v>
      </c>
    </row>
    <row r="17" spans="1:11" ht="15.6" x14ac:dyDescent="0.3">
      <c r="A17" s="88"/>
      <c r="B17" s="25">
        <f t="shared" si="6"/>
        <v>2</v>
      </c>
      <c r="C17" s="25"/>
      <c r="D17" s="25">
        <f t="shared" si="1"/>
        <v>940</v>
      </c>
      <c r="E17" s="25">
        <f t="shared" si="2"/>
        <v>360</v>
      </c>
      <c r="F17" s="90" t="str">
        <f t="shared" si="3"/>
        <v>E/R 1 CARA</v>
      </c>
      <c r="G17" s="1"/>
      <c r="I17" s="3">
        <f t="shared" si="4"/>
        <v>2</v>
      </c>
      <c r="J17" s="4">
        <f t="shared" si="4"/>
        <v>920</v>
      </c>
      <c r="K17" s="4">
        <f t="shared" si="5"/>
        <v>340</v>
      </c>
    </row>
    <row r="18" spans="1:11" ht="15.6" x14ac:dyDescent="0.3">
      <c r="A18" s="88"/>
      <c r="B18" s="25">
        <f t="shared" si="6"/>
        <v>7</v>
      </c>
      <c r="C18" s="25"/>
      <c r="D18" s="25">
        <f t="shared" si="1"/>
        <v>710</v>
      </c>
      <c r="E18" s="25">
        <f t="shared" si="2"/>
        <v>615</v>
      </c>
      <c r="F18" s="90" t="str">
        <f t="shared" si="3"/>
        <v>E/R 1 CARA</v>
      </c>
      <c r="G18" s="1"/>
      <c r="I18" s="3">
        <f t="shared" si="4"/>
        <v>7</v>
      </c>
      <c r="J18" s="4">
        <f t="shared" si="4"/>
        <v>690</v>
      </c>
      <c r="K18" s="4">
        <f t="shared" si="5"/>
        <v>595</v>
      </c>
    </row>
    <row r="19" spans="1:11" ht="15.6" x14ac:dyDescent="0.3">
      <c r="A19" s="88"/>
      <c r="B19" s="25">
        <f t="shared" si="6"/>
        <v>1</v>
      </c>
      <c r="C19" s="25"/>
      <c r="D19" s="25">
        <f t="shared" si="1"/>
        <v>710</v>
      </c>
      <c r="E19" s="25">
        <f t="shared" si="2"/>
        <v>415</v>
      </c>
      <c r="F19" s="90" t="str">
        <f t="shared" si="3"/>
        <v>E/R 1 CARA</v>
      </c>
      <c r="G19" s="1"/>
      <c r="I19" s="3">
        <f t="shared" si="4"/>
        <v>1</v>
      </c>
      <c r="J19" s="4">
        <f t="shared" si="4"/>
        <v>690</v>
      </c>
      <c r="K19" s="4">
        <f t="shared" si="5"/>
        <v>395</v>
      </c>
    </row>
    <row r="20" spans="1:11" ht="15.6" x14ac:dyDescent="0.3">
      <c r="A20" s="88"/>
      <c r="B20" s="25">
        <f t="shared" si="6"/>
        <v>1</v>
      </c>
      <c r="C20" s="25"/>
      <c r="D20" s="25">
        <f t="shared" si="1"/>
        <v>680</v>
      </c>
      <c r="E20" s="25">
        <f t="shared" si="2"/>
        <v>470</v>
      </c>
      <c r="F20" s="90" t="str">
        <f t="shared" si="3"/>
        <v>E/R 1 CARA</v>
      </c>
      <c r="G20" s="1"/>
      <c r="I20" s="3">
        <f t="shared" si="4"/>
        <v>1</v>
      </c>
      <c r="J20" s="4">
        <f t="shared" si="4"/>
        <v>660</v>
      </c>
      <c r="K20" s="4">
        <f t="shared" si="5"/>
        <v>450</v>
      </c>
    </row>
    <row r="21" spans="1:11" ht="15.6" x14ac:dyDescent="0.3">
      <c r="A21" s="88"/>
      <c r="B21" s="25">
        <f t="shared" ref="B21" si="7">I21</f>
        <v>1</v>
      </c>
      <c r="C21" s="25"/>
      <c r="D21" s="25">
        <f t="shared" si="1"/>
        <v>680</v>
      </c>
      <c r="E21" s="25">
        <f t="shared" si="2"/>
        <v>285</v>
      </c>
      <c r="F21" s="90" t="str">
        <f t="shared" ref="F21" si="8">C92</f>
        <v>E/R 1 CARA</v>
      </c>
      <c r="G21" s="1"/>
      <c r="I21" s="3">
        <f t="shared" si="4"/>
        <v>1</v>
      </c>
      <c r="J21" s="4">
        <f t="shared" si="4"/>
        <v>660</v>
      </c>
      <c r="K21" s="4">
        <f t="shared" ref="K21" si="9">E92</f>
        <v>265</v>
      </c>
    </row>
    <row r="22" spans="1:11" ht="15.6" x14ac:dyDescent="0.3">
      <c r="A22" s="88"/>
      <c r="B22" s="25">
        <f t="shared" si="6"/>
        <v>3</v>
      </c>
      <c r="C22" s="25"/>
      <c r="D22" s="25">
        <f t="shared" si="1"/>
        <v>680</v>
      </c>
      <c r="E22" s="25">
        <f t="shared" si="2"/>
        <v>325</v>
      </c>
      <c r="F22" s="90" t="str">
        <f t="shared" ref="F22" si="10">C93</f>
        <v>E/R 1 CARA</v>
      </c>
      <c r="G22" s="1"/>
      <c r="I22" s="3">
        <v>3</v>
      </c>
      <c r="J22" s="4">
        <f>J62</f>
        <v>660</v>
      </c>
      <c r="K22" s="4">
        <f t="shared" ref="K22" si="11">E93</f>
        <v>305</v>
      </c>
    </row>
    <row r="23" spans="1:11" ht="15.6" x14ac:dyDescent="0.3">
      <c r="A23" s="88"/>
      <c r="B23" s="25">
        <f t="shared" ref="B23:B24" si="12">I23</f>
        <v>6</v>
      </c>
      <c r="C23" s="25"/>
      <c r="D23" s="25">
        <f t="shared" si="1"/>
        <v>680</v>
      </c>
      <c r="E23" s="25">
        <f t="shared" si="2"/>
        <v>345</v>
      </c>
      <c r="F23" s="90" t="str">
        <f t="shared" ref="F23:F24" si="13">C94</f>
        <v>E/R 1 CARA</v>
      </c>
      <c r="G23" s="1"/>
      <c r="I23" s="3">
        <v>6</v>
      </c>
      <c r="J23" s="4">
        <f t="shared" ref="J23" si="14">J63</f>
        <v>660</v>
      </c>
      <c r="K23" s="4">
        <f t="shared" ref="K23:K24" si="15">E94</f>
        <v>325</v>
      </c>
    </row>
    <row r="24" spans="1:11" ht="15.6" x14ac:dyDescent="0.3">
      <c r="A24" s="88"/>
      <c r="B24" s="25">
        <f t="shared" si="12"/>
        <v>1</v>
      </c>
      <c r="C24" s="25"/>
      <c r="D24" s="25">
        <f t="shared" si="1"/>
        <v>680</v>
      </c>
      <c r="E24" s="25">
        <f t="shared" si="2"/>
        <v>452</v>
      </c>
      <c r="F24" s="90" t="str">
        <f t="shared" si="13"/>
        <v>E/R 1 CARA</v>
      </c>
      <c r="G24" s="1"/>
      <c r="I24" s="3">
        <v>1</v>
      </c>
      <c r="J24" s="4">
        <f t="shared" ref="J24" si="16">J64</f>
        <v>660</v>
      </c>
      <c r="K24" s="4">
        <f t="shared" si="15"/>
        <v>432</v>
      </c>
    </row>
    <row r="25" spans="1:11" ht="15.6" x14ac:dyDescent="0.3">
      <c r="A25" s="88"/>
      <c r="B25" s="25">
        <f t="shared" ref="B25" si="17">I25</f>
        <v>1</v>
      </c>
      <c r="C25" s="25"/>
      <c r="D25" s="25">
        <f t="shared" si="1"/>
        <v>680</v>
      </c>
      <c r="E25" s="25">
        <f t="shared" si="2"/>
        <v>260</v>
      </c>
      <c r="F25" s="90" t="str">
        <f t="shared" ref="F25" si="18">C96</f>
        <v>E/R 1 CARA</v>
      </c>
      <c r="G25" s="1"/>
      <c r="I25" s="3">
        <f t="shared" ref="I25:I41" si="19">I61</f>
        <v>1</v>
      </c>
      <c r="J25" s="4">
        <f>J62</f>
        <v>660</v>
      </c>
      <c r="K25" s="4">
        <f t="shared" ref="K25" si="20">E96</f>
        <v>240</v>
      </c>
    </row>
    <row r="26" spans="1:11" ht="15.6" x14ac:dyDescent="0.3">
      <c r="A26" s="88"/>
      <c r="B26" s="25">
        <f t="shared" ref="B26:B41" si="21">I26</f>
        <v>9</v>
      </c>
      <c r="C26" s="25"/>
      <c r="D26" s="25">
        <f t="shared" si="1"/>
        <v>680</v>
      </c>
      <c r="E26" s="25">
        <f t="shared" si="2"/>
        <v>415</v>
      </c>
      <c r="F26" s="90" t="str">
        <f t="shared" ref="F26:F41" si="22">C97</f>
        <v>E/R 1 CARA</v>
      </c>
      <c r="G26" s="1"/>
      <c r="I26" s="3">
        <v>9</v>
      </c>
      <c r="J26" s="4">
        <f t="shared" ref="J26" si="23">J63</f>
        <v>660</v>
      </c>
      <c r="K26" s="4">
        <f t="shared" ref="K26:K41" si="24">E97</f>
        <v>395</v>
      </c>
    </row>
    <row r="27" spans="1:11" ht="15.6" x14ac:dyDescent="0.3">
      <c r="A27" s="88"/>
      <c r="B27" s="25">
        <f t="shared" si="21"/>
        <v>4</v>
      </c>
      <c r="C27" s="25"/>
      <c r="D27" s="25">
        <f t="shared" si="1"/>
        <v>680</v>
      </c>
      <c r="E27" s="25">
        <f t="shared" si="2"/>
        <v>425</v>
      </c>
      <c r="F27" s="90" t="str">
        <f t="shared" si="22"/>
        <v>E/R 1 CARA</v>
      </c>
      <c r="G27" s="1"/>
      <c r="I27" s="3">
        <v>4</v>
      </c>
      <c r="J27" s="4">
        <f t="shared" ref="J27" si="25">J64</f>
        <v>660</v>
      </c>
      <c r="K27" s="4">
        <f t="shared" si="24"/>
        <v>405</v>
      </c>
    </row>
    <row r="28" spans="1:11" ht="15.6" x14ac:dyDescent="0.3">
      <c r="A28" s="88"/>
      <c r="B28" s="25">
        <f t="shared" si="21"/>
        <v>20</v>
      </c>
      <c r="C28" s="25"/>
      <c r="D28" s="25">
        <f t="shared" si="1"/>
        <v>680</v>
      </c>
      <c r="E28" s="25">
        <f t="shared" si="2"/>
        <v>375</v>
      </c>
      <c r="F28" s="90" t="str">
        <f t="shared" si="22"/>
        <v>E/R 1 CARA</v>
      </c>
      <c r="G28" s="1"/>
      <c r="I28" s="3">
        <v>20</v>
      </c>
      <c r="J28" s="4">
        <f t="shared" ref="J28" si="26">J65</f>
        <v>660</v>
      </c>
      <c r="K28" s="4">
        <f t="shared" si="24"/>
        <v>355</v>
      </c>
    </row>
    <row r="29" spans="1:11" ht="15.6" x14ac:dyDescent="0.3">
      <c r="A29" s="88"/>
      <c r="B29" s="25">
        <f t="shared" si="21"/>
        <v>4</v>
      </c>
      <c r="C29" s="25"/>
      <c r="D29" s="25">
        <f t="shared" si="1"/>
        <v>680</v>
      </c>
      <c r="E29" s="25">
        <f t="shared" si="2"/>
        <v>413</v>
      </c>
      <c r="F29" s="90" t="str">
        <f t="shared" si="22"/>
        <v>E/R 1 CARA</v>
      </c>
      <c r="G29" s="1"/>
      <c r="I29" s="3">
        <v>4</v>
      </c>
      <c r="J29" s="4">
        <f t="shared" ref="J29" si="27">J66</f>
        <v>660</v>
      </c>
      <c r="K29" s="4">
        <f t="shared" si="24"/>
        <v>393</v>
      </c>
    </row>
    <row r="30" spans="1:11" ht="15.6" x14ac:dyDescent="0.3">
      <c r="A30" s="88"/>
      <c r="B30" s="25">
        <f t="shared" si="21"/>
        <v>2</v>
      </c>
      <c r="C30" s="25"/>
      <c r="D30" s="25">
        <f t="shared" si="1"/>
        <v>680</v>
      </c>
      <c r="E30" s="25">
        <f t="shared" si="2"/>
        <v>465</v>
      </c>
      <c r="F30" s="90" t="str">
        <f t="shared" si="22"/>
        <v>E/R 1 CARA</v>
      </c>
      <c r="G30" s="1"/>
      <c r="I30" s="3">
        <v>2</v>
      </c>
      <c r="J30" s="4">
        <f t="shared" ref="J30" si="28">J67</f>
        <v>660</v>
      </c>
      <c r="K30" s="4">
        <f t="shared" si="24"/>
        <v>445</v>
      </c>
    </row>
    <row r="31" spans="1:11" ht="15.6" x14ac:dyDescent="0.3">
      <c r="A31" s="88"/>
      <c r="B31" s="25">
        <f t="shared" si="21"/>
        <v>1</v>
      </c>
      <c r="C31" s="25"/>
      <c r="D31" s="25">
        <f t="shared" si="1"/>
        <v>680</v>
      </c>
      <c r="E31" s="25">
        <f t="shared" si="2"/>
        <v>386</v>
      </c>
      <c r="F31" s="90" t="str">
        <f t="shared" si="22"/>
        <v>E/R 1 CARA</v>
      </c>
      <c r="G31" s="1"/>
      <c r="I31" s="3">
        <v>1</v>
      </c>
      <c r="J31" s="4">
        <f t="shared" ref="J31" si="29">J68</f>
        <v>660</v>
      </c>
      <c r="K31" s="4">
        <f t="shared" si="24"/>
        <v>366</v>
      </c>
    </row>
    <row r="32" spans="1:11" ht="15.6" x14ac:dyDescent="0.3">
      <c r="A32" s="88"/>
      <c r="B32" s="25">
        <f t="shared" si="21"/>
        <v>2</v>
      </c>
      <c r="C32" s="25"/>
      <c r="D32" s="25">
        <f t="shared" si="1"/>
        <v>680</v>
      </c>
      <c r="E32" s="25">
        <f t="shared" si="2"/>
        <v>350</v>
      </c>
      <c r="F32" s="90" t="str">
        <f t="shared" si="22"/>
        <v>E/R 1 CARA</v>
      </c>
      <c r="G32" s="1"/>
      <c r="I32" s="3">
        <v>2</v>
      </c>
      <c r="J32" s="4">
        <f t="shared" ref="J32" si="30">J69</f>
        <v>660</v>
      </c>
      <c r="K32" s="4">
        <f t="shared" si="24"/>
        <v>330</v>
      </c>
    </row>
    <row r="33" spans="1:11" ht="15.6" x14ac:dyDescent="0.3">
      <c r="A33" s="88"/>
      <c r="B33" s="25">
        <f t="shared" si="21"/>
        <v>4</v>
      </c>
      <c r="C33" s="25"/>
      <c r="D33" s="25">
        <f t="shared" si="1"/>
        <v>530</v>
      </c>
      <c r="E33" s="25">
        <f t="shared" si="2"/>
        <v>540</v>
      </c>
      <c r="F33" s="90" t="str">
        <f t="shared" si="22"/>
        <v>E/R 1 CARA</v>
      </c>
      <c r="G33" s="1"/>
      <c r="I33" s="3">
        <v>4</v>
      </c>
      <c r="J33" s="4">
        <f t="shared" ref="J33" si="31">J70</f>
        <v>510</v>
      </c>
      <c r="K33" s="4">
        <f t="shared" si="24"/>
        <v>520</v>
      </c>
    </row>
    <row r="34" spans="1:11" ht="15.6" x14ac:dyDescent="0.3">
      <c r="A34" s="88"/>
      <c r="B34" s="25">
        <f t="shared" si="21"/>
        <v>1</v>
      </c>
      <c r="C34" s="25"/>
      <c r="D34" s="25">
        <f t="shared" si="1"/>
        <v>360</v>
      </c>
      <c r="E34" s="25">
        <f t="shared" si="2"/>
        <v>805</v>
      </c>
      <c r="F34" s="90" t="str">
        <f t="shared" si="22"/>
        <v>E/R 1 CARA</v>
      </c>
      <c r="G34" s="1"/>
      <c r="I34" s="3">
        <v>1</v>
      </c>
      <c r="J34" s="4">
        <f t="shared" ref="J34" si="32">J71</f>
        <v>340</v>
      </c>
      <c r="K34" s="4">
        <f t="shared" si="24"/>
        <v>785</v>
      </c>
    </row>
    <row r="35" spans="1:11" ht="15.6" x14ac:dyDescent="0.3">
      <c r="A35" s="88"/>
      <c r="B35" s="25">
        <f t="shared" si="21"/>
        <v>1</v>
      </c>
      <c r="C35" s="25"/>
      <c r="D35" s="25">
        <f t="shared" si="1"/>
        <v>314</v>
      </c>
      <c r="E35" s="25">
        <f t="shared" si="2"/>
        <v>1035</v>
      </c>
      <c r="F35" s="90" t="str">
        <f t="shared" si="22"/>
        <v>E/R 1 CARA</v>
      </c>
      <c r="G35" s="1"/>
      <c r="I35" s="3">
        <f t="shared" si="19"/>
        <v>1</v>
      </c>
      <c r="J35" s="4">
        <f t="shared" ref="J35" si="33">J72</f>
        <v>294</v>
      </c>
      <c r="K35" s="4">
        <f t="shared" si="24"/>
        <v>1015</v>
      </c>
    </row>
    <row r="36" spans="1:11" ht="15.6" x14ac:dyDescent="0.3">
      <c r="A36" s="88"/>
      <c r="B36" s="25">
        <f t="shared" si="21"/>
        <v>1</v>
      </c>
      <c r="C36" s="25"/>
      <c r="D36" s="25">
        <f t="shared" si="1"/>
        <v>220</v>
      </c>
      <c r="E36" s="25">
        <f t="shared" si="2"/>
        <v>485</v>
      </c>
      <c r="F36" s="90" t="str">
        <f t="shared" si="22"/>
        <v>E/R 1 CARA</v>
      </c>
      <c r="G36" s="1"/>
      <c r="I36" s="3">
        <f t="shared" si="19"/>
        <v>1</v>
      </c>
      <c r="J36" s="4">
        <f t="shared" ref="J36" si="34">J73</f>
        <v>200</v>
      </c>
      <c r="K36" s="4">
        <f t="shared" si="24"/>
        <v>465</v>
      </c>
    </row>
    <row r="37" spans="1:11" ht="15.6" x14ac:dyDescent="0.3">
      <c r="A37" s="88"/>
      <c r="B37" s="25">
        <f t="shared" si="21"/>
        <v>1</v>
      </c>
      <c r="C37" s="25"/>
      <c r="D37" s="25">
        <f t="shared" si="1"/>
        <v>220</v>
      </c>
      <c r="E37" s="25">
        <f t="shared" si="2"/>
        <v>325</v>
      </c>
      <c r="F37" s="90" t="str">
        <f t="shared" si="22"/>
        <v>E/R 1 CARA</v>
      </c>
      <c r="G37" s="1"/>
      <c r="I37" s="3">
        <f t="shared" si="19"/>
        <v>1</v>
      </c>
      <c r="J37" s="4">
        <f t="shared" ref="J37" si="35">J74</f>
        <v>200</v>
      </c>
      <c r="K37" s="4">
        <f t="shared" si="24"/>
        <v>305</v>
      </c>
    </row>
    <row r="38" spans="1:11" ht="15.6" x14ac:dyDescent="0.3">
      <c r="A38" s="88"/>
      <c r="B38" s="25">
        <f t="shared" si="21"/>
        <v>1</v>
      </c>
      <c r="C38" s="25"/>
      <c r="D38" s="25">
        <f t="shared" si="1"/>
        <v>160</v>
      </c>
      <c r="E38" s="25">
        <f t="shared" si="2"/>
        <v>485</v>
      </c>
      <c r="F38" s="90" t="str">
        <f t="shared" si="22"/>
        <v>E/R 1 CARA</v>
      </c>
      <c r="G38" s="1"/>
      <c r="I38" s="3">
        <f t="shared" si="19"/>
        <v>1</v>
      </c>
      <c r="J38" s="4">
        <f t="shared" ref="J38" si="36">J75</f>
        <v>140</v>
      </c>
      <c r="K38" s="4">
        <f t="shared" si="24"/>
        <v>465</v>
      </c>
    </row>
    <row r="39" spans="1:11" ht="15.6" x14ac:dyDescent="0.3">
      <c r="A39" s="88"/>
      <c r="B39" s="25">
        <f t="shared" si="21"/>
        <v>1</v>
      </c>
      <c r="C39" s="25"/>
      <c r="D39" s="25">
        <f t="shared" si="1"/>
        <v>160</v>
      </c>
      <c r="E39" s="25">
        <f t="shared" si="2"/>
        <v>325</v>
      </c>
      <c r="F39" s="90" t="str">
        <f t="shared" si="22"/>
        <v>E/R 1 CARA</v>
      </c>
      <c r="G39" s="1"/>
      <c r="I39" s="3">
        <f t="shared" si="19"/>
        <v>1</v>
      </c>
      <c r="J39" s="4">
        <f t="shared" ref="J39" si="37">J76</f>
        <v>140</v>
      </c>
      <c r="K39" s="4">
        <f t="shared" si="24"/>
        <v>305</v>
      </c>
    </row>
    <row r="40" spans="1:11" ht="15.6" x14ac:dyDescent="0.3">
      <c r="A40" s="88"/>
      <c r="B40" s="25">
        <f t="shared" si="21"/>
        <v>1</v>
      </c>
      <c r="C40" s="25"/>
      <c r="D40" s="25">
        <f t="shared" si="1"/>
        <v>120</v>
      </c>
      <c r="E40" s="25">
        <f t="shared" si="2"/>
        <v>485</v>
      </c>
      <c r="F40" s="90" t="str">
        <f t="shared" si="22"/>
        <v>E/R 1 CARA</v>
      </c>
      <c r="G40" s="1"/>
      <c r="I40" s="3">
        <f t="shared" si="19"/>
        <v>1</v>
      </c>
      <c r="J40" s="4">
        <f t="shared" ref="J40" si="38">J77</f>
        <v>100</v>
      </c>
      <c r="K40" s="4">
        <f t="shared" si="24"/>
        <v>465</v>
      </c>
    </row>
    <row r="41" spans="1:11" ht="15.6" x14ac:dyDescent="0.3">
      <c r="A41" s="88"/>
      <c r="B41" s="25">
        <f t="shared" si="21"/>
        <v>1</v>
      </c>
      <c r="C41" s="25"/>
      <c r="D41" s="25">
        <f t="shared" si="1"/>
        <v>120</v>
      </c>
      <c r="E41" s="25">
        <f t="shared" si="2"/>
        <v>325</v>
      </c>
      <c r="F41" s="90" t="str">
        <f t="shared" si="22"/>
        <v>E/R 1 CARA</v>
      </c>
      <c r="G41" s="1"/>
      <c r="I41" s="3">
        <f t="shared" si="19"/>
        <v>1</v>
      </c>
      <c r="J41" s="4">
        <f t="shared" ref="J41" si="39">J78</f>
        <v>100</v>
      </c>
      <c r="K41" s="4">
        <f t="shared" si="24"/>
        <v>305</v>
      </c>
    </row>
    <row r="42" spans="1:11" ht="15.6" x14ac:dyDescent="0.3">
      <c r="A42" s="88"/>
      <c r="B42" s="6">
        <f>SUM(B14:B41)</f>
        <v>93</v>
      </c>
      <c r="C42" s="6"/>
      <c r="D42" s="6"/>
      <c r="E42" s="6"/>
      <c r="F42" s="94"/>
      <c r="G42" s="1"/>
      <c r="I42" s="82"/>
      <c r="J42" s="2"/>
      <c r="K42" s="2"/>
    </row>
    <row r="43" spans="1:11" ht="15.6" x14ac:dyDescent="0.3">
      <c r="A43" s="88"/>
      <c r="B43" s="6"/>
      <c r="C43" s="6"/>
      <c r="D43" s="6"/>
      <c r="E43" s="6"/>
      <c r="F43" s="94"/>
      <c r="G43" s="1"/>
      <c r="I43" s="82"/>
      <c r="J43" s="2"/>
      <c r="K43" s="2"/>
    </row>
    <row r="44" spans="1:11" ht="15.6" x14ac:dyDescent="0.3">
      <c r="A44" s="88"/>
      <c r="B44" s="6"/>
      <c r="C44" s="6"/>
      <c r="D44" s="6"/>
      <c r="E44" s="6"/>
      <c r="F44" s="94"/>
      <c r="G44" s="1"/>
      <c r="I44" s="82"/>
      <c r="J44" s="2"/>
      <c r="K44" s="2"/>
    </row>
    <row r="45" spans="1:11" ht="15.6" x14ac:dyDescent="0.3">
      <c r="A45" s="51"/>
      <c r="B45" s="6"/>
      <c r="C45" s="6"/>
      <c r="D45" s="6"/>
      <c r="E45" s="6"/>
      <c r="F45" s="6"/>
      <c r="G45" s="1"/>
      <c r="I45" s="82"/>
      <c r="J45" s="2"/>
      <c r="K45" s="2"/>
    </row>
    <row r="46" spans="1:11" ht="6.75" customHeight="1" x14ac:dyDescent="0.3">
      <c r="A46" s="1"/>
      <c r="B46" s="1"/>
      <c r="C46" s="1"/>
      <c r="D46" s="1"/>
      <c r="E46" s="1"/>
      <c r="F46" s="1"/>
      <c r="G46" s="1"/>
    </row>
    <row r="47" spans="1:11" ht="15.6" x14ac:dyDescent="0.3">
      <c r="A47" s="115" t="s">
        <v>14</v>
      </c>
      <c r="B47" s="115"/>
      <c r="C47" s="115"/>
      <c r="D47" s="115"/>
      <c r="E47" s="115"/>
      <c r="F47" s="115"/>
      <c r="G47" s="1"/>
    </row>
    <row r="48" spans="1:11" ht="10.5" customHeight="1" x14ac:dyDescent="0.3">
      <c r="A48" s="1"/>
      <c r="B48" s="1"/>
      <c r="C48" s="12"/>
      <c r="D48" s="1"/>
      <c r="E48" s="1"/>
      <c r="F48" s="1"/>
      <c r="G48" s="1"/>
    </row>
    <row r="49" spans="1:11" ht="15.6" x14ac:dyDescent="0.3">
      <c r="A49" s="1"/>
      <c r="B49" s="1"/>
      <c r="C49" s="1"/>
      <c r="D49" s="51" t="s">
        <v>7</v>
      </c>
      <c r="E49" s="51" t="s">
        <v>8</v>
      </c>
      <c r="F49" s="1"/>
      <c r="G49" s="1"/>
    </row>
    <row r="50" spans="1:11" ht="15.6" x14ac:dyDescent="0.3">
      <c r="A50" s="51" t="s">
        <v>9</v>
      </c>
      <c r="B50" s="35" t="s">
        <v>10</v>
      </c>
      <c r="C50" s="35" t="s">
        <v>11</v>
      </c>
      <c r="D50" s="21">
        <v>20</v>
      </c>
      <c r="E50" s="21">
        <v>20</v>
      </c>
      <c r="F50" s="35" t="s">
        <v>110</v>
      </c>
      <c r="G50" s="1"/>
      <c r="J50" s="5" t="s">
        <v>7</v>
      </c>
      <c r="K50" s="5" t="s">
        <v>8</v>
      </c>
    </row>
    <row r="51" spans="1:11" ht="15.6" x14ac:dyDescent="0.3">
      <c r="A51" s="88"/>
      <c r="B51" s="16">
        <f t="shared" ref="B51" si="40">I51</f>
        <v>6</v>
      </c>
      <c r="C51" s="16"/>
      <c r="D51" s="16">
        <f>J51+D$50</f>
        <v>940</v>
      </c>
      <c r="E51" s="16">
        <f>K51+E$50</f>
        <v>435</v>
      </c>
      <c r="F51" s="91" t="str">
        <f t="shared" ref="F51:F57" si="41">C85</f>
        <v>E/R 1 CARA</v>
      </c>
      <c r="G51" s="1"/>
      <c r="I51" s="3">
        <f t="shared" ref="I51:I57" si="42">B85</f>
        <v>6</v>
      </c>
      <c r="J51" s="4">
        <f>D85</f>
        <v>920</v>
      </c>
      <c r="K51" s="4">
        <f>E85</f>
        <v>415</v>
      </c>
    </row>
    <row r="52" spans="1:11" ht="15.6" x14ac:dyDescent="0.3">
      <c r="A52" s="88"/>
      <c r="B52" s="16">
        <f t="shared" ref="B52:B59" si="43">I52</f>
        <v>4</v>
      </c>
      <c r="C52" s="16"/>
      <c r="D52" s="16">
        <f t="shared" ref="D52:D78" si="44">J52+D$50</f>
        <v>940</v>
      </c>
      <c r="E52" s="16">
        <f t="shared" ref="E52:E78" si="45">K52+E$50</f>
        <v>465</v>
      </c>
      <c r="F52" s="91" t="str">
        <f t="shared" si="41"/>
        <v>E/R 1 CARA</v>
      </c>
      <c r="G52" s="1"/>
      <c r="I52" s="3">
        <f t="shared" si="42"/>
        <v>4</v>
      </c>
      <c r="J52" s="4">
        <f t="shared" ref="J52:K52" si="46">D86</f>
        <v>920</v>
      </c>
      <c r="K52" s="4">
        <f t="shared" si="46"/>
        <v>445</v>
      </c>
    </row>
    <row r="53" spans="1:11" ht="15.6" x14ac:dyDescent="0.3">
      <c r="A53" s="88"/>
      <c r="B53" s="16">
        <f t="shared" si="43"/>
        <v>6</v>
      </c>
      <c r="C53" s="16"/>
      <c r="D53" s="16">
        <f t="shared" si="44"/>
        <v>940</v>
      </c>
      <c r="E53" s="16">
        <f t="shared" si="45"/>
        <v>485</v>
      </c>
      <c r="F53" s="91" t="str">
        <f t="shared" si="41"/>
        <v>E/R 1 CARA</v>
      </c>
      <c r="G53" s="1"/>
      <c r="I53" s="3">
        <f t="shared" si="42"/>
        <v>6</v>
      </c>
      <c r="J53" s="4">
        <f t="shared" ref="J53:K53" si="47">D87</f>
        <v>920</v>
      </c>
      <c r="K53" s="4">
        <f t="shared" si="47"/>
        <v>465</v>
      </c>
    </row>
    <row r="54" spans="1:11" ht="15.6" x14ac:dyDescent="0.3">
      <c r="A54" s="88"/>
      <c r="B54" s="16">
        <f t="shared" si="43"/>
        <v>2</v>
      </c>
      <c r="C54" s="16"/>
      <c r="D54" s="16">
        <f t="shared" si="44"/>
        <v>940</v>
      </c>
      <c r="E54" s="16">
        <f t="shared" si="45"/>
        <v>360</v>
      </c>
      <c r="F54" s="91" t="str">
        <f t="shared" si="41"/>
        <v>E/R 1 CARA</v>
      </c>
      <c r="G54" s="1"/>
      <c r="I54" s="3">
        <f t="shared" si="42"/>
        <v>2</v>
      </c>
      <c r="J54" s="4">
        <f t="shared" ref="J54:K54" si="48">D88</f>
        <v>920</v>
      </c>
      <c r="K54" s="4">
        <f t="shared" si="48"/>
        <v>340</v>
      </c>
    </row>
    <row r="55" spans="1:11" ht="15.6" x14ac:dyDescent="0.3">
      <c r="A55" s="88"/>
      <c r="B55" s="16">
        <f t="shared" si="43"/>
        <v>7</v>
      </c>
      <c r="C55" s="16"/>
      <c r="D55" s="16">
        <f t="shared" si="44"/>
        <v>710</v>
      </c>
      <c r="E55" s="16">
        <f t="shared" si="45"/>
        <v>615</v>
      </c>
      <c r="F55" s="91" t="str">
        <f t="shared" si="41"/>
        <v>E/R 1 CARA</v>
      </c>
      <c r="G55" s="1"/>
      <c r="I55" s="3">
        <f t="shared" si="42"/>
        <v>7</v>
      </c>
      <c r="J55" s="4">
        <f t="shared" ref="J55:K55" si="49">D89</f>
        <v>690</v>
      </c>
      <c r="K55" s="4">
        <f t="shared" si="49"/>
        <v>595</v>
      </c>
    </row>
    <row r="56" spans="1:11" ht="15.6" x14ac:dyDescent="0.3">
      <c r="A56" s="88"/>
      <c r="B56" s="16">
        <f t="shared" si="43"/>
        <v>1</v>
      </c>
      <c r="C56" s="16"/>
      <c r="D56" s="16">
        <f t="shared" si="44"/>
        <v>710</v>
      </c>
      <c r="E56" s="16">
        <f t="shared" si="45"/>
        <v>415</v>
      </c>
      <c r="F56" s="91" t="str">
        <f t="shared" si="41"/>
        <v>E/R 1 CARA</v>
      </c>
      <c r="G56" s="1"/>
      <c r="I56" s="3">
        <f t="shared" si="42"/>
        <v>1</v>
      </c>
      <c r="J56" s="4">
        <f t="shared" ref="J56:K56" si="50">D90</f>
        <v>690</v>
      </c>
      <c r="K56" s="4">
        <f t="shared" si="50"/>
        <v>395</v>
      </c>
    </row>
    <row r="57" spans="1:11" ht="15.6" x14ac:dyDescent="0.3">
      <c r="A57" s="88"/>
      <c r="B57" s="16">
        <f t="shared" si="43"/>
        <v>1</v>
      </c>
      <c r="C57" s="16"/>
      <c r="D57" s="16">
        <f t="shared" si="44"/>
        <v>680</v>
      </c>
      <c r="E57" s="16">
        <f t="shared" si="45"/>
        <v>470</v>
      </c>
      <c r="F57" s="91" t="str">
        <f t="shared" si="41"/>
        <v>E/R 1 CARA</v>
      </c>
      <c r="G57" s="1"/>
      <c r="I57" s="3">
        <f t="shared" si="42"/>
        <v>1</v>
      </c>
      <c r="J57" s="4">
        <f t="shared" ref="J57:K57" si="51">D91</f>
        <v>660</v>
      </c>
      <c r="K57" s="4">
        <f t="shared" si="51"/>
        <v>450</v>
      </c>
    </row>
    <row r="58" spans="1:11" ht="15.6" x14ac:dyDescent="0.3">
      <c r="A58" s="88"/>
      <c r="B58" s="16">
        <f t="shared" ref="B58" si="52">I58</f>
        <v>1</v>
      </c>
      <c r="C58" s="16"/>
      <c r="D58" s="16">
        <f t="shared" si="44"/>
        <v>680</v>
      </c>
      <c r="E58" s="16">
        <f t="shared" si="45"/>
        <v>285</v>
      </c>
      <c r="F58" s="91" t="str">
        <f t="shared" ref="F58" si="53">C92</f>
        <v>E/R 1 CARA</v>
      </c>
      <c r="G58" s="1"/>
      <c r="I58" s="3">
        <f t="shared" ref="I58" si="54">B92</f>
        <v>1</v>
      </c>
      <c r="J58" s="4">
        <f t="shared" ref="J58" si="55">D92</f>
        <v>660</v>
      </c>
      <c r="K58" s="4">
        <f t="shared" ref="K58" si="56">E92</f>
        <v>265</v>
      </c>
    </row>
    <row r="59" spans="1:11" ht="15.6" x14ac:dyDescent="0.3">
      <c r="A59" s="88"/>
      <c r="B59" s="16">
        <f t="shared" si="43"/>
        <v>3</v>
      </c>
      <c r="C59" s="16"/>
      <c r="D59" s="16">
        <f t="shared" si="44"/>
        <v>680</v>
      </c>
      <c r="E59" s="16">
        <f t="shared" si="45"/>
        <v>325</v>
      </c>
      <c r="F59" s="91" t="str">
        <f>C93</f>
        <v>E/R 1 CARA</v>
      </c>
      <c r="G59" s="1"/>
      <c r="I59" s="3">
        <f>B93</f>
        <v>3</v>
      </c>
      <c r="J59" s="4">
        <f t="shared" ref="J59:K59" si="57">D93</f>
        <v>660</v>
      </c>
      <c r="K59" s="4">
        <f t="shared" si="57"/>
        <v>305</v>
      </c>
    </row>
    <row r="60" spans="1:11" ht="15.6" x14ac:dyDescent="0.3">
      <c r="A60" s="88"/>
      <c r="B60" s="16">
        <f t="shared" ref="B60:B61" si="58">I60</f>
        <v>6</v>
      </c>
      <c r="C60" s="16"/>
      <c r="D60" s="16">
        <f t="shared" si="44"/>
        <v>680</v>
      </c>
      <c r="E60" s="16">
        <f t="shared" si="45"/>
        <v>345</v>
      </c>
      <c r="F60" s="91" t="str">
        <f t="shared" ref="F60:F61" si="59">C94</f>
        <v>E/R 1 CARA</v>
      </c>
      <c r="I60" s="3">
        <f t="shared" ref="I60:I61" si="60">B94</f>
        <v>6</v>
      </c>
      <c r="J60" s="4">
        <f t="shared" ref="J60:J61" si="61">D94</f>
        <v>660</v>
      </c>
      <c r="K60" s="4">
        <f t="shared" ref="K60:K61" si="62">E94</f>
        <v>325</v>
      </c>
    </row>
    <row r="61" spans="1:11" ht="15.6" x14ac:dyDescent="0.3">
      <c r="A61" s="88"/>
      <c r="B61" s="16">
        <f t="shared" si="58"/>
        <v>1</v>
      </c>
      <c r="C61" s="16"/>
      <c r="D61" s="16">
        <f t="shared" si="44"/>
        <v>680</v>
      </c>
      <c r="E61" s="16">
        <f t="shared" si="45"/>
        <v>452</v>
      </c>
      <c r="F61" s="91" t="str">
        <f t="shared" si="59"/>
        <v>E/R 1 CARA</v>
      </c>
      <c r="G61" s="1"/>
      <c r="I61" s="3">
        <f t="shared" si="60"/>
        <v>1</v>
      </c>
      <c r="J61" s="4">
        <f t="shared" si="61"/>
        <v>660</v>
      </c>
      <c r="K61" s="4">
        <f t="shared" si="62"/>
        <v>432</v>
      </c>
    </row>
    <row r="62" spans="1:11" ht="15.6" x14ac:dyDescent="0.3">
      <c r="A62" s="88"/>
      <c r="B62" s="16">
        <f>I62</f>
        <v>1</v>
      </c>
      <c r="C62" s="16"/>
      <c r="D62" s="16">
        <f t="shared" si="44"/>
        <v>680</v>
      </c>
      <c r="E62" s="16">
        <f t="shared" si="45"/>
        <v>260</v>
      </c>
      <c r="F62" s="91" t="str">
        <f t="shared" ref="F62:F78" si="63">C96</f>
        <v>E/R 1 CARA</v>
      </c>
      <c r="G62" s="1"/>
      <c r="I62" s="3">
        <f t="shared" ref="I62:I78" si="64">B96</f>
        <v>1</v>
      </c>
      <c r="J62" s="4">
        <f t="shared" ref="J62:J78" si="65">D96</f>
        <v>660</v>
      </c>
      <c r="K62" s="4">
        <f t="shared" ref="K62:K78" si="66">E96</f>
        <v>240</v>
      </c>
    </row>
    <row r="63" spans="1:11" ht="15.6" x14ac:dyDescent="0.3">
      <c r="A63" s="88"/>
      <c r="B63" s="16">
        <f t="shared" ref="B63:B78" si="67">I63</f>
        <v>9</v>
      </c>
      <c r="C63" s="16"/>
      <c r="D63" s="16">
        <f t="shared" si="44"/>
        <v>680</v>
      </c>
      <c r="E63" s="16">
        <f t="shared" si="45"/>
        <v>415</v>
      </c>
      <c r="F63" s="91" t="str">
        <f t="shared" si="63"/>
        <v>E/R 1 CARA</v>
      </c>
      <c r="G63" s="1"/>
      <c r="I63" s="3">
        <f t="shared" si="64"/>
        <v>9</v>
      </c>
      <c r="J63" s="4">
        <f t="shared" si="65"/>
        <v>660</v>
      </c>
      <c r="K63" s="4">
        <f t="shared" si="66"/>
        <v>395</v>
      </c>
    </row>
    <row r="64" spans="1:11" ht="15.6" x14ac:dyDescent="0.3">
      <c r="A64" s="88"/>
      <c r="B64" s="16">
        <f t="shared" si="67"/>
        <v>4</v>
      </c>
      <c r="C64" s="16"/>
      <c r="D64" s="16">
        <f t="shared" si="44"/>
        <v>680</v>
      </c>
      <c r="E64" s="16">
        <f t="shared" si="45"/>
        <v>425</v>
      </c>
      <c r="F64" s="91" t="str">
        <f t="shared" si="63"/>
        <v>E/R 1 CARA</v>
      </c>
      <c r="G64" s="1"/>
      <c r="I64" s="3">
        <f t="shared" si="64"/>
        <v>4</v>
      </c>
      <c r="J64" s="4">
        <f t="shared" si="65"/>
        <v>660</v>
      </c>
      <c r="K64" s="4">
        <f t="shared" si="66"/>
        <v>405</v>
      </c>
    </row>
    <row r="65" spans="1:11" ht="15.6" x14ac:dyDescent="0.3">
      <c r="A65" s="88"/>
      <c r="B65" s="16">
        <f t="shared" si="67"/>
        <v>20</v>
      </c>
      <c r="C65" s="16"/>
      <c r="D65" s="16">
        <f t="shared" si="44"/>
        <v>680</v>
      </c>
      <c r="E65" s="16">
        <f t="shared" si="45"/>
        <v>375</v>
      </c>
      <c r="F65" s="91" t="str">
        <f t="shared" si="63"/>
        <v>E/R 1 CARA</v>
      </c>
      <c r="G65" s="1"/>
      <c r="I65" s="3">
        <f t="shared" si="64"/>
        <v>20</v>
      </c>
      <c r="J65" s="4">
        <f t="shared" si="65"/>
        <v>660</v>
      </c>
      <c r="K65" s="4">
        <f t="shared" si="66"/>
        <v>355</v>
      </c>
    </row>
    <row r="66" spans="1:11" ht="15.6" x14ac:dyDescent="0.3">
      <c r="A66" s="88"/>
      <c r="B66" s="16">
        <f t="shared" si="67"/>
        <v>4</v>
      </c>
      <c r="C66" s="16"/>
      <c r="D66" s="16">
        <f t="shared" si="44"/>
        <v>680</v>
      </c>
      <c r="E66" s="16">
        <f t="shared" si="45"/>
        <v>413</v>
      </c>
      <c r="F66" s="91" t="str">
        <f t="shared" si="63"/>
        <v>E/R 1 CARA</v>
      </c>
      <c r="G66" s="1"/>
      <c r="I66" s="3">
        <f t="shared" si="64"/>
        <v>4</v>
      </c>
      <c r="J66" s="4">
        <f t="shared" si="65"/>
        <v>660</v>
      </c>
      <c r="K66" s="4">
        <f t="shared" si="66"/>
        <v>393</v>
      </c>
    </row>
    <row r="67" spans="1:11" ht="15.6" x14ac:dyDescent="0.3">
      <c r="A67" s="88"/>
      <c r="B67" s="16">
        <f t="shared" si="67"/>
        <v>2</v>
      </c>
      <c r="C67" s="16"/>
      <c r="D67" s="16">
        <f t="shared" si="44"/>
        <v>680</v>
      </c>
      <c r="E67" s="16">
        <f t="shared" si="45"/>
        <v>465</v>
      </c>
      <c r="F67" s="91" t="str">
        <f t="shared" si="63"/>
        <v>E/R 1 CARA</v>
      </c>
      <c r="G67" s="1"/>
      <c r="I67" s="3">
        <f t="shared" si="64"/>
        <v>2</v>
      </c>
      <c r="J67" s="4">
        <f t="shared" si="65"/>
        <v>660</v>
      </c>
      <c r="K67" s="4">
        <f t="shared" si="66"/>
        <v>445</v>
      </c>
    </row>
    <row r="68" spans="1:11" ht="15.6" x14ac:dyDescent="0.3">
      <c r="A68" s="88"/>
      <c r="B68" s="16">
        <f t="shared" si="67"/>
        <v>1</v>
      </c>
      <c r="C68" s="16"/>
      <c r="D68" s="16">
        <f t="shared" si="44"/>
        <v>680</v>
      </c>
      <c r="E68" s="16">
        <f t="shared" si="45"/>
        <v>386</v>
      </c>
      <c r="F68" s="91" t="str">
        <f t="shared" si="63"/>
        <v>E/R 1 CARA</v>
      </c>
      <c r="G68" s="1"/>
      <c r="I68" s="3">
        <f t="shared" si="64"/>
        <v>1</v>
      </c>
      <c r="J68" s="4">
        <f t="shared" si="65"/>
        <v>660</v>
      </c>
      <c r="K68" s="4">
        <f t="shared" si="66"/>
        <v>366</v>
      </c>
    </row>
    <row r="69" spans="1:11" ht="15.6" x14ac:dyDescent="0.3">
      <c r="A69" s="88"/>
      <c r="B69" s="16">
        <f t="shared" si="67"/>
        <v>2</v>
      </c>
      <c r="C69" s="16"/>
      <c r="D69" s="16">
        <f t="shared" si="44"/>
        <v>680</v>
      </c>
      <c r="E69" s="16">
        <f t="shared" si="45"/>
        <v>350</v>
      </c>
      <c r="F69" s="91" t="str">
        <f t="shared" si="63"/>
        <v>E/R 1 CARA</v>
      </c>
      <c r="G69" s="1"/>
      <c r="I69" s="3">
        <f t="shared" si="64"/>
        <v>2</v>
      </c>
      <c r="J69" s="4">
        <f t="shared" si="65"/>
        <v>660</v>
      </c>
      <c r="K69" s="4">
        <f t="shared" si="66"/>
        <v>330</v>
      </c>
    </row>
    <row r="70" spans="1:11" ht="15.6" x14ac:dyDescent="0.3">
      <c r="A70" s="88"/>
      <c r="B70" s="16">
        <f t="shared" si="67"/>
        <v>4</v>
      </c>
      <c r="C70" s="16"/>
      <c r="D70" s="16">
        <f t="shared" si="44"/>
        <v>530</v>
      </c>
      <c r="E70" s="16">
        <f t="shared" si="45"/>
        <v>540</v>
      </c>
      <c r="F70" s="91" t="str">
        <f t="shared" si="63"/>
        <v>E/R 1 CARA</v>
      </c>
      <c r="G70" s="1"/>
      <c r="I70" s="3">
        <f t="shared" si="64"/>
        <v>4</v>
      </c>
      <c r="J70" s="4">
        <f t="shared" si="65"/>
        <v>510</v>
      </c>
      <c r="K70" s="4">
        <f t="shared" si="66"/>
        <v>520</v>
      </c>
    </row>
    <row r="71" spans="1:11" ht="15.6" x14ac:dyDescent="0.3">
      <c r="A71" s="88"/>
      <c r="B71" s="16">
        <f t="shared" si="67"/>
        <v>1</v>
      </c>
      <c r="C71" s="16"/>
      <c r="D71" s="16">
        <f t="shared" si="44"/>
        <v>360</v>
      </c>
      <c r="E71" s="16">
        <f t="shared" si="45"/>
        <v>805</v>
      </c>
      <c r="F71" s="91" t="str">
        <f t="shared" si="63"/>
        <v>E/R 1 CARA</v>
      </c>
      <c r="G71" s="1"/>
      <c r="I71" s="3">
        <f t="shared" si="64"/>
        <v>1</v>
      </c>
      <c r="J71" s="4">
        <f t="shared" si="65"/>
        <v>340</v>
      </c>
      <c r="K71" s="4">
        <f t="shared" si="66"/>
        <v>785</v>
      </c>
    </row>
    <row r="72" spans="1:11" ht="15.6" x14ac:dyDescent="0.3">
      <c r="A72" s="88"/>
      <c r="B72" s="16">
        <f t="shared" si="67"/>
        <v>1</v>
      </c>
      <c r="C72" s="16"/>
      <c r="D72" s="16">
        <f t="shared" si="44"/>
        <v>314</v>
      </c>
      <c r="E72" s="16">
        <f t="shared" si="45"/>
        <v>1035</v>
      </c>
      <c r="F72" s="91" t="str">
        <f t="shared" si="63"/>
        <v>E/R 1 CARA</v>
      </c>
      <c r="G72" s="1"/>
      <c r="I72" s="3">
        <f t="shared" si="64"/>
        <v>1</v>
      </c>
      <c r="J72" s="4">
        <f t="shared" si="65"/>
        <v>294</v>
      </c>
      <c r="K72" s="4">
        <f t="shared" si="66"/>
        <v>1015</v>
      </c>
    </row>
    <row r="73" spans="1:11" ht="15.6" x14ac:dyDescent="0.3">
      <c r="A73" s="88"/>
      <c r="B73" s="16">
        <f t="shared" si="67"/>
        <v>1</v>
      </c>
      <c r="C73" s="16"/>
      <c r="D73" s="16">
        <f t="shared" si="44"/>
        <v>220</v>
      </c>
      <c r="E73" s="16">
        <f t="shared" si="45"/>
        <v>485</v>
      </c>
      <c r="F73" s="91" t="str">
        <f t="shared" si="63"/>
        <v>E/R 1 CARA</v>
      </c>
      <c r="G73" s="1"/>
      <c r="I73" s="3">
        <f t="shared" si="64"/>
        <v>1</v>
      </c>
      <c r="J73" s="4">
        <f t="shared" si="65"/>
        <v>200</v>
      </c>
      <c r="K73" s="4">
        <f t="shared" si="66"/>
        <v>465</v>
      </c>
    </row>
    <row r="74" spans="1:11" ht="15.6" x14ac:dyDescent="0.3">
      <c r="A74" s="88"/>
      <c r="B74" s="16">
        <f t="shared" si="67"/>
        <v>1</v>
      </c>
      <c r="C74" s="16"/>
      <c r="D74" s="16">
        <f t="shared" si="44"/>
        <v>220</v>
      </c>
      <c r="E74" s="16">
        <f t="shared" si="45"/>
        <v>325</v>
      </c>
      <c r="F74" s="91" t="str">
        <f t="shared" si="63"/>
        <v>E/R 1 CARA</v>
      </c>
      <c r="G74" s="1"/>
      <c r="I74" s="3">
        <f t="shared" si="64"/>
        <v>1</v>
      </c>
      <c r="J74" s="4">
        <f t="shared" si="65"/>
        <v>200</v>
      </c>
      <c r="K74" s="4">
        <f t="shared" si="66"/>
        <v>305</v>
      </c>
    </row>
    <row r="75" spans="1:11" ht="15.6" x14ac:dyDescent="0.3">
      <c r="A75" s="88"/>
      <c r="B75" s="16">
        <f t="shared" si="67"/>
        <v>1</v>
      </c>
      <c r="C75" s="16"/>
      <c r="D75" s="16">
        <f t="shared" si="44"/>
        <v>160</v>
      </c>
      <c r="E75" s="16">
        <f t="shared" si="45"/>
        <v>485</v>
      </c>
      <c r="F75" s="91" t="str">
        <f t="shared" si="63"/>
        <v>E/R 1 CARA</v>
      </c>
      <c r="G75" s="1"/>
      <c r="I75" s="3">
        <f t="shared" si="64"/>
        <v>1</v>
      </c>
      <c r="J75" s="4">
        <f t="shared" si="65"/>
        <v>140</v>
      </c>
      <c r="K75" s="4">
        <f t="shared" si="66"/>
        <v>465</v>
      </c>
    </row>
    <row r="76" spans="1:11" ht="15.6" x14ac:dyDescent="0.3">
      <c r="A76" s="88"/>
      <c r="B76" s="16">
        <f t="shared" si="67"/>
        <v>1</v>
      </c>
      <c r="C76" s="16"/>
      <c r="D76" s="16">
        <f t="shared" si="44"/>
        <v>160</v>
      </c>
      <c r="E76" s="16">
        <f t="shared" si="45"/>
        <v>325</v>
      </c>
      <c r="F76" s="91" t="str">
        <f t="shared" si="63"/>
        <v>E/R 1 CARA</v>
      </c>
      <c r="G76" s="1"/>
      <c r="I76" s="3">
        <f t="shared" si="64"/>
        <v>1</v>
      </c>
      <c r="J76" s="4">
        <f t="shared" si="65"/>
        <v>140</v>
      </c>
      <c r="K76" s="4">
        <f t="shared" si="66"/>
        <v>305</v>
      </c>
    </row>
    <row r="77" spans="1:11" ht="15.6" x14ac:dyDescent="0.3">
      <c r="A77" s="88"/>
      <c r="B77" s="16">
        <f t="shared" si="67"/>
        <v>1</v>
      </c>
      <c r="C77" s="16"/>
      <c r="D77" s="16">
        <f t="shared" si="44"/>
        <v>120</v>
      </c>
      <c r="E77" s="16">
        <f t="shared" si="45"/>
        <v>485</v>
      </c>
      <c r="F77" s="91" t="str">
        <f t="shared" si="63"/>
        <v>E/R 1 CARA</v>
      </c>
      <c r="G77" s="1"/>
      <c r="I77" s="3">
        <f t="shared" si="64"/>
        <v>1</v>
      </c>
      <c r="J77" s="4">
        <f t="shared" si="65"/>
        <v>100</v>
      </c>
      <c r="K77" s="4">
        <f t="shared" si="66"/>
        <v>465</v>
      </c>
    </row>
    <row r="78" spans="1:11" ht="15.6" x14ac:dyDescent="0.3">
      <c r="A78" s="88"/>
      <c r="B78" s="16">
        <f t="shared" si="67"/>
        <v>1</v>
      </c>
      <c r="C78" s="16"/>
      <c r="D78" s="16">
        <f t="shared" si="44"/>
        <v>120</v>
      </c>
      <c r="E78" s="16">
        <f t="shared" si="45"/>
        <v>325</v>
      </c>
      <c r="F78" s="91" t="str">
        <f t="shared" si="63"/>
        <v>E/R 1 CARA</v>
      </c>
      <c r="G78" s="1"/>
      <c r="I78" s="3">
        <f t="shared" si="64"/>
        <v>1</v>
      </c>
      <c r="J78" s="4">
        <f t="shared" si="65"/>
        <v>100</v>
      </c>
      <c r="K78" s="4">
        <f t="shared" si="66"/>
        <v>305</v>
      </c>
    </row>
    <row r="79" spans="1:11" ht="15.6" x14ac:dyDescent="0.3">
      <c r="A79" s="88"/>
      <c r="B79" s="6">
        <f>SUM(B51:B78)</f>
        <v>93</v>
      </c>
      <c r="C79" s="6"/>
      <c r="D79" s="6"/>
      <c r="E79" s="6"/>
      <c r="F79" s="94"/>
      <c r="G79" s="1"/>
      <c r="I79" s="2"/>
      <c r="J79" s="2"/>
      <c r="K79" s="2"/>
    </row>
    <row r="80" spans="1:11" ht="15.6" x14ac:dyDescent="0.3">
      <c r="A80" s="88"/>
      <c r="B80" s="6"/>
      <c r="C80" s="6"/>
      <c r="D80" s="6"/>
      <c r="E80" s="6"/>
      <c r="F80" s="94"/>
      <c r="G80" s="1"/>
      <c r="I80" s="2"/>
      <c r="J80" s="2"/>
      <c r="K80" s="2"/>
    </row>
    <row r="81" spans="1:11" ht="16.2" thickBot="1" x14ac:dyDescent="0.35">
      <c r="A81" s="51"/>
      <c r="B81" s="6"/>
      <c r="C81" s="6"/>
      <c r="D81" s="6"/>
      <c r="E81" s="6"/>
      <c r="F81" s="6"/>
      <c r="G81" s="1"/>
      <c r="I81" s="2"/>
      <c r="J81" s="2"/>
      <c r="K81" s="2"/>
    </row>
    <row r="82" spans="1:11" ht="16.2" thickBot="1" x14ac:dyDescent="0.35">
      <c r="A82" s="51"/>
      <c r="B82" s="22" t="s">
        <v>107</v>
      </c>
      <c r="C82" s="23"/>
      <c r="D82" s="23"/>
      <c r="E82" s="23"/>
      <c r="F82" s="24"/>
      <c r="G82" s="1"/>
      <c r="I82" s="2"/>
      <c r="J82" s="2"/>
      <c r="K82" s="2"/>
    </row>
    <row r="83" spans="1:11" ht="10.5" customHeight="1" x14ac:dyDescent="0.3">
      <c r="A83" s="1"/>
      <c r="B83" s="1"/>
      <c r="C83" s="1"/>
      <c r="D83" s="1"/>
      <c r="E83" s="1"/>
      <c r="F83" s="1"/>
      <c r="G83" s="1"/>
    </row>
    <row r="84" spans="1:11" ht="15.6" x14ac:dyDescent="0.3">
      <c r="A84" s="51" t="s">
        <v>9</v>
      </c>
      <c r="B84" s="81" t="s">
        <v>10</v>
      </c>
      <c r="C84" s="81" t="s">
        <v>110</v>
      </c>
      <c r="D84" s="81" t="s">
        <v>7</v>
      </c>
      <c r="E84" s="81" t="s">
        <v>8</v>
      </c>
      <c r="F84" s="81" t="s">
        <v>23</v>
      </c>
      <c r="G84" s="1"/>
    </row>
    <row r="85" spans="1:11" ht="15.6" x14ac:dyDescent="0.3">
      <c r="A85" s="88" t="s">
        <v>144</v>
      </c>
      <c r="B85" s="25">
        <f>'4637'!B22</f>
        <v>6</v>
      </c>
      <c r="C85" s="90" t="str">
        <f>'4637'!C22</f>
        <v>E/R 1 CARA</v>
      </c>
      <c r="D85" s="25">
        <f>'4637'!D22</f>
        <v>920</v>
      </c>
      <c r="E85" s="25">
        <f>'4637'!E22</f>
        <v>415</v>
      </c>
      <c r="F85" s="25" t="str">
        <f>'4637'!G22</f>
        <v>SHELL WHITE 22011 SF</v>
      </c>
      <c r="G85" s="1"/>
    </row>
    <row r="86" spans="1:11" ht="15.6" x14ac:dyDescent="0.3">
      <c r="A86" s="88"/>
      <c r="B86" s="25">
        <f>'4637'!B23</f>
        <v>4</v>
      </c>
      <c r="C86" s="90" t="str">
        <f>'4637'!C23</f>
        <v>E/R 1 CARA</v>
      </c>
      <c r="D86" s="25">
        <f>'4637'!D23</f>
        <v>920</v>
      </c>
      <c r="E86" s="25">
        <f>'4637'!E23</f>
        <v>445</v>
      </c>
      <c r="F86" s="25" t="str">
        <f>'4637'!G23</f>
        <v>SHELL WHITE 22011 SF</v>
      </c>
      <c r="G86" s="1"/>
    </row>
    <row r="87" spans="1:11" ht="15.6" x14ac:dyDescent="0.3">
      <c r="A87" s="88"/>
      <c r="B87" s="25">
        <f>'4637'!B24</f>
        <v>6</v>
      </c>
      <c r="C87" s="90" t="str">
        <f>'4637'!C24</f>
        <v>E/R 1 CARA</v>
      </c>
      <c r="D87" s="25">
        <f>'4637'!D24</f>
        <v>920</v>
      </c>
      <c r="E87" s="25">
        <f>'4637'!E24</f>
        <v>465</v>
      </c>
      <c r="F87" s="25" t="str">
        <f>'4637'!G24</f>
        <v>SHELL WHITE 22011 SF</v>
      </c>
      <c r="G87" s="1"/>
    </row>
    <row r="88" spans="1:11" ht="15.6" x14ac:dyDescent="0.3">
      <c r="A88" s="88"/>
      <c r="B88" s="25">
        <f>'4637'!B25</f>
        <v>2</v>
      </c>
      <c r="C88" s="90" t="str">
        <f>'4637'!C25</f>
        <v>E/R 1 CARA</v>
      </c>
      <c r="D88" s="25">
        <f>'4637'!D25</f>
        <v>920</v>
      </c>
      <c r="E88" s="25">
        <f>'4637'!E25</f>
        <v>340</v>
      </c>
      <c r="F88" s="25" t="str">
        <f>'4637'!G25</f>
        <v>SHELL WHITE 22011 SF</v>
      </c>
      <c r="G88" s="1"/>
    </row>
    <row r="89" spans="1:11" ht="15.6" x14ac:dyDescent="0.3">
      <c r="A89" s="88"/>
      <c r="B89" s="25">
        <f>'4637'!B26</f>
        <v>7</v>
      </c>
      <c r="C89" s="90" t="str">
        <f>'4637'!C26</f>
        <v>E/R 1 CARA</v>
      </c>
      <c r="D89" s="25">
        <f>'4637'!D26</f>
        <v>690</v>
      </c>
      <c r="E89" s="25">
        <f>'4637'!E26</f>
        <v>595</v>
      </c>
      <c r="F89" s="25" t="str">
        <f>'4637'!G26</f>
        <v>SHELL WHITE 22011 SF</v>
      </c>
      <c r="G89" s="1"/>
    </row>
    <row r="90" spans="1:11" ht="15.6" x14ac:dyDescent="0.3">
      <c r="A90" s="88"/>
      <c r="B90" s="25">
        <f>'4637'!B27</f>
        <v>1</v>
      </c>
      <c r="C90" s="90" t="str">
        <f>'4637'!C27</f>
        <v>E/R 1 CARA</v>
      </c>
      <c r="D90" s="25">
        <f>'4637'!D27</f>
        <v>690</v>
      </c>
      <c r="E90" s="25">
        <f>'4637'!E27</f>
        <v>395</v>
      </c>
      <c r="F90" s="25" t="str">
        <f>'4637'!G27</f>
        <v>SHELL WHITE 22011 SF</v>
      </c>
      <c r="G90" s="1"/>
    </row>
    <row r="91" spans="1:11" ht="15.6" x14ac:dyDescent="0.3">
      <c r="A91" s="88"/>
      <c r="B91" s="25">
        <f>'4637'!B28</f>
        <v>1</v>
      </c>
      <c r="C91" s="90" t="str">
        <f>'4637'!C28</f>
        <v>E/R 1 CARA</v>
      </c>
      <c r="D91" s="25">
        <f>'4637'!D28</f>
        <v>660</v>
      </c>
      <c r="E91" s="25">
        <f>'4637'!E28</f>
        <v>450</v>
      </c>
      <c r="F91" s="25" t="str">
        <f>'4637'!G28</f>
        <v>SHELL WHITE 22011 SF</v>
      </c>
      <c r="G91" s="1"/>
    </row>
    <row r="92" spans="1:11" ht="15.6" x14ac:dyDescent="0.3">
      <c r="A92" s="88"/>
      <c r="B92" s="25">
        <f>'4637'!B29</f>
        <v>1</v>
      </c>
      <c r="C92" s="90" t="str">
        <f>'4637'!C29</f>
        <v>E/R 1 CARA</v>
      </c>
      <c r="D92" s="25">
        <f>'4637'!D29</f>
        <v>660</v>
      </c>
      <c r="E92" s="25">
        <f>'4637'!E29</f>
        <v>265</v>
      </c>
      <c r="F92" s="25" t="str">
        <f>'4637'!G29</f>
        <v>SHELL WHITE 22011 SF</v>
      </c>
      <c r="G92" s="1"/>
    </row>
    <row r="93" spans="1:11" ht="15.6" x14ac:dyDescent="0.3">
      <c r="A93" s="88"/>
      <c r="B93" s="25">
        <f>'4637'!B30</f>
        <v>3</v>
      </c>
      <c r="C93" s="90" t="str">
        <f>'4637'!C30</f>
        <v>E/R 1 CARA</v>
      </c>
      <c r="D93" s="25">
        <f>'4637'!D30</f>
        <v>660</v>
      </c>
      <c r="E93" s="25">
        <f>'4637'!E30</f>
        <v>305</v>
      </c>
      <c r="F93" s="25" t="str">
        <f>'4637'!G30</f>
        <v>SHELL WHITE 22011 SF</v>
      </c>
      <c r="G93" s="1"/>
    </row>
    <row r="94" spans="1:11" ht="15.6" x14ac:dyDescent="0.3">
      <c r="A94" s="88"/>
      <c r="B94" s="25">
        <f>'4637'!B31</f>
        <v>6</v>
      </c>
      <c r="C94" s="90" t="str">
        <f>'4637'!C31</f>
        <v>E/R 1 CARA</v>
      </c>
      <c r="D94" s="25">
        <f>'4637'!D31</f>
        <v>660</v>
      </c>
      <c r="E94" s="25">
        <f>'4637'!E31</f>
        <v>325</v>
      </c>
      <c r="F94" s="25" t="str">
        <f>'4637'!G31</f>
        <v>SHELL WHITE 22011 SF</v>
      </c>
      <c r="G94" s="1"/>
    </row>
    <row r="95" spans="1:11" ht="15.6" x14ac:dyDescent="0.3">
      <c r="A95" s="88"/>
      <c r="B95" s="25">
        <f>'4637'!B32</f>
        <v>1</v>
      </c>
      <c r="C95" s="90" t="str">
        <f>'4637'!C32</f>
        <v>E/R 1 CARA</v>
      </c>
      <c r="D95" s="25">
        <f>'4637'!D32</f>
        <v>660</v>
      </c>
      <c r="E95" s="25">
        <f>'4637'!E32</f>
        <v>432</v>
      </c>
      <c r="F95" s="25" t="str">
        <f>'4637'!G32</f>
        <v>SHELL WHITE 22011 SF</v>
      </c>
      <c r="G95" s="1"/>
    </row>
    <row r="96" spans="1:11" ht="15.6" x14ac:dyDescent="0.3">
      <c r="A96" s="88"/>
      <c r="B96" s="25">
        <f>'4637'!B33</f>
        <v>1</v>
      </c>
      <c r="C96" s="90" t="str">
        <f>'4637'!C33</f>
        <v>E/R 1 CARA</v>
      </c>
      <c r="D96" s="25">
        <f>'4637'!D33</f>
        <v>660</v>
      </c>
      <c r="E96" s="25">
        <f>'4637'!E33</f>
        <v>240</v>
      </c>
      <c r="F96" s="25" t="str">
        <f>'4637'!G33</f>
        <v>SHELL WHITE 22011 SF</v>
      </c>
      <c r="G96" s="1"/>
    </row>
    <row r="97" spans="1:7" ht="15.6" x14ac:dyDescent="0.3">
      <c r="A97" s="88"/>
      <c r="B97" s="25">
        <f>'4637'!B34</f>
        <v>9</v>
      </c>
      <c r="C97" s="90" t="str">
        <f>'4637'!C34</f>
        <v>E/R 1 CARA</v>
      </c>
      <c r="D97" s="25">
        <f>'4637'!D34</f>
        <v>660</v>
      </c>
      <c r="E97" s="25">
        <f>'4637'!E34</f>
        <v>395</v>
      </c>
      <c r="F97" s="25" t="str">
        <f>'4637'!G34</f>
        <v>SHELL WHITE 22011 SF</v>
      </c>
      <c r="G97" s="1"/>
    </row>
    <row r="98" spans="1:7" ht="15.6" x14ac:dyDescent="0.3">
      <c r="A98" s="88"/>
      <c r="B98" s="25">
        <f>'4637'!B35</f>
        <v>4</v>
      </c>
      <c r="C98" s="90" t="str">
        <f>'4637'!C35</f>
        <v>E/R 1 CARA</v>
      </c>
      <c r="D98" s="25">
        <f>'4637'!D35</f>
        <v>660</v>
      </c>
      <c r="E98" s="25">
        <f>'4637'!E35</f>
        <v>405</v>
      </c>
      <c r="F98" s="25" t="str">
        <f>'4637'!G35</f>
        <v>SHELL WHITE 22011 SF</v>
      </c>
      <c r="G98" s="1"/>
    </row>
    <row r="99" spans="1:7" ht="15.6" x14ac:dyDescent="0.3">
      <c r="A99" s="88"/>
      <c r="B99" s="25">
        <f>'4637'!B36</f>
        <v>20</v>
      </c>
      <c r="C99" s="90" t="str">
        <f>'4637'!C36</f>
        <v>E/R 1 CARA</v>
      </c>
      <c r="D99" s="25">
        <f>'4637'!D36</f>
        <v>660</v>
      </c>
      <c r="E99" s="25">
        <f>'4637'!E36</f>
        <v>355</v>
      </c>
      <c r="F99" s="25" t="str">
        <f>'4637'!G36</f>
        <v>SHELL WHITE 22011 SF</v>
      </c>
      <c r="G99" s="1"/>
    </row>
    <row r="100" spans="1:7" ht="15.6" x14ac:dyDescent="0.3">
      <c r="A100" s="88"/>
      <c r="B100" s="25">
        <f>'4637'!B37</f>
        <v>4</v>
      </c>
      <c r="C100" s="90" t="str">
        <f>'4637'!C37</f>
        <v>E/R 1 CARA</v>
      </c>
      <c r="D100" s="25">
        <f>'4637'!D37</f>
        <v>660</v>
      </c>
      <c r="E100" s="25">
        <f>'4637'!E37</f>
        <v>393</v>
      </c>
      <c r="F100" s="25" t="str">
        <f>'4637'!G37</f>
        <v>SHELL WHITE 22011 SF</v>
      </c>
      <c r="G100" s="1"/>
    </row>
    <row r="101" spans="1:7" ht="15.6" x14ac:dyDescent="0.3">
      <c r="A101" s="88"/>
      <c r="B101" s="25">
        <f>'4637'!B38</f>
        <v>2</v>
      </c>
      <c r="C101" s="90" t="str">
        <f>'4637'!C38</f>
        <v>E/R 1 CARA</v>
      </c>
      <c r="D101" s="25">
        <f>'4637'!D38</f>
        <v>660</v>
      </c>
      <c r="E101" s="25">
        <f>'4637'!E38</f>
        <v>445</v>
      </c>
      <c r="F101" s="25" t="str">
        <f>'4637'!G38</f>
        <v>SHELL WHITE 22011 SF</v>
      </c>
      <c r="G101" s="1"/>
    </row>
    <row r="102" spans="1:7" ht="15.6" x14ac:dyDescent="0.3">
      <c r="A102" s="88"/>
      <c r="B102" s="25">
        <f>'4637'!B39</f>
        <v>1</v>
      </c>
      <c r="C102" s="90" t="str">
        <f>'4637'!C39</f>
        <v>E/R 1 CARA</v>
      </c>
      <c r="D102" s="25">
        <f>'4637'!D39</f>
        <v>660</v>
      </c>
      <c r="E102" s="25">
        <f>'4637'!E39</f>
        <v>366</v>
      </c>
      <c r="F102" s="25" t="str">
        <f>'4637'!G39</f>
        <v>SHELL WHITE 22011 SF</v>
      </c>
      <c r="G102" s="1"/>
    </row>
    <row r="103" spans="1:7" ht="15.6" x14ac:dyDescent="0.3">
      <c r="A103" s="88"/>
      <c r="B103" s="25">
        <f>'4637'!B40</f>
        <v>2</v>
      </c>
      <c r="C103" s="90" t="str">
        <f>'4637'!C40</f>
        <v>E/R 1 CARA</v>
      </c>
      <c r="D103" s="25">
        <f>'4637'!D40</f>
        <v>660</v>
      </c>
      <c r="E103" s="25">
        <f>'4637'!E40</f>
        <v>330</v>
      </c>
      <c r="F103" s="25" t="str">
        <f>'4637'!G40</f>
        <v>SHELL WHITE 22011 SF</v>
      </c>
      <c r="G103" s="1"/>
    </row>
    <row r="104" spans="1:7" ht="15.6" x14ac:dyDescent="0.3">
      <c r="A104" s="88"/>
      <c r="B104" s="25">
        <f>'4637'!B41</f>
        <v>4</v>
      </c>
      <c r="C104" s="90" t="str">
        <f>'4637'!C41</f>
        <v>E/R 1 CARA</v>
      </c>
      <c r="D104" s="25">
        <f>'4637'!D41</f>
        <v>510</v>
      </c>
      <c r="E104" s="25">
        <f>'4637'!E41</f>
        <v>520</v>
      </c>
      <c r="F104" s="25" t="str">
        <f>'4637'!G41</f>
        <v>SHELL WHITE 22011 SF</v>
      </c>
      <c r="G104" s="1"/>
    </row>
    <row r="105" spans="1:7" ht="15.6" x14ac:dyDescent="0.3">
      <c r="A105" s="88"/>
      <c r="B105" s="25">
        <f>'4637'!B42</f>
        <v>1</v>
      </c>
      <c r="C105" s="90" t="str">
        <f>'4637'!C42</f>
        <v>E/R 1 CARA</v>
      </c>
      <c r="D105" s="25">
        <f>'4637'!D42</f>
        <v>340</v>
      </c>
      <c r="E105" s="25">
        <f>'4637'!E42</f>
        <v>785</v>
      </c>
      <c r="F105" s="25" t="str">
        <f>'4637'!G42</f>
        <v>SHELL WHITE 22011 SF</v>
      </c>
      <c r="G105" s="1"/>
    </row>
    <row r="106" spans="1:7" ht="15.6" x14ac:dyDescent="0.3">
      <c r="A106" s="88"/>
      <c r="B106" s="25">
        <f>'4637'!B43</f>
        <v>1</v>
      </c>
      <c r="C106" s="90" t="str">
        <f>'4637'!C43</f>
        <v>E/R 1 CARA</v>
      </c>
      <c r="D106" s="25">
        <f>'4637'!D43</f>
        <v>294</v>
      </c>
      <c r="E106" s="25">
        <f>'4637'!E43</f>
        <v>1015</v>
      </c>
      <c r="F106" s="25" t="str">
        <f>'4637'!G43</f>
        <v>SHELL WHITE 22011 SF</v>
      </c>
      <c r="G106" s="1"/>
    </row>
    <row r="107" spans="1:7" ht="15.6" x14ac:dyDescent="0.3">
      <c r="A107" s="88"/>
      <c r="B107" s="25">
        <f>'4637'!B44</f>
        <v>1</v>
      </c>
      <c r="C107" s="90" t="str">
        <f>'4637'!C44</f>
        <v>E/R 1 CARA</v>
      </c>
      <c r="D107" s="25">
        <f>'4637'!D44</f>
        <v>200</v>
      </c>
      <c r="E107" s="25">
        <f>'4637'!E44</f>
        <v>465</v>
      </c>
      <c r="F107" s="25" t="str">
        <f>'4637'!G44</f>
        <v>SHELL WHITE 22011 SF</v>
      </c>
      <c r="G107" s="1"/>
    </row>
    <row r="108" spans="1:7" ht="15.6" x14ac:dyDescent="0.3">
      <c r="A108" s="88"/>
      <c r="B108" s="25">
        <f>'4637'!B45</f>
        <v>1</v>
      </c>
      <c r="C108" s="90" t="str">
        <f>'4637'!C45</f>
        <v>E/R 1 CARA</v>
      </c>
      <c r="D108" s="25">
        <f>'4637'!D45</f>
        <v>200</v>
      </c>
      <c r="E108" s="25">
        <f>'4637'!E45</f>
        <v>305</v>
      </c>
      <c r="F108" s="25" t="str">
        <f>'4637'!G45</f>
        <v>SHELL WHITE 22011 SF</v>
      </c>
      <c r="G108" s="1"/>
    </row>
    <row r="109" spans="1:7" ht="15.6" x14ac:dyDescent="0.3">
      <c r="A109" s="88"/>
      <c r="B109" s="25">
        <f>'4637'!B46</f>
        <v>1</v>
      </c>
      <c r="C109" s="90" t="str">
        <f>'4637'!C46</f>
        <v>E/R 1 CARA</v>
      </c>
      <c r="D109" s="25">
        <f>'4637'!D46</f>
        <v>140</v>
      </c>
      <c r="E109" s="25">
        <f>'4637'!E46</f>
        <v>465</v>
      </c>
      <c r="F109" s="25" t="str">
        <f>'4637'!G46</f>
        <v>SHELL WHITE 22011 SF</v>
      </c>
      <c r="G109" s="1"/>
    </row>
    <row r="110" spans="1:7" ht="15.6" x14ac:dyDescent="0.3">
      <c r="A110" s="88"/>
      <c r="B110" s="25">
        <f>'4637'!B47</f>
        <v>1</v>
      </c>
      <c r="C110" s="90" t="str">
        <f>'4637'!C47</f>
        <v>E/R 1 CARA</v>
      </c>
      <c r="D110" s="25">
        <f>'4637'!D47</f>
        <v>140</v>
      </c>
      <c r="E110" s="25">
        <f>'4637'!E47</f>
        <v>305</v>
      </c>
      <c r="F110" s="25" t="str">
        <f>'4637'!G47</f>
        <v>SHELL WHITE 22011 SF</v>
      </c>
      <c r="G110" s="1"/>
    </row>
    <row r="111" spans="1:7" ht="15.6" x14ac:dyDescent="0.3">
      <c r="A111" s="88"/>
      <c r="B111" s="25">
        <f>'4637'!B48</f>
        <v>1</v>
      </c>
      <c r="C111" s="90" t="str">
        <f>'4637'!C48</f>
        <v>E/R 1 CARA</v>
      </c>
      <c r="D111" s="25">
        <f>'4637'!D48</f>
        <v>100</v>
      </c>
      <c r="E111" s="25">
        <f>'4637'!E48</f>
        <v>465</v>
      </c>
      <c r="F111" s="25" t="str">
        <f>'4637'!G48</f>
        <v>SHELL WHITE 22011 SF</v>
      </c>
      <c r="G111" s="1"/>
    </row>
    <row r="112" spans="1:7" ht="15.6" x14ac:dyDescent="0.3">
      <c r="A112" s="88"/>
      <c r="B112" s="25">
        <f>'4637'!B49</f>
        <v>1</v>
      </c>
      <c r="C112" s="90" t="str">
        <f>'4637'!C49</f>
        <v>E/R 1 CARA</v>
      </c>
      <c r="D112" s="25">
        <f>'4637'!D49</f>
        <v>100</v>
      </c>
      <c r="E112" s="25">
        <f>'4637'!E49</f>
        <v>305</v>
      </c>
      <c r="F112" s="25" t="str">
        <f>'4637'!G49</f>
        <v>SHELL WHITE 22011 SF</v>
      </c>
      <c r="G112" s="1"/>
    </row>
    <row r="113" spans="1:7" ht="15.6" x14ac:dyDescent="0.3">
      <c r="A113" s="88"/>
      <c r="B113" s="6">
        <f>SUM(B85:B112)</f>
        <v>93</v>
      </c>
      <c r="C113" s="94"/>
      <c r="D113" s="6"/>
      <c r="E113" s="6"/>
      <c r="F113" s="6"/>
      <c r="G113" s="1"/>
    </row>
    <row r="114" spans="1:7" ht="15.6" x14ac:dyDescent="0.3">
      <c r="A114" s="1"/>
      <c r="B114" s="6"/>
      <c r="C114" s="6"/>
      <c r="D114" s="6"/>
      <c r="E114" s="6"/>
      <c r="F114" s="6"/>
      <c r="G114" s="1"/>
    </row>
    <row r="115" spans="1:7" ht="15.6" x14ac:dyDescent="0.3">
      <c r="A115" s="1"/>
      <c r="B115" s="6"/>
      <c r="C115" s="6"/>
      <c r="D115" s="6"/>
      <c r="E115" s="6"/>
      <c r="F115" s="6"/>
      <c r="G115" s="1"/>
    </row>
    <row r="116" spans="1:7" ht="15.6" x14ac:dyDescent="0.3">
      <c r="A116" s="1"/>
      <c r="B116" s="6"/>
      <c r="C116" s="6"/>
      <c r="D116" s="6"/>
      <c r="E116" s="6"/>
      <c r="F116" s="6"/>
      <c r="G116" s="1"/>
    </row>
    <row r="117" spans="1:7" ht="15.6" x14ac:dyDescent="0.3">
      <c r="A117" s="1"/>
      <c r="B117" s="6"/>
      <c r="C117" s="6"/>
      <c r="D117" s="6"/>
      <c r="E117" s="6"/>
      <c r="F117" s="6"/>
      <c r="G117" s="1"/>
    </row>
    <row r="118" spans="1:7" ht="15.6" x14ac:dyDescent="0.3">
      <c r="A118" s="1"/>
      <c r="B118" s="6"/>
      <c r="C118" s="6"/>
      <c r="D118" s="6"/>
      <c r="E118" s="6"/>
      <c r="F118" s="6"/>
      <c r="G118" s="1"/>
    </row>
    <row r="119" spans="1:7" ht="15.6" x14ac:dyDescent="0.3">
      <c r="A119" s="1"/>
      <c r="B119" s="6"/>
      <c r="C119" s="6"/>
      <c r="D119" s="6"/>
      <c r="E119" s="6"/>
      <c r="F119" s="6"/>
      <c r="G119" s="1"/>
    </row>
    <row r="120" spans="1:7" ht="15.6" x14ac:dyDescent="0.3">
      <c r="A120" s="1"/>
      <c r="B120" s="6"/>
      <c r="C120" s="6"/>
      <c r="D120" s="6"/>
      <c r="E120" s="6"/>
      <c r="F120" s="6"/>
      <c r="G120" s="1"/>
    </row>
    <row r="121" spans="1:7" ht="15.6" x14ac:dyDescent="0.3">
      <c r="A121" s="1"/>
      <c r="B121" s="6"/>
      <c r="C121" s="6"/>
      <c r="D121" s="6"/>
      <c r="E121" s="6"/>
      <c r="F121" s="6"/>
      <c r="G121" s="1"/>
    </row>
    <row r="122" spans="1:7" ht="15.6" x14ac:dyDescent="0.3">
      <c r="A122" s="1"/>
      <c r="B122" s="1"/>
      <c r="C122" s="1"/>
      <c r="D122" s="1"/>
      <c r="E122" s="1"/>
      <c r="F122" s="1"/>
      <c r="G122" s="1"/>
    </row>
    <row r="123" spans="1:7" ht="15.6" x14ac:dyDescent="0.3">
      <c r="A123" s="1"/>
      <c r="B123" s="1"/>
      <c r="C123" s="39" t="s">
        <v>27</v>
      </c>
      <c r="D123" s="14">
        <f>'4637'!H8</f>
        <v>7358</v>
      </c>
      <c r="E123" s="1"/>
      <c r="F123" s="1"/>
      <c r="G123" s="1"/>
    </row>
    <row r="124" spans="1:7" ht="17.25" customHeight="1" x14ac:dyDescent="0.3">
      <c r="A124" s="1"/>
      <c r="B124" s="1"/>
      <c r="C124" s="40" t="s">
        <v>67</v>
      </c>
      <c r="D124" s="41" t="str">
        <f>'4637'!C10</f>
        <v>MOBILINARES SPA</v>
      </c>
      <c r="E124" s="42"/>
      <c r="F124" s="42"/>
      <c r="G124" s="1"/>
    </row>
    <row r="125" spans="1:7" ht="4.5" customHeight="1" x14ac:dyDescent="0.3">
      <c r="A125" s="1"/>
      <c r="B125" s="1"/>
      <c r="C125" s="43"/>
      <c r="D125" s="44"/>
      <c r="E125" s="1"/>
      <c r="F125" s="1"/>
      <c r="G125" s="1"/>
    </row>
    <row r="126" spans="1:7" ht="15.6" x14ac:dyDescent="0.3">
      <c r="A126" s="1"/>
      <c r="B126" s="1"/>
      <c r="C126" s="45" t="str">
        <f>'4637'!G11</f>
        <v>FECHA LIMITE :</v>
      </c>
      <c r="D126" s="13">
        <f>'4637'!H11</f>
        <v>0</v>
      </c>
      <c r="E126" s="1"/>
      <c r="F126" s="1"/>
      <c r="G126" s="1"/>
    </row>
    <row r="127" spans="1:7" ht="15.6" x14ac:dyDescent="0.3">
      <c r="A127" s="1"/>
      <c r="B127" s="1"/>
      <c r="C127" s="1"/>
      <c r="D127" s="1"/>
      <c r="E127" s="1"/>
      <c r="F127" s="1"/>
      <c r="G127" s="1"/>
    </row>
    <row r="128" spans="1:7" ht="15.6" x14ac:dyDescent="0.3">
      <c r="A128" s="1"/>
      <c r="B128" s="1"/>
      <c r="C128" s="1"/>
      <c r="D128" s="1"/>
      <c r="E128" s="1"/>
      <c r="F128" s="1"/>
      <c r="G128" s="1"/>
    </row>
    <row r="129" spans="1:7" ht="15.6" x14ac:dyDescent="0.3">
      <c r="A129" s="115" t="s">
        <v>68</v>
      </c>
      <c r="B129" s="115"/>
      <c r="C129" s="115"/>
      <c r="D129" s="115"/>
      <c r="E129" s="115"/>
      <c r="F129" s="115"/>
      <c r="G129" s="1"/>
    </row>
    <row r="130" spans="1:7" ht="15.6" x14ac:dyDescent="0.3">
      <c r="A130" s="1"/>
      <c r="B130" s="1"/>
      <c r="C130" s="1"/>
      <c r="D130" s="1"/>
      <c r="E130" s="1"/>
      <c r="F130" s="1"/>
      <c r="G130" s="1"/>
    </row>
    <row r="131" spans="1:7" ht="15.75" customHeight="1" x14ac:dyDescent="0.3">
      <c r="A131" s="1"/>
      <c r="B131" s="116" t="s">
        <v>69</v>
      </c>
      <c r="C131" s="117"/>
      <c r="D131" s="118"/>
      <c r="E131" s="118"/>
      <c r="F131" s="119"/>
      <c r="G131" s="1"/>
    </row>
    <row r="132" spans="1:7" s="15" customFormat="1" ht="12.75" customHeight="1" x14ac:dyDescent="0.3">
      <c r="A132" s="1"/>
      <c r="B132" s="35" t="s">
        <v>10</v>
      </c>
      <c r="C132" s="46" t="s">
        <v>11</v>
      </c>
      <c r="D132" s="47" t="s">
        <v>7</v>
      </c>
      <c r="E132" s="47" t="s">
        <v>8</v>
      </c>
      <c r="F132" s="48" t="s">
        <v>12</v>
      </c>
      <c r="G132" s="1"/>
    </row>
    <row r="133" spans="1:7" s="15" customFormat="1" ht="15" customHeight="1" x14ac:dyDescent="0.3">
      <c r="A133" s="88" t="s">
        <v>144</v>
      </c>
      <c r="B133" s="37">
        <f>'4637'!B22</f>
        <v>6</v>
      </c>
      <c r="C133" s="89" t="str">
        <f>'4637'!C22</f>
        <v>E/R 1 CARA</v>
      </c>
      <c r="D133" s="38">
        <f>'4637'!D22</f>
        <v>920</v>
      </c>
      <c r="E133" s="38">
        <f>'4637'!E22</f>
        <v>415</v>
      </c>
      <c r="F133" s="37" t="str">
        <f>'4637'!G22</f>
        <v>SHELL WHITE 22011 SF</v>
      </c>
      <c r="G133" s="1"/>
    </row>
    <row r="134" spans="1:7" s="15" customFormat="1" ht="15" customHeight="1" x14ac:dyDescent="0.3">
      <c r="A134" s="88"/>
      <c r="B134" s="37">
        <f>'4637'!B23</f>
        <v>4</v>
      </c>
      <c r="C134" s="89" t="str">
        <f>'4637'!C23</f>
        <v>E/R 1 CARA</v>
      </c>
      <c r="D134" s="38">
        <f>'4637'!D23</f>
        <v>920</v>
      </c>
      <c r="E134" s="38">
        <f>'4637'!E23</f>
        <v>445</v>
      </c>
      <c r="F134" s="37" t="str">
        <f>'4637'!G23</f>
        <v>SHELL WHITE 22011 SF</v>
      </c>
      <c r="G134" s="1"/>
    </row>
    <row r="135" spans="1:7" s="15" customFormat="1" ht="15" customHeight="1" x14ac:dyDescent="0.3">
      <c r="A135" s="88"/>
      <c r="B135" s="37">
        <f>'4637'!B24</f>
        <v>6</v>
      </c>
      <c r="C135" s="89" t="str">
        <f>'4637'!C24</f>
        <v>E/R 1 CARA</v>
      </c>
      <c r="D135" s="38">
        <f>'4637'!D24</f>
        <v>920</v>
      </c>
      <c r="E135" s="38">
        <f>'4637'!E24</f>
        <v>465</v>
      </c>
      <c r="F135" s="37" t="str">
        <f>'4637'!G24</f>
        <v>SHELL WHITE 22011 SF</v>
      </c>
      <c r="G135" s="1"/>
    </row>
    <row r="136" spans="1:7" s="15" customFormat="1" ht="15" customHeight="1" x14ac:dyDescent="0.3">
      <c r="A136" s="88"/>
      <c r="B136" s="37">
        <f>'4637'!B25</f>
        <v>2</v>
      </c>
      <c r="C136" s="89" t="str">
        <f>'4637'!C25</f>
        <v>E/R 1 CARA</v>
      </c>
      <c r="D136" s="38">
        <f>'4637'!D25</f>
        <v>920</v>
      </c>
      <c r="E136" s="38">
        <f>'4637'!E25</f>
        <v>340</v>
      </c>
      <c r="F136" s="37" t="str">
        <f>'4637'!G25</f>
        <v>SHELL WHITE 22011 SF</v>
      </c>
      <c r="G136" s="1"/>
    </row>
    <row r="137" spans="1:7" s="15" customFormat="1" ht="15" customHeight="1" x14ac:dyDescent="0.3">
      <c r="A137" s="88"/>
      <c r="B137" s="37">
        <f>'4637'!B26</f>
        <v>7</v>
      </c>
      <c r="C137" s="89" t="str">
        <f>'4637'!C26</f>
        <v>E/R 1 CARA</v>
      </c>
      <c r="D137" s="38">
        <f>'4637'!D26</f>
        <v>690</v>
      </c>
      <c r="E137" s="38">
        <f>'4637'!E26</f>
        <v>595</v>
      </c>
      <c r="F137" s="37" t="str">
        <f>'4637'!G26</f>
        <v>SHELL WHITE 22011 SF</v>
      </c>
      <c r="G137" s="1"/>
    </row>
    <row r="138" spans="1:7" s="15" customFormat="1" ht="15" customHeight="1" x14ac:dyDescent="0.3">
      <c r="A138" s="88"/>
      <c r="B138" s="37">
        <f>'4637'!B27</f>
        <v>1</v>
      </c>
      <c r="C138" s="89" t="str">
        <f>'4637'!C27</f>
        <v>E/R 1 CARA</v>
      </c>
      <c r="D138" s="38">
        <f>'4637'!D27</f>
        <v>690</v>
      </c>
      <c r="E138" s="38">
        <f>'4637'!E27</f>
        <v>395</v>
      </c>
      <c r="F138" s="37" t="str">
        <f>'4637'!G27</f>
        <v>SHELL WHITE 22011 SF</v>
      </c>
      <c r="G138" s="1"/>
    </row>
    <row r="139" spans="1:7" s="15" customFormat="1" ht="15" customHeight="1" x14ac:dyDescent="0.3">
      <c r="A139" s="88"/>
      <c r="B139" s="37">
        <f>'4637'!B28</f>
        <v>1</v>
      </c>
      <c r="C139" s="89" t="str">
        <f>'4637'!C28</f>
        <v>E/R 1 CARA</v>
      </c>
      <c r="D139" s="38">
        <f>'4637'!D28</f>
        <v>660</v>
      </c>
      <c r="E139" s="38">
        <f>'4637'!E28</f>
        <v>450</v>
      </c>
      <c r="F139" s="37" t="str">
        <f>'4637'!G28</f>
        <v>SHELL WHITE 22011 SF</v>
      </c>
      <c r="G139" s="1"/>
    </row>
    <row r="140" spans="1:7" s="15" customFormat="1" ht="15" customHeight="1" x14ac:dyDescent="0.3">
      <c r="A140" s="88"/>
      <c r="B140" s="37">
        <f>'4637'!B29</f>
        <v>1</v>
      </c>
      <c r="C140" s="89" t="str">
        <f>'4637'!C29</f>
        <v>E/R 1 CARA</v>
      </c>
      <c r="D140" s="38">
        <f>'4637'!D29</f>
        <v>660</v>
      </c>
      <c r="E140" s="38">
        <f>'4637'!E29</f>
        <v>265</v>
      </c>
      <c r="F140" s="37" t="str">
        <f>'4637'!G29</f>
        <v>SHELL WHITE 22011 SF</v>
      </c>
      <c r="G140" s="1"/>
    </row>
    <row r="141" spans="1:7" s="15" customFormat="1" ht="15" customHeight="1" x14ac:dyDescent="0.3">
      <c r="A141" s="88"/>
      <c r="B141" s="37">
        <f>'4637'!B30</f>
        <v>3</v>
      </c>
      <c r="C141" s="89" t="str">
        <f>'4637'!C30</f>
        <v>E/R 1 CARA</v>
      </c>
      <c r="D141" s="38">
        <f>'4637'!D30</f>
        <v>660</v>
      </c>
      <c r="E141" s="38">
        <f>'4637'!E30</f>
        <v>305</v>
      </c>
      <c r="F141" s="37" t="str">
        <f>'4637'!G30</f>
        <v>SHELL WHITE 22011 SF</v>
      </c>
      <c r="G141" s="1"/>
    </row>
    <row r="142" spans="1:7" s="15" customFormat="1" ht="15" customHeight="1" x14ac:dyDescent="0.3">
      <c r="A142" s="88"/>
      <c r="B142" s="37">
        <f>'4637'!B31</f>
        <v>6</v>
      </c>
      <c r="C142" s="89" t="str">
        <f>'4637'!C31</f>
        <v>E/R 1 CARA</v>
      </c>
      <c r="D142" s="38">
        <f>'4637'!D31</f>
        <v>660</v>
      </c>
      <c r="E142" s="38">
        <f>'4637'!E31</f>
        <v>325</v>
      </c>
      <c r="F142" s="37" t="str">
        <f>'4637'!G31</f>
        <v>SHELL WHITE 22011 SF</v>
      </c>
      <c r="G142" s="1"/>
    </row>
    <row r="143" spans="1:7" s="15" customFormat="1" ht="15" customHeight="1" x14ac:dyDescent="0.3">
      <c r="A143" s="88"/>
      <c r="B143" s="37">
        <f>'4637'!B32</f>
        <v>1</v>
      </c>
      <c r="C143" s="89" t="str">
        <f>'4637'!C32</f>
        <v>E/R 1 CARA</v>
      </c>
      <c r="D143" s="38">
        <f>'4637'!D32</f>
        <v>660</v>
      </c>
      <c r="E143" s="38">
        <f>'4637'!E32</f>
        <v>432</v>
      </c>
      <c r="F143" s="37" t="str">
        <f>'4637'!G32</f>
        <v>SHELL WHITE 22011 SF</v>
      </c>
      <c r="G143" s="1"/>
    </row>
    <row r="144" spans="1:7" s="15" customFormat="1" ht="15" customHeight="1" x14ac:dyDescent="0.3">
      <c r="A144" s="88"/>
      <c r="B144" s="37">
        <f>'4637'!B33</f>
        <v>1</v>
      </c>
      <c r="C144" s="89" t="str">
        <f>'4637'!C33</f>
        <v>E/R 1 CARA</v>
      </c>
      <c r="D144" s="38">
        <f>'4637'!D33</f>
        <v>660</v>
      </c>
      <c r="E144" s="38">
        <f>'4637'!E33</f>
        <v>240</v>
      </c>
      <c r="F144" s="37" t="str">
        <f>'4637'!G33</f>
        <v>SHELL WHITE 22011 SF</v>
      </c>
      <c r="G144" s="1"/>
    </row>
    <row r="145" spans="1:7" s="15" customFormat="1" ht="15" customHeight="1" x14ac:dyDescent="0.3">
      <c r="A145" s="88"/>
      <c r="B145" s="37">
        <f>'4637'!B34</f>
        <v>9</v>
      </c>
      <c r="C145" s="89" t="str">
        <f>'4637'!C34</f>
        <v>E/R 1 CARA</v>
      </c>
      <c r="D145" s="38">
        <f>'4637'!D34</f>
        <v>660</v>
      </c>
      <c r="E145" s="38">
        <f>'4637'!E34</f>
        <v>395</v>
      </c>
      <c r="F145" s="37" t="str">
        <f>'4637'!G34</f>
        <v>SHELL WHITE 22011 SF</v>
      </c>
      <c r="G145" s="1"/>
    </row>
    <row r="146" spans="1:7" s="15" customFormat="1" ht="15" customHeight="1" x14ac:dyDescent="0.3">
      <c r="A146" s="88"/>
      <c r="B146" s="37">
        <f>'4637'!B35</f>
        <v>4</v>
      </c>
      <c r="C146" s="89" t="str">
        <f>'4637'!C35</f>
        <v>E/R 1 CARA</v>
      </c>
      <c r="D146" s="38">
        <f>'4637'!D35</f>
        <v>660</v>
      </c>
      <c r="E146" s="38">
        <f>'4637'!E35</f>
        <v>405</v>
      </c>
      <c r="F146" s="37" t="str">
        <f>'4637'!G35</f>
        <v>SHELL WHITE 22011 SF</v>
      </c>
      <c r="G146" s="1"/>
    </row>
    <row r="147" spans="1:7" s="15" customFormat="1" ht="15" customHeight="1" x14ac:dyDescent="0.3">
      <c r="A147" s="88"/>
      <c r="B147" s="37">
        <f>'4637'!B36</f>
        <v>20</v>
      </c>
      <c r="C147" s="89" t="str">
        <f>'4637'!C36</f>
        <v>E/R 1 CARA</v>
      </c>
      <c r="D147" s="38">
        <f>'4637'!D36</f>
        <v>660</v>
      </c>
      <c r="E147" s="38">
        <f>'4637'!E36</f>
        <v>355</v>
      </c>
      <c r="F147" s="37" t="str">
        <f>'4637'!G36</f>
        <v>SHELL WHITE 22011 SF</v>
      </c>
      <c r="G147" s="1"/>
    </row>
    <row r="148" spans="1:7" s="15" customFormat="1" ht="15" customHeight="1" x14ac:dyDescent="0.3">
      <c r="A148" s="88"/>
      <c r="B148" s="37">
        <f>'4637'!B37</f>
        <v>4</v>
      </c>
      <c r="C148" s="89" t="str">
        <f>'4637'!C37</f>
        <v>E/R 1 CARA</v>
      </c>
      <c r="D148" s="38">
        <f>'4637'!D37</f>
        <v>660</v>
      </c>
      <c r="E148" s="38">
        <f>'4637'!E37</f>
        <v>393</v>
      </c>
      <c r="F148" s="37" t="str">
        <f>'4637'!G37</f>
        <v>SHELL WHITE 22011 SF</v>
      </c>
      <c r="G148" s="1"/>
    </row>
    <row r="149" spans="1:7" s="15" customFormat="1" ht="15" customHeight="1" x14ac:dyDescent="0.3">
      <c r="A149" s="88"/>
      <c r="B149" s="37">
        <f>'4637'!B38</f>
        <v>2</v>
      </c>
      <c r="C149" s="89" t="str">
        <f>'4637'!C38</f>
        <v>E/R 1 CARA</v>
      </c>
      <c r="D149" s="38">
        <f>'4637'!D38</f>
        <v>660</v>
      </c>
      <c r="E149" s="38">
        <f>'4637'!E38</f>
        <v>445</v>
      </c>
      <c r="F149" s="37" t="str">
        <f>'4637'!G38</f>
        <v>SHELL WHITE 22011 SF</v>
      </c>
      <c r="G149" s="1"/>
    </row>
    <row r="150" spans="1:7" s="15" customFormat="1" ht="15" customHeight="1" x14ac:dyDescent="0.3">
      <c r="A150" s="88"/>
      <c r="B150" s="37">
        <f>'4637'!B39</f>
        <v>1</v>
      </c>
      <c r="C150" s="89" t="str">
        <f>'4637'!C39</f>
        <v>E/R 1 CARA</v>
      </c>
      <c r="D150" s="38">
        <f>'4637'!D39</f>
        <v>660</v>
      </c>
      <c r="E150" s="38">
        <f>'4637'!E39</f>
        <v>366</v>
      </c>
      <c r="F150" s="37" t="str">
        <f>'4637'!G39</f>
        <v>SHELL WHITE 22011 SF</v>
      </c>
      <c r="G150" s="1"/>
    </row>
    <row r="151" spans="1:7" s="15" customFormat="1" ht="15" customHeight="1" x14ac:dyDescent="0.3">
      <c r="A151" s="88"/>
      <c r="B151" s="37">
        <f>'4637'!B40</f>
        <v>2</v>
      </c>
      <c r="C151" s="89" t="str">
        <f>'4637'!C40</f>
        <v>E/R 1 CARA</v>
      </c>
      <c r="D151" s="38">
        <f>'4637'!D40</f>
        <v>660</v>
      </c>
      <c r="E151" s="38">
        <f>'4637'!E40</f>
        <v>330</v>
      </c>
      <c r="F151" s="37" t="str">
        <f>'4637'!G40</f>
        <v>SHELL WHITE 22011 SF</v>
      </c>
      <c r="G151" s="1"/>
    </row>
    <row r="152" spans="1:7" s="15" customFormat="1" ht="15" customHeight="1" x14ac:dyDescent="0.3">
      <c r="A152" s="88"/>
      <c r="B152" s="37">
        <f>'4637'!B41</f>
        <v>4</v>
      </c>
      <c r="C152" s="89" t="str">
        <f>'4637'!C41</f>
        <v>E/R 1 CARA</v>
      </c>
      <c r="D152" s="38">
        <f>'4637'!D41</f>
        <v>510</v>
      </c>
      <c r="E152" s="38">
        <f>'4637'!E41</f>
        <v>520</v>
      </c>
      <c r="F152" s="37" t="str">
        <f>'4637'!G41</f>
        <v>SHELL WHITE 22011 SF</v>
      </c>
      <c r="G152" s="1"/>
    </row>
    <row r="153" spans="1:7" s="15" customFormat="1" ht="15" customHeight="1" x14ac:dyDescent="0.3">
      <c r="A153" s="88"/>
      <c r="B153" s="37">
        <f>'4637'!B42</f>
        <v>1</v>
      </c>
      <c r="C153" s="89" t="str">
        <f>'4637'!C42</f>
        <v>E/R 1 CARA</v>
      </c>
      <c r="D153" s="38">
        <f>'4637'!D42</f>
        <v>340</v>
      </c>
      <c r="E153" s="38">
        <f>'4637'!E42</f>
        <v>785</v>
      </c>
      <c r="F153" s="37" t="str">
        <f>'4637'!G42</f>
        <v>SHELL WHITE 22011 SF</v>
      </c>
      <c r="G153" s="1"/>
    </row>
    <row r="154" spans="1:7" s="15" customFormat="1" ht="15" customHeight="1" x14ac:dyDescent="0.3">
      <c r="A154" s="88"/>
      <c r="B154" s="37">
        <f>'4637'!B43</f>
        <v>1</v>
      </c>
      <c r="C154" s="89" t="str">
        <f>'4637'!C43</f>
        <v>E/R 1 CARA</v>
      </c>
      <c r="D154" s="38">
        <f>'4637'!D43</f>
        <v>294</v>
      </c>
      <c r="E154" s="38">
        <f>'4637'!E43</f>
        <v>1015</v>
      </c>
      <c r="F154" s="37" t="str">
        <f>'4637'!G43</f>
        <v>SHELL WHITE 22011 SF</v>
      </c>
      <c r="G154" s="1"/>
    </row>
    <row r="155" spans="1:7" s="15" customFormat="1" ht="15" customHeight="1" x14ac:dyDescent="0.3">
      <c r="A155" s="88"/>
      <c r="B155" s="37">
        <f>'4637'!B44</f>
        <v>1</v>
      </c>
      <c r="C155" s="89" t="str">
        <f>'4637'!C44</f>
        <v>E/R 1 CARA</v>
      </c>
      <c r="D155" s="38">
        <f>'4637'!D44</f>
        <v>200</v>
      </c>
      <c r="E155" s="38">
        <f>'4637'!E44</f>
        <v>465</v>
      </c>
      <c r="F155" s="37" t="str">
        <f>'4637'!G44</f>
        <v>SHELL WHITE 22011 SF</v>
      </c>
      <c r="G155" s="1"/>
    </row>
    <row r="156" spans="1:7" s="15" customFormat="1" ht="15" customHeight="1" x14ac:dyDescent="0.3">
      <c r="A156" s="88"/>
      <c r="B156" s="37">
        <f>'4637'!B45</f>
        <v>1</v>
      </c>
      <c r="C156" s="89" t="str">
        <f>'4637'!C45</f>
        <v>E/R 1 CARA</v>
      </c>
      <c r="D156" s="38">
        <f>'4637'!D45</f>
        <v>200</v>
      </c>
      <c r="E156" s="38">
        <f>'4637'!E45</f>
        <v>305</v>
      </c>
      <c r="F156" s="37" t="str">
        <f>'4637'!G45</f>
        <v>SHELL WHITE 22011 SF</v>
      </c>
      <c r="G156" s="1"/>
    </row>
    <row r="157" spans="1:7" s="15" customFormat="1" ht="15" customHeight="1" x14ac:dyDescent="0.3">
      <c r="A157" s="88"/>
      <c r="B157" s="37">
        <f>'4637'!B46</f>
        <v>1</v>
      </c>
      <c r="C157" s="89" t="str">
        <f>'4637'!C46</f>
        <v>E/R 1 CARA</v>
      </c>
      <c r="D157" s="38">
        <f>'4637'!D46</f>
        <v>140</v>
      </c>
      <c r="E157" s="38">
        <f>'4637'!E46</f>
        <v>465</v>
      </c>
      <c r="F157" s="37" t="str">
        <f>'4637'!G46</f>
        <v>SHELL WHITE 22011 SF</v>
      </c>
      <c r="G157" s="1"/>
    </row>
    <row r="158" spans="1:7" s="15" customFormat="1" ht="15" customHeight="1" x14ac:dyDescent="0.3">
      <c r="A158" s="88"/>
      <c r="B158" s="37">
        <f>'4637'!B47</f>
        <v>1</v>
      </c>
      <c r="C158" s="89" t="str">
        <f>'4637'!C47</f>
        <v>E/R 1 CARA</v>
      </c>
      <c r="D158" s="38">
        <f>'4637'!D47</f>
        <v>140</v>
      </c>
      <c r="E158" s="38">
        <f>'4637'!E47</f>
        <v>305</v>
      </c>
      <c r="F158" s="37" t="str">
        <f>'4637'!G47</f>
        <v>SHELL WHITE 22011 SF</v>
      </c>
      <c r="G158" s="1"/>
    </row>
    <row r="159" spans="1:7" s="15" customFormat="1" ht="15" customHeight="1" x14ac:dyDescent="0.3">
      <c r="A159" s="88"/>
      <c r="B159" s="37">
        <f>'4637'!B48</f>
        <v>1</v>
      </c>
      <c r="C159" s="89" t="str">
        <f>'4637'!C48</f>
        <v>E/R 1 CARA</v>
      </c>
      <c r="D159" s="38">
        <f>'4637'!D48</f>
        <v>100</v>
      </c>
      <c r="E159" s="38">
        <f>'4637'!E48</f>
        <v>465</v>
      </c>
      <c r="F159" s="37" t="str">
        <f>'4637'!G48</f>
        <v>SHELL WHITE 22011 SF</v>
      </c>
      <c r="G159" s="1"/>
    </row>
    <row r="160" spans="1:7" s="15" customFormat="1" ht="15" customHeight="1" x14ac:dyDescent="0.3">
      <c r="A160" s="88"/>
      <c r="B160" s="37">
        <f>'4637'!B49</f>
        <v>1</v>
      </c>
      <c r="C160" s="89" t="str">
        <f>'4637'!C49</f>
        <v>E/R 1 CARA</v>
      </c>
      <c r="D160" s="38">
        <f>'4637'!D49</f>
        <v>100</v>
      </c>
      <c r="E160" s="38">
        <f>'4637'!E49</f>
        <v>305</v>
      </c>
      <c r="F160" s="37" t="str">
        <f>'4637'!G49</f>
        <v>SHELL WHITE 22011 SF</v>
      </c>
      <c r="G160" s="1"/>
    </row>
    <row r="161" spans="1:7" s="15" customFormat="1" ht="15" customHeight="1" x14ac:dyDescent="0.3">
      <c r="A161" s="49"/>
      <c r="B161" s="51">
        <f>SUM(B133:B160)</f>
        <v>93</v>
      </c>
      <c r="C161" s="51"/>
      <c r="D161" s="51"/>
      <c r="E161" s="51"/>
      <c r="F161" s="51"/>
      <c r="G161" s="1"/>
    </row>
    <row r="162" spans="1:7" s="15" customFormat="1" ht="15" customHeight="1" x14ac:dyDescent="0.3">
      <c r="A162" s="49"/>
      <c r="B162" s="51"/>
      <c r="C162" s="51"/>
      <c r="D162" s="51"/>
      <c r="E162" s="51"/>
      <c r="F162" s="51"/>
      <c r="G162" s="1"/>
    </row>
    <row r="163" spans="1:7" ht="15.6" x14ac:dyDescent="0.3">
      <c r="A163" s="6"/>
      <c r="B163" s="6"/>
      <c r="C163" s="1"/>
      <c r="D163" s="6"/>
      <c r="E163" s="6"/>
      <c r="F163" s="43"/>
      <c r="G163" s="1"/>
    </row>
    <row r="164" spans="1:7" ht="15.6" x14ac:dyDescent="0.3">
      <c r="A164" s="6"/>
      <c r="B164" s="6"/>
      <c r="C164" s="1"/>
      <c r="D164" s="6"/>
      <c r="E164" s="6"/>
      <c r="F164" s="6"/>
      <c r="G164" s="1"/>
    </row>
    <row r="165" spans="1:7" ht="15.6" x14ac:dyDescent="0.3">
      <c r="A165" s="1"/>
      <c r="B165" s="1"/>
      <c r="C165" s="1"/>
      <c r="D165" s="1"/>
      <c r="E165" s="1"/>
      <c r="F165" s="1"/>
      <c r="G165" s="1"/>
    </row>
    <row r="166" spans="1:7" ht="15.6" x14ac:dyDescent="0.3">
      <c r="A166" s="1"/>
      <c r="B166" s="1"/>
      <c r="C166" s="1"/>
      <c r="D166" s="1"/>
      <c r="E166" s="1"/>
      <c r="F166" s="1"/>
      <c r="G166" s="1"/>
    </row>
    <row r="167" spans="1:7" ht="15.6" x14ac:dyDescent="0.3">
      <c r="A167" s="1"/>
      <c r="B167" s="1"/>
      <c r="C167" s="1"/>
      <c r="D167" s="1"/>
      <c r="E167" s="1"/>
      <c r="F167" s="1"/>
      <c r="G167" s="1"/>
    </row>
    <row r="168" spans="1:7" ht="15" customHeight="1" x14ac:dyDescent="0.3">
      <c r="A168" s="1"/>
      <c r="B168" s="1"/>
      <c r="C168" s="1"/>
      <c r="D168" s="1"/>
      <c r="E168" s="1"/>
      <c r="F168" s="1"/>
      <c r="G168" s="1"/>
    </row>
    <row r="169" spans="1:7" ht="15.6" x14ac:dyDescent="0.3">
      <c r="A169" s="1"/>
      <c r="B169" s="1"/>
      <c r="C169" s="1"/>
      <c r="D169" s="1"/>
      <c r="E169" s="1"/>
      <c r="F169" s="1"/>
      <c r="G169" s="1"/>
    </row>
    <row r="170" spans="1:7" ht="15.6" x14ac:dyDescent="0.3">
      <c r="A170" s="6"/>
      <c r="B170" s="50"/>
      <c r="C170" s="1"/>
      <c r="D170" s="1"/>
      <c r="E170" s="1"/>
      <c r="F170" s="1"/>
      <c r="G170" s="1"/>
    </row>
    <row r="171" spans="1:7" ht="15.6" x14ac:dyDescent="0.3">
      <c r="A171" s="1"/>
      <c r="B171" s="1"/>
      <c r="C171" s="1"/>
      <c r="D171" s="1"/>
      <c r="E171" s="1"/>
      <c r="F171" s="1"/>
      <c r="G171" s="1"/>
    </row>
    <row r="172" spans="1:7" x14ac:dyDescent="0.3">
      <c r="B172" s="20"/>
      <c r="C172" s="20"/>
      <c r="D172" s="20"/>
      <c r="E172" s="20"/>
      <c r="F172" s="20"/>
    </row>
    <row r="173" spans="1:7" x14ac:dyDescent="0.3">
      <c r="B173" s="20"/>
      <c r="C173" s="20"/>
      <c r="E173" s="20"/>
      <c r="F173" s="20"/>
    </row>
  </sheetData>
  <mergeCells count="6">
    <mergeCell ref="M3:N3"/>
    <mergeCell ref="A47:F47"/>
    <mergeCell ref="A10:F10"/>
    <mergeCell ref="A129:F129"/>
    <mergeCell ref="B131:F13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2026-01-08T20:04:00Z</cp:lastPrinted>
  <dcterms:created xsi:type="dcterms:W3CDTF">2013-03-19T12:54:14Z</dcterms:created>
  <dcterms:modified xsi:type="dcterms:W3CDTF">2026-01-08T20:04:06Z</dcterms:modified>
</cp:coreProperties>
</file>