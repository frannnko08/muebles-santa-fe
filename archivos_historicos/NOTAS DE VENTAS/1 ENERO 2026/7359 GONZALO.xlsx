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C2595477-8FDF-4B85-A4C0-8288582D2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</externalReferences>
  <definedNames>
    <definedName name="_xlnm.Print_Area" localSheetId="0">'4637'!#REF!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3" l="1"/>
  <c r="F27" i="3" s="1"/>
  <c r="E49" i="3"/>
  <c r="D49" i="3"/>
  <c r="C49" i="3"/>
  <c r="C27" i="3" s="1"/>
  <c r="B49" i="3"/>
  <c r="D42" i="3"/>
  <c r="C42" i="3"/>
  <c r="D40" i="3"/>
  <c r="D39" i="3"/>
  <c r="E27" i="3"/>
  <c r="K14" i="3" s="1"/>
  <c r="D27" i="3"/>
  <c r="J14" i="3" s="1"/>
  <c r="B27" i="3"/>
  <c r="I21" i="3" s="1"/>
  <c r="K21" i="3"/>
  <c r="J21" i="3"/>
  <c r="D8" i="3"/>
  <c r="D7" i="3"/>
  <c r="C7" i="3"/>
  <c r="N5" i="3"/>
  <c r="D5" i="3"/>
  <c r="D4" i="3"/>
  <c r="H22" i="4"/>
  <c r="H25" i="4" s="1"/>
  <c r="G22" i="4"/>
  <c r="F22" i="4"/>
  <c r="E22" i="4"/>
  <c r="D22" i="4"/>
  <c r="C22" i="4"/>
  <c r="B22" i="4"/>
  <c r="C17" i="4"/>
  <c r="G16" i="4"/>
  <c r="G15" i="4"/>
  <c r="C15" i="4"/>
  <c r="G12" i="4"/>
  <c r="G11" i="4"/>
  <c r="G10" i="4"/>
  <c r="D8" i="4"/>
  <c r="I14" i="3" l="1"/>
  <c r="B14" i="3" s="1"/>
  <c r="B21" i="3"/>
  <c r="F14" i="3"/>
  <c r="F21" i="3"/>
  <c r="H26" i="4"/>
  <c r="H27" i="4" s="1"/>
  <c r="M5" i="3" l="1"/>
  <c r="E14" i="3"/>
  <c r="L5" i="3"/>
  <c r="E21" i="3"/>
  <c r="D14" i="3"/>
  <c r="K5" i="3"/>
  <c r="D21" i="3"/>
</calcChain>
</file>

<file path=xl/sharedStrings.xml><?xml version="1.0" encoding="utf-8"?>
<sst xmlns="http://schemas.openxmlformats.org/spreadsheetml/2006/main" count="245" uniqueCount="143">
  <si>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</si>
  <si>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</si>
  <si>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</si>
  <si>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</si>
  <si>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</si>
  <si>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</si>
  <si>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</si>
  <si>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</si>
  <si>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</si>
  <si>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</si>
  <si>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</si>
  <si>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</si>
  <si>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</si>
  <si>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</si>
  <si>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</si>
  <si>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</si>
  <si>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</si>
  <si>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</si>
  <si>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</si>
  <si>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</si>
  <si>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</si>
  <si>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</si>
  <si>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</si>
  <si>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</si>
  <si>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</si>
  <si>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</si>
  <si>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</si>
  <si>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</si>
  <si>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</si>
  <si>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</si>
  <si>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</si>
  <si>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</si>
  <si>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</si>
  <si>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</si>
  <si>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</si>
  <si>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</si>
  <si>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</si>
  <si>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</si>
  <si>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</si>
  <si>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</si>
  <si>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</si>
  <si>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</si>
  <si>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</si>
  <si>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</si>
  <si>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</si>
  <si>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</si>
  <si>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</si>
  <si>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</si>
  <si>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</si>
  <si>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</si>
  <si>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</si>
  <si>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</si>
  <si>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</si>
  <si>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</si>
  <si>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</si>
  <si>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</si>
  <si>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</si>
  <si>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</si>
  <si>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</si>
  <si>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</si>
  <si>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</si>
  <si>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</si>
  <si>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</si>
  <si>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</si>
  <si>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</si>
  <si>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</si>
  <si>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</si>
  <si>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</si>
  <si>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</si>
  <si>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</si>
  <si>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</si>
  <si>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</si>
  <si>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</si>
  <si>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</si>
  <si>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</si>
  <si>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</si>
  <si>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</si>
  <si>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</si>
  <si>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</si>
  <si>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</si>
  <si>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</si>
  <si>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</si>
  <si>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</si>
  <si>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</si>
  <si>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</si>
  <si>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</si>
  <si>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</si>
  <si>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</si>
  <si>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</si>
  <si>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</si>
  <si>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</si>
  <si>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</si>
  <si>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</si>
  <si>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</si>
  <si>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</si>
  <si>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</si>
  <si>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</si>
  <si>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</si>
  <si>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</si>
  <si>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</si>
  <si>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</si>
  <si>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</si>
  <si>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</si>
  <si>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</si>
  <si>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</si>
  <si>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</si>
  <si>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</si>
  <si>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</si>
  <si>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</si>
  <si>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</si>
  <si>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</si>
  <si>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</si>
  <si>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</si>
  <si>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</si>
  <si>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</si>
  <si>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</si>
  <si>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</si>
  <si>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</si>
  <si>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</si>
  <si>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</si>
  <si>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</si>
  <si>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</si>
  <si>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</si>
  <si>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</si>
  <si>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</si>
  <si>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</si>
  <si>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</si>
  <si>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</si>
  <si>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</si>
  <si>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CELULAR: 963868755</t>
  </si>
  <si>
    <t>E-MAIL: fdonoso@topmobili.cl</t>
  </si>
  <si>
    <t>DESPACHO:</t>
  </si>
  <si>
    <t>FERNANDO DONOSO</t>
  </si>
  <si>
    <t xml:space="preserve">CUENTA VISTA DEL BANCO ESTADO N° 35571389078 A NOMBRE DE </t>
  </si>
  <si>
    <t>"MUEBLES SANTA FE SPA." - RUT : 77.054.606-0, VENTAS@TOPMOBILI.CL</t>
  </si>
  <si>
    <t>MDF 18MM</t>
  </si>
  <si>
    <t xml:space="preserve"> MDF 18MM</t>
  </si>
  <si>
    <t>MDF18MM</t>
  </si>
  <si>
    <t>GONZALO</t>
  </si>
  <si>
    <t>AUSTRAL COLD LTDA</t>
  </si>
  <si>
    <t>76.231.503-3</t>
  </si>
  <si>
    <t>COMERCIALIZACION, REPARACION Y MANTENCION MAQUINARIA</t>
  </si>
  <si>
    <t>GUSTAVO CAMPAÑA 5045 , SAN JOAQUIN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</si>
</sst>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4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6" fillId="9" borderId="23" xfId="0" applyFont="1" applyFill="1" applyBorder="1" applyAlignment="1">
      <alignment horizontal="center" vertical="center"/>
    </xf>
    <xf numFmtId="0" fontId="16" fillId="9" borderId="24" xfId="0" applyFont="1" applyFill="1" applyBorder="1" applyAlignment="1">
      <alignment horizontal="center" vertical="center"/>
    </xf>
    <xf numFmtId="0" fontId="16" fillId="9" borderId="25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" fontId="13" fillId="0" borderId="30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42" fontId="13" fillId="0" borderId="2" xfId="3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2" fontId="13" fillId="0" borderId="0" xfId="3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6" fontId="1" fillId="0" borderId="0" xfId="1" applyNumberFormat="1" applyFont="1" applyFill="1" applyBorder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4" borderId="9" xfId="0" applyFont="1" applyFill="1" applyBorder="1" applyAlignment="1">
      <alignment horizontal="left"/>
    </xf>
    <xf numFmtId="0" fontId="15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0"/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FCF1C0E-8E9F-4A7B-8F0B-BE00DCBB4F0D}"/>
            </a:ext>
          </a:extLst>
        </xdr:cNvPr>
        <xdr:cNvSpPr/>
      </xdr:nvSpPr>
      <xdr:spPr>
        <a:xfrm>
          <a:off x="213360" y="482727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6</xdr:row>
      <xdr:rowOff>47196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4EC8C6-B4AC-4E18-9135-6F4FB626E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61031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83B9F5-60B4-4CF8-BB47-C57A650826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CE9803D-B19F-4DBA-A63A-937E457279EE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676AC71F-ACAF-4D07-BFBC-DF8D7FF34DE4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B6669012-38DC-4236-9AE1-6B5E37E6F3B2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3DA11FE1-3BFB-4995-8A5B-F8D951A17856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A6DC281B-A53C-4857-8594-1C3FF658F575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8D53AE2-EED0-4D10-86C6-5D0A4641C9A6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9CC157C3-9409-4EEE-8BDB-DCD36E9490B3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8A4F408E-913E-4A4D-AF57-33D85D65C0DC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CF388C47-3951-42C8-A860-F345F7CDE96C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F10A74A5-0809-45F2-B52C-6887E258DDAB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7F19B2BE-0CDF-4DBF-835D-D4AE41761335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E6C7F824-9D76-4E27-804C-F3B261965E69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5DDD212A-DC55-4B98-8DE2-1495061A0F28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29F3F9CE-EC4C-495E-A49A-EB77810043AA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ABAFFC6C-F40B-4BE5-81F7-8CA554C95A96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957E4E59-666F-49FA-A942-C66188027A0D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1D40D62D-6586-4687-A339-788D40B257D8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F01DA955-937A-489D-AEC7-B8FBEAAC1D7F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98672CA6-CEEF-4EC7-867C-CDC9A5D4305E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2734F822-1C5E-45D2-840A-5FC51C4B3CF7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B6EE031E-3C5D-4EAD-9407-A5DAE9B6E4BE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34B1DE32-FBC4-4EC7-A29B-2D2935FE1780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732BF30C-F856-44C7-A869-37F0E2B4728A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A07E02C8-2FC2-425E-8E8F-BDC19866D3F6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E6DA7FC3-5A0A-451A-8C38-41513D071E33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87079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4681922-C253-4148-8FF2-1D01CB55A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D236553-0AA9-42D1-BC10-84793D4EB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1%20ENERO%202026\11822%20GONZALO.xlsx" TargetMode="External"/><Relationship Id="rId1" Type="http://schemas.openxmlformats.org/officeDocument/2006/relationships/externalLinkPath" Target="/Users/franc/Dropbox/PC/Desktop/POSTFORMADO%202020/COTIZACIONES%20MUEBLES%20SANTA%20FE/1%20ENERO%202026/11822%20GONZAL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11822</v>
          </cell>
        </row>
        <row r="10">
          <cell r="G10">
            <v>46028</v>
          </cell>
        </row>
        <row r="12">
          <cell r="G12" t="str">
            <v>NO</v>
          </cell>
        </row>
        <row r="14">
          <cell r="G14" t="str">
            <v>NO</v>
          </cell>
        </row>
        <row r="15">
          <cell r="C15" t="str">
            <v>+569 8410 5068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  <row r="21">
          <cell r="B21">
            <v>1</v>
          </cell>
          <cell r="C21" t="str">
            <v>CUB S/R 90°</v>
          </cell>
          <cell r="D21">
            <v>1.5</v>
          </cell>
          <cell r="E21">
            <v>0.55000000000000004</v>
          </cell>
          <cell r="F21" t="str">
            <v>BLANCO MT</v>
          </cell>
          <cell r="G21">
            <v>45569.580000000009</v>
          </cell>
        </row>
      </sheetData>
      <sheetData sheetId="1"/>
      <sheetData sheetId="2">
        <row r="10">
          <cell r="C10" t="str">
            <v>GONZALO</v>
          </cell>
          <cell r="F10" t="str">
            <v>FECHA :</v>
          </cell>
          <cell r="G10">
            <v>46028</v>
          </cell>
        </row>
        <row r="11">
          <cell r="G11">
            <v>46035</v>
          </cell>
        </row>
        <row r="22">
          <cell r="C22" t="str">
            <v>CUB S/R 90°</v>
          </cell>
          <cell r="D22">
            <v>1500</v>
          </cell>
          <cell r="E22">
            <v>550</v>
          </cell>
          <cell r="F22" t="str">
            <v>BLANCO MT</v>
          </cell>
        </row>
      </sheetData>
      <sheetData sheetId="3">
        <row r="4">
          <cell r="B4">
            <v>40</v>
          </cell>
          <cell r="C4">
            <v>60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C5">
            <v>90</v>
          </cell>
          <cell r="D5" t="str">
            <v>CEN 2V</v>
          </cell>
          <cell r="G5">
            <v>50</v>
          </cell>
          <cell r="I5" t="str">
            <v xml:space="preserve">CEN 2V </v>
          </cell>
        </row>
        <row r="6">
          <cell r="B6">
            <v>40</v>
          </cell>
          <cell r="C6">
            <v>100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C7">
            <v>150</v>
          </cell>
          <cell r="D7" t="str">
            <v>CORNISA  FRENTE ESPAÑOL 2 LADO</v>
          </cell>
          <cell r="G7">
            <v>50</v>
          </cell>
          <cell r="I7" t="str">
            <v>CORNISA  FRENTE ESPAÑOL 2 LADO</v>
          </cell>
        </row>
        <row r="8">
          <cell r="B8">
            <v>40</v>
          </cell>
          <cell r="C8">
            <v>100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C9">
            <v>50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C10">
            <v>80</v>
          </cell>
          <cell r="D10" t="str">
            <v>CORNISA PUNTA TIBURON 2 LADOS</v>
          </cell>
          <cell r="G10">
            <v>50</v>
          </cell>
          <cell r="I10" t="str">
            <v>CORNISA 2 LADOS</v>
          </cell>
        </row>
        <row r="11">
          <cell r="B11">
            <v>40</v>
          </cell>
          <cell r="C11">
            <v>60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C12">
            <v>100</v>
          </cell>
          <cell r="D12" t="str">
            <v>CORNISA R8 2 LADOS</v>
          </cell>
          <cell r="G12">
            <v>50</v>
          </cell>
          <cell r="I12" t="str">
            <v>CORNISA PUNTA TIBURON 2 LADOS</v>
          </cell>
        </row>
        <row r="13">
          <cell r="B13">
            <v>40</v>
          </cell>
          <cell r="C13">
            <v>130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C14">
            <v>150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C15">
            <v>150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C16">
            <v>130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C17">
            <v>150</v>
          </cell>
          <cell r="D17" t="str">
            <v>CUB MESA 180° 2 LADOS</v>
          </cell>
          <cell r="G17">
            <v>50</v>
          </cell>
          <cell r="I17" t="str">
            <v>CUB MESA 180° 2 LADOS</v>
          </cell>
        </row>
        <row r="18">
          <cell r="B18">
            <v>140</v>
          </cell>
          <cell r="C18">
            <v>150</v>
          </cell>
          <cell r="D18" t="str">
            <v>CUB MESA 180° 3 LADOS</v>
          </cell>
          <cell r="G18">
            <v>50</v>
          </cell>
          <cell r="I18" t="str">
            <v>CUB MESA 180° 3 LADOS</v>
          </cell>
        </row>
        <row r="19">
          <cell r="B19">
            <v>150</v>
          </cell>
          <cell r="C19">
            <v>150</v>
          </cell>
          <cell r="D19" t="str">
            <v>CUB MESA 180° 4 LADOS</v>
          </cell>
          <cell r="G19">
            <v>50</v>
          </cell>
          <cell r="I19" t="str">
            <v>CUB MESA 180° 4 LADOS</v>
          </cell>
        </row>
        <row r="20">
          <cell r="B20">
            <v>40</v>
          </cell>
          <cell r="C20">
            <v>100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C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C22">
            <v>100</v>
          </cell>
          <cell r="D22" t="str">
            <v>CUB MESA 4 LADOS</v>
          </cell>
          <cell r="I22" t="str">
            <v>CUB MESA 4 LADOS</v>
          </cell>
        </row>
        <row r="23">
          <cell r="B23">
            <v>40</v>
          </cell>
          <cell r="C23">
            <v>150</v>
          </cell>
          <cell r="D23" t="str">
            <v>CUB MESA FRENTE ESPAÑOL 2 LADOS</v>
          </cell>
          <cell r="G23">
            <v>50</v>
          </cell>
          <cell r="I23" t="str">
            <v>CUB MESA FRENTE ESPAÑOL 2 LADOS</v>
          </cell>
        </row>
        <row r="24">
          <cell r="B24">
            <v>140</v>
          </cell>
          <cell r="C24">
            <v>150</v>
          </cell>
          <cell r="D24" t="str">
            <v>CUB MESA FRENTE ESPAÑOL 3 LADOS</v>
          </cell>
          <cell r="G24">
            <v>50</v>
          </cell>
          <cell r="I24" t="str">
            <v>CUB MESA FRENTE ESPAÑOL 3 LADOS</v>
          </cell>
        </row>
        <row r="25">
          <cell r="B25">
            <v>150</v>
          </cell>
          <cell r="C25">
            <v>150</v>
          </cell>
          <cell r="D25" t="str">
            <v>CUB MESA FRENTE ESPAÑOL 4 LADOS</v>
          </cell>
          <cell r="G25">
            <v>50</v>
          </cell>
          <cell r="I25" t="str">
            <v>CUB MESA FRENTE ESPAÑOL 4 LADOS</v>
          </cell>
        </row>
        <row r="26">
          <cell r="B26">
            <v>40</v>
          </cell>
          <cell r="C26">
            <v>77</v>
          </cell>
          <cell r="D26" t="str">
            <v>CUB MESA PUNTA TIBURON 2 LADOS</v>
          </cell>
          <cell r="G26">
            <v>50</v>
          </cell>
          <cell r="I26" t="str">
            <v>CUB MESA PUNTA TIBURON 2 LADOS</v>
          </cell>
        </row>
        <row r="27">
          <cell r="B27">
            <v>110</v>
          </cell>
          <cell r="C27">
            <v>77</v>
          </cell>
          <cell r="D27" t="str">
            <v>CUB MESA PUNTA TIBURON 3 LADOS</v>
          </cell>
          <cell r="G27">
            <v>50</v>
          </cell>
          <cell r="I27" t="str">
            <v>CUB MESA PUNTA TIBURON 3 LADOS</v>
          </cell>
        </row>
        <row r="28">
          <cell r="B28">
            <v>120</v>
          </cell>
          <cell r="C28">
            <v>77</v>
          </cell>
          <cell r="D28" t="str">
            <v>CUB MESA PUNTA TIBURON 4 LADOS</v>
          </cell>
          <cell r="G28">
            <v>50</v>
          </cell>
          <cell r="I28" t="str">
            <v>CUB MESA PUNTA TIBURON 4 LADOS</v>
          </cell>
        </row>
        <row r="29">
          <cell r="B29">
            <v>40</v>
          </cell>
          <cell r="C29">
            <v>50</v>
          </cell>
          <cell r="D29" t="str">
            <v>CUB PUNTA TIBURON 1 LADO</v>
          </cell>
          <cell r="G29">
            <v>50</v>
          </cell>
          <cell r="I29" t="str">
            <v>CUB PUNTA TIBURON 1 LADO</v>
          </cell>
        </row>
        <row r="30">
          <cell r="B30">
            <v>40</v>
          </cell>
          <cell r="C30">
            <v>60</v>
          </cell>
          <cell r="D30" t="str">
            <v xml:space="preserve">CUB S/R </v>
          </cell>
          <cell r="G30">
            <v>50</v>
          </cell>
          <cell r="I30" t="str">
            <v>CUB S/R</v>
          </cell>
        </row>
        <row r="31">
          <cell r="B31">
            <v>40</v>
          </cell>
          <cell r="C31">
            <v>100</v>
          </cell>
          <cell r="D31" t="str">
            <v>CUB S/R FRENTE ESPAÑOL</v>
          </cell>
          <cell r="G31">
            <v>50</v>
          </cell>
          <cell r="I31" t="str">
            <v>CUB S/R FRENTE ESPAÑOL</v>
          </cell>
        </row>
        <row r="32">
          <cell r="B32">
            <v>40</v>
          </cell>
          <cell r="C32">
            <v>60</v>
          </cell>
          <cell r="D32" t="str">
            <v>CUB S/R R2</v>
          </cell>
          <cell r="G32">
            <v>50</v>
          </cell>
          <cell r="I32" t="str">
            <v>CUB S/R R2</v>
          </cell>
        </row>
        <row r="33">
          <cell r="B33">
            <v>40</v>
          </cell>
          <cell r="C33">
            <v>90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C34">
            <v>90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C35">
            <v>90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C36">
            <v>90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C37">
            <v>90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J6" sqref="J6:K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129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130</v>
      </c>
      <c r="G7" s="1"/>
      <c r="H7" s="1"/>
      <c r="I7" s="1"/>
    </row>
    <row r="8" spans="1:17" ht="16.2" thickBot="1" x14ac:dyDescent="0.35">
      <c r="A8" s="1"/>
      <c r="B8" s="60" t="s">
        <v>14</v>
      </c>
      <c r="C8" s="61"/>
      <c r="D8" s="62" t="str">
        <f>'[1]2229'!D8</f>
        <v>N° 11822</v>
      </c>
      <c r="E8" s="1"/>
      <c r="F8" s="63" t="s">
        <v>25</v>
      </c>
      <c r="G8" s="64">
        <v>7359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69" t="s">
        <v>125</v>
      </c>
      <c r="C10" s="70" t="s">
        <v>139</v>
      </c>
      <c r="D10" s="70"/>
      <c r="E10" s="70"/>
      <c r="F10" s="71" t="s">
        <v>26</v>
      </c>
      <c r="G10" s="72">
        <f>'[1]2229'!G10</f>
        <v>46028</v>
      </c>
      <c r="H10" s="73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74" t="s">
        <v>2</v>
      </c>
      <c r="C11" s="8" t="s">
        <v>140</v>
      </c>
      <c r="D11" s="75"/>
      <c r="E11" s="75"/>
      <c r="F11" s="75" t="s">
        <v>120</v>
      </c>
      <c r="G11" s="76">
        <f>WORKDAY(G10,5)</f>
        <v>46035</v>
      </c>
      <c r="H11" s="77"/>
      <c r="I11" s="1"/>
    </row>
    <row r="12" spans="1:17" ht="15.6" x14ac:dyDescent="0.3">
      <c r="A12" s="1"/>
      <c r="B12" s="78" t="s">
        <v>126</v>
      </c>
      <c r="C12" s="79" t="s">
        <v>141</v>
      </c>
      <c r="D12" s="79"/>
      <c r="E12" s="79"/>
      <c r="F12" s="79" t="s">
        <v>131</v>
      </c>
      <c r="G12" s="79" t="str">
        <f>'[1]2229'!G14</f>
        <v>NO</v>
      </c>
      <c r="H12" s="80"/>
      <c r="I12" s="1"/>
    </row>
    <row r="13" spans="1:17" ht="15.6" x14ac:dyDescent="0.3">
      <c r="A13" s="1"/>
      <c r="B13" s="81" t="s">
        <v>127</v>
      </c>
      <c r="C13" s="8" t="s">
        <v>138</v>
      </c>
      <c r="D13" s="8"/>
      <c r="E13" s="8"/>
      <c r="F13" s="8" t="s">
        <v>28</v>
      </c>
      <c r="G13" s="82"/>
      <c r="H13" s="83"/>
      <c r="I13" s="1"/>
    </row>
    <row r="14" spans="1:17" ht="15.6" x14ac:dyDescent="0.3">
      <c r="A14" s="1"/>
      <c r="B14" s="78" t="s">
        <v>128</v>
      </c>
      <c r="C14" s="79"/>
      <c r="D14" s="79"/>
      <c r="E14" s="79"/>
      <c r="F14" s="79" t="s">
        <v>124</v>
      </c>
      <c r="G14" s="84" t="s">
        <v>132</v>
      </c>
      <c r="H14" s="80"/>
      <c r="I14" s="1"/>
    </row>
    <row r="15" spans="1:17" ht="15.6" x14ac:dyDescent="0.3">
      <c r="A15" s="1"/>
      <c r="B15" s="74" t="s">
        <v>15</v>
      </c>
      <c r="C15" s="8" t="str">
        <f>IF('[1]2229'!C15="","",'[1]2229'!C15)</f>
        <v>+569 8410 5068</v>
      </c>
      <c r="D15" s="85"/>
      <c r="E15" s="75"/>
      <c r="F15" s="75" t="s">
        <v>27</v>
      </c>
      <c r="G15" s="75" t="str">
        <f>'[1]2229'!G12</f>
        <v>NO</v>
      </c>
      <c r="H15" s="77"/>
      <c r="I15" s="1"/>
    </row>
    <row r="16" spans="1:17" ht="15.6" x14ac:dyDescent="0.3">
      <c r="A16" s="1"/>
      <c r="B16" s="78" t="s">
        <v>1</v>
      </c>
      <c r="C16" s="79" t="s">
        <v>142</v>
      </c>
      <c r="D16" s="79"/>
      <c r="E16" s="79"/>
      <c r="F16" s="79" t="s">
        <v>73</v>
      </c>
      <c r="G16" s="79" t="str">
        <f>'[1]2229'!G16</f>
        <v>ABONO 50% SALDO C/ENTREGA</v>
      </c>
      <c r="H16" s="80"/>
      <c r="I16" s="1"/>
    </row>
    <row r="17" spans="1:16" ht="16.2" thickBot="1" x14ac:dyDescent="0.35">
      <c r="A17" s="1"/>
      <c r="B17" s="86" t="s">
        <v>3</v>
      </c>
      <c r="C17" s="87" t="str">
        <f>IF('[1]2229'!C17="","",'[1]2229'!C17)</f>
        <v>SANTIAGO</v>
      </c>
      <c r="D17" s="88"/>
      <c r="E17" s="89"/>
      <c r="F17" s="113" t="s">
        <v>16</v>
      </c>
      <c r="G17" s="113"/>
      <c r="H17" s="114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5" t="s">
        <v>17</v>
      </c>
      <c r="C20" s="116"/>
      <c r="D20" s="116"/>
      <c r="E20" s="116"/>
      <c r="F20" s="116"/>
      <c r="G20" s="116"/>
      <c r="H20" s="117"/>
      <c r="I20" s="1"/>
    </row>
    <row r="21" spans="1:16" ht="16.2" thickBot="1" x14ac:dyDescent="0.35">
      <c r="A21" s="1"/>
      <c r="B21" s="90" t="s">
        <v>18</v>
      </c>
      <c r="C21" s="91" t="s">
        <v>19</v>
      </c>
      <c r="D21" s="91" t="s">
        <v>20</v>
      </c>
      <c r="E21" s="91" t="s">
        <v>8</v>
      </c>
      <c r="F21" s="92" t="s">
        <v>21</v>
      </c>
      <c r="G21" s="90" t="s">
        <v>22</v>
      </c>
      <c r="H21" s="92" t="s">
        <v>4</v>
      </c>
      <c r="I21" s="1"/>
    </row>
    <row r="22" spans="1:16" ht="15.6" x14ac:dyDescent="0.3">
      <c r="A22" s="1"/>
      <c r="B22" s="93">
        <f>'[1]2229'!B21</f>
        <v>1</v>
      </c>
      <c r="C22" s="94" t="str">
        <f>'[1]2229'!C21</f>
        <v>CUB S/R 90°</v>
      </c>
      <c r="D22" s="95">
        <f>'[1]2229'!D21*1000</f>
        <v>1500</v>
      </c>
      <c r="E22" s="95">
        <f>'[1]2229'!E21*1000</f>
        <v>550</v>
      </c>
      <c r="F22" s="96" t="str">
        <f>'[1]2229'!F21</f>
        <v>BLANCO MT</v>
      </c>
      <c r="G22" s="97">
        <f>'[1]2229'!G21</f>
        <v>45569.580000000009</v>
      </c>
      <c r="H22" s="98">
        <f>G22*B22</f>
        <v>45569.580000000009</v>
      </c>
      <c r="I22" s="1"/>
      <c r="K22" s="17"/>
      <c r="L22" s="26"/>
      <c r="M22" s="17"/>
      <c r="N22" s="17"/>
      <c r="O22" s="26"/>
      <c r="P22" s="33"/>
    </row>
    <row r="23" spans="1:16" ht="15.6" x14ac:dyDescent="0.3">
      <c r="A23" s="1"/>
      <c r="B23" s="99"/>
      <c r="C23" s="99"/>
      <c r="D23" s="99"/>
      <c r="E23" s="99"/>
      <c r="F23" s="99"/>
      <c r="G23" s="100"/>
      <c r="H23" s="100"/>
      <c r="I23" s="1"/>
      <c r="K23" s="17"/>
      <c r="L23" s="26"/>
      <c r="M23" s="17"/>
      <c r="N23" s="17"/>
      <c r="O23" s="26"/>
      <c r="P23" s="33"/>
    </row>
    <row r="24" spans="1:16" ht="16.2" thickBot="1" x14ac:dyDescent="0.35">
      <c r="A24" s="1"/>
      <c r="B24" s="99"/>
      <c r="C24" s="99"/>
      <c r="D24" s="99"/>
      <c r="E24" s="99"/>
      <c r="F24" s="101"/>
      <c r="G24" s="100"/>
      <c r="H24" s="100"/>
      <c r="I24" s="1"/>
      <c r="K24" s="17"/>
      <c r="L24" s="26"/>
      <c r="M24" s="17"/>
      <c r="N24" s="17"/>
      <c r="O24" s="26"/>
      <c r="P24" s="33"/>
    </row>
    <row r="25" spans="1:16" ht="15.6" x14ac:dyDescent="0.3">
      <c r="A25" s="1"/>
      <c r="B25" s="1"/>
      <c r="C25" s="1"/>
      <c r="D25" s="1"/>
      <c r="E25" s="1"/>
      <c r="F25" s="1"/>
      <c r="G25" s="51" t="s">
        <v>5</v>
      </c>
      <c r="H25" s="52">
        <f>SUM(H22:H24)</f>
        <v>45569.580000000009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53" t="s">
        <v>6</v>
      </c>
      <c r="H26" s="54">
        <f>H25*19%</f>
        <v>8658.2202000000016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55" t="s">
        <v>4</v>
      </c>
      <c r="H27" s="56">
        <f>H25+H26</f>
        <v>54227.800200000012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102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103" t="s">
        <v>133</v>
      </c>
      <c r="C30" s="104"/>
      <c r="D30" s="105"/>
      <c r="E30" s="105"/>
      <c r="F30" s="106"/>
      <c r="G30" s="1"/>
      <c r="H30" s="1"/>
      <c r="I30" s="1"/>
    </row>
    <row r="31" spans="1:16" ht="15.6" x14ac:dyDescent="0.3">
      <c r="A31" s="1"/>
      <c r="B31" s="103" t="s">
        <v>134</v>
      </c>
      <c r="C31" s="104"/>
      <c r="D31" s="105"/>
      <c r="E31" s="105"/>
      <c r="F31" s="106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57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2">
    <mergeCell ref="F17:H17"/>
    <mergeCell ref="B20:H20"/>
  </mergeCells>
  <phoneticPr fontId="10" type="noConversion"/>
  <hyperlinks>
    <hyperlink ref="E32" r:id="rId1" xr:uid="{52BEC0FA-2565-4402-ADAE-E50B28B3F4AD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29</v>
      </c>
      <c r="C2" s="118"/>
      <c r="D2" s="118"/>
      <c r="E2" s="18"/>
      <c r="G2" s="118" t="s">
        <v>68</v>
      </c>
      <c r="H2" s="118"/>
      <c r="I2" s="118"/>
      <c r="P2" s="119" t="s">
        <v>56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9" t="s">
        <v>56</v>
      </c>
      <c r="M8" s="119"/>
      <c r="N8" s="119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123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18" zoomScaleNormal="100" workbookViewId="0">
      <selection activeCell="J51" sqref="J5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122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59</v>
      </c>
      <c r="L3" s="120"/>
      <c r="M3" s="120" t="s">
        <v>13</v>
      </c>
      <c r="N3" s="120"/>
    </row>
    <row r="4" spans="1:14" ht="15.75" customHeight="1" x14ac:dyDescent="0.3">
      <c r="A4" s="1"/>
      <c r="B4" s="1"/>
      <c r="C4" s="38" t="s">
        <v>25</v>
      </c>
      <c r="D4" s="14" t="str">
        <f>IF('[1]NOTA DE VENTA'!$G$8="","",'[1]NOTA DE VENTA'!$G$8)</f>
        <v/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65</v>
      </c>
      <c r="D5" s="40" t="str">
        <f>'[1]NOTA DE VENTA'!$C$10</f>
        <v>GONZALO</v>
      </c>
      <c r="E5" s="41"/>
      <c r="F5" s="41"/>
      <c r="G5" s="1"/>
      <c r="K5">
        <f>LOOKUP(F14,[1]REGLAS!$I$4:$I$37,[1]REGLAS!$G$4:$G$37)+J14</f>
        <v>1550</v>
      </c>
      <c r="L5">
        <f>LOOKUP(F14,[1]REGLAS!$I$4:$I$37,[1]REGLAS!$H$4:$H$37)+K14</f>
        <v>550</v>
      </c>
      <c r="M5">
        <f>LOOKUP(F14,[1]REGLAS!$D$4:$D$37,[1]REGLAS!$B$4:$B$37)+J21</f>
        <v>1540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'[1]NOTA DE VENTA'!$F$10</f>
        <v>FECHA :</v>
      </c>
      <c r="D7" s="107">
        <f>'[1]NOTA DE VENTA'!$G$10</f>
        <v>46028</v>
      </c>
      <c r="E7" s="1"/>
      <c r="F7" s="1"/>
      <c r="G7" s="1"/>
    </row>
    <row r="8" spans="1:14" ht="15.6" x14ac:dyDescent="0.3">
      <c r="A8" s="1"/>
      <c r="B8" s="1"/>
      <c r="C8" s="38" t="s">
        <v>121</v>
      </c>
      <c r="D8" s="108">
        <f>'[1]NOTA DE VENTA'!$G$11</f>
        <v>46035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59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6" t="s">
        <v>10</v>
      </c>
      <c r="C13" s="36" t="s">
        <v>11</v>
      </c>
      <c r="D13" s="32">
        <v>50</v>
      </c>
      <c r="E13" s="32"/>
      <c r="F13" s="36" t="s">
        <v>108</v>
      </c>
      <c r="G13" s="1"/>
      <c r="J13" s="5" t="s">
        <v>7</v>
      </c>
      <c r="K13" s="5" t="s">
        <v>8</v>
      </c>
    </row>
    <row r="14" spans="1:14" ht="15.6" x14ac:dyDescent="0.3">
      <c r="A14" s="109" t="s">
        <v>135</v>
      </c>
      <c r="B14" s="25">
        <f t="shared" ref="B14" si="0">I14</f>
        <v>1</v>
      </c>
      <c r="C14" s="25"/>
      <c r="D14" s="25">
        <f>LOOKUP(F14,[1]REGLAS!$I$4:$I$37,[1]REGLAS!$G$4:$G$37)+J14</f>
        <v>1550</v>
      </c>
      <c r="E14" s="110">
        <f>LOOKUP(F14,[1]REGLAS!$I$4:$I$37,[1]REGLAS!$H$4:$H$37)+K14</f>
        <v>550</v>
      </c>
      <c r="F14" s="67" t="str">
        <f>C27</f>
        <v>CUB S/R 90°</v>
      </c>
      <c r="G14" s="1"/>
      <c r="I14" s="3">
        <f>I21</f>
        <v>1</v>
      </c>
      <c r="J14" s="4">
        <f t="shared" ref="J14:K14" si="1">D27</f>
        <v>1500</v>
      </c>
      <c r="K14" s="4">
        <f t="shared" si="1"/>
        <v>550</v>
      </c>
    </row>
    <row r="15" spans="1:14" ht="15.6" x14ac:dyDescent="0.3">
      <c r="A15" s="50"/>
      <c r="B15" s="6"/>
      <c r="C15" s="6"/>
      <c r="D15" s="6"/>
      <c r="E15" s="111"/>
      <c r="F15" s="6"/>
      <c r="G15" s="1"/>
      <c r="I15" s="5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1" t="s">
        <v>13</v>
      </c>
      <c r="B17" s="121"/>
      <c r="C17" s="121"/>
      <c r="D17" s="121"/>
      <c r="E17" s="121"/>
      <c r="F17" s="12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5" t="s">
        <v>10</v>
      </c>
      <c r="C20" s="35" t="s">
        <v>11</v>
      </c>
      <c r="D20" s="21">
        <v>40</v>
      </c>
      <c r="E20" s="21">
        <v>60</v>
      </c>
      <c r="F20" s="35" t="s">
        <v>108</v>
      </c>
      <c r="G20" s="1"/>
      <c r="J20" s="5" t="s">
        <v>7</v>
      </c>
      <c r="K20" s="5" t="s">
        <v>8</v>
      </c>
    </row>
    <row r="21" spans="1:11" ht="15.6" x14ac:dyDescent="0.3">
      <c r="A21" s="109" t="s">
        <v>136</v>
      </c>
      <c r="B21" s="16">
        <f t="shared" ref="B21" si="2">I21</f>
        <v>1</v>
      </c>
      <c r="C21" s="16"/>
      <c r="D21" s="16">
        <f>LOOKUP(F14,[1]REGLAS!$D$4:$D$37,[1]REGLAS!$B$4:$B$37)+J21</f>
        <v>1540</v>
      </c>
      <c r="E21" s="16">
        <f>LOOKUP(F14,[1]REGLAS!$D$4:$D$37,[1]REGLAS!$C$4:$C$37)+K21</f>
        <v>610</v>
      </c>
      <c r="F21" s="68" t="str">
        <f>C27</f>
        <v>CUB S/R 90°</v>
      </c>
      <c r="G21" s="1"/>
      <c r="I21" s="3">
        <f>B27</f>
        <v>1</v>
      </c>
      <c r="J21" s="4">
        <f>D27</f>
        <v>1500</v>
      </c>
      <c r="K21" s="4">
        <f>E27</f>
        <v>550</v>
      </c>
    </row>
    <row r="22" spans="1:11" ht="15.6" x14ac:dyDescent="0.3">
      <c r="A22" s="65"/>
      <c r="B22" s="6"/>
      <c r="C22" s="6"/>
      <c r="D22" s="6"/>
      <c r="E22" s="6"/>
      <c r="F22" s="6"/>
      <c r="G22" s="1"/>
      <c r="I22" s="59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58" t="s">
        <v>10</v>
      </c>
      <c r="C26" s="58" t="s">
        <v>108</v>
      </c>
      <c r="D26" s="58" t="s">
        <v>7</v>
      </c>
      <c r="E26" s="58" t="s">
        <v>8</v>
      </c>
      <c r="F26" s="58" t="s">
        <v>21</v>
      </c>
      <c r="G26" s="1"/>
    </row>
    <row r="27" spans="1:11" ht="15.6" x14ac:dyDescent="0.3">
      <c r="A27" s="109" t="s">
        <v>135</v>
      </c>
      <c r="B27" s="25">
        <f>'[2]4637'!B21</f>
        <v>1</v>
      </c>
      <c r="C27" s="67" t="str">
        <f>C49</f>
        <v>CUB S/R 90°</v>
      </c>
      <c r="D27" s="67">
        <f t="shared" ref="D27:F27" si="3">D49</f>
        <v>1500</v>
      </c>
      <c r="E27" s="67">
        <f t="shared" si="3"/>
        <v>550</v>
      </c>
      <c r="F27" s="67" t="str">
        <f t="shared" si="3"/>
        <v>BLANCO MT</v>
      </c>
      <c r="G27" s="1"/>
    </row>
    <row r="28" spans="1:11" ht="15.6" x14ac:dyDescent="0.3">
      <c r="A28" s="65"/>
      <c r="B28" s="6"/>
      <c r="C28" s="6"/>
      <c r="D28" s="6"/>
      <c r="E28" s="6"/>
      <c r="F28" s="6"/>
      <c r="G28" s="1"/>
    </row>
    <row r="29" spans="1:11" ht="15.6" x14ac:dyDescent="0.3">
      <c r="A29" s="50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8" t="s">
        <v>25</v>
      </c>
      <c r="D39" s="14">
        <f>'[2]4637'!G8</f>
        <v>7332</v>
      </c>
      <c r="E39" s="1"/>
      <c r="F39" s="1"/>
      <c r="G39" s="1"/>
    </row>
    <row r="40" spans="1:7" ht="17.25" customHeight="1" x14ac:dyDescent="0.3">
      <c r="A40" s="1"/>
      <c r="B40" s="1"/>
      <c r="C40" s="39" t="s">
        <v>65</v>
      </c>
      <c r="D40" s="40" t="str">
        <f>'[2]4637'!C10</f>
        <v>FMR MAKING SPA</v>
      </c>
      <c r="E40" s="41"/>
      <c r="F40" s="41"/>
      <c r="G40" s="1"/>
    </row>
    <row r="41" spans="1:7" ht="4.5" customHeight="1" x14ac:dyDescent="0.3">
      <c r="A41" s="1"/>
      <c r="B41" s="1"/>
      <c r="C41" s="42"/>
      <c r="D41" s="43"/>
      <c r="E41" s="1"/>
      <c r="F41" s="1"/>
      <c r="G41" s="1"/>
    </row>
    <row r="42" spans="1:7" ht="15.6" x14ac:dyDescent="0.3">
      <c r="A42" s="1"/>
      <c r="B42" s="1"/>
      <c r="C42" s="44" t="str">
        <f>'[2]4637'!F11</f>
        <v>FECHA LIMITE :</v>
      </c>
      <c r="D42" s="13">
        <f>'[1]NOTA DE VENTA'!G11</f>
        <v>46035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1" t="s">
        <v>66</v>
      </c>
      <c r="B45" s="121"/>
      <c r="C45" s="121"/>
      <c r="D45" s="121"/>
      <c r="E45" s="121"/>
      <c r="F45" s="12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2" t="s">
        <v>67</v>
      </c>
      <c r="C47" s="123"/>
      <c r="D47" s="124"/>
      <c r="E47" s="124"/>
      <c r="F47" s="125"/>
      <c r="G47" s="1"/>
    </row>
    <row r="48" spans="1:7" s="15" customFormat="1" ht="12.75" customHeight="1" x14ac:dyDescent="0.3">
      <c r="A48" s="1"/>
      <c r="B48" s="35" t="s">
        <v>10</v>
      </c>
      <c r="C48" s="45" t="s">
        <v>11</v>
      </c>
      <c r="D48" s="46" t="s">
        <v>7</v>
      </c>
      <c r="E48" s="46" t="s">
        <v>8</v>
      </c>
      <c r="F48" s="47" t="s">
        <v>12</v>
      </c>
      <c r="G48" s="1"/>
    </row>
    <row r="49" spans="1:7" s="15" customFormat="1" ht="15" customHeight="1" x14ac:dyDescent="0.3">
      <c r="A49" s="109" t="s">
        <v>137</v>
      </c>
      <c r="B49" s="37">
        <f>'[2]4637'!B21</f>
        <v>1</v>
      </c>
      <c r="C49" s="66" t="str">
        <f>'[1]NOTA DE VENTA'!C22</f>
        <v>CUB S/R 90°</v>
      </c>
      <c r="D49" s="66">
        <f>'[1]NOTA DE VENTA'!D22</f>
        <v>1500</v>
      </c>
      <c r="E49" s="66">
        <f>'[1]NOTA DE VENTA'!E22</f>
        <v>550</v>
      </c>
      <c r="F49" s="66" t="str">
        <f>'[1]NOTA DE VENTA'!F22</f>
        <v>BLANCO MT</v>
      </c>
      <c r="G49" s="1"/>
    </row>
    <row r="50" spans="1:7" s="15" customFormat="1" ht="15" customHeight="1" x14ac:dyDescent="0.3">
      <c r="A50" s="65"/>
      <c r="B50" s="50"/>
      <c r="C50" s="112"/>
      <c r="D50" s="50"/>
      <c r="E50" s="50"/>
      <c r="F50" s="50"/>
      <c r="G50" s="1"/>
    </row>
    <row r="51" spans="1:7" s="15" customFormat="1" ht="15" customHeight="1" x14ac:dyDescent="0.3">
      <c r="A51" s="48"/>
      <c r="B51" s="50"/>
      <c r="C51" s="50"/>
      <c r="D51" s="50"/>
      <c r="E51" s="50"/>
      <c r="F51" s="50"/>
      <c r="G51" s="1"/>
    </row>
    <row r="52" spans="1:7" ht="15.6" x14ac:dyDescent="0.3">
      <c r="A52" s="6"/>
      <c r="B52" s="6"/>
      <c r="C52" s="1"/>
      <c r="D52" s="6"/>
      <c r="E52" s="6"/>
      <c r="F52" s="42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9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B47:F47"/>
    <mergeCell ref="M3:N3"/>
    <mergeCell ref="A10:F10"/>
    <mergeCell ref="K3:L3"/>
    <mergeCell ref="A17:F17"/>
    <mergeCell ref="A45:F45"/>
  </mergeCells>
  <phoneticPr fontId="10" type="noConversion"/>
  <pageMargins left="0.70866141732283472" right="0.70866141732283472" top="0.74803149606299213" bottom="0.74803149606299213" header="0.31496062992125984" footer="0.31496062992125984"/>
  <pageSetup scale="3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4637</vt:lpstr>
      <vt:lpstr>REGLAS</vt:lpstr>
      <vt:lpstr>CUBIERTA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2026-01-12T14:07:43Z</cp:lastPrinted>
  <dcterms:created xsi:type="dcterms:W3CDTF">2013-03-19T12:54:14Z</dcterms:created>
  <dcterms:modified xsi:type="dcterms:W3CDTF">2026-01-22T12:14:49Z</dcterms:modified>
</cp:coreProperties>
</file>