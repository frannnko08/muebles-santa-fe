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1 ENERO 2026\"/>
    </mc:Choice>
  </mc:AlternateContent>
  <xr:revisionPtr revIDLastSave="0" documentId="13_ncr:1_{FDABC735-32D0-493E-8F84-8FA2B9FACB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'4637'!$A$1:$H$30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3" l="1"/>
  <c r="E49" i="3"/>
  <c r="C49" i="3"/>
  <c r="B49" i="3"/>
  <c r="D42" i="3"/>
  <c r="C42" i="3"/>
  <c r="D40" i="3"/>
  <c r="D39" i="3"/>
  <c r="F27" i="3"/>
  <c r="E27" i="3"/>
  <c r="D27" i="3"/>
  <c r="J14" i="3" s="1"/>
  <c r="C27" i="3"/>
  <c r="F21" i="3" s="1"/>
  <c r="B27" i="3"/>
  <c r="K21" i="3"/>
  <c r="J21" i="3"/>
  <c r="I21" i="3"/>
  <c r="I14" i="3" s="1"/>
  <c r="B14" i="3" s="1"/>
  <c r="B21" i="3"/>
  <c r="K14" i="3"/>
  <c r="F14" i="3"/>
  <c r="E14" i="3" s="1"/>
  <c r="D8" i="3"/>
  <c r="D7" i="3"/>
  <c r="C7" i="3"/>
  <c r="N5" i="3"/>
  <c r="M5" i="3"/>
  <c r="D5" i="3"/>
  <c r="D4" i="3"/>
  <c r="H21" i="4"/>
  <c r="D14" i="3" l="1"/>
  <c r="E21" i="3"/>
  <c r="D21" i="3"/>
  <c r="K5" i="3"/>
  <c r="L5" i="3"/>
  <c r="H24" i="4"/>
  <c r="H25" i="4" l="1"/>
  <c r="H26" i="4" l="1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<sst xmlns="http://schemas.openxmlformats.org/spreadsheetml/2006/main" count="248" uniqueCount="146">
  <si>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</si>
  <si>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</si>
  <si>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</si>
  <si>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</si>
  <si>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</si>
  <si>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</si>
  <si>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</si>
  <si>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</si>
  <si>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</si>
  <si>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</si>
  <si>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</si>
  <si>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</si>
  <si>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</si>
  <si>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</si>
  <si>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</si>
  <si>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</si>
  <si>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</si>
  <si>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</si>
  <si>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</si>
  <si>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</si>
  <si>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</si>
  <si>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</si>
  <si>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</si>
  <si>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</si>
  <si>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</si>
  <si>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</si>
  <si>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</si>
  <si>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</si>
  <si>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</si>
  <si>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</si>
  <si>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</si>
  <si>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</si>
  <si>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</si>
  <si>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</si>
  <si>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</si>
  <si>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</si>
  <si>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</si>
  <si>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</si>
  <si>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</si>
  <si>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</si>
  <si>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</si>
  <si>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</si>
  <si>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</si>
  <si>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</si>
  <si>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</si>
  <si>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</si>
  <si>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</si>
  <si>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</si>
  <si>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</si>
  <si>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</si>
  <si>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</si>
  <si>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</si>
  <si>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</si>
  <si>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</si>
  <si>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</si>
  <si>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</si>
  <si>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</si>
  <si>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</si>
  <si>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</si>
  <si>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</si>
  <si>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</si>
  <si>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</si>
  <si>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</si>
  <si>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</si>
  <si>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</si>
  <si>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</si>
  <si>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</si>
  <si>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</si>
  <si>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</si>
  <si>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</si>
  <si>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</si>
  <si>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</si>
  <si>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</si>
  <si>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</si>
  <si>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</si>
  <si>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</si>
  <si>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</si>
  <si>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</si>
  <si>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</si>
  <si>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</si>
  <si>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</si>
  <si>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</si>
  <si>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</si>
  <si>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</si>
  <si>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</si>
  <si>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</si>
  <si>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</si>
  <si>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</si>
  <si>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</si>
  <si>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</si>
  <si>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</si>
  <si>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</si>
  <si>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</si>
  <si>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</si>
  <si>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</si>
  <si>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</si>
  <si>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</si>
  <si>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</si>
  <si>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</si>
  <si>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</si>
  <si>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</si>
  <si>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</si>
  <si>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</si>
  <si>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</si>
  <si>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</si>
  <si>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</si>
  <si>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</si>
  <si>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</si>
  <si>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</si>
  <si>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</si>
  <si>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</si>
  <si>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</si>
  <si>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</si>
  <si>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</si>
  <si>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</si>
  <si>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</si>
  <si>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</si>
  <si>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</si>
  <si>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</si>
  <si>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</si>
  <si>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</si>
  <si>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</si>
  <si>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</si>
  <si>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</si>
  <si>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</si>
  <si>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</si>
  <si>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</si>
  <si>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</si>
  <si>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</si>
  <si>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</si>
  <si>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</si>
  <si>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</si>
  <si>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</si>
  <si>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</si>
  <si>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</si>
  <si>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</si>
  <si>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</si>
  <si>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</si>
  <si>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</si>
  <si>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</si>
  <si>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</si>
  <si>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180°</t>
  </si>
  <si>
    <t>MEDITERRANEO 2186 MT F6</t>
  </si>
  <si>
    <t>N° 11816</t>
  </si>
  <si>
    <t>MDF 18MM</t>
  </si>
  <si>
    <t xml:space="preserve"> 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</si>
</sst>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19" fillId="0" borderId="0" xfId="0" applyFont="1" applyAlignment="1">
      <alignment horizontal="right"/>
    </xf>
    <xf numFmtId="1" fontId="1" fillId="0" borderId="27" xfId="0" applyNumberFormat="1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244B034-F394-440A-8EF1-675D35F1A0DB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A397F47-E2E2-452D-B29E-300E9B45C553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5DA706E0-DC63-40E7-A9DD-0402F99D3DFB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E82E758E-E9FB-4DD8-B45E-34CA4C1C3093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F603530-420B-4445-9B15-38BC7D16B952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FC13535C-F6F4-43EF-875A-30E9D81E9B8B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8D20ECAA-DA93-48E8-BC6C-FE71DF917F7B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7EA9655-027A-467D-841C-A27F4A3FC0BA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B3D724D7-71AC-4804-93D2-CC9A4D4964D9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23C6F662-EC6A-481D-B186-25964956AFE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E9928761-8145-4FB5-853D-E51DAEDDC3F8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6BB4CC43-21D3-474A-BC5E-809289FC4ED9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E12150B8-B262-4CD8-93D4-EF5EC5589ADC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36D30AFF-720F-4832-AA57-1485FB6E5E2F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8B6AFEF9-38EB-454D-B908-FFD45E744565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2D01875F-CF29-44D1-B91F-F6327A0A5223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9D680D42-5E54-4D4F-8452-15491009B7CC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D6E975D2-3E43-41EF-A2BB-139AE65D832C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C27C70A6-9BBD-4558-A799-E94020983611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322F9031-F74F-47A8-A446-587531CE29FC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45DC42E0-D8A7-4893-BEAB-7875562BFBB1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1B95E1D7-6891-4554-8BDD-1004EA09BF5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413A09A7-BC01-4FC4-874B-001A69F90C1E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A0CED95F-977B-4550-9170-93994FA6B396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D2CAAB89-3DEB-4D28-BD55-448E74064E79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33739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3635D4B5-0C3C-4B25-9A7D-C2E465DC5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117558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A42FC5E0-CD8C-4EE9-95C5-397FFBB59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1%20ENERO%202026\11828.xlsx" TargetMode="External"/><Relationship Id="rId1" Type="http://schemas.openxmlformats.org/officeDocument/2006/relationships/externalLinkPath" Target="/Users/franc/Dropbox/PC/Desktop/POSTFORMADO%202020/COTIZACIONES%20MUEBLES%20SANTA%20FE/1%20ENERO%202026/1182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/>
      <sheetData sheetId="1"/>
      <sheetData sheetId="2">
        <row r="10">
          <cell r="C10" t="str">
            <v>NIBALDO</v>
          </cell>
          <cell r="F10" t="str">
            <v>FECHA :</v>
          </cell>
          <cell r="G10">
            <v>46035</v>
          </cell>
        </row>
        <row r="11">
          <cell r="G11">
            <v>46042</v>
          </cell>
        </row>
        <row r="22">
          <cell r="C22" t="str">
            <v>CUB C/R R8</v>
          </cell>
          <cell r="E22">
            <v>600</v>
          </cell>
          <cell r="F22" t="str">
            <v>HAYA 1750 MT</v>
          </cell>
        </row>
      </sheetData>
      <sheetData sheetId="3">
        <row r="4">
          <cell r="B4">
            <v>40</v>
          </cell>
          <cell r="C4">
            <v>60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C5">
            <v>90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C6">
            <v>100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C7">
            <v>150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C8">
            <v>100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C9">
            <v>50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C10">
            <v>80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C11">
            <v>60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C12">
            <v>100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C13">
            <v>130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C14">
            <v>150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C15">
            <v>150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C16">
            <v>130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C17">
            <v>150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C18">
            <v>150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C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C20">
            <v>100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C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C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C23">
            <v>150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C24">
            <v>150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C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C26">
            <v>77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C27">
            <v>77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C28">
            <v>77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C29">
            <v>50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C30">
            <v>60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C31">
            <v>100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C32">
            <v>60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C33">
            <v>90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C34">
            <v>90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C35">
            <v>90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C36">
            <v>90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C37">
            <v>90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7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143</v>
      </c>
      <c r="E8" s="1"/>
      <c r="F8" s="90" t="s">
        <v>27</v>
      </c>
      <c r="G8" s="91">
        <v>7360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133</v>
      </c>
      <c r="D10" s="53"/>
      <c r="E10" s="53"/>
      <c r="F10" s="54" t="s">
        <v>28</v>
      </c>
      <c r="G10" s="55">
        <v>46035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 t="s">
        <v>134</v>
      </c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C12" t="s">
        <v>135</v>
      </c>
      <c r="D12" s="42"/>
      <c r="E12" s="42"/>
      <c r="F12" s="42" t="s">
        <v>30</v>
      </c>
      <c r="G12" s="62">
        <v>23796</v>
      </c>
      <c r="H12" s="63"/>
      <c r="I12" s="1"/>
    </row>
    <row r="13" spans="1:17" ht="15.6" x14ac:dyDescent="0.3">
      <c r="A13" s="1"/>
      <c r="B13" s="61" t="s">
        <v>132</v>
      </c>
      <c r="C13" s="84" t="s">
        <v>137</v>
      </c>
      <c r="D13" s="42"/>
      <c r="E13" s="42"/>
      <c r="F13" s="42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101">
        <v>56998844786</v>
      </c>
      <c r="D14" s="64"/>
      <c r="E14" s="58"/>
      <c r="F14" s="58" t="s">
        <v>29</v>
      </c>
      <c r="G14" s="58" t="s">
        <v>139</v>
      </c>
      <c r="H14" s="60"/>
      <c r="I14" s="1"/>
    </row>
    <row r="15" spans="1:17" ht="15.6" x14ac:dyDescent="0.3">
      <c r="A15" s="1"/>
      <c r="B15" s="61" t="s">
        <v>1</v>
      </c>
      <c r="C15" s="97" t="s">
        <v>136</v>
      </c>
      <c r="D15" s="42"/>
      <c r="E15" s="42"/>
      <c r="F15" s="65" t="s">
        <v>75</v>
      </c>
      <c r="G15" s="65" t="s">
        <v>138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07" t="s">
        <v>18</v>
      </c>
      <c r="G16" s="107"/>
      <c r="H16" s="10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9" t="s">
        <v>19</v>
      </c>
      <c r="C19" s="110"/>
      <c r="D19" s="110"/>
      <c r="E19" s="110"/>
      <c r="F19" s="110"/>
      <c r="G19" s="110"/>
      <c r="H19" s="111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2">
        <v>50</v>
      </c>
      <c r="C21" s="102" t="s">
        <v>141</v>
      </c>
      <c r="D21" s="104">
        <v>3000</v>
      </c>
      <c r="E21" s="104">
        <v>600</v>
      </c>
      <c r="F21" s="102" t="s">
        <v>142</v>
      </c>
      <c r="G21" s="103">
        <v>92850</v>
      </c>
      <c r="H21" s="103">
        <f t="shared" ref="H21" si="0">G21*B21</f>
        <v>4642500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5.6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SUM(H21:H23)</f>
        <v>4642500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H24*19%</f>
        <v>882075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5524575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7" zoomScaleNormal="100" workbookViewId="0">
      <selection activeCell="G37" sqref="A37:G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9" t="s">
        <v>27</v>
      </c>
      <c r="D4" s="14" t="str">
        <f>IF('[1]NOTA DE VENTA'!$G$8="","",'[1]NOTA DE VENTA'!$G$8)</f>
        <v/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'[1]NOTA DE VENTA'!$C$10</f>
        <v>NIBALDO</v>
      </c>
      <c r="E5" s="42"/>
      <c r="F5" s="42"/>
      <c r="G5" s="1"/>
      <c r="K5">
        <f>LOOKUP(F14,[1]REGLAS!$I$4:$I$37,[1]REGLAS!$G$4:$G$37)+J14</f>
        <v>2070</v>
      </c>
      <c r="L5">
        <f>LOOKUP(F14,[1]REGLAS!$I$4:$I$37,[1]REGLAS!$H$4:$H$37)+K14</f>
        <v>570</v>
      </c>
      <c r="M5">
        <f>LOOKUP(F14,[1]REGLAS!$D$4:$D$37,[1]REGLAS!$B$4:$B$37)+J21</f>
        <v>2060</v>
      </c>
      <c r="N5">
        <f>H10</f>
        <v>0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45" t="str">
        <f>'[1]NOTA DE VENTA'!$F$10</f>
        <v>FECHA :</v>
      </c>
      <c r="D7" s="120">
        <f>'[1]NOTA DE VENTA'!$G$10</f>
        <v>46035</v>
      </c>
      <c r="E7" s="1"/>
      <c r="F7" s="1"/>
      <c r="G7" s="1"/>
    </row>
    <row r="8" spans="1:14" ht="15.6" x14ac:dyDescent="0.3">
      <c r="A8" s="1"/>
      <c r="B8" s="1"/>
      <c r="C8" s="39" t="s">
        <v>125</v>
      </c>
      <c r="D8" s="121">
        <f>'[1]NOTA DE VENTA'!$G$11</f>
        <v>46042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22" t="s">
        <v>144</v>
      </c>
      <c r="B14" s="25">
        <f t="shared" ref="B14" si="0">I14</f>
        <v>1</v>
      </c>
      <c r="C14" s="25"/>
      <c r="D14" s="25">
        <f>LOOKUP(F14,[1]REGLAS!$I$4:$I$37,[1]REGLAS!$G$4:$G$37)+J14</f>
        <v>2070</v>
      </c>
      <c r="E14" s="35">
        <f>LOOKUP(F14,[1]REGLAS!$I$4:$I$37,[1]REGLAS!$H$4:$H$37)+K14</f>
        <v>570</v>
      </c>
      <c r="F14" s="99" t="str">
        <f>C27</f>
        <v>CUB C/R R8</v>
      </c>
      <c r="G14" s="1"/>
      <c r="I14" s="3">
        <f>I21</f>
        <v>1</v>
      </c>
      <c r="J14" s="4">
        <f t="shared" ref="J14:K14" si="1">D27</f>
        <v>2020</v>
      </c>
      <c r="K14" s="4">
        <f t="shared" si="1"/>
        <v>600</v>
      </c>
    </row>
    <row r="15" spans="1:14" ht="15.6" x14ac:dyDescent="0.3">
      <c r="A15" s="51"/>
      <c r="B15" s="6"/>
      <c r="C15" s="6"/>
      <c r="D15" s="6"/>
      <c r="E15" s="105"/>
      <c r="F15" s="6"/>
      <c r="G15" s="1"/>
      <c r="I15" s="86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5" t="s">
        <v>14</v>
      </c>
      <c r="B17" s="115"/>
      <c r="C17" s="115"/>
      <c r="D17" s="115"/>
      <c r="E17" s="115"/>
      <c r="F17" s="115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122" t="s">
        <v>145</v>
      </c>
      <c r="B21" s="16">
        <f t="shared" ref="B21" si="2">I21</f>
        <v>1</v>
      </c>
      <c r="C21" s="16"/>
      <c r="D21" s="16">
        <f>LOOKUP(F14,[1]REGLAS!$D$4:$D$37,[1]REGLAS!$B$4:$B$37)+J21</f>
        <v>2060</v>
      </c>
      <c r="E21" s="16">
        <f>LOOKUP(F14,[1]REGLAS!$D$4:$D$37,[1]REGLAS!$C$4:$C$37)+K21</f>
        <v>730</v>
      </c>
      <c r="F21" s="100" t="str">
        <f>C27</f>
        <v>CUB C/R R8</v>
      </c>
      <c r="G21" s="1"/>
      <c r="I21" s="3">
        <f>B27</f>
        <v>1</v>
      </c>
      <c r="J21" s="4">
        <f>D27</f>
        <v>2020</v>
      </c>
      <c r="K21" s="4">
        <f>E27</f>
        <v>600</v>
      </c>
    </row>
    <row r="22" spans="1:11" ht="15.6" x14ac:dyDescent="0.3">
      <c r="A22" s="92"/>
      <c r="B22" s="6"/>
      <c r="C22" s="6"/>
      <c r="D22" s="6"/>
      <c r="E22" s="6"/>
      <c r="F22" s="6"/>
      <c r="G22" s="1"/>
      <c r="I22" s="86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5" t="s">
        <v>10</v>
      </c>
      <c r="C26" s="85" t="s">
        <v>110</v>
      </c>
      <c r="D26" s="85" t="s">
        <v>7</v>
      </c>
      <c r="E26" s="85" t="s">
        <v>8</v>
      </c>
      <c r="F26" s="85" t="s">
        <v>23</v>
      </c>
      <c r="G26" s="1"/>
    </row>
    <row r="27" spans="1:11" ht="15.6" x14ac:dyDescent="0.3">
      <c r="A27" s="122" t="s">
        <v>144</v>
      </c>
      <c r="B27" s="25">
        <f>'[2]4637'!B21</f>
        <v>1</v>
      </c>
      <c r="C27" s="99" t="str">
        <f>C49</f>
        <v>CUB C/R R8</v>
      </c>
      <c r="D27" s="99">
        <f t="shared" ref="D27:F27" si="3">D49</f>
        <v>2020</v>
      </c>
      <c r="E27" s="99">
        <f t="shared" si="3"/>
        <v>600</v>
      </c>
      <c r="F27" s="99" t="str">
        <f t="shared" si="3"/>
        <v>HAYA 1750 MT</v>
      </c>
      <c r="G27" s="1"/>
    </row>
    <row r="28" spans="1:11" ht="15.6" x14ac:dyDescent="0.3">
      <c r="A28" s="92"/>
      <c r="B28" s="6"/>
      <c r="C28" s="6"/>
      <c r="D28" s="6"/>
      <c r="E28" s="6"/>
      <c r="F28" s="6"/>
      <c r="G28" s="1"/>
    </row>
    <row r="29" spans="1:11" ht="15.6" x14ac:dyDescent="0.3">
      <c r="A29" s="5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'[2]4637'!G8</f>
        <v>7332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'[2]4637'!C10</f>
        <v>FMR MAKING SPA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'[2]4637'!F11</f>
        <v>FECHA LIMITE :</v>
      </c>
      <c r="D42" s="13">
        <f>'[2]4637'!G11</f>
        <v>45996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5" t="s">
        <v>68</v>
      </c>
      <c r="B45" s="115"/>
      <c r="C45" s="115"/>
      <c r="D45" s="115"/>
      <c r="E45" s="115"/>
      <c r="F45" s="115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6" t="s">
        <v>69</v>
      </c>
      <c r="C47" s="117"/>
      <c r="D47" s="118"/>
      <c r="E47" s="118"/>
      <c r="F47" s="119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">
      <c r="A49" s="122" t="s">
        <v>140</v>
      </c>
      <c r="B49" s="38">
        <f>'[2]4637'!B21</f>
        <v>1</v>
      </c>
      <c r="C49" s="98" t="str">
        <f>'[1]NOTA DE VENTA'!$C22</f>
        <v>CUB C/R R8</v>
      </c>
      <c r="D49" s="123">
        <v>2020</v>
      </c>
      <c r="E49" s="123">
        <f>'[1]NOTA DE VENTA'!E22</f>
        <v>600</v>
      </c>
      <c r="F49" s="123" t="str">
        <f>'[1]NOTA DE VENTA'!F22</f>
        <v>HAYA 1750 MT</v>
      </c>
      <c r="G49" s="1"/>
    </row>
    <row r="50" spans="1:7" s="15" customFormat="1" ht="15" customHeight="1" x14ac:dyDescent="0.3">
      <c r="A50" s="92"/>
      <c r="B50" s="51"/>
      <c r="C50" s="106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B47:F47"/>
    <mergeCell ref="M3:N3"/>
    <mergeCell ref="A17:F17"/>
    <mergeCell ref="A10:F10"/>
    <mergeCell ref="K3:L3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3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4637</vt:lpstr>
      <vt:lpstr>REGLAS</vt:lpstr>
      <vt:lpstr>CUBIERTA</vt:lpstr>
      <vt:lpstr>'4637'!Área_de_impresión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2026-01-13T18:07:23Z</cp:lastPrinted>
  <dcterms:created xsi:type="dcterms:W3CDTF">2013-03-19T12:54:14Z</dcterms:created>
  <dcterms:modified xsi:type="dcterms:W3CDTF">2026-01-13T18:07:30Z</dcterms:modified>
</cp:coreProperties>
</file>