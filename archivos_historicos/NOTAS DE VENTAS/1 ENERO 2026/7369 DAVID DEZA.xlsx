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C15ED399-3272-41AC-9395-8278D17187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H21" i="4" l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D21" i="3"/>
  <c r="J14" i="3"/>
  <c r="B21" i="3"/>
  <c r="F21" i="3"/>
  <c r="E21" i="3" l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<sst xmlns="http://schemas.openxmlformats.org/spreadsheetml/2006/main" count="245" uniqueCount="142">
  <si>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</si>
  <si>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</si>
  <si>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</si>
  <si>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</si>
  <si>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</si>
  <si>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</si>
  <si>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</si>
  <si>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</si>
  <si>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</si>
  <si>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</si>
  <si>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</si>
  <si>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</si>
  <si>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</si>
  <si>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</si>
  <si>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</si>
  <si>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</si>
  <si>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</si>
  <si>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</si>
  <si>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</si>
  <si>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</si>
  <si>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</si>
  <si>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</si>
  <si>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</si>
  <si>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</si>
  <si>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</si>
  <si>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</si>
  <si>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</si>
  <si>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</si>
  <si>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</si>
  <si>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</si>
  <si>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</si>
  <si>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</si>
  <si>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</si>
  <si>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</si>
  <si>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</si>
  <si>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</si>
  <si>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</si>
  <si>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</si>
  <si>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</si>
  <si>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</si>
  <si>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</si>
  <si>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</si>
  <si>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</si>
  <si>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</si>
  <si>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</si>
  <si>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</si>
  <si>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</si>
  <si>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</si>
  <si>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</si>
  <si>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</si>
  <si>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</si>
  <si>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</si>
  <si>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</si>
  <si>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</si>
  <si>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</si>
  <si>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</si>
  <si>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</si>
  <si>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</si>
  <si>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</si>
  <si>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</si>
  <si>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</si>
  <si>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</si>
  <si>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</si>
  <si>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</si>
  <si>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</si>
  <si>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</si>
  <si>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</si>
  <si>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</si>
  <si>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</si>
  <si>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</si>
  <si>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</si>
  <si>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</si>
  <si>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</si>
  <si>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</si>
  <si>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</si>
  <si>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</si>
  <si>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</si>
  <si>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</si>
  <si>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</si>
  <si>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</si>
  <si>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</si>
  <si>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</si>
  <si>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</si>
  <si>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</si>
  <si>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</si>
  <si>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</si>
  <si>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</si>
  <si>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</si>
  <si>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</si>
  <si>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</si>
  <si>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</si>
  <si>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</si>
  <si>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</si>
  <si>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</si>
  <si>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</si>
  <si>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</si>
  <si>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</si>
  <si>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</si>
  <si>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</si>
  <si>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</si>
  <si>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</si>
  <si>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</si>
  <si>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</si>
  <si>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</si>
  <si>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</si>
  <si>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</si>
  <si>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</si>
  <si>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</si>
  <si>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</si>
  <si>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</si>
  <si>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</si>
  <si>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</si>
  <si>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</si>
  <si>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</si>
  <si>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</si>
  <si>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</si>
  <si>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</si>
  <si>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</si>
  <si>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</si>
  <si>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</si>
  <si>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</si>
  <si>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</si>
  <si>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</si>
  <si>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</si>
  <si>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</si>
  <si>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</si>
  <si>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</si>
  <si>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</si>
  <si>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</si>
  <si>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</si>
  <si>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</si>
  <si>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</si>
  <si>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</si>
  <si>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</si>
  <si>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</si>
  <si>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DAVID DEZA</t>
  </si>
  <si>
    <t>HENDRY GONZALEZ</t>
  </si>
  <si>
    <t>569 5237 4467</t>
  </si>
  <si>
    <t xml:space="preserve">CUB C/R R8 </t>
  </si>
  <si>
    <t>BLANCO 2114 MT</t>
  </si>
  <si>
    <t>CONTADO</t>
  </si>
  <si>
    <t>N° 11854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</si>
</sst>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3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7369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46051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22" t="s">
        <v>136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3" t="s">
        <v>137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5</v>
      </c>
      <c r="C21" s="101" t="s">
        <v>138</v>
      </c>
      <c r="D21" s="103">
        <v>3000</v>
      </c>
      <c r="E21" s="103">
        <v>500</v>
      </c>
      <c r="F21" s="101" t="s">
        <v>139</v>
      </c>
      <c r="G21" s="102">
        <v>75754</v>
      </c>
      <c r="H21" s="102">
        <f t="shared" ref="H21" si="0">G21*B21</f>
        <v>378770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/>
      <c r="C22" s="107"/>
      <c r="D22" s="108"/>
      <c r="E22" s="108"/>
      <c r="F22" s="107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378770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71966.3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450736.3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F36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7369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DAVID DEZA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5</v>
      </c>
      <c r="C14" s="25"/>
      <c r="D14" s="25">
        <v>3100</v>
      </c>
      <c r="E14" s="35">
        <f>K14+E13</f>
        <v>470</v>
      </c>
      <c r="F14" s="99" t="str">
        <f>C27</f>
        <v xml:space="preserve">CUB C/R R8 </v>
      </c>
      <c r="G14" s="1"/>
      <c r="I14" s="89">
        <f t="shared" ref="I14:K14" si="1">I21</f>
        <v>5</v>
      </c>
      <c r="J14" s="4">
        <f t="shared" si="1"/>
        <v>3000</v>
      </c>
      <c r="K14" s="4">
        <f t="shared" si="1"/>
        <v>500</v>
      </c>
    </row>
    <row r="15" spans="1:14" ht="15.6" x14ac:dyDescent="0.3">
      <c r="A15" s="52"/>
      <c r="B15" s="6"/>
      <c r="C15" s="6"/>
      <c r="D15" s="6"/>
      <c r="E15" s="104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7" t="s">
        <v>14</v>
      </c>
      <c r="B17" s="117"/>
      <c r="C17" s="117"/>
      <c r="D17" s="117"/>
      <c r="E17" s="117"/>
      <c r="F17" s="117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110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5</v>
      </c>
      <c r="C21" s="16"/>
      <c r="D21" s="16">
        <f>J21+D$20</f>
        <v>3040</v>
      </c>
      <c r="E21" s="16">
        <f>K21+E$20</f>
        <v>610</v>
      </c>
      <c r="F21" s="100" t="str">
        <f>C27</f>
        <v xml:space="preserve">CUB C/R R8 </v>
      </c>
      <c r="G21" s="1"/>
      <c r="I21" s="3">
        <f>B27</f>
        <v>5</v>
      </c>
      <c r="J21" s="4">
        <f>D27</f>
        <v>3000</v>
      </c>
      <c r="K21" s="4">
        <f t="shared" ref="K21" si="3">E27</f>
        <v>500</v>
      </c>
    </row>
    <row r="22" spans="1:11" ht="15.6" x14ac:dyDescent="0.3">
      <c r="A22" s="95"/>
      <c r="B22" s="6"/>
      <c r="C22" s="6"/>
      <c r="D22" s="6"/>
      <c r="E22" s="6"/>
      <c r="F22" s="106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134</v>
      </c>
      <c r="B27" s="25">
        <f>'4637'!B21</f>
        <v>5</v>
      </c>
      <c r="C27" s="99" t="str">
        <f>'4637'!C21</f>
        <v xml:space="preserve">CUB C/R R8 </v>
      </c>
      <c r="D27" s="25">
        <f>'4637'!D21</f>
        <v>3000</v>
      </c>
      <c r="E27" s="25">
        <f>'4637'!E21</f>
        <v>500</v>
      </c>
      <c r="F27" s="25" t="str">
        <f>'4637'!F21</f>
        <v>BLANCO 2114 MT</v>
      </c>
      <c r="G27" s="1"/>
    </row>
    <row r="28" spans="1:11" ht="15.6" x14ac:dyDescent="0.3">
      <c r="A28" s="95"/>
      <c r="B28" s="6"/>
      <c r="C28" s="10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7369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DAVID DEZA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7" t="s">
        <v>68</v>
      </c>
      <c r="B44" s="117"/>
      <c r="C44" s="117"/>
      <c r="D44" s="117"/>
      <c r="E44" s="117"/>
      <c r="F44" s="117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8" t="s">
        <v>69</v>
      </c>
      <c r="C46" s="119"/>
      <c r="D46" s="120"/>
      <c r="E46" s="120"/>
      <c r="F46" s="121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134</v>
      </c>
      <c r="B48" s="38">
        <f>'4637'!B21</f>
        <v>5</v>
      </c>
      <c r="C48" s="98" t="str">
        <f>'4637'!C21</f>
        <v xml:space="preserve">CUB C/R R8 </v>
      </c>
      <c r="D48" s="39">
        <f>'4637'!D21</f>
        <v>3000</v>
      </c>
      <c r="E48" s="39">
        <f>'4637'!E21</f>
        <v>500</v>
      </c>
      <c r="F48" s="38" t="str">
        <f>'4637'!F21</f>
        <v>BLANCO 2114 MT</v>
      </c>
      <c r="G48" s="1"/>
    </row>
    <row r="49" spans="1:7" s="15" customFormat="1" ht="15" customHeight="1" x14ac:dyDescent="0.3">
      <c r="B49" s="52"/>
      <c r="C49" s="105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2026-01-29T17:54:01Z</cp:lastPrinted>
  <dcterms:created xsi:type="dcterms:W3CDTF">2013-03-19T12:54:14Z</dcterms:created>
  <dcterms:modified xsi:type="dcterms:W3CDTF">2026-01-29T17:54:21Z</dcterms:modified>
</cp:coreProperties>
</file>