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1 ENERO 2026\"/>
    </mc:Choice>
  </mc:AlternateContent>
  <xr:revisionPtr revIDLastSave="0" documentId="13_ncr:1_{EA5BF222-FD9F-4C65-95E8-2BFF5D115C2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'4637'!$A$1:$H$34</definedName>
    <definedName name="_xlnm.Print_Area" localSheetId="2">CUBIERTA!$A$1:$G$47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" i="3" l="1"/>
  <c r="F16" i="3"/>
  <c r="I16" i="3"/>
  <c r="B16" i="3" s="1"/>
  <c r="J16" i="3"/>
  <c r="D16" i="3" s="1"/>
  <c r="K16" i="3"/>
  <c r="E16" i="3" s="1"/>
  <c r="F17" i="3"/>
  <c r="I17" i="3"/>
  <c r="B17" i="3" s="1"/>
  <c r="J17" i="3"/>
  <c r="D17" i="3" s="1"/>
  <c r="K17" i="3"/>
  <c r="E17" i="3" s="1"/>
  <c r="F18" i="3"/>
  <c r="I18" i="3"/>
  <c r="B18" i="3" s="1"/>
  <c r="J18" i="3"/>
  <c r="D18" i="3" s="1"/>
  <c r="K18" i="3"/>
  <c r="E18" i="3" s="1"/>
  <c r="K28" i="3"/>
  <c r="E28" i="3" s="1"/>
  <c r="B37" i="3"/>
  <c r="I27" i="3" s="1"/>
  <c r="B27" i="3" s="1"/>
  <c r="C37" i="3"/>
  <c r="F27" i="3" s="1"/>
  <c r="D37" i="3"/>
  <c r="J27" i="3" s="1"/>
  <c r="D27" i="3" s="1"/>
  <c r="E37" i="3"/>
  <c r="K27" i="3" s="1"/>
  <c r="E27" i="3" s="1"/>
  <c r="F37" i="3"/>
  <c r="B38" i="3"/>
  <c r="I28" i="3" s="1"/>
  <c r="B28" i="3" s="1"/>
  <c r="C38" i="3"/>
  <c r="F28" i="3" s="1"/>
  <c r="D38" i="3"/>
  <c r="J28" i="3" s="1"/>
  <c r="D28" i="3" s="1"/>
  <c r="E38" i="3"/>
  <c r="F38" i="3"/>
  <c r="B39" i="3"/>
  <c r="I29" i="3" s="1"/>
  <c r="B29" i="3" s="1"/>
  <c r="C39" i="3"/>
  <c r="F29" i="3" s="1"/>
  <c r="D39" i="3"/>
  <c r="J29" i="3" s="1"/>
  <c r="D29" i="3" s="1"/>
  <c r="E39" i="3"/>
  <c r="K29" i="3" s="1"/>
  <c r="E29" i="3" s="1"/>
  <c r="F39" i="3"/>
  <c r="B62" i="3"/>
  <c r="C62" i="3"/>
  <c r="D62" i="3"/>
  <c r="E62" i="3"/>
  <c r="F62" i="3"/>
  <c r="B63" i="3"/>
  <c r="C63" i="3"/>
  <c r="D63" i="3"/>
  <c r="E63" i="3"/>
  <c r="F63" i="3"/>
  <c r="B64" i="3"/>
  <c r="C64" i="3"/>
  <c r="D64" i="3"/>
  <c r="E64" i="3"/>
  <c r="F64" i="3"/>
  <c r="H23" i="4"/>
  <c r="H24" i="4"/>
  <c r="H25" i="4"/>
  <c r="B36" i="3"/>
  <c r="I26" i="3" s="1"/>
  <c r="B26" i="3" s="1"/>
  <c r="C36" i="3"/>
  <c r="F26" i="3" s="1"/>
  <c r="D36" i="3"/>
  <c r="J26" i="3" s="1"/>
  <c r="D26" i="3" s="1"/>
  <c r="E36" i="3"/>
  <c r="K26" i="3" s="1"/>
  <c r="E26" i="3" s="1"/>
  <c r="F36" i="3"/>
  <c r="B61" i="3"/>
  <c r="C61" i="3"/>
  <c r="D61" i="3"/>
  <c r="E61" i="3"/>
  <c r="F61" i="3"/>
  <c r="H22" i="4"/>
  <c r="H21" i="4"/>
  <c r="I15" i="3" l="1"/>
  <c r="B15" i="3" s="1"/>
  <c r="K15" i="3"/>
  <c r="E15" i="3" s="1"/>
  <c r="J15" i="3"/>
  <c r="D15" i="3" s="1"/>
  <c r="F15" i="3"/>
  <c r="B35" i="3"/>
  <c r="I25" i="3" s="1"/>
  <c r="I14" i="3" s="1"/>
  <c r="B14" i="3" s="1"/>
  <c r="C35" i="3"/>
  <c r="F14" i="3" s="1"/>
  <c r="D35" i="3"/>
  <c r="J25" i="3" s="1"/>
  <c r="E35" i="3"/>
  <c r="F35" i="3"/>
  <c r="B60" i="3"/>
  <c r="C60" i="3"/>
  <c r="D60" i="3"/>
  <c r="E60" i="3"/>
  <c r="F60" i="3"/>
  <c r="H28" i="4"/>
  <c r="K25" i="3" l="1"/>
  <c r="K14" i="3" s="1"/>
  <c r="D25" i="3"/>
  <c r="J14" i="3"/>
  <c r="D14" i="3" s="1"/>
  <c r="B25" i="3"/>
  <c r="F25" i="3"/>
  <c r="E25" i="3" l="1"/>
  <c r="H29" i="4"/>
  <c r="H30" i="4" l="1"/>
  <c r="N5" i="3" l="1"/>
  <c r="M5" i="3" l="1"/>
  <c r="L5" i="3"/>
  <c r="K5" i="3"/>
  <c r="C53" i="3" l="1"/>
  <c r="C7" i="3"/>
  <c r="D51" i="3"/>
  <c r="D5" i="3"/>
  <c r="D53" i="3"/>
  <c r="D7" i="3"/>
  <c r="D50" i="3"/>
  <c r="D4" i="3"/>
</calcChain>
</file>

<file path=xl/sharedStrings.xml><?xml version="1.0" encoding="utf-8"?>
<sst xmlns="http://schemas.openxmlformats.org/spreadsheetml/2006/main" count="255" uniqueCount="145">
  <si>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</si>
  <si>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</si>
  <si>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</si>
  <si>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</si>
  <si>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</si>
  <si>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</si>
  <si>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</si>
  <si>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</si>
  <si>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</si>
  <si>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</si>
  <si>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</si>
  <si>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</si>
  <si>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</si>
  <si>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</si>
  <si>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</si>
  <si>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</si>
  <si>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</si>
  <si>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</si>
  <si>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</si>
  <si>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</si>
  <si>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</si>
  <si>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</si>
  <si>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</si>
  <si>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</si>
  <si>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</si>
  <si>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</si>
  <si>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</si>
  <si>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</si>
  <si>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</si>
  <si>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</si>
  <si>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</si>
  <si>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</si>
  <si>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</si>
  <si>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</si>
  <si>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</si>
  <si>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</si>
  <si>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</si>
  <si>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</si>
  <si>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</si>
  <si>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</si>
  <si>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</si>
  <si>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</si>
  <si>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</si>
  <si>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</si>
  <si>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</si>
  <si>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</si>
  <si>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</si>
  <si>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</si>
  <si>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</si>
  <si>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</si>
  <si>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</si>
  <si>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</si>
  <si>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</si>
  <si>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</si>
  <si>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</si>
  <si>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</si>
  <si>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</si>
  <si>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</si>
  <si>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</si>
  <si>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</si>
  <si>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</si>
  <si>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</si>
  <si>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</si>
  <si>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</si>
  <si>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</si>
  <si>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</si>
  <si>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</si>
  <si>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</si>
  <si>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</si>
  <si>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</si>
  <si>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</si>
  <si>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</si>
  <si>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</si>
  <si>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</si>
  <si>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</si>
  <si>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</si>
  <si>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</si>
  <si>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</si>
  <si>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</si>
  <si>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</si>
  <si>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</si>
  <si>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</si>
  <si>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</si>
  <si>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</si>
  <si>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</si>
  <si>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</si>
  <si>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</si>
  <si>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</si>
  <si>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</si>
  <si>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</si>
  <si>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</si>
  <si>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</si>
  <si>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</si>
  <si>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</si>
  <si>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</si>
  <si>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</si>
  <si>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</si>
  <si>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</si>
  <si>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</si>
  <si>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</si>
  <si>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</si>
  <si>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</si>
  <si>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</si>
  <si>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</si>
  <si>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</si>
  <si>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</si>
  <si>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</si>
  <si>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</si>
  <si>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</si>
  <si>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</si>
  <si>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</si>
  <si>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</si>
  <si>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</si>
  <si>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</si>
  <si>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</si>
  <si>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</si>
  <si>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</si>
  <si>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</si>
  <si>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</si>
  <si>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</si>
  <si>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</si>
  <si>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</si>
  <si>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</si>
  <si>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</si>
  <si>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</si>
  <si>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</si>
  <si>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</si>
  <si>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</si>
  <si>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</si>
  <si>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</si>
  <si>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 xml:space="preserve">GIRO: </t>
  </si>
  <si>
    <t>SANTIAGO</t>
  </si>
  <si>
    <t>CONTACTO:</t>
  </si>
  <si>
    <t>MUEBLES ASENJO LTDA.</t>
  </si>
  <si>
    <t>77.018.060-0</t>
  </si>
  <si>
    <t>MUEBLES</t>
  </si>
  <si>
    <t>LOS PINOS 02622 SAN BERNARDO</t>
  </si>
  <si>
    <t>MIGUEL ASENJO</t>
  </si>
  <si>
    <t>O/C 30 DIAS</t>
  </si>
  <si>
    <t>NO</t>
  </si>
  <si>
    <t>MDF18MM</t>
  </si>
  <si>
    <t>CUB C/R 90° R8</t>
  </si>
  <si>
    <t>N° 11845</t>
  </si>
  <si>
    <t>CUB MESA 90° R8 2LADOS</t>
  </si>
  <si>
    <t>GLACIAL WHITE 22191 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</si>
</sst>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"/>
    <numFmt numFmtId="166" formatCode="_-* #,##0_-;\-* #,##0_-;_-* &quot;-&quot;??_-;_-@_-"/>
  </numFmts>
  <fonts count="18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23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166" fontId="1" fillId="0" borderId="0" xfId="1" applyNumberFormat="1" applyFont="1" applyFill="1" applyBorder="1"/>
    <xf numFmtId="0" fontId="7" fillId="3" borderId="0" xfId="0" applyFont="1" applyFill="1"/>
    <xf numFmtId="0" fontId="17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6" fillId="0" borderId="0" xfId="2" quotePrefix="1" applyFont="1" applyFill="1" applyBorder="1" applyAlignment="1">
      <alignment horizontal="left"/>
    </xf>
    <xf numFmtId="0" fontId="15" fillId="0" borderId="2" xfId="0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17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1" fontId="15" fillId="0" borderId="0" xfId="0" applyNumberFormat="1" applyFont="1" applyAlignment="1">
      <alignment horizontal="center" vertic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3">
    <cellStyle name="Hipervínculo" xfId="2" builtinId="8"/>
    <cellStyle name="Millares" xfId="1" builtinId="3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27</xdr:row>
      <xdr:rowOff>9525</xdr:rowOff>
    </xdr:from>
    <xdr:to>
      <xdr:col>5</xdr:col>
      <xdr:colOff>1390650</xdr:colOff>
      <xdr:row>31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19</xdr:row>
      <xdr:rowOff>76200</xdr:rowOff>
    </xdr:from>
    <xdr:to>
      <xdr:col>5</xdr:col>
      <xdr:colOff>1676399</xdr:colOff>
      <xdr:row>21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54</xdr:row>
      <xdr:rowOff>171450</xdr:rowOff>
    </xdr:from>
    <xdr:to>
      <xdr:col>5</xdr:col>
      <xdr:colOff>1685924</xdr:colOff>
      <xdr:row>56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52</xdr:row>
      <xdr:rowOff>0</xdr:rowOff>
    </xdr:from>
    <xdr:to>
      <xdr:col>6</xdr:col>
      <xdr:colOff>0</xdr:colOff>
      <xdr:row>53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50</xdr:row>
      <xdr:rowOff>38100</xdr:rowOff>
    </xdr:from>
    <xdr:to>
      <xdr:col>6</xdr:col>
      <xdr:colOff>0</xdr:colOff>
      <xdr:row>51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49</xdr:row>
      <xdr:rowOff>0</xdr:rowOff>
    </xdr:from>
    <xdr:to>
      <xdr:col>6</xdr:col>
      <xdr:colOff>0</xdr:colOff>
      <xdr:row>50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66</xdr:row>
      <xdr:rowOff>0</xdr:rowOff>
    </xdr:from>
    <xdr:to>
      <xdr:col>2</xdr:col>
      <xdr:colOff>38100</xdr:colOff>
      <xdr:row>67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66</xdr:row>
      <xdr:rowOff>0</xdr:rowOff>
    </xdr:from>
    <xdr:to>
      <xdr:col>2</xdr:col>
      <xdr:colOff>1019175</xdr:colOff>
      <xdr:row>66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66</xdr:row>
      <xdr:rowOff>0</xdr:rowOff>
    </xdr:from>
    <xdr:to>
      <xdr:col>3</xdr:col>
      <xdr:colOff>352425</xdr:colOff>
      <xdr:row>67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66</xdr:row>
      <xdr:rowOff>0</xdr:rowOff>
    </xdr:from>
    <xdr:to>
      <xdr:col>4</xdr:col>
      <xdr:colOff>257175</xdr:colOff>
      <xdr:row>67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66</xdr:row>
      <xdr:rowOff>0</xdr:rowOff>
    </xdr:from>
    <xdr:to>
      <xdr:col>5</xdr:col>
      <xdr:colOff>447675</xdr:colOff>
      <xdr:row>66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66</xdr:row>
      <xdr:rowOff>0</xdr:rowOff>
    </xdr:from>
    <xdr:to>
      <xdr:col>6</xdr:col>
      <xdr:colOff>0</xdr:colOff>
      <xdr:row>66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66</xdr:row>
      <xdr:rowOff>190500</xdr:rowOff>
    </xdr:from>
    <xdr:to>
      <xdr:col>2</xdr:col>
      <xdr:colOff>304800</xdr:colOff>
      <xdr:row>68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66</xdr:row>
      <xdr:rowOff>190500</xdr:rowOff>
    </xdr:from>
    <xdr:to>
      <xdr:col>2</xdr:col>
      <xdr:colOff>1276350</xdr:colOff>
      <xdr:row>68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66</xdr:row>
      <xdr:rowOff>190500</xdr:rowOff>
    </xdr:from>
    <xdr:to>
      <xdr:col>3</xdr:col>
      <xdr:colOff>619125</xdr:colOff>
      <xdr:row>68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66</xdr:row>
      <xdr:rowOff>190500</xdr:rowOff>
    </xdr:from>
    <xdr:to>
      <xdr:col>4</xdr:col>
      <xdr:colOff>523875</xdr:colOff>
      <xdr:row>68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66</xdr:row>
      <xdr:rowOff>190500</xdr:rowOff>
    </xdr:from>
    <xdr:to>
      <xdr:col>5</xdr:col>
      <xdr:colOff>723900</xdr:colOff>
      <xdr:row>68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66</xdr:row>
      <xdr:rowOff>190500</xdr:rowOff>
    </xdr:from>
    <xdr:to>
      <xdr:col>6</xdr:col>
      <xdr:colOff>0</xdr:colOff>
      <xdr:row>68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41</xdr:row>
      <xdr:rowOff>15239</xdr:rowOff>
    </xdr:from>
    <xdr:to>
      <xdr:col>6</xdr:col>
      <xdr:colOff>68580</xdr:colOff>
      <xdr:row>45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30</xdr:row>
      <xdr:rowOff>200025</xdr:rowOff>
    </xdr:from>
    <xdr:to>
      <xdr:col>6</xdr:col>
      <xdr:colOff>19049</xdr:colOff>
      <xdr:row>32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69</xdr:row>
      <xdr:rowOff>32385</xdr:rowOff>
    </xdr:from>
    <xdr:to>
      <xdr:col>6</xdr:col>
      <xdr:colOff>19050</xdr:colOff>
      <xdr:row>73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48</xdr:row>
      <xdr:rowOff>41910</xdr:rowOff>
    </xdr:from>
    <xdr:to>
      <xdr:col>1</xdr:col>
      <xdr:colOff>565543</xdr:colOff>
      <xdr:row>54</xdr:row>
      <xdr:rowOff>137160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544588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7"/>
  <sheetViews>
    <sheetView tabSelected="1" topLeftCell="A6" workbookViewId="0">
      <selection activeCell="J12" sqref="J12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5546875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0" t="s">
        <v>16</v>
      </c>
      <c r="C8" s="91"/>
      <c r="D8" s="92" t="s">
        <v>142</v>
      </c>
      <c r="E8" s="1"/>
      <c r="F8" s="93" t="s">
        <v>27</v>
      </c>
      <c r="G8" s="94">
        <v>7368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129</v>
      </c>
      <c r="C10" s="86" t="s">
        <v>133</v>
      </c>
      <c r="D10" s="55"/>
      <c r="E10" s="55"/>
      <c r="F10" s="56" t="s">
        <v>28</v>
      </c>
      <c r="G10" s="57">
        <v>46051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9" t="s">
        <v>2</v>
      </c>
      <c r="C11" s="1" t="s">
        <v>134</v>
      </c>
      <c r="D11" s="60"/>
      <c r="E11" s="60"/>
      <c r="F11" s="60" t="s">
        <v>124</v>
      </c>
      <c r="G11" s="61"/>
      <c r="H11" s="62"/>
      <c r="I11" s="1"/>
    </row>
    <row r="12" spans="1:17" ht="16.2" thickBot="1" x14ac:dyDescent="0.35">
      <c r="A12" s="1"/>
      <c r="B12" s="63" t="s">
        <v>130</v>
      </c>
      <c r="C12" t="s">
        <v>135</v>
      </c>
      <c r="D12" s="43"/>
      <c r="E12" s="43"/>
      <c r="F12" s="43" t="s">
        <v>30</v>
      </c>
      <c r="G12" s="64">
        <v>23860</v>
      </c>
      <c r="H12" s="65"/>
      <c r="I12" s="1"/>
    </row>
    <row r="13" spans="1:17" ht="15.6" x14ac:dyDescent="0.3">
      <c r="A13" s="1"/>
      <c r="B13" s="63" t="s">
        <v>132</v>
      </c>
      <c r="C13" s="86" t="s">
        <v>137</v>
      </c>
      <c r="D13" s="43"/>
      <c r="E13" s="43"/>
      <c r="F13" s="43" t="s">
        <v>128</v>
      </c>
      <c r="G13" s="64"/>
      <c r="H13" s="65"/>
      <c r="I13" s="1"/>
    </row>
    <row r="14" spans="1:17" ht="15.6" x14ac:dyDescent="0.3">
      <c r="A14" s="1"/>
      <c r="B14" s="59" t="s">
        <v>17</v>
      </c>
      <c r="C14" s="101">
        <v>56998844786</v>
      </c>
      <c r="D14" s="66"/>
      <c r="E14" s="60"/>
      <c r="F14" s="60" t="s">
        <v>29</v>
      </c>
      <c r="G14" s="60" t="s">
        <v>139</v>
      </c>
      <c r="H14" s="62"/>
      <c r="I14" s="1"/>
    </row>
    <row r="15" spans="1:17" ht="15.6" x14ac:dyDescent="0.3">
      <c r="A15" s="1"/>
      <c r="B15" s="63" t="s">
        <v>1</v>
      </c>
      <c r="C15" s="97" t="s">
        <v>136</v>
      </c>
      <c r="D15" s="43"/>
      <c r="E15" s="43"/>
      <c r="F15" s="67" t="s">
        <v>75</v>
      </c>
      <c r="G15" s="67" t="s">
        <v>138</v>
      </c>
      <c r="H15" s="65"/>
      <c r="I15" s="1"/>
    </row>
    <row r="16" spans="1:17" ht="16.2" thickBot="1" x14ac:dyDescent="0.35">
      <c r="A16" s="1"/>
      <c r="B16" s="68" t="s">
        <v>3</v>
      </c>
      <c r="C16" s="69" t="s">
        <v>131</v>
      </c>
      <c r="D16" s="69"/>
      <c r="E16" s="70"/>
      <c r="F16" s="110" t="s">
        <v>18</v>
      </c>
      <c r="G16" s="110"/>
      <c r="H16" s="111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2" t="s">
        <v>19</v>
      </c>
      <c r="C19" s="113"/>
      <c r="D19" s="113"/>
      <c r="E19" s="113"/>
      <c r="F19" s="113"/>
      <c r="G19" s="113"/>
      <c r="H19" s="114"/>
      <c r="I19" s="1"/>
    </row>
    <row r="20" spans="1:16" ht="15.6" x14ac:dyDescent="0.3">
      <c r="A20" s="1"/>
      <c r="B20" s="71" t="s">
        <v>20</v>
      </c>
      <c r="C20" s="72" t="s">
        <v>21</v>
      </c>
      <c r="D20" s="72" t="s">
        <v>22</v>
      </c>
      <c r="E20" s="72" t="s">
        <v>8</v>
      </c>
      <c r="F20" s="73" t="s">
        <v>23</v>
      </c>
      <c r="G20" s="71" t="s">
        <v>24</v>
      </c>
      <c r="H20" s="73" t="s">
        <v>4</v>
      </c>
      <c r="I20" s="1"/>
    </row>
    <row r="21" spans="1:16" ht="18" customHeight="1" x14ac:dyDescent="0.3">
      <c r="A21" s="1"/>
      <c r="B21" s="102">
        <v>5</v>
      </c>
      <c r="C21" s="102" t="s">
        <v>143</v>
      </c>
      <c r="D21" s="104">
        <v>2300</v>
      </c>
      <c r="E21" s="104">
        <v>1200</v>
      </c>
      <c r="F21" s="102" t="s">
        <v>144</v>
      </c>
      <c r="G21" s="103">
        <v>141501</v>
      </c>
      <c r="H21" s="103">
        <f t="shared" ref="H21" si="0">G21*B21</f>
        <v>707505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102">
        <v>1</v>
      </c>
      <c r="C22" s="102" t="s">
        <v>141</v>
      </c>
      <c r="D22" s="104">
        <v>2460</v>
      </c>
      <c r="E22" s="104">
        <v>700</v>
      </c>
      <c r="F22" s="102" t="s">
        <v>144</v>
      </c>
      <c r="G22" s="103">
        <v>88091</v>
      </c>
      <c r="H22" s="103">
        <f t="shared" ref="H22" si="1">G22*B22</f>
        <v>88091</v>
      </c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102">
        <v>1</v>
      </c>
      <c r="C23" s="102" t="s">
        <v>141</v>
      </c>
      <c r="D23" s="104">
        <v>2220</v>
      </c>
      <c r="E23" s="104">
        <v>700</v>
      </c>
      <c r="F23" s="102" t="s">
        <v>144</v>
      </c>
      <c r="G23" s="103">
        <v>79768</v>
      </c>
      <c r="H23" s="103">
        <f t="shared" ref="H23:H25" si="2">G23*B23</f>
        <v>79768</v>
      </c>
      <c r="I23" s="1"/>
      <c r="K23" s="17"/>
      <c r="L23" s="26"/>
      <c r="M23" s="17"/>
      <c r="N23" s="17"/>
      <c r="O23" s="26"/>
      <c r="P23" s="33"/>
    </row>
    <row r="24" spans="1:16" ht="18" customHeight="1" x14ac:dyDescent="0.3">
      <c r="A24" s="1"/>
      <c r="B24" s="102">
        <v>1</v>
      </c>
      <c r="C24" s="102" t="s">
        <v>141</v>
      </c>
      <c r="D24" s="104">
        <v>2604</v>
      </c>
      <c r="E24" s="104">
        <v>600</v>
      </c>
      <c r="F24" s="102" t="s">
        <v>144</v>
      </c>
      <c r="G24" s="103">
        <v>79787</v>
      </c>
      <c r="H24" s="103">
        <f t="shared" si="2"/>
        <v>79787</v>
      </c>
      <c r="I24" s="1"/>
      <c r="K24" s="17"/>
      <c r="L24" s="26"/>
      <c r="M24" s="17"/>
      <c r="N24" s="17"/>
      <c r="O24" s="26"/>
      <c r="P24" s="33"/>
    </row>
    <row r="25" spans="1:16" ht="18" customHeight="1" x14ac:dyDescent="0.3">
      <c r="A25" s="1"/>
      <c r="B25" s="102">
        <v>1</v>
      </c>
      <c r="C25" s="102" t="s">
        <v>141</v>
      </c>
      <c r="D25" s="104">
        <v>1736</v>
      </c>
      <c r="E25" s="104">
        <v>600</v>
      </c>
      <c r="F25" s="102" t="s">
        <v>144</v>
      </c>
      <c r="G25" s="103">
        <v>53984</v>
      </c>
      <c r="H25" s="103">
        <f t="shared" si="2"/>
        <v>53984</v>
      </c>
      <c r="I25" s="1"/>
      <c r="K25" s="17"/>
      <c r="L25" s="26"/>
      <c r="M25" s="17"/>
      <c r="N25" s="17"/>
      <c r="O25" s="26"/>
      <c r="P25" s="33"/>
    </row>
    <row r="26" spans="1:16" ht="18" customHeight="1" x14ac:dyDescent="0.3">
      <c r="A26" s="1"/>
      <c r="B26" s="108"/>
      <c r="C26" s="108"/>
      <c r="D26" s="109"/>
      <c r="E26" s="109"/>
      <c r="F26" s="108"/>
      <c r="G26" s="75"/>
      <c r="H26" s="75"/>
      <c r="I26" s="1"/>
      <c r="K26" s="17"/>
      <c r="L26" s="26"/>
      <c r="M26" s="17"/>
      <c r="N26" s="17"/>
      <c r="O26" s="26"/>
      <c r="P26" s="33"/>
    </row>
    <row r="27" spans="1:16" ht="8.25" customHeight="1" thickBot="1" x14ac:dyDescent="0.35">
      <c r="A27" s="1"/>
      <c r="B27" s="74"/>
      <c r="C27" s="74"/>
      <c r="D27" s="74"/>
      <c r="E27" s="74"/>
      <c r="F27" s="74"/>
      <c r="G27" s="75"/>
      <c r="H27" s="75"/>
      <c r="I27" s="1"/>
    </row>
    <row r="28" spans="1:16" ht="15.6" x14ac:dyDescent="0.3">
      <c r="A28" s="1"/>
      <c r="B28" s="1"/>
      <c r="C28" s="1"/>
      <c r="D28" s="1"/>
      <c r="E28" s="1"/>
      <c r="F28" s="1"/>
      <c r="G28" s="76" t="s">
        <v>5</v>
      </c>
      <c r="H28" s="77">
        <f>SUM(H21:H27)</f>
        <v>1009135</v>
      </c>
      <c r="I28" s="1"/>
    </row>
    <row r="29" spans="1:16" ht="15.6" x14ac:dyDescent="0.3">
      <c r="A29" s="1"/>
      <c r="B29" s="1"/>
      <c r="C29" s="1"/>
      <c r="D29" s="1"/>
      <c r="E29" s="1"/>
      <c r="F29" s="1"/>
      <c r="G29" s="78" t="s">
        <v>6</v>
      </c>
      <c r="H29" s="79">
        <f>H28*19%</f>
        <v>191735.65</v>
      </c>
      <c r="I29" s="1"/>
    </row>
    <row r="30" spans="1:16" ht="16.2" thickBot="1" x14ac:dyDescent="0.35">
      <c r="A30" s="1"/>
      <c r="B30" s="1"/>
      <c r="C30" s="1"/>
      <c r="D30" s="1"/>
      <c r="E30" s="1"/>
      <c r="F30" s="1"/>
      <c r="G30" s="80" t="s">
        <v>4</v>
      </c>
      <c r="H30" s="81">
        <f>H28+H29</f>
        <v>1200870.6499999999</v>
      </c>
      <c r="I30" s="1"/>
    </row>
    <row r="31" spans="1:16" ht="15.6" x14ac:dyDescent="0.3">
      <c r="A31" s="1"/>
      <c r="B31" s="1"/>
      <c r="C31" s="1"/>
      <c r="D31" s="1"/>
      <c r="E31" s="1"/>
      <c r="F31" s="1"/>
      <c r="G31" s="52"/>
      <c r="H31" s="96"/>
      <c r="I31" s="1"/>
    </row>
    <row r="32" spans="1:16" ht="15.6" x14ac:dyDescent="0.3">
      <c r="A32" s="1"/>
      <c r="B32" s="1"/>
      <c r="C32" s="1"/>
      <c r="D32" s="1"/>
      <c r="E32" s="1"/>
      <c r="F32" s="1"/>
      <c r="G32" s="1"/>
      <c r="H32" s="1"/>
      <c r="I32" s="1"/>
    </row>
    <row r="33" spans="1:9" ht="15.6" x14ac:dyDescent="0.3">
      <c r="A33" s="1"/>
      <c r="B33" s="82" t="s">
        <v>123</v>
      </c>
      <c r="C33" s="83"/>
      <c r="D33" s="84"/>
      <c r="E33" s="84"/>
      <c r="F33" s="74"/>
      <c r="G33" s="1"/>
      <c r="H33" s="1"/>
      <c r="I33" s="1"/>
    </row>
    <row r="34" spans="1:9" ht="15.6" x14ac:dyDescent="0.3">
      <c r="A34" s="1"/>
      <c r="B34" s="82" t="s">
        <v>122</v>
      </c>
      <c r="C34" s="83"/>
      <c r="D34" s="84"/>
      <c r="E34" s="84"/>
      <c r="F34" s="74"/>
      <c r="G34" s="1"/>
      <c r="H34" s="1"/>
      <c r="I34" s="1"/>
    </row>
    <row r="35" spans="1:9" ht="15.6" x14ac:dyDescent="0.3">
      <c r="A35" s="1"/>
      <c r="B35" s="1" t="s">
        <v>25</v>
      </c>
      <c r="C35" s="1"/>
      <c r="D35" s="1"/>
      <c r="E35" s="85" t="s">
        <v>26</v>
      </c>
      <c r="F35" s="1"/>
      <c r="G35" s="1"/>
      <c r="H35" s="1"/>
      <c r="I35" s="1"/>
    </row>
    <row r="36" spans="1:9" ht="15.6" x14ac:dyDescent="0.3">
      <c r="A36" s="1"/>
      <c r="B36" s="1"/>
      <c r="C36" s="1"/>
      <c r="D36" s="1"/>
      <c r="E36" s="1"/>
      <c r="F36" s="1"/>
      <c r="G36" s="1"/>
      <c r="H36" s="1"/>
      <c r="I36" s="1"/>
    </row>
    <row r="37" spans="1:9" ht="15.6" x14ac:dyDescent="0.3">
      <c r="A37" s="1"/>
      <c r="B37" s="1"/>
      <c r="C37" s="1"/>
      <c r="D37" s="1"/>
      <c r="E37" s="1"/>
      <c r="F37" s="1"/>
      <c r="G37" s="1"/>
      <c r="H37" s="1"/>
      <c r="I37" s="1"/>
    </row>
  </sheetData>
  <sortState xmlns:xlrd2="http://schemas.microsoft.com/office/spreadsheetml/2017/richdata2" ref="B39">
    <sortCondition sortBy="fontColor" ref="B39" dxfId="0"/>
  </sortState>
  <mergeCells count="2">
    <mergeCell ref="F16:H16"/>
    <mergeCell ref="B19:H19"/>
  </mergeCells>
  <phoneticPr fontId="10" type="noConversion"/>
  <hyperlinks>
    <hyperlink ref="E35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5" t="s">
        <v>31</v>
      </c>
      <c r="C2" s="115"/>
      <c r="D2" s="115"/>
      <c r="E2" s="18"/>
      <c r="G2" s="115" t="s">
        <v>70</v>
      </c>
      <c r="H2" s="115"/>
      <c r="I2" s="115"/>
      <c r="P2" s="116" t="s">
        <v>58</v>
      </c>
      <c r="Q2" s="116"/>
      <c r="R2" s="116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16" t="s">
        <v>58</v>
      </c>
      <c r="M8" s="116"/>
      <c r="N8" s="116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77"/>
  <sheetViews>
    <sheetView topLeftCell="A9" zoomScaleNormal="100" workbookViewId="0">
      <selection activeCell="H8" sqref="H8"/>
    </sheetView>
  </sheetViews>
  <sheetFormatPr baseColWidth="10" defaultRowHeight="14.4" x14ac:dyDescent="0.3"/>
  <cols>
    <col min="1" max="1" width="17.3320312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17" t="s">
        <v>61</v>
      </c>
      <c r="L3" s="117"/>
      <c r="M3" s="117" t="s">
        <v>14</v>
      </c>
      <c r="N3" s="117"/>
    </row>
    <row r="4" spans="1:14" ht="15.75" customHeight="1" x14ac:dyDescent="0.3">
      <c r="A4" s="1"/>
      <c r="B4" s="1"/>
      <c r="C4" s="40" t="s">
        <v>27</v>
      </c>
      <c r="D4" s="14">
        <f>'4637'!G8</f>
        <v>7368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MUEBLES ASENJO LTDA.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7" t="str">
        <f>'4637'!F11</f>
        <v>FECHA LIMITE :</v>
      </c>
      <c r="D7" s="13">
        <f>'4637'!G11</f>
        <v>0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18" t="s">
        <v>61</v>
      </c>
      <c r="B10" s="118"/>
      <c r="C10" s="118"/>
      <c r="D10" s="118"/>
      <c r="E10" s="118"/>
      <c r="F10" s="118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80</v>
      </c>
      <c r="E13" s="32">
        <v>-30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5" t="s">
        <v>140</v>
      </c>
      <c r="B14" s="25">
        <f t="shared" ref="B14" si="0">I14</f>
        <v>5</v>
      </c>
      <c r="C14" s="25"/>
      <c r="D14" s="25">
        <f>J14+80</f>
        <v>2380</v>
      </c>
      <c r="E14" s="35">
        <f>K14</f>
        <v>1200</v>
      </c>
      <c r="F14" s="99" t="str">
        <f>C35</f>
        <v>CUB MESA 90° R8 2LADOS</v>
      </c>
      <c r="G14" s="1"/>
      <c r="I14" s="89">
        <f t="shared" ref="I14:K15" si="1">I25</f>
        <v>5</v>
      </c>
      <c r="J14" s="4">
        <f t="shared" si="1"/>
        <v>2300</v>
      </c>
      <c r="K14" s="4">
        <f t="shared" si="1"/>
        <v>1200</v>
      </c>
    </row>
    <row r="15" spans="1:14" ht="15.6" x14ac:dyDescent="0.3">
      <c r="A15" s="95"/>
      <c r="B15" s="25">
        <f t="shared" ref="B15" si="2">I15</f>
        <v>1</v>
      </c>
      <c r="C15" s="25"/>
      <c r="D15" s="25">
        <f>J15+80</f>
        <v>2540</v>
      </c>
      <c r="E15" s="35">
        <f>K15+E$13</f>
        <v>670</v>
      </c>
      <c r="F15" s="99" t="str">
        <f>C36</f>
        <v>CUB C/R 90° R8</v>
      </c>
      <c r="G15" s="1"/>
      <c r="I15" s="89">
        <f t="shared" si="1"/>
        <v>1</v>
      </c>
      <c r="J15" s="4">
        <f t="shared" si="1"/>
        <v>2460</v>
      </c>
      <c r="K15" s="4">
        <f t="shared" si="1"/>
        <v>700</v>
      </c>
    </row>
    <row r="16" spans="1:14" ht="15.6" x14ac:dyDescent="0.3">
      <c r="A16" s="95"/>
      <c r="B16" s="25">
        <f t="shared" ref="B16:B18" si="3">I16</f>
        <v>1</v>
      </c>
      <c r="C16" s="25"/>
      <c r="D16" s="25">
        <f t="shared" ref="D16:D18" si="4">J16+80</f>
        <v>2300</v>
      </c>
      <c r="E16" s="35">
        <f t="shared" ref="E16:E18" si="5">K16+E$13</f>
        <v>670</v>
      </c>
      <c r="F16" s="99" t="str">
        <f t="shared" ref="F16:F18" si="6">C37</f>
        <v>CUB C/R 90° R8</v>
      </c>
      <c r="G16" s="1"/>
      <c r="I16" s="89">
        <f t="shared" ref="I16:K16" si="7">I27</f>
        <v>1</v>
      </c>
      <c r="J16" s="4">
        <f t="shared" si="7"/>
        <v>2220</v>
      </c>
      <c r="K16" s="4">
        <f t="shared" si="7"/>
        <v>700</v>
      </c>
    </row>
    <row r="17" spans="1:11" ht="15.6" x14ac:dyDescent="0.3">
      <c r="A17" s="95"/>
      <c r="B17" s="25">
        <f t="shared" si="3"/>
        <v>1</v>
      </c>
      <c r="C17" s="25"/>
      <c r="D17" s="25">
        <f t="shared" si="4"/>
        <v>2684</v>
      </c>
      <c r="E17" s="35">
        <f t="shared" si="5"/>
        <v>570</v>
      </c>
      <c r="F17" s="99" t="str">
        <f t="shared" si="6"/>
        <v>CUB C/R 90° R8</v>
      </c>
      <c r="G17" s="1"/>
      <c r="I17" s="89">
        <f t="shared" ref="I17:K17" si="8">I28</f>
        <v>1</v>
      </c>
      <c r="J17" s="4">
        <f t="shared" si="8"/>
        <v>2604</v>
      </c>
      <c r="K17" s="4">
        <f t="shared" si="8"/>
        <v>600</v>
      </c>
    </row>
    <row r="18" spans="1:11" ht="15.6" x14ac:dyDescent="0.3">
      <c r="A18" s="95"/>
      <c r="B18" s="25">
        <f t="shared" si="3"/>
        <v>1</v>
      </c>
      <c r="C18" s="25"/>
      <c r="D18" s="25">
        <f t="shared" si="4"/>
        <v>1816</v>
      </c>
      <c r="E18" s="35">
        <f t="shared" si="5"/>
        <v>570</v>
      </c>
      <c r="F18" s="99" t="str">
        <f t="shared" si="6"/>
        <v>CUB C/R 90° R8</v>
      </c>
      <c r="G18" s="1"/>
      <c r="I18" s="89">
        <f t="shared" ref="I18:K18" si="9">I29</f>
        <v>1</v>
      </c>
      <c r="J18" s="4">
        <f t="shared" si="9"/>
        <v>1736</v>
      </c>
      <c r="K18" s="4">
        <f t="shared" si="9"/>
        <v>600</v>
      </c>
    </row>
    <row r="19" spans="1:11" ht="15.6" x14ac:dyDescent="0.3">
      <c r="A19" s="52"/>
      <c r="B19" s="6"/>
      <c r="C19" s="6"/>
      <c r="D19" s="6"/>
      <c r="E19" s="105"/>
      <c r="F19" s="6"/>
      <c r="G19" s="1"/>
      <c r="I19" s="89"/>
      <c r="J19" s="2"/>
      <c r="K19" s="2"/>
    </row>
    <row r="20" spans="1:11" ht="6.75" customHeight="1" x14ac:dyDescent="0.3">
      <c r="A20" s="1"/>
      <c r="B20" s="1"/>
      <c r="C20" s="1"/>
      <c r="D20" s="1"/>
      <c r="E20" s="1"/>
      <c r="F20" s="1"/>
      <c r="G20" s="1"/>
    </row>
    <row r="21" spans="1:11" ht="15.6" x14ac:dyDescent="0.3">
      <c r="A21" s="118" t="s">
        <v>14</v>
      </c>
      <c r="B21" s="118"/>
      <c r="C21" s="118"/>
      <c r="D21" s="118"/>
      <c r="E21" s="118"/>
      <c r="F21" s="118"/>
      <c r="G21" s="1"/>
    </row>
    <row r="22" spans="1:11" ht="10.5" customHeight="1" x14ac:dyDescent="0.3">
      <c r="A22" s="1"/>
      <c r="B22" s="1"/>
      <c r="C22" s="12"/>
      <c r="D22" s="1"/>
      <c r="E22" s="1"/>
      <c r="F22" s="1"/>
      <c r="G22" s="1"/>
    </row>
    <row r="23" spans="1:11" ht="15.6" x14ac:dyDescent="0.3">
      <c r="A23" s="1"/>
      <c r="B23" s="1"/>
      <c r="C23" s="1"/>
      <c r="D23" s="52" t="s">
        <v>7</v>
      </c>
      <c r="E23" s="52" t="s">
        <v>8</v>
      </c>
      <c r="F23" s="1"/>
      <c r="G23" s="1"/>
    </row>
    <row r="24" spans="1:11" ht="15.6" x14ac:dyDescent="0.3">
      <c r="A24" s="52" t="s">
        <v>9</v>
      </c>
      <c r="B24" s="36" t="s">
        <v>10</v>
      </c>
      <c r="C24" s="36" t="s">
        <v>11</v>
      </c>
      <c r="D24" s="21">
        <v>40</v>
      </c>
      <c r="E24" s="21">
        <v>130</v>
      </c>
      <c r="F24" s="36" t="s">
        <v>110</v>
      </c>
      <c r="G24" s="1"/>
      <c r="J24" s="5" t="s">
        <v>7</v>
      </c>
      <c r="K24" s="5" t="s">
        <v>8</v>
      </c>
    </row>
    <row r="25" spans="1:11" ht="15.6" x14ac:dyDescent="0.3">
      <c r="A25" s="95"/>
      <c r="B25" s="16">
        <f t="shared" ref="B25" si="10">I25</f>
        <v>5</v>
      </c>
      <c r="C25" s="16"/>
      <c r="D25" s="16">
        <f>J25+D$24</f>
        <v>2340</v>
      </c>
      <c r="E25" s="16">
        <f>K25+E$24</f>
        <v>1330</v>
      </c>
      <c r="F25" s="100" t="str">
        <f>C35</f>
        <v>CUB MESA 90° R8 2LADOS</v>
      </c>
      <c r="G25" s="1"/>
      <c r="I25" s="3">
        <f>B35</f>
        <v>5</v>
      </c>
      <c r="J25" s="4">
        <f>D35</f>
        <v>2300</v>
      </c>
      <c r="K25" s="4">
        <f t="shared" ref="K25" si="11">E35</f>
        <v>1200</v>
      </c>
    </row>
    <row r="26" spans="1:11" ht="15.6" x14ac:dyDescent="0.3">
      <c r="A26" s="95"/>
      <c r="B26" s="16">
        <f t="shared" ref="B26" si="12">I26</f>
        <v>1</v>
      </c>
      <c r="C26" s="16"/>
      <c r="D26" s="16">
        <f>J26+D$24</f>
        <v>2500</v>
      </c>
      <c r="E26" s="16">
        <f>K26+E$24</f>
        <v>830</v>
      </c>
      <c r="F26" s="100" t="str">
        <f>C36</f>
        <v>CUB C/R 90° R8</v>
      </c>
      <c r="G26" s="1"/>
      <c r="I26" s="3">
        <f>B36</f>
        <v>1</v>
      </c>
      <c r="J26" s="4">
        <f>D36</f>
        <v>2460</v>
      </c>
      <c r="K26" s="4">
        <f t="shared" ref="K26" si="13">E36</f>
        <v>700</v>
      </c>
    </row>
    <row r="27" spans="1:11" ht="15.6" x14ac:dyDescent="0.3">
      <c r="A27" s="95"/>
      <c r="B27" s="16">
        <f t="shared" ref="B27:B28" si="14">I27</f>
        <v>1</v>
      </c>
      <c r="C27" s="16"/>
      <c r="D27" s="16">
        <f t="shared" ref="D27:D28" si="15">J27+D$24</f>
        <v>2260</v>
      </c>
      <c r="E27" s="16">
        <f t="shared" ref="E27:E28" si="16">K27+E$24</f>
        <v>830</v>
      </c>
      <c r="F27" s="100" t="str">
        <f t="shared" ref="F27:F28" si="17">C37</f>
        <v>CUB C/R 90° R8</v>
      </c>
      <c r="G27" s="1"/>
      <c r="I27" s="3">
        <f t="shared" ref="I27:I28" si="18">B37</f>
        <v>1</v>
      </c>
      <c r="J27" s="4">
        <f t="shared" ref="J27:J28" si="19">D37</f>
        <v>2220</v>
      </c>
      <c r="K27" s="4">
        <f t="shared" ref="K27:K28" si="20">E37</f>
        <v>700</v>
      </c>
    </row>
    <row r="28" spans="1:11" ht="15.6" x14ac:dyDescent="0.3">
      <c r="A28" s="95"/>
      <c r="B28" s="16">
        <f t="shared" si="14"/>
        <v>1</v>
      </c>
      <c r="C28" s="16"/>
      <c r="D28" s="16">
        <f t="shared" si="15"/>
        <v>2644</v>
      </c>
      <c r="E28" s="16">
        <f t="shared" si="16"/>
        <v>730</v>
      </c>
      <c r="F28" s="100" t="str">
        <f t="shared" si="17"/>
        <v>CUB C/R 90° R8</v>
      </c>
      <c r="G28" s="1"/>
      <c r="I28" s="3">
        <f t="shared" si="18"/>
        <v>1</v>
      </c>
      <c r="J28" s="4">
        <f t="shared" si="19"/>
        <v>2604</v>
      </c>
      <c r="K28" s="4">
        <f t="shared" si="20"/>
        <v>600</v>
      </c>
    </row>
    <row r="29" spans="1:11" ht="15.6" x14ac:dyDescent="0.3">
      <c r="A29" s="95"/>
      <c r="B29" s="16">
        <f t="shared" ref="B29" si="21">I29</f>
        <v>1</v>
      </c>
      <c r="C29" s="16"/>
      <c r="D29" s="16">
        <f t="shared" ref="D29" si="22">J29+D$24</f>
        <v>1776</v>
      </c>
      <c r="E29" s="16">
        <f t="shared" ref="E29" si="23">K29+E$24</f>
        <v>730</v>
      </c>
      <c r="F29" s="100" t="str">
        <f t="shared" ref="F29" si="24">C39</f>
        <v>CUB C/R 90° R8</v>
      </c>
      <c r="G29" s="1"/>
      <c r="I29" s="3">
        <f t="shared" ref="I29" si="25">B39</f>
        <v>1</v>
      </c>
      <c r="J29" s="4">
        <f t="shared" ref="J29" si="26">D39</f>
        <v>1736</v>
      </c>
      <c r="K29" s="4">
        <f t="shared" ref="K29" si="27">E39</f>
        <v>600</v>
      </c>
    </row>
    <row r="30" spans="1:11" ht="15.6" x14ac:dyDescent="0.3">
      <c r="A30" s="95"/>
      <c r="B30" s="6"/>
      <c r="C30" s="6"/>
      <c r="D30" s="6"/>
      <c r="E30" s="6"/>
      <c r="F30" s="107"/>
      <c r="G30" s="1"/>
      <c r="I30" s="89"/>
      <c r="J30" s="2"/>
      <c r="K30" s="2"/>
    </row>
    <row r="31" spans="1:11" ht="16.2" thickBot="1" x14ac:dyDescent="0.35">
      <c r="A31" s="52"/>
      <c r="B31" s="6"/>
      <c r="C31" s="6"/>
      <c r="D31" s="6"/>
      <c r="E31" s="6"/>
      <c r="F31" s="6"/>
      <c r="G31" s="1"/>
      <c r="I31" s="2"/>
      <c r="J31" s="2"/>
      <c r="K31" s="2"/>
    </row>
    <row r="32" spans="1:11" ht="16.2" thickBot="1" x14ac:dyDescent="0.35">
      <c r="A32" s="52"/>
      <c r="B32" s="22" t="s">
        <v>107</v>
      </c>
      <c r="C32" s="23"/>
      <c r="D32" s="23"/>
      <c r="E32" s="23"/>
      <c r="F32" s="24"/>
      <c r="G32" s="1"/>
      <c r="I32" s="2"/>
      <c r="J32" s="2"/>
      <c r="K32" s="2"/>
    </row>
    <row r="33" spans="1:7" ht="10.5" customHeight="1" x14ac:dyDescent="0.3">
      <c r="A33" s="1"/>
      <c r="B33" s="1"/>
      <c r="C33" s="1"/>
      <c r="D33" s="1"/>
      <c r="E33" s="1"/>
      <c r="F33" s="1"/>
      <c r="G33" s="1"/>
    </row>
    <row r="34" spans="1:7" ht="15.6" x14ac:dyDescent="0.3">
      <c r="A34" s="52" t="s">
        <v>9</v>
      </c>
      <c r="B34" s="88" t="s">
        <v>10</v>
      </c>
      <c r="C34" s="88" t="s">
        <v>110</v>
      </c>
      <c r="D34" s="88" t="s">
        <v>7</v>
      </c>
      <c r="E34" s="88" t="s">
        <v>8</v>
      </c>
      <c r="F34" s="88" t="s">
        <v>23</v>
      </c>
      <c r="G34" s="1"/>
    </row>
    <row r="35" spans="1:7" ht="15.6" x14ac:dyDescent="0.3">
      <c r="A35" s="95" t="s">
        <v>140</v>
      </c>
      <c r="B35" s="25">
        <f>'4637'!B21</f>
        <v>5</v>
      </c>
      <c r="C35" s="99" t="str">
        <f>'4637'!C21</f>
        <v>CUB MESA 90° R8 2LADOS</v>
      </c>
      <c r="D35" s="25">
        <f>'4637'!D21</f>
        <v>2300</v>
      </c>
      <c r="E35" s="25">
        <f>'4637'!E21</f>
        <v>1200</v>
      </c>
      <c r="F35" s="25" t="str">
        <f>'4637'!F21</f>
        <v>GLACIAL WHITE 22191 SF</v>
      </c>
      <c r="G35" s="1"/>
    </row>
    <row r="36" spans="1:7" ht="15.6" x14ac:dyDescent="0.3">
      <c r="A36" s="95"/>
      <c r="B36" s="25">
        <f>'4637'!B22</f>
        <v>1</v>
      </c>
      <c r="C36" s="99" t="str">
        <f>'4637'!C22</f>
        <v>CUB C/R 90° R8</v>
      </c>
      <c r="D36" s="25">
        <f>'4637'!D22</f>
        <v>2460</v>
      </c>
      <c r="E36" s="25">
        <f>'4637'!E22</f>
        <v>700</v>
      </c>
      <c r="F36" s="25" t="str">
        <f>'4637'!F22</f>
        <v>GLACIAL WHITE 22191 SF</v>
      </c>
      <c r="G36" s="1"/>
    </row>
    <row r="37" spans="1:7" ht="15.6" x14ac:dyDescent="0.3">
      <c r="A37" s="95"/>
      <c r="B37" s="25">
        <f>'4637'!B23</f>
        <v>1</v>
      </c>
      <c r="C37" s="99" t="str">
        <f>'4637'!C23</f>
        <v>CUB C/R 90° R8</v>
      </c>
      <c r="D37" s="25">
        <f>'4637'!D23</f>
        <v>2220</v>
      </c>
      <c r="E37" s="25">
        <f>'4637'!E23</f>
        <v>700</v>
      </c>
      <c r="F37" s="25" t="str">
        <f>'4637'!F23</f>
        <v>GLACIAL WHITE 22191 SF</v>
      </c>
      <c r="G37" s="1"/>
    </row>
    <row r="38" spans="1:7" ht="15.6" x14ac:dyDescent="0.3">
      <c r="A38" s="95"/>
      <c r="B38" s="25">
        <f>'4637'!B24</f>
        <v>1</v>
      </c>
      <c r="C38" s="99" t="str">
        <f>'4637'!C24</f>
        <v>CUB C/R 90° R8</v>
      </c>
      <c r="D38" s="25">
        <f>'4637'!D24</f>
        <v>2604</v>
      </c>
      <c r="E38" s="25">
        <f>'4637'!E24</f>
        <v>600</v>
      </c>
      <c r="F38" s="25" t="str">
        <f>'4637'!F24</f>
        <v>GLACIAL WHITE 22191 SF</v>
      </c>
      <c r="G38" s="1"/>
    </row>
    <row r="39" spans="1:7" ht="15.6" x14ac:dyDescent="0.3">
      <c r="A39" s="95"/>
      <c r="B39" s="25">
        <f>'4637'!B25</f>
        <v>1</v>
      </c>
      <c r="C39" s="99" t="str">
        <f>'4637'!C25</f>
        <v>CUB C/R 90° R8</v>
      </c>
      <c r="D39" s="25">
        <f>'4637'!D25</f>
        <v>1736</v>
      </c>
      <c r="E39" s="25">
        <f>'4637'!E25</f>
        <v>600</v>
      </c>
      <c r="F39" s="25" t="str">
        <f>'4637'!F25</f>
        <v>GLACIAL WHITE 22191 SF</v>
      </c>
      <c r="G39" s="1"/>
    </row>
    <row r="40" spans="1:7" ht="15.6" x14ac:dyDescent="0.3">
      <c r="A40" s="95"/>
      <c r="B40" s="6"/>
      <c r="C40" s="107"/>
      <c r="D40" s="6"/>
      <c r="E40" s="6"/>
      <c r="F40" s="6"/>
      <c r="G40" s="1"/>
    </row>
    <row r="41" spans="1:7" ht="15.6" x14ac:dyDescent="0.3">
      <c r="A41" s="1"/>
      <c r="B41" s="6"/>
      <c r="C41" s="6"/>
      <c r="D41" s="6"/>
      <c r="E41" s="6"/>
      <c r="F41" s="6"/>
      <c r="G41" s="1"/>
    </row>
    <row r="42" spans="1:7" ht="15.6" x14ac:dyDescent="0.3">
      <c r="A42" s="1"/>
      <c r="B42" s="6"/>
      <c r="C42" s="6"/>
      <c r="D42" s="6"/>
      <c r="E42" s="6"/>
      <c r="F42" s="6"/>
      <c r="G42" s="1"/>
    </row>
    <row r="43" spans="1:7" ht="15.6" x14ac:dyDescent="0.3">
      <c r="A43" s="1"/>
      <c r="B43" s="6"/>
      <c r="C43" s="6"/>
      <c r="D43" s="6"/>
      <c r="E43" s="6"/>
      <c r="F43" s="6"/>
      <c r="G43" s="1"/>
    </row>
    <row r="44" spans="1:7" ht="15.6" x14ac:dyDescent="0.3">
      <c r="A44" s="1"/>
      <c r="B44" s="6"/>
      <c r="C44" s="6"/>
      <c r="D44" s="6"/>
      <c r="E44" s="6"/>
      <c r="F44" s="6"/>
      <c r="G44" s="1"/>
    </row>
    <row r="45" spans="1:7" ht="15.6" x14ac:dyDescent="0.3">
      <c r="A45" s="1"/>
      <c r="B45" s="6"/>
      <c r="C45" s="6"/>
      <c r="D45" s="6"/>
      <c r="E45" s="6"/>
      <c r="F45" s="6"/>
      <c r="G45" s="1"/>
    </row>
    <row r="46" spans="1:7" ht="15.6" x14ac:dyDescent="0.3">
      <c r="A46" s="1"/>
      <c r="B46" s="6"/>
      <c r="C46" s="6"/>
      <c r="D46" s="6"/>
      <c r="E46" s="6"/>
      <c r="F46" s="6"/>
      <c r="G46" s="1"/>
    </row>
    <row r="47" spans="1:7" ht="15.6" x14ac:dyDescent="0.3">
      <c r="A47" s="1"/>
      <c r="B47" s="6"/>
      <c r="C47" s="6"/>
      <c r="D47" s="6"/>
      <c r="E47" s="6"/>
      <c r="F47" s="6"/>
      <c r="G47" s="1"/>
    </row>
    <row r="48" spans="1:7" ht="15.6" x14ac:dyDescent="0.3">
      <c r="A48" s="1"/>
      <c r="B48" s="6"/>
      <c r="C48" s="6"/>
      <c r="D48" s="6"/>
      <c r="E48" s="6"/>
      <c r="F48" s="6"/>
      <c r="G48" s="1"/>
    </row>
    <row r="49" spans="1:7" ht="15.6" x14ac:dyDescent="0.3">
      <c r="A49" s="1"/>
      <c r="B49" s="1"/>
      <c r="C49" s="1"/>
      <c r="D49" s="1"/>
      <c r="E49" s="1"/>
      <c r="F49" s="1"/>
      <c r="G49" s="1"/>
    </row>
    <row r="50" spans="1:7" ht="15.6" x14ac:dyDescent="0.3">
      <c r="A50" s="1"/>
      <c r="B50" s="1"/>
      <c r="C50" s="40" t="s">
        <v>27</v>
      </c>
      <c r="D50" s="14">
        <f>'4637'!G8</f>
        <v>7368</v>
      </c>
      <c r="E50" s="1"/>
      <c r="F50" s="1"/>
      <c r="G50" s="1"/>
    </row>
    <row r="51" spans="1:7" ht="17.25" customHeight="1" x14ac:dyDescent="0.3">
      <c r="A51" s="1"/>
      <c r="B51" s="1"/>
      <c r="C51" s="41" t="s">
        <v>67</v>
      </c>
      <c r="D51" s="42" t="str">
        <f>'4637'!C10</f>
        <v>MUEBLES ASENJO LTDA.</v>
      </c>
      <c r="E51" s="43"/>
      <c r="F51" s="43"/>
      <c r="G51" s="1"/>
    </row>
    <row r="52" spans="1:7" ht="4.5" customHeight="1" x14ac:dyDescent="0.3">
      <c r="A52" s="1"/>
      <c r="B52" s="1"/>
      <c r="C52" s="44"/>
      <c r="D52" s="45"/>
      <c r="E52" s="1"/>
      <c r="F52" s="1"/>
      <c r="G52" s="1"/>
    </row>
    <row r="53" spans="1:7" ht="15.6" x14ac:dyDescent="0.3">
      <c r="A53" s="1"/>
      <c r="B53" s="1"/>
      <c r="C53" s="46" t="str">
        <f>'4637'!F11</f>
        <v>FECHA LIMITE :</v>
      </c>
      <c r="D53" s="13">
        <f>'4637'!G11</f>
        <v>0</v>
      </c>
      <c r="E53" s="1"/>
      <c r="F53" s="1"/>
      <c r="G53" s="1"/>
    </row>
    <row r="54" spans="1:7" ht="15.6" x14ac:dyDescent="0.3">
      <c r="A54" s="1"/>
      <c r="B54" s="1"/>
      <c r="C54" s="1"/>
      <c r="D54" s="1"/>
      <c r="E54" s="1"/>
      <c r="F54" s="1"/>
      <c r="G54" s="1"/>
    </row>
    <row r="55" spans="1:7" ht="15.6" x14ac:dyDescent="0.3">
      <c r="A55" s="1"/>
      <c r="B55" s="1"/>
      <c r="C55" s="1"/>
      <c r="D55" s="1"/>
      <c r="E55" s="1"/>
      <c r="F55" s="1"/>
      <c r="G55" s="1"/>
    </row>
    <row r="56" spans="1:7" ht="15.6" x14ac:dyDescent="0.3">
      <c r="A56" s="118" t="s">
        <v>68</v>
      </c>
      <c r="B56" s="118"/>
      <c r="C56" s="118"/>
      <c r="D56" s="118"/>
      <c r="E56" s="118"/>
      <c r="F56" s="118"/>
      <c r="G56" s="1"/>
    </row>
    <row r="57" spans="1:7" ht="15.6" x14ac:dyDescent="0.3">
      <c r="A57" s="1"/>
      <c r="B57" s="1"/>
      <c r="C57" s="1"/>
      <c r="D57" s="1"/>
      <c r="E57" s="1"/>
      <c r="F57" s="1"/>
      <c r="G57" s="1"/>
    </row>
    <row r="58" spans="1:7" ht="15.75" customHeight="1" x14ac:dyDescent="0.3">
      <c r="A58" s="1"/>
      <c r="B58" s="119" t="s">
        <v>69</v>
      </c>
      <c r="C58" s="120"/>
      <c r="D58" s="121"/>
      <c r="E58" s="121"/>
      <c r="F58" s="122"/>
      <c r="G58" s="1"/>
    </row>
    <row r="59" spans="1:7" s="15" customFormat="1" ht="12.75" customHeight="1" x14ac:dyDescent="0.3">
      <c r="A59" s="1"/>
      <c r="B59" s="36" t="s">
        <v>10</v>
      </c>
      <c r="C59" s="47" t="s">
        <v>11</v>
      </c>
      <c r="D59" s="48" t="s">
        <v>7</v>
      </c>
      <c r="E59" s="48" t="s">
        <v>8</v>
      </c>
      <c r="F59" s="49" t="s">
        <v>12</v>
      </c>
      <c r="G59" s="1"/>
    </row>
    <row r="60" spans="1:7" s="15" customFormat="1" ht="15" customHeight="1" x14ac:dyDescent="0.3">
      <c r="A60" s="95" t="s">
        <v>140</v>
      </c>
      <c r="B60" s="38">
        <f>'4637'!B21</f>
        <v>5</v>
      </c>
      <c r="C60" s="98" t="str">
        <f>'4637'!C21</f>
        <v>CUB MESA 90° R8 2LADOS</v>
      </c>
      <c r="D60" s="39">
        <f>'4637'!D21</f>
        <v>2300</v>
      </c>
      <c r="E60" s="39">
        <f>'4637'!E21</f>
        <v>1200</v>
      </c>
      <c r="F60" s="38" t="str">
        <f>'4637'!F21</f>
        <v>GLACIAL WHITE 22191 SF</v>
      </c>
      <c r="G60" s="1"/>
    </row>
    <row r="61" spans="1:7" s="15" customFormat="1" ht="15" customHeight="1" x14ac:dyDescent="0.3">
      <c r="A61" s="95"/>
      <c r="B61" s="38">
        <f>'4637'!B22</f>
        <v>1</v>
      </c>
      <c r="C61" s="98" t="str">
        <f>'4637'!C22</f>
        <v>CUB C/R 90° R8</v>
      </c>
      <c r="D61" s="39">
        <f>'4637'!D22</f>
        <v>2460</v>
      </c>
      <c r="E61" s="39">
        <f>'4637'!E22</f>
        <v>700</v>
      </c>
      <c r="F61" s="38" t="str">
        <f>'4637'!F22</f>
        <v>GLACIAL WHITE 22191 SF</v>
      </c>
      <c r="G61" s="1"/>
    </row>
    <row r="62" spans="1:7" s="15" customFormat="1" ht="15" customHeight="1" x14ac:dyDescent="0.3">
      <c r="A62" s="95"/>
      <c r="B62" s="38">
        <f>'4637'!B23</f>
        <v>1</v>
      </c>
      <c r="C62" s="98" t="str">
        <f>'4637'!C23</f>
        <v>CUB C/R 90° R8</v>
      </c>
      <c r="D62" s="39">
        <f>'4637'!D23</f>
        <v>2220</v>
      </c>
      <c r="E62" s="39">
        <f>'4637'!E23</f>
        <v>700</v>
      </c>
      <c r="F62" s="38" t="str">
        <f>'4637'!F23</f>
        <v>GLACIAL WHITE 22191 SF</v>
      </c>
      <c r="G62" s="1"/>
    </row>
    <row r="63" spans="1:7" s="15" customFormat="1" ht="15" customHeight="1" x14ac:dyDescent="0.3">
      <c r="A63" s="95"/>
      <c r="B63" s="38">
        <f>'4637'!B24</f>
        <v>1</v>
      </c>
      <c r="C63" s="98" t="str">
        <f>'4637'!C24</f>
        <v>CUB C/R 90° R8</v>
      </c>
      <c r="D63" s="39">
        <f>'4637'!D24</f>
        <v>2604</v>
      </c>
      <c r="E63" s="39">
        <f>'4637'!E24</f>
        <v>600</v>
      </c>
      <c r="F63" s="38" t="str">
        <f>'4637'!F24</f>
        <v>GLACIAL WHITE 22191 SF</v>
      </c>
      <c r="G63" s="1"/>
    </row>
    <row r="64" spans="1:7" s="15" customFormat="1" ht="15" customHeight="1" x14ac:dyDescent="0.3">
      <c r="A64" s="95"/>
      <c r="B64" s="38">
        <f>'4637'!B25</f>
        <v>1</v>
      </c>
      <c r="C64" s="98" t="str">
        <f>'4637'!C25</f>
        <v>CUB C/R 90° R8</v>
      </c>
      <c r="D64" s="39">
        <f>'4637'!D25</f>
        <v>1736</v>
      </c>
      <c r="E64" s="39">
        <f>'4637'!E25</f>
        <v>600</v>
      </c>
      <c r="F64" s="38" t="str">
        <f>'4637'!F25</f>
        <v>GLACIAL WHITE 22191 SF</v>
      </c>
      <c r="G64" s="1"/>
    </row>
    <row r="65" spans="1:7" s="15" customFormat="1" ht="15" customHeight="1" x14ac:dyDescent="0.3">
      <c r="B65" s="52"/>
      <c r="C65" s="106"/>
      <c r="D65" s="52"/>
      <c r="E65" s="52"/>
      <c r="F65" s="52"/>
      <c r="G65" s="1"/>
    </row>
    <row r="66" spans="1:7" s="15" customFormat="1" ht="15" customHeight="1" x14ac:dyDescent="0.3">
      <c r="A66" s="50"/>
      <c r="B66" s="52"/>
      <c r="C66" s="52"/>
      <c r="D66" s="52"/>
      <c r="E66" s="52"/>
      <c r="F66" s="52"/>
      <c r="G66" s="1"/>
    </row>
    <row r="67" spans="1:7" ht="15.6" x14ac:dyDescent="0.3">
      <c r="A67" s="6"/>
      <c r="B67" s="6"/>
      <c r="C67" s="1"/>
      <c r="D67" s="6"/>
      <c r="E67" s="6"/>
      <c r="F67" s="44"/>
      <c r="G67" s="1"/>
    </row>
    <row r="68" spans="1:7" ht="15.6" x14ac:dyDescent="0.3">
      <c r="A68" s="6"/>
      <c r="B68" s="6"/>
      <c r="C68" s="1"/>
      <c r="D68" s="6"/>
      <c r="E68" s="6"/>
      <c r="F68" s="6"/>
      <c r="G68" s="1"/>
    </row>
    <row r="69" spans="1:7" ht="15.6" x14ac:dyDescent="0.3">
      <c r="A69" s="1"/>
      <c r="B69" s="1"/>
      <c r="C69" s="1"/>
      <c r="D69" s="1"/>
      <c r="E69" s="1"/>
      <c r="F69" s="1"/>
      <c r="G69" s="1"/>
    </row>
    <row r="70" spans="1:7" ht="15.6" x14ac:dyDescent="0.3">
      <c r="A70" s="1"/>
      <c r="B70" s="1"/>
      <c r="C70" s="1"/>
      <c r="D70" s="1"/>
      <c r="E70" s="1"/>
      <c r="F70" s="1"/>
      <c r="G70" s="1"/>
    </row>
    <row r="71" spans="1:7" ht="15.6" x14ac:dyDescent="0.3">
      <c r="A71" s="1"/>
      <c r="B71" s="1"/>
      <c r="C71" s="1"/>
      <c r="D71" s="1"/>
      <c r="E71" s="1"/>
      <c r="F71" s="1"/>
      <c r="G71" s="1"/>
    </row>
    <row r="72" spans="1:7" ht="15" customHeight="1" x14ac:dyDescent="0.3">
      <c r="A72" s="1"/>
      <c r="B72" s="1"/>
      <c r="C72" s="1"/>
      <c r="D72" s="1"/>
      <c r="E72" s="1"/>
      <c r="F72" s="1"/>
      <c r="G72" s="1"/>
    </row>
    <row r="73" spans="1:7" ht="15.6" x14ac:dyDescent="0.3">
      <c r="A73" s="1"/>
      <c r="B73" s="1"/>
      <c r="C73" s="1"/>
      <c r="D73" s="1"/>
      <c r="E73" s="1"/>
      <c r="F73" s="1"/>
      <c r="G73" s="1"/>
    </row>
    <row r="74" spans="1:7" ht="15.6" x14ac:dyDescent="0.3">
      <c r="A74" s="6"/>
      <c r="B74" s="51"/>
      <c r="C74" s="1"/>
      <c r="D74" s="1"/>
      <c r="E74" s="1"/>
      <c r="F74" s="1"/>
      <c r="G74" s="1"/>
    </row>
    <row r="75" spans="1:7" ht="15.6" x14ac:dyDescent="0.3">
      <c r="A75" s="1"/>
      <c r="B75" s="1"/>
      <c r="C75" s="1"/>
      <c r="D75" s="1"/>
      <c r="E75" s="1"/>
      <c r="F75" s="1"/>
      <c r="G75" s="1"/>
    </row>
    <row r="76" spans="1:7" x14ac:dyDescent="0.3">
      <c r="B76" s="20"/>
      <c r="C76" s="20"/>
      <c r="D76" s="20"/>
      <c r="E76" s="20"/>
      <c r="F76" s="20"/>
    </row>
    <row r="77" spans="1:7" x14ac:dyDescent="0.3">
      <c r="B77" s="20"/>
      <c r="C77" s="20"/>
      <c r="E77" s="20"/>
      <c r="F77" s="20"/>
    </row>
  </sheetData>
  <mergeCells count="6">
    <mergeCell ref="M3:N3"/>
    <mergeCell ref="A21:F21"/>
    <mergeCell ref="A10:F10"/>
    <mergeCell ref="A56:F56"/>
    <mergeCell ref="B58:F58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65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2026-01-29T17:51:28Z</cp:lastPrinted>
  <dcterms:created xsi:type="dcterms:W3CDTF">2013-03-19T12:54:14Z</dcterms:created>
  <dcterms:modified xsi:type="dcterms:W3CDTF">2026-02-03T12:01:36Z</dcterms:modified>
</cp:coreProperties>
</file>