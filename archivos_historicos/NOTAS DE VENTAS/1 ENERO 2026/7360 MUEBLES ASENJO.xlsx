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343FCBF3-981B-4AE2-BE66-22649D36C8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6" i="3" l="1"/>
  <c r="I21" i="3" s="1"/>
  <c r="I14" i="3" s="1"/>
  <c r="B14" i="3" s="1"/>
  <c r="C26" i="3"/>
  <c r="F14" i="3" s="1"/>
  <c r="D26" i="3"/>
  <c r="J21" i="3" s="1"/>
  <c r="E26" i="3"/>
  <c r="F26" i="3"/>
  <c r="B47" i="3"/>
  <c r="C47" i="3"/>
  <c r="D47" i="3"/>
  <c r="E47" i="3"/>
  <c r="F47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<sst xmlns="http://schemas.openxmlformats.org/spreadsheetml/2006/main" count="247" uniqueCount="144">
  <si>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</si>
  <si>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</si>
  <si>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</si>
  <si>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</si>
  <si>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</si>
  <si>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</si>
  <si>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</si>
  <si>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</si>
  <si>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</si>
  <si>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</si>
  <si>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</si>
  <si>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</si>
  <si>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</si>
  <si>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</si>
  <si>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</si>
  <si>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</si>
  <si>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</si>
  <si>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</si>
  <si>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</si>
  <si>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</si>
  <si>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</si>
  <si>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</si>
  <si>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</si>
  <si>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</si>
  <si>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</si>
  <si>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</si>
  <si>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</si>
  <si>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</si>
  <si>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</si>
  <si>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</si>
  <si>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</si>
  <si>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</si>
  <si>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</si>
  <si>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</si>
  <si>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</si>
  <si>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</si>
  <si>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</si>
  <si>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</si>
  <si>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</si>
  <si>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</si>
  <si>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</si>
  <si>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</si>
  <si>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</si>
  <si>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</si>
  <si>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</si>
  <si>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</si>
  <si>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</si>
  <si>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</si>
  <si>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</si>
  <si>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</si>
  <si>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</si>
  <si>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</si>
  <si>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</si>
  <si>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</si>
  <si>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</si>
  <si>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</si>
  <si>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</si>
  <si>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</si>
  <si>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</si>
  <si>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</si>
  <si>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</si>
  <si>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</si>
  <si>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</si>
  <si>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</si>
  <si>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</si>
  <si>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</si>
  <si>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</si>
  <si>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</si>
  <si>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</si>
  <si>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</si>
  <si>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</si>
  <si>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</si>
  <si>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</si>
  <si>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</si>
  <si>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</si>
  <si>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</si>
  <si>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</si>
  <si>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</si>
  <si>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</si>
  <si>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</si>
  <si>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</si>
  <si>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</si>
  <si>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</si>
  <si>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</si>
  <si>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</si>
  <si>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</si>
  <si>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</si>
  <si>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</si>
  <si>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</si>
  <si>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</si>
  <si>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</si>
  <si>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</si>
  <si>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</si>
  <si>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</si>
  <si>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</si>
  <si>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</si>
  <si>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</si>
  <si>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</si>
  <si>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</si>
  <si>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</si>
  <si>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</si>
  <si>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</si>
  <si>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</si>
  <si>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</si>
  <si>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</si>
  <si>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</si>
  <si>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</si>
  <si>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</si>
  <si>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</si>
  <si>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</si>
  <si>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</si>
  <si>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</si>
  <si>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</si>
  <si>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</si>
  <si>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</si>
  <si>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</si>
  <si>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</si>
  <si>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</si>
  <si>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</si>
  <si>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</si>
  <si>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</si>
  <si>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</si>
  <si>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</si>
  <si>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</si>
  <si>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</si>
  <si>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</si>
  <si>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</si>
  <si>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</si>
  <si>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</si>
  <si>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</si>
  <si>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</si>
  <si>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</si>
  <si>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</si>
  <si>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</si>
  <si>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</si>
  <si>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</si>
  <si>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</si>
  <si>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</si>
  <si>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</si>
  <si>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</si>
  <si>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</si>
  <si>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180°</t>
  </si>
  <si>
    <t>MEDITERRANEO 2186 MT F6</t>
  </si>
  <si>
    <t>N° 11816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</si>
</sst>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USAR REGRUESO DE 4 CMS, CORTAR LAMINA A 3040 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REGRUESOS A 4CMS CORTAR LAMINAS A 3040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565543</xdr:colOff>
      <xdr:row>41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7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7360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46035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23796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50</v>
      </c>
      <c r="C21" s="105" t="s">
        <v>141</v>
      </c>
      <c r="D21" s="107">
        <v>3000</v>
      </c>
      <c r="E21" s="107">
        <v>600</v>
      </c>
      <c r="F21" s="105" t="s">
        <v>142</v>
      </c>
      <c r="G21" s="106">
        <v>92850</v>
      </c>
      <c r="H21" s="106">
        <f t="shared" ref="H21" si="0">G21*B21</f>
        <v>4642500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4642500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882075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5524575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topLeftCell="A22" zoomScaleNormal="100" workbookViewId="0">
      <selection activeCell="A48" sqref="A48:XFD5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7360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50</v>
      </c>
      <c r="C14" s="25"/>
      <c r="D14" s="25">
        <f>J14+80</f>
        <v>3080</v>
      </c>
      <c r="E14" s="35">
        <f>K14+E$13</f>
        <v>570</v>
      </c>
      <c r="F14" s="102" t="str">
        <f>C26</f>
        <v>CUB C/R 180°</v>
      </c>
      <c r="G14" s="1"/>
      <c r="I14" s="89">
        <f>I21</f>
        <v>50</v>
      </c>
      <c r="J14" s="4">
        <f>J21</f>
        <v>3000</v>
      </c>
      <c r="K14" s="4">
        <f>K21</f>
        <v>600</v>
      </c>
    </row>
    <row r="15" spans="1:14" ht="15.6" x14ac:dyDescent="0.3">
      <c r="A15" s="52"/>
      <c r="B15" s="6"/>
      <c r="C15" s="6"/>
      <c r="D15" s="6"/>
      <c r="E15" s="10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160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50</v>
      </c>
      <c r="C21" s="16"/>
      <c r="D21" s="16">
        <f>J21+D$20</f>
        <v>3040</v>
      </c>
      <c r="E21" s="16">
        <f>K21+E$20</f>
        <v>760</v>
      </c>
      <c r="F21" s="103" t="str">
        <f>C26</f>
        <v>CUB C/R 180°</v>
      </c>
      <c r="G21" s="1"/>
      <c r="I21" s="3">
        <f>B26</f>
        <v>50</v>
      </c>
      <c r="J21" s="4">
        <f>D26</f>
        <v>3000</v>
      </c>
      <c r="K21" s="4">
        <f t="shared" ref="K21" si="2">E26</f>
        <v>600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140</v>
      </c>
      <c r="B26" s="25">
        <f>'4637'!B21</f>
        <v>50</v>
      </c>
      <c r="C26" s="102" t="str">
        <f>'4637'!C21</f>
        <v>CUB C/R 180°</v>
      </c>
      <c r="D26" s="25">
        <f>'4637'!D21</f>
        <v>3000</v>
      </c>
      <c r="E26" s="25">
        <f>'4637'!E21</f>
        <v>600</v>
      </c>
      <c r="F26" s="25" t="str">
        <f>'4637'!F21</f>
        <v>MEDITERRANEO 2186 MT F6</v>
      </c>
      <c r="G26" s="1"/>
    </row>
    <row r="27" spans="1:11" ht="15.6" x14ac:dyDescent="0.3">
      <c r="A27" s="95"/>
      <c r="B27" s="6"/>
      <c r="C27" s="110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7360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 t="str">
        <f>'4637'!C10</f>
        <v>MUEBLES ASENJO LTDA.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>
        <f>'4637'!G11</f>
        <v>0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9" t="s">
        <v>68</v>
      </c>
      <c r="B43" s="119"/>
      <c r="C43" s="119"/>
      <c r="D43" s="119"/>
      <c r="E43" s="119"/>
      <c r="F43" s="119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20" t="s">
        <v>69</v>
      </c>
      <c r="C45" s="121"/>
      <c r="D45" s="122"/>
      <c r="E45" s="122"/>
      <c r="F45" s="123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140</v>
      </c>
      <c r="B47" s="38">
        <f>'4637'!B21</f>
        <v>50</v>
      </c>
      <c r="C47" s="101" t="str">
        <f>'4637'!C21</f>
        <v>CUB C/R 180°</v>
      </c>
      <c r="D47" s="39">
        <f>'4637'!D21</f>
        <v>3000</v>
      </c>
      <c r="E47" s="39">
        <f>'4637'!E21</f>
        <v>600</v>
      </c>
      <c r="F47" s="38" t="str">
        <f>'4637'!F21</f>
        <v>MEDITERRANEO 2186 MT F6</v>
      </c>
      <c r="G47" s="1"/>
    </row>
    <row r="48" spans="1:7" s="15" customFormat="1" ht="15" customHeight="1" x14ac:dyDescent="0.3">
      <c r="B48" s="52"/>
      <c r="C48" s="109"/>
      <c r="D48" s="52"/>
      <c r="E48" s="52"/>
      <c r="F48" s="52"/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2025-12-05T12:21:12Z</cp:lastPrinted>
  <dcterms:created xsi:type="dcterms:W3CDTF">2013-03-19T12:54:14Z</dcterms:created>
  <dcterms:modified xsi:type="dcterms:W3CDTF">2026-01-13T12:56:34Z</dcterms:modified>
</cp:coreProperties>
</file>