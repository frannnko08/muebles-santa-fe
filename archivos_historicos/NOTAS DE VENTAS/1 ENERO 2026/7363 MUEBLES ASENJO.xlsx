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6D3FB62A-0197-4766-99AB-D5880DD52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F15" i="3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E16" i="3" s="1"/>
  <c r="F17" i="3"/>
  <c r="I17" i="3"/>
  <c r="B17" i="3" s="1"/>
  <c r="J17" i="3"/>
  <c r="D17" i="3" s="1"/>
  <c r="K17" i="3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34" i="3"/>
  <c r="I26" i="3" s="1"/>
  <c r="B26" i="3" s="1"/>
  <c r="C34" i="3"/>
  <c r="F26" i="3" s="1"/>
  <c r="D34" i="3"/>
  <c r="J26" i="3" s="1"/>
  <c r="D26" i="3" s="1"/>
  <c r="E34" i="3"/>
  <c r="K26" i="3" s="1"/>
  <c r="E26" i="3" s="1"/>
  <c r="F34" i="3"/>
  <c r="B35" i="3"/>
  <c r="I27" i="3" s="1"/>
  <c r="B27" i="3" s="1"/>
  <c r="C35" i="3"/>
  <c r="F27" i="3" s="1"/>
  <c r="D35" i="3"/>
  <c r="J27" i="3" s="1"/>
  <c r="D27" i="3" s="1"/>
  <c r="E35" i="3"/>
  <c r="K27" i="3" s="1"/>
  <c r="E27" i="3" s="1"/>
  <c r="F35" i="3"/>
  <c r="B57" i="3"/>
  <c r="C57" i="3"/>
  <c r="D57" i="3"/>
  <c r="E57" i="3"/>
  <c r="F57" i="3"/>
  <c r="B58" i="3"/>
  <c r="C58" i="3"/>
  <c r="D58" i="3"/>
  <c r="E58" i="3"/>
  <c r="F58" i="3"/>
  <c r="B59" i="3"/>
  <c r="C59" i="3"/>
  <c r="D59" i="3"/>
  <c r="E59" i="3"/>
  <c r="F59" i="3"/>
  <c r="H22" i="4"/>
  <c r="H23" i="4"/>
  <c r="H24" i="4"/>
  <c r="H21" i="4"/>
  <c r="B32" i="3" l="1"/>
  <c r="I24" i="3" s="1"/>
  <c r="I14" i="3" s="1"/>
  <c r="B14" i="3" s="1"/>
  <c r="C32" i="3"/>
  <c r="F14" i="3" s="1"/>
  <c r="D32" i="3"/>
  <c r="J24" i="3" s="1"/>
  <c r="E32" i="3"/>
  <c r="F32" i="3"/>
  <c r="B56" i="3"/>
  <c r="C56" i="3"/>
  <c r="D56" i="3"/>
  <c r="E56" i="3"/>
  <c r="F56" i="3"/>
  <c r="H27" i="4"/>
  <c r="K24" i="3" l="1"/>
  <c r="K14" i="3" s="1"/>
  <c r="E14" i="3" s="1"/>
  <c r="D24" i="3"/>
  <c r="J14" i="3"/>
  <c r="D14" i="3" s="1"/>
  <c r="B24" i="3"/>
  <c r="F24" i="3"/>
  <c r="E24" i="3" l="1"/>
  <c r="H28" i="4"/>
  <c r="H29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<sst xmlns="http://schemas.openxmlformats.org/spreadsheetml/2006/main" count="253" uniqueCount="145">
  <si>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</si>
  <si>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</si>
  <si>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</si>
  <si>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</si>
  <si>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</si>
  <si>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</si>
  <si>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</si>
  <si>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</si>
  <si>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</si>
  <si>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</si>
  <si>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</si>
  <si>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</si>
  <si>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</si>
  <si>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</si>
  <si>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</si>
  <si>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</si>
  <si>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</si>
  <si>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</si>
  <si>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</si>
  <si>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</si>
  <si>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</si>
  <si>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</si>
  <si>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</si>
  <si>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</si>
  <si>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</si>
  <si>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</si>
  <si>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</si>
  <si>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</si>
  <si>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</si>
  <si>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</si>
  <si>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</si>
  <si>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</si>
  <si>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</si>
  <si>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</si>
  <si>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</si>
  <si>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</si>
  <si>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</si>
  <si>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</si>
  <si>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</si>
  <si>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</si>
  <si>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</si>
  <si>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</si>
  <si>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</si>
  <si>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</si>
  <si>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</si>
  <si>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</si>
  <si>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</si>
  <si>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</si>
  <si>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</si>
  <si>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</si>
  <si>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</si>
  <si>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</si>
  <si>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</si>
  <si>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</si>
  <si>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</si>
  <si>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</si>
  <si>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</si>
  <si>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</si>
  <si>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</si>
  <si>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</si>
  <si>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</si>
  <si>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</si>
  <si>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</si>
  <si>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</si>
  <si>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</si>
  <si>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</si>
  <si>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</si>
  <si>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</si>
  <si>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</si>
  <si>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</si>
  <si>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</si>
  <si>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</si>
  <si>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</si>
  <si>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</si>
  <si>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</si>
  <si>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</si>
  <si>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</si>
  <si>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</si>
  <si>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</si>
  <si>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</si>
  <si>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</si>
  <si>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</si>
  <si>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</si>
  <si>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</si>
  <si>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</si>
  <si>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</si>
  <si>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</si>
  <si>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</si>
  <si>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</si>
  <si>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</si>
  <si>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</si>
  <si>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</si>
  <si>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</si>
  <si>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</si>
  <si>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</si>
  <si>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</si>
  <si>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</si>
  <si>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</si>
  <si>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</si>
  <si>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</si>
  <si>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</si>
  <si>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</si>
  <si>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</si>
  <si>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</si>
  <si>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</si>
  <si>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</si>
  <si>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</si>
  <si>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</si>
  <si>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</si>
  <si>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</si>
  <si>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</si>
  <si>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</si>
  <si>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</si>
  <si>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</si>
  <si>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</si>
  <si>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</si>
  <si>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</si>
  <si>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</si>
  <si>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</si>
  <si>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</si>
  <si>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</si>
  <si>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</si>
  <si>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</si>
  <si>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</si>
  <si>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</si>
  <si>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</si>
  <si>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</si>
  <si>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</si>
  <si>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</si>
  <si>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</si>
  <si>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</si>
  <si>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</si>
  <si>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</si>
  <si>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</si>
  <si>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</si>
  <si>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</si>
  <si>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</si>
  <si>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</si>
  <si>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</si>
  <si>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</si>
  <si>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</si>
  <si>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N° 11831</t>
  </si>
  <si>
    <t>CUB C/R 90°</t>
  </si>
  <si>
    <t>CUB S/R 90°</t>
  </si>
  <si>
    <t>BLANCO 2114 PF6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</si>
</sst>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1019175</xdr:colOff>
      <xdr:row>61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447675</xdr:colOff>
      <xdr:row>61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190500</xdr:rowOff>
    </xdr:from>
    <xdr:to>
      <xdr:col>2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190500</xdr:rowOff>
    </xdr:from>
    <xdr:to>
      <xdr:col>2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190500</xdr:rowOff>
    </xdr:from>
    <xdr:to>
      <xdr:col>3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190500</xdr:rowOff>
    </xdr:from>
    <xdr:to>
      <xdr:col>4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190500</xdr:rowOff>
    </xdr:from>
    <xdr:to>
      <xdr:col>5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190500</xdr:rowOff>
    </xdr:from>
    <xdr:to>
      <xdr:col>6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64</xdr:row>
      <xdr:rowOff>32385</xdr:rowOff>
    </xdr:from>
    <xdr:to>
      <xdr:col>6</xdr:col>
      <xdr:colOff>19050</xdr:colOff>
      <xdr:row>68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565543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9" workbookViewId="0">
      <selection activeCell="L16" sqref="L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141</v>
      </c>
      <c r="E8" s="1"/>
      <c r="F8" s="93" t="s">
        <v>27</v>
      </c>
      <c r="G8" s="94">
        <v>7363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46035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46038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23799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142</v>
      </c>
      <c r="D21" s="107">
        <v>2850</v>
      </c>
      <c r="E21" s="107">
        <v>600</v>
      </c>
      <c r="F21" s="105" t="s">
        <v>144</v>
      </c>
      <c r="G21" s="106">
        <v>86342</v>
      </c>
      <c r="H21" s="106">
        <f t="shared" ref="H21" si="0">G21*B21</f>
        <v>86342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1</v>
      </c>
      <c r="C22" s="105" t="s">
        <v>142</v>
      </c>
      <c r="D22" s="107">
        <v>3000</v>
      </c>
      <c r="E22" s="107">
        <v>600</v>
      </c>
      <c r="F22" s="105" t="s">
        <v>144</v>
      </c>
      <c r="G22" s="106">
        <v>90763</v>
      </c>
      <c r="H22" s="106">
        <f t="shared" ref="H22:H24" si="1">G22*B22</f>
        <v>90763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5">
        <v>1</v>
      </c>
      <c r="C23" s="105" t="s">
        <v>142</v>
      </c>
      <c r="D23" s="107">
        <v>1070</v>
      </c>
      <c r="E23" s="107">
        <v>600</v>
      </c>
      <c r="F23" s="105" t="s">
        <v>144</v>
      </c>
      <c r="G23" s="106">
        <v>33889</v>
      </c>
      <c r="H23" s="106">
        <f t="shared" si="1"/>
        <v>33889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5">
        <v>2</v>
      </c>
      <c r="C24" s="105" t="s">
        <v>143</v>
      </c>
      <c r="D24" s="107">
        <v>2300</v>
      </c>
      <c r="E24" s="107">
        <v>750</v>
      </c>
      <c r="F24" s="105" t="s">
        <v>144</v>
      </c>
      <c r="G24" s="106">
        <v>87668</v>
      </c>
      <c r="H24" s="106">
        <f t="shared" si="1"/>
        <v>175336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6"/>
      <c r="C25" s="96"/>
      <c r="D25" s="96"/>
      <c r="E25" s="96"/>
      <c r="F25" s="97"/>
      <c r="G25" s="98"/>
      <c r="H25" s="98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386330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73402.7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459732.7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9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2"/>
  <sheetViews>
    <sheetView topLeftCell="A3" zoomScaleNormal="100" workbookViewId="0">
      <selection activeCell="E18" sqref="E18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7363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46038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1</v>
      </c>
      <c r="C14" s="25"/>
      <c r="D14" s="25">
        <f>J14+80</f>
        <v>2930</v>
      </c>
      <c r="E14" s="35">
        <f>K14+E$13</f>
        <v>570</v>
      </c>
      <c r="F14" s="102" t="str">
        <f>C32</f>
        <v>CUB C/R 90°</v>
      </c>
      <c r="G14" s="1"/>
      <c r="I14" s="89">
        <f>I24</f>
        <v>1</v>
      </c>
      <c r="J14" s="4">
        <f>J24</f>
        <v>2850</v>
      </c>
      <c r="K14" s="4">
        <f>K24</f>
        <v>600</v>
      </c>
    </row>
    <row r="15" spans="1:14" ht="15.6" x14ac:dyDescent="0.3">
      <c r="A15" s="95"/>
      <c r="B15" s="25">
        <f t="shared" ref="B15:B17" si="1">I15</f>
        <v>1</v>
      </c>
      <c r="C15" s="25"/>
      <c r="D15" s="25">
        <f t="shared" ref="D15:D17" si="2">J15+80</f>
        <v>3080</v>
      </c>
      <c r="E15" s="35">
        <f t="shared" ref="E15:E16" si="3">K15+E$13</f>
        <v>570</v>
      </c>
      <c r="F15" s="102" t="str">
        <f t="shared" ref="F15:F17" si="4">C33</f>
        <v>CUB C/R 90°</v>
      </c>
      <c r="G15" s="1"/>
      <c r="I15" s="89">
        <f t="shared" ref="I15:K15" si="5">I25</f>
        <v>1</v>
      </c>
      <c r="J15" s="4">
        <f t="shared" si="5"/>
        <v>3000</v>
      </c>
      <c r="K15" s="4">
        <f t="shared" si="5"/>
        <v>600</v>
      </c>
    </row>
    <row r="16" spans="1:14" ht="15.6" x14ac:dyDescent="0.3">
      <c r="A16" s="95"/>
      <c r="B16" s="25">
        <f t="shared" si="1"/>
        <v>1</v>
      </c>
      <c r="C16" s="25"/>
      <c r="D16" s="25">
        <f t="shared" si="2"/>
        <v>1150</v>
      </c>
      <c r="E16" s="35">
        <f t="shared" si="3"/>
        <v>570</v>
      </c>
      <c r="F16" s="102" t="str">
        <f t="shared" si="4"/>
        <v>CUB C/R 90°</v>
      </c>
      <c r="G16" s="1"/>
      <c r="I16" s="89">
        <f t="shared" ref="I16:K16" si="6">I26</f>
        <v>1</v>
      </c>
      <c r="J16" s="4">
        <f t="shared" si="6"/>
        <v>1070</v>
      </c>
      <c r="K16" s="4">
        <f t="shared" si="6"/>
        <v>600</v>
      </c>
    </row>
    <row r="17" spans="1:11" ht="15.6" x14ac:dyDescent="0.3">
      <c r="A17" s="95"/>
      <c r="B17" s="25">
        <f t="shared" si="1"/>
        <v>2</v>
      </c>
      <c r="C17" s="25"/>
      <c r="D17" s="25">
        <f t="shared" si="2"/>
        <v>2380</v>
      </c>
      <c r="E17" s="35">
        <f>K17</f>
        <v>750</v>
      </c>
      <c r="F17" s="102" t="str">
        <f t="shared" si="4"/>
        <v>CUB S/R 90°</v>
      </c>
      <c r="G17" s="1"/>
      <c r="I17" s="89">
        <f t="shared" ref="I17:K17" si="7">I27</f>
        <v>2</v>
      </c>
      <c r="J17" s="4">
        <f t="shared" si="7"/>
        <v>2300</v>
      </c>
      <c r="K17" s="4">
        <f t="shared" si="7"/>
        <v>750</v>
      </c>
    </row>
    <row r="18" spans="1:11" ht="15.6" x14ac:dyDescent="0.3">
      <c r="A18" s="52"/>
      <c r="B18" s="6"/>
      <c r="C18" s="6"/>
      <c r="D18" s="6"/>
      <c r="E18" s="108"/>
      <c r="F18" s="6"/>
      <c r="G18" s="1"/>
      <c r="I18" s="89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9" t="s">
        <v>14</v>
      </c>
      <c r="B20" s="119"/>
      <c r="C20" s="119"/>
      <c r="D20" s="119"/>
      <c r="E20" s="119"/>
      <c r="F20" s="11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5"/>
      <c r="B24" s="16">
        <f t="shared" ref="B24" si="8">I24</f>
        <v>1</v>
      </c>
      <c r="C24" s="16"/>
      <c r="D24" s="16">
        <f>J24+D$23</f>
        <v>2890</v>
      </c>
      <c r="E24" s="16">
        <f>K24+E$23</f>
        <v>730</v>
      </c>
      <c r="F24" s="103" t="str">
        <f>C32</f>
        <v>CUB C/R 90°</v>
      </c>
      <c r="G24" s="1"/>
      <c r="I24" s="3">
        <f>B32</f>
        <v>1</v>
      </c>
      <c r="J24" s="4">
        <f>D32</f>
        <v>2850</v>
      </c>
      <c r="K24" s="4">
        <f t="shared" ref="K24" si="9">E32</f>
        <v>600</v>
      </c>
    </row>
    <row r="25" spans="1:11" ht="15.6" x14ac:dyDescent="0.3">
      <c r="A25" s="95"/>
      <c r="B25" s="16">
        <f t="shared" ref="B25:B27" si="10">I25</f>
        <v>1</v>
      </c>
      <c r="C25" s="16"/>
      <c r="D25" s="16">
        <f t="shared" ref="D25:D27" si="11">J25+D$23</f>
        <v>3040</v>
      </c>
      <c r="E25" s="16">
        <f>K25+E$23</f>
        <v>730</v>
      </c>
      <c r="F25" s="103" t="str">
        <f t="shared" ref="F25:F27" si="12">C33</f>
        <v>CUB C/R 90°</v>
      </c>
      <c r="G25" s="1"/>
      <c r="I25" s="3">
        <f t="shared" ref="I25:I27" si="13">B33</f>
        <v>1</v>
      </c>
      <c r="J25" s="4">
        <f t="shared" ref="J25:J27" si="14">D33</f>
        <v>3000</v>
      </c>
      <c r="K25" s="4">
        <f t="shared" ref="K25:K27" si="15">E33</f>
        <v>600</v>
      </c>
    </row>
    <row r="26" spans="1:11" ht="15.6" x14ac:dyDescent="0.3">
      <c r="A26" s="95"/>
      <c r="B26" s="16">
        <f t="shared" si="10"/>
        <v>1</v>
      </c>
      <c r="C26" s="16"/>
      <c r="D26" s="16">
        <f t="shared" si="11"/>
        <v>1110</v>
      </c>
      <c r="E26" s="16">
        <f>K26+E$23</f>
        <v>730</v>
      </c>
      <c r="F26" s="103" t="str">
        <f t="shared" si="12"/>
        <v>CUB C/R 90°</v>
      </c>
      <c r="G26" s="1"/>
      <c r="I26" s="3">
        <f t="shared" si="13"/>
        <v>1</v>
      </c>
      <c r="J26" s="4">
        <f t="shared" si="14"/>
        <v>1070</v>
      </c>
      <c r="K26" s="4">
        <f t="shared" si="15"/>
        <v>600</v>
      </c>
    </row>
    <row r="27" spans="1:11" ht="15.6" x14ac:dyDescent="0.3">
      <c r="A27" s="95"/>
      <c r="B27" s="16">
        <f t="shared" si="10"/>
        <v>2</v>
      </c>
      <c r="C27" s="16"/>
      <c r="D27" s="16">
        <f t="shared" si="11"/>
        <v>2340</v>
      </c>
      <c r="E27" s="16">
        <f>K27+60</f>
        <v>810</v>
      </c>
      <c r="F27" s="103" t="str">
        <f t="shared" si="12"/>
        <v>CUB S/R 90°</v>
      </c>
      <c r="G27" s="1"/>
      <c r="I27" s="3">
        <f t="shared" si="13"/>
        <v>2</v>
      </c>
      <c r="J27" s="4">
        <f t="shared" si="14"/>
        <v>2300</v>
      </c>
      <c r="K27" s="4">
        <f t="shared" si="15"/>
        <v>750</v>
      </c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5" t="s">
        <v>140</v>
      </c>
      <c r="B32" s="25">
        <f>'4637'!B21</f>
        <v>1</v>
      </c>
      <c r="C32" s="102" t="str">
        <f>'4637'!C21</f>
        <v>CUB C/R 90°</v>
      </c>
      <c r="D32" s="25">
        <f>'4637'!D21</f>
        <v>2850</v>
      </c>
      <c r="E32" s="25">
        <f>'4637'!E21</f>
        <v>600</v>
      </c>
      <c r="F32" s="25" t="str">
        <f>'4637'!F21</f>
        <v>BLANCO 2114 PF6 MT</v>
      </c>
      <c r="G32" s="1"/>
    </row>
    <row r="33" spans="1:7" ht="15.6" x14ac:dyDescent="0.3">
      <c r="A33" s="95"/>
      <c r="B33" s="25">
        <f>'4637'!B22</f>
        <v>1</v>
      </c>
      <c r="C33" s="102" t="str">
        <f>'4637'!C22</f>
        <v>CUB C/R 90°</v>
      </c>
      <c r="D33" s="25">
        <f>'4637'!D22</f>
        <v>3000</v>
      </c>
      <c r="E33" s="25">
        <f>'4637'!E22</f>
        <v>600</v>
      </c>
      <c r="F33" s="25" t="str">
        <f>'4637'!F22</f>
        <v>BLANCO 2114 PF6 MT</v>
      </c>
      <c r="G33" s="1"/>
    </row>
    <row r="34" spans="1:7" ht="15.6" x14ac:dyDescent="0.3">
      <c r="A34" s="95"/>
      <c r="B34" s="25">
        <f>'4637'!B23</f>
        <v>1</v>
      </c>
      <c r="C34" s="102" t="str">
        <f>'4637'!C23</f>
        <v>CUB C/R 90°</v>
      </c>
      <c r="D34" s="25">
        <f>'4637'!D23</f>
        <v>1070</v>
      </c>
      <c r="E34" s="25">
        <f>'4637'!E23</f>
        <v>600</v>
      </c>
      <c r="F34" s="25" t="str">
        <f>'4637'!F23</f>
        <v>BLANCO 2114 PF6 MT</v>
      </c>
      <c r="G34" s="1"/>
    </row>
    <row r="35" spans="1:7" ht="15.6" x14ac:dyDescent="0.3">
      <c r="A35" s="95"/>
      <c r="B35" s="25">
        <f>'4637'!B24</f>
        <v>2</v>
      </c>
      <c r="C35" s="102" t="str">
        <f>'4637'!C24</f>
        <v>CUB S/R 90°</v>
      </c>
      <c r="D35" s="25">
        <f>'4637'!D24</f>
        <v>2300</v>
      </c>
      <c r="E35" s="25">
        <f>'4637'!E24</f>
        <v>750</v>
      </c>
      <c r="F35" s="25" t="str">
        <f>'4637'!F24</f>
        <v>BLANCO 2114 PF6 MT</v>
      </c>
      <c r="G35" s="1"/>
    </row>
    <row r="36" spans="1:7" ht="15.6" x14ac:dyDescent="0.3">
      <c r="A36" s="95"/>
      <c r="B36" s="6"/>
      <c r="C36" s="110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7363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MUEBLES ASENJO LTDA.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46038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19" t="s">
        <v>68</v>
      </c>
      <c r="B52" s="119"/>
      <c r="C52" s="119"/>
      <c r="D52" s="119"/>
      <c r="E52" s="119"/>
      <c r="F52" s="119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0" t="s">
        <v>69</v>
      </c>
      <c r="C54" s="121"/>
      <c r="D54" s="122"/>
      <c r="E54" s="122"/>
      <c r="F54" s="123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5" t="s">
        <v>140</v>
      </c>
      <c r="B56" s="38">
        <f>'4637'!B21</f>
        <v>1</v>
      </c>
      <c r="C56" s="101" t="str">
        <f>'4637'!C21</f>
        <v>CUB C/R 90°</v>
      </c>
      <c r="D56" s="39">
        <f>'4637'!D21</f>
        <v>2850</v>
      </c>
      <c r="E56" s="39">
        <f>'4637'!E21</f>
        <v>600</v>
      </c>
      <c r="F56" s="38" t="str">
        <f>'4637'!F21</f>
        <v>BLANCO 2114 PF6 MT</v>
      </c>
      <c r="G56" s="1"/>
    </row>
    <row r="57" spans="1:7" s="15" customFormat="1" ht="15" customHeight="1" x14ac:dyDescent="0.3">
      <c r="A57" s="95"/>
      <c r="B57" s="38">
        <f>'4637'!B22</f>
        <v>1</v>
      </c>
      <c r="C57" s="101" t="str">
        <f>'4637'!C22</f>
        <v>CUB C/R 90°</v>
      </c>
      <c r="D57" s="39">
        <f>'4637'!D22</f>
        <v>3000</v>
      </c>
      <c r="E57" s="39">
        <f>'4637'!E22</f>
        <v>600</v>
      </c>
      <c r="F57" s="38" t="str">
        <f>'4637'!F22</f>
        <v>BLANCO 2114 PF6 MT</v>
      </c>
      <c r="G57" s="1"/>
    </row>
    <row r="58" spans="1:7" s="15" customFormat="1" ht="15" customHeight="1" x14ac:dyDescent="0.3">
      <c r="A58" s="95"/>
      <c r="B58" s="38">
        <f>'4637'!B23</f>
        <v>1</v>
      </c>
      <c r="C58" s="101" t="str">
        <f>'4637'!C23</f>
        <v>CUB C/R 90°</v>
      </c>
      <c r="D58" s="39">
        <f>'4637'!D23</f>
        <v>1070</v>
      </c>
      <c r="E58" s="39">
        <f>'4637'!E23</f>
        <v>600</v>
      </c>
      <c r="F58" s="38" t="str">
        <f>'4637'!F23</f>
        <v>BLANCO 2114 PF6 MT</v>
      </c>
      <c r="G58" s="1"/>
    </row>
    <row r="59" spans="1:7" s="15" customFormat="1" ht="15" customHeight="1" x14ac:dyDescent="0.3">
      <c r="A59" s="95"/>
      <c r="B59" s="38">
        <f>'4637'!B24</f>
        <v>2</v>
      </c>
      <c r="C59" s="101" t="str">
        <f>'4637'!C24</f>
        <v>CUB S/R 90°</v>
      </c>
      <c r="D59" s="39">
        <f>'4637'!D24</f>
        <v>2300</v>
      </c>
      <c r="E59" s="39">
        <f>'4637'!E24</f>
        <v>750</v>
      </c>
      <c r="F59" s="38" t="str">
        <f>'4637'!F24</f>
        <v>BLANCO 2114 PF6 MT</v>
      </c>
      <c r="G59" s="1"/>
    </row>
    <row r="60" spans="1:7" s="15" customFormat="1" ht="15" customHeight="1" x14ac:dyDescent="0.3">
      <c r="A60" s="95"/>
      <c r="B60" s="52"/>
      <c r="C60" s="109"/>
      <c r="D60" s="52"/>
      <c r="E60" s="52"/>
      <c r="F60" s="52"/>
      <c r="G60" s="1"/>
    </row>
    <row r="61" spans="1:7" s="15" customFormat="1" ht="15" customHeight="1" x14ac:dyDescent="0.3">
      <c r="A61" s="50"/>
      <c r="B61" s="52"/>
      <c r="C61" s="52"/>
      <c r="D61" s="52"/>
      <c r="E61" s="52"/>
      <c r="F61" s="52"/>
      <c r="G61" s="1"/>
    </row>
    <row r="62" spans="1:7" ht="15.6" x14ac:dyDescent="0.3">
      <c r="A62" s="6"/>
      <c r="B62" s="6"/>
      <c r="C62" s="1"/>
      <c r="D62" s="6"/>
      <c r="E62" s="6"/>
      <c r="F62" s="44"/>
      <c r="G62" s="1"/>
    </row>
    <row r="63" spans="1:7" ht="15.6" x14ac:dyDescent="0.3">
      <c r="A63" s="6"/>
      <c r="B63" s="6"/>
      <c r="C63" s="1"/>
      <c r="D63" s="6"/>
      <c r="E63" s="6"/>
      <c r="F63" s="6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" customHeight="1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6"/>
      <c r="B69" s="5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x14ac:dyDescent="0.3">
      <c r="B71" s="20"/>
      <c r="C71" s="20"/>
      <c r="D71" s="20"/>
      <c r="E71" s="20"/>
      <c r="F71" s="20"/>
    </row>
    <row r="72" spans="1:7" x14ac:dyDescent="0.3">
      <c r="B72" s="20"/>
      <c r="C72" s="20"/>
      <c r="E72" s="20"/>
      <c r="F72" s="20"/>
    </row>
  </sheetData>
  <mergeCells count="6">
    <mergeCell ref="M3:N3"/>
    <mergeCell ref="A20:F20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2026-01-13T22:03:07Z</cp:lastPrinted>
  <dcterms:created xsi:type="dcterms:W3CDTF">2013-03-19T12:54:14Z</dcterms:created>
  <dcterms:modified xsi:type="dcterms:W3CDTF">2026-01-15T13:07:40Z</dcterms:modified>
</cp:coreProperties>
</file>