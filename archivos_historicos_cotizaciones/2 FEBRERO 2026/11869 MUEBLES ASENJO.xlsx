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AB9F11EF-7FFA-4EBA-A1EE-E07A656514FB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E19" i="3"/>
  <c r="F19" i="3"/>
  <c r="S22" i="1"/>
  <c r="S23" i="1"/>
  <c r="S24" i="1"/>
  <c r="S25" i="1"/>
  <c r="S26" i="1"/>
  <c r="P30" i="1"/>
  <c r="L23" i="1"/>
  <c r="M23" i="1"/>
  <c r="N23" i="1"/>
  <c r="O23" i="1"/>
  <c r="P23" i="1" s="1"/>
  <c r="L24" i="1"/>
  <c r="M24" i="1"/>
  <c r="N24" i="1"/>
  <c r="O24" i="1" s="1"/>
  <c r="P24" i="1" s="1"/>
  <c r="L25" i="1"/>
  <c r="M25" i="1"/>
  <c r="O25" i="1" s="1"/>
  <c r="P25" i="1" s="1"/>
  <c r="N25" i="1"/>
  <c r="L26" i="1"/>
  <c r="M26" i="1"/>
  <c r="O26" i="1" s="1"/>
  <c r="P26" i="1" s="1"/>
  <c r="N26" i="1"/>
  <c r="L27" i="1"/>
  <c r="M27" i="1"/>
  <c r="N27" i="1"/>
  <c r="O27" i="1"/>
  <c r="P27" i="1" s="1"/>
  <c r="L22" i="1"/>
  <c r="M22" i="1"/>
  <c r="O22" i="1" s="1"/>
  <c r="N22" i="1"/>
  <c r="L21" i="1"/>
  <c r="J45" i="1"/>
  <c r="K39" i="1"/>
  <c r="K40" i="1" s="1"/>
  <c r="P22" i="1" l="1"/>
  <c r="M21" i="1"/>
  <c r="N21" i="1"/>
  <c r="O21" i="1" l="1"/>
  <c r="P21" i="1" s="1"/>
  <c r="S31" i="1"/>
  <c r="M30" i="1"/>
  <c r="T29" i="1"/>
  <c r="K44" i="1"/>
  <c r="S32" i="1" l="1"/>
  <c r="S33" i="1" s="1"/>
  <c r="S34" i="1" s="1"/>
  <c r="V37" i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40" i="1"/>
  <c r="O39" i="1"/>
  <c r="F18" i="3" l="1"/>
  <c r="O35" i="1" l="1"/>
  <c r="O41" i="1" s="1"/>
  <c r="O42" i="1" s="1"/>
  <c r="D21" i="3" l="1"/>
  <c r="E21" i="3" s="1"/>
  <c r="E22" i="3" s="1"/>
  <c r="O43" i="1" l="1"/>
  <c r="Q20" i="1" s="1"/>
  <c r="D22" i="3"/>
  <c r="M44" i="3" s="1"/>
  <c r="D12" i="3" s="1"/>
  <c r="F21" i="3"/>
  <c r="F22" i="3" s="1"/>
  <c r="Q22" i="1" l="1"/>
  <c r="R22" i="1" s="1"/>
  <c r="Q24" i="1"/>
  <c r="Q23" i="1"/>
  <c r="Q27" i="1"/>
  <c r="Q25" i="1"/>
  <c r="Q26" i="1"/>
  <c r="Q21" i="1"/>
  <c r="G21" i="1" s="1"/>
  <c r="O44" i="1"/>
  <c r="E15" i="3"/>
  <c r="G22" i="1" l="1"/>
  <c r="H22" i="1" s="1"/>
  <c r="G23" i="1"/>
  <c r="H23" i="1" s="1"/>
  <c r="R23" i="1"/>
  <c r="R24" i="1"/>
  <c r="G24" i="1"/>
  <c r="H24" i="1" s="1"/>
  <c r="G27" i="1"/>
  <c r="H27" i="1" s="1"/>
  <c r="R27" i="1"/>
  <c r="G26" i="1"/>
  <c r="H26" i="1" s="1"/>
  <c r="R26" i="1"/>
  <c r="R25" i="1"/>
  <c r="G25" i="1"/>
  <c r="H25" i="1" s="1"/>
  <c r="R21" i="1"/>
  <c r="H21" i="1"/>
  <c r="F15" i="3"/>
  <c r="H29" i="1" l="1"/>
  <c r="H30" i="1" s="1"/>
  <c r="H31" i="1" l="1"/>
  <c r="D11" i="3"/>
  <c r="X9" i="3" s="1"/>
  <c r="X15" i="3" s="1"/>
  <c r="D13" i="3" l="1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<sst xmlns="http://schemas.openxmlformats.org/spreadsheetml/2006/main" count="243" uniqueCount="181">
  <si>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</si>
  <si>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</si>
  <si>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</si>
  <si>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</si>
  <si>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</si>
  <si>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</si>
  <si>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</si>
  <si>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</si>
  <si>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</si>
  <si>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</si>
  <si>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</si>
  <si>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</si>
  <si>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</si>
  <si>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</si>
  <si>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</si>
  <si>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</si>
  <si>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</si>
  <si>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</si>
  <si>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</si>
  <si>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</si>
  <si>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</si>
  <si>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</si>
  <si>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</si>
  <si>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</si>
  <si>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</si>
  <si>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</si>
  <si>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</si>
  <si>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</si>
  <si>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</si>
  <si>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</si>
  <si>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</si>
  <si>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</si>
  <si>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</si>
  <si>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</si>
  <si>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</si>
  <si>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</si>
  <si>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</si>
  <si>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</si>
  <si>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</si>
  <si>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</si>
  <si>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</si>
  <si>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</si>
  <si>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</si>
  <si>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</si>
  <si>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</si>
  <si>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</si>
  <si>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</si>
  <si>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</si>
  <si>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</si>
  <si>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</si>
  <si>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</si>
  <si>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</si>
  <si>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</si>
  <si>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</si>
  <si>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</si>
  <si>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</si>
  <si>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</si>
  <si>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</si>
  <si>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</si>
  <si>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</si>
  <si>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</si>
  <si>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</si>
  <si>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</si>
  <si>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</si>
  <si>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</si>
  <si>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</si>
  <si>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</si>
  <si>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</si>
  <si>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</si>
  <si>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</si>
  <si>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</si>
  <si>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</si>
  <si>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</si>
  <si>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</si>
  <si>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</si>
  <si>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</si>
  <si>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</si>
  <si>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</si>
  <si>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</si>
  <si>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</si>
  <si>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</si>
  <si>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</si>
  <si>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</si>
  <si>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</si>
  <si>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</si>
  <si>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</si>
  <si>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</si>
  <si>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</si>
  <si>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</si>
  <si>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</si>
  <si>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</si>
  <si>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</si>
  <si>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</si>
  <si>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</si>
  <si>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</si>
  <si>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</si>
  <si>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</si>
  <si>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</si>
  <si>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</si>
  <si>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</si>
  <si>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</si>
  <si>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</si>
  <si>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</si>
  <si>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</si>
  <si>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</si>
  <si>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</si>
  <si>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</si>
  <si>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</si>
  <si>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</si>
  <si>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</si>
  <si>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</si>
  <si>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</si>
  <si>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</si>
  <si>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</si>
  <si>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</si>
  <si>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</si>
  <si>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</si>
  <si>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</si>
  <si>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</si>
  <si>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</si>
  <si>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</si>
  <si>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</si>
  <si>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</si>
  <si>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</si>
  <si>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</si>
  <si>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</si>
  <si>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</si>
  <si>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</si>
  <si>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</si>
  <si>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</si>
  <si>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</si>
  <si>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</si>
  <si>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</si>
  <si>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</si>
  <si>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</si>
  <si>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</si>
  <si>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</si>
  <si>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</si>
  <si>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</si>
  <si>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</si>
  <si>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</si>
  <si>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</si>
  <si>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</si>
  <si>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</si>
  <si>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</si>
  <si>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</si>
  <si>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</si>
  <si>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</si>
  <si>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</si>
  <si>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</si>
  <si>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</si>
  <si>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</si>
  <si>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</si>
  <si>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</si>
  <si>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</si>
  <si>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</si>
  <si>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</si>
  <si>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</si>
  <si>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</si>
  <si>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</si>
  <si>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</si>
  <si>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</si>
  <si>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</si>
  <si>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</si>
  <si>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</si>
  <si>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</si>
  <si>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</si>
  <si>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</si>
  <si>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</si>
  <si>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</si>
  <si>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</si>
  <si>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</si>
  <si>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CUB C/R 90° R8</t>
  </si>
  <si>
    <t>GLACIAL WHITE 22191 SF</t>
  </si>
  <si>
    <t>N° 11869</t>
  </si>
  <si>
    <t>CUB MESA 90° R8 2 LADOS</t>
  </si>
  <si>
    <t>CUB C/R 90° R9</t>
  </si>
  <si>
    <t>CUB C/R 90° R10</t>
  </si>
  <si>
    <t>CUB C/R 90° R11</t>
  </si>
  <si>
    <t>CUB C/R 90° R12</t>
  </si>
  <si>
    <t>LAMINA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</si>
</sst>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167" fontId="0" fillId="22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opLeftCell="A5" zoomScale="93" zoomScaleNormal="93" workbookViewId="0">
      <selection activeCell="I21" sqref="I21:I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46057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5" t="s">
        <v>164</v>
      </c>
      <c r="G17" s="335"/>
      <c r="H17" s="33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O43</f>
        <v>39107.434052757795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2</v>
      </c>
      <c r="C21" s="330" t="s">
        <v>175</v>
      </c>
      <c r="D21" s="333">
        <v>2.2999999999999998</v>
      </c>
      <c r="E21" s="333">
        <v>1.2</v>
      </c>
      <c r="F21" s="330" t="s">
        <v>173</v>
      </c>
      <c r="G21" s="331">
        <f>Q21</f>
        <v>111690.83165467625</v>
      </c>
      <c r="H21" s="331">
        <f t="shared" ref="H21" si="1">G21*B21</f>
        <v>223381.6633093525</v>
      </c>
      <c r="I21" s="320">
        <v>111691</v>
      </c>
      <c r="J21" s="265"/>
      <c r="K21" s="47"/>
      <c r="L21" s="334">
        <f>B21</f>
        <v>2</v>
      </c>
      <c r="M21" s="39">
        <f t="shared" ref="M21" si="2">D21+M$19</f>
        <v>2.38</v>
      </c>
      <c r="N21" s="39">
        <f t="shared" ref="N21" si="3">E21+$N$19</f>
        <v>1.2</v>
      </c>
      <c r="O21" s="261">
        <f t="shared" ref="O21" si="4">M21*N21</f>
        <v>2.8559999999999999</v>
      </c>
      <c r="P21" s="259">
        <f t="shared" ref="P21" si="5">O21*L21</f>
        <v>5.7119999999999997</v>
      </c>
      <c r="Q21" s="252">
        <f t="shared" ref="Q21" si="6">Q$20*O21</f>
        <v>111690.83165467625</v>
      </c>
      <c r="R21" s="319">
        <f t="shared" ref="R21" si="7">Q21+R$20</f>
        <v>114690.83165467625</v>
      </c>
      <c r="S21" s="297"/>
      <c r="T21" s="46"/>
      <c r="U21" s="9"/>
      <c r="X21" s="4"/>
    </row>
    <row r="22" spans="2:25" ht="17.399999999999999" x14ac:dyDescent="0.3">
      <c r="B22" s="330">
        <v>2</v>
      </c>
      <c r="C22" s="330" t="s">
        <v>172</v>
      </c>
      <c r="D22" s="333">
        <v>3.5</v>
      </c>
      <c r="E22" s="333">
        <v>0.6</v>
      </c>
      <c r="F22" s="330" t="s">
        <v>173</v>
      </c>
      <c r="G22" s="331">
        <f>Q22</f>
        <v>84002.768345323755</v>
      </c>
      <c r="H22" s="331">
        <f t="shared" ref="H22" si="8">G22*B22</f>
        <v>168005.53669064751</v>
      </c>
      <c r="I22" s="320">
        <v>84003</v>
      </c>
      <c r="J22" s="265"/>
      <c r="K22" s="47"/>
      <c r="L22" s="332">
        <f>B22</f>
        <v>2</v>
      </c>
      <c r="M22" s="39">
        <f t="shared" ref="M22" si="9">D22+M$19</f>
        <v>3.58</v>
      </c>
      <c r="N22" s="39">
        <f t="shared" ref="N22" si="10">E22+$N$19</f>
        <v>0.6</v>
      </c>
      <c r="O22" s="261">
        <f t="shared" ref="O22" si="11">M22*N22</f>
        <v>2.1480000000000001</v>
      </c>
      <c r="P22" s="259">
        <f t="shared" ref="P22" si="12">O22*L22</f>
        <v>4.2960000000000003</v>
      </c>
      <c r="Q22" s="252">
        <f t="shared" ref="Q22" si="13">Q$20*O22</f>
        <v>84002.768345323755</v>
      </c>
      <c r="R22" s="319">
        <f t="shared" ref="R22" si="14">Q22+R$20</f>
        <v>87002.768345323755</v>
      </c>
      <c r="S22" s="297">
        <f t="shared" ref="S22:S26" si="15">L22*M22</f>
        <v>7.16</v>
      </c>
      <c r="T22" s="46"/>
      <c r="U22" s="9"/>
      <c r="X22" s="4"/>
    </row>
    <row r="23" spans="2:25" ht="17.399999999999999" x14ac:dyDescent="0.3">
      <c r="B23" s="330">
        <v>1</v>
      </c>
      <c r="C23" s="330" t="s">
        <v>176</v>
      </c>
      <c r="D23" s="333">
        <v>3</v>
      </c>
      <c r="E23" s="333">
        <v>0.6</v>
      </c>
      <c r="F23" s="330" t="s">
        <v>173</v>
      </c>
      <c r="G23" s="331">
        <f t="shared" ref="G23:G26" si="16">Q23</f>
        <v>72270.538129496403</v>
      </c>
      <c r="H23" s="331">
        <f t="shared" ref="H23:H27" si="17">G23*B23</f>
        <v>72270.538129496403</v>
      </c>
      <c r="I23" s="320">
        <v>72271</v>
      </c>
      <c r="J23" s="265"/>
      <c r="K23" s="47"/>
      <c r="L23" s="332">
        <f t="shared" ref="L23:L27" si="18">B23</f>
        <v>1</v>
      </c>
      <c r="M23" s="39">
        <f t="shared" ref="M23:M27" si="19">D23+M$19</f>
        <v>3.08</v>
      </c>
      <c r="N23" s="39">
        <f t="shared" ref="N23:N27" si="20">E23+$N$19</f>
        <v>0.6</v>
      </c>
      <c r="O23" s="261">
        <f t="shared" ref="O23:O27" si="21">M23*N23</f>
        <v>1.8479999999999999</v>
      </c>
      <c r="P23" s="259">
        <f t="shared" ref="P23:P27" si="22">O23*L23</f>
        <v>1.8479999999999999</v>
      </c>
      <c r="Q23" s="252">
        <f t="shared" ref="Q23:Q27" si="23">Q$20*O23</f>
        <v>72270.538129496403</v>
      </c>
      <c r="R23" s="319">
        <f t="shared" ref="R23:R27" si="24">Q23+R$20</f>
        <v>75270.538129496403</v>
      </c>
      <c r="S23" s="297">
        <f t="shared" si="15"/>
        <v>3.08</v>
      </c>
      <c r="T23" s="46"/>
      <c r="U23" s="9"/>
      <c r="X23" s="4"/>
    </row>
    <row r="24" spans="2:25" ht="17.399999999999999" x14ac:dyDescent="0.3">
      <c r="B24" s="330">
        <v>1</v>
      </c>
      <c r="C24" s="330" t="s">
        <v>177</v>
      </c>
      <c r="D24" s="333">
        <v>0.95</v>
      </c>
      <c r="E24" s="333">
        <v>0.6</v>
      </c>
      <c r="F24" s="330" t="s">
        <v>173</v>
      </c>
      <c r="G24" s="331">
        <f t="shared" si="16"/>
        <v>24168.394244604318</v>
      </c>
      <c r="H24" s="331">
        <f t="shared" si="17"/>
        <v>24168.394244604318</v>
      </c>
      <c r="I24" s="320">
        <v>24168</v>
      </c>
      <c r="J24" s="265"/>
      <c r="K24" s="47"/>
      <c r="L24" s="332">
        <f t="shared" si="18"/>
        <v>1</v>
      </c>
      <c r="M24" s="39">
        <f t="shared" si="19"/>
        <v>1.03</v>
      </c>
      <c r="N24" s="39">
        <f t="shared" si="20"/>
        <v>0.6</v>
      </c>
      <c r="O24" s="261">
        <f t="shared" si="21"/>
        <v>0.61799999999999999</v>
      </c>
      <c r="P24" s="259">
        <f t="shared" si="22"/>
        <v>0.61799999999999999</v>
      </c>
      <c r="Q24" s="252">
        <f t="shared" si="23"/>
        <v>24168.394244604318</v>
      </c>
      <c r="R24" s="319">
        <f t="shared" si="24"/>
        <v>27168.394244604318</v>
      </c>
      <c r="S24" s="297">
        <f t="shared" si="15"/>
        <v>1.03</v>
      </c>
      <c r="T24" s="46"/>
      <c r="U24" s="9"/>
      <c r="X24" s="4"/>
    </row>
    <row r="25" spans="2:25" ht="17.399999999999999" x14ac:dyDescent="0.3">
      <c r="B25" s="330">
        <v>1</v>
      </c>
      <c r="C25" s="330" t="s">
        <v>178</v>
      </c>
      <c r="D25" s="333">
        <v>1.1000000000000001</v>
      </c>
      <c r="E25" s="333">
        <v>0.6</v>
      </c>
      <c r="F25" s="330" t="s">
        <v>173</v>
      </c>
      <c r="G25" s="331">
        <f t="shared" si="16"/>
        <v>27688.063309352521</v>
      </c>
      <c r="H25" s="331">
        <f t="shared" si="17"/>
        <v>27688.063309352521</v>
      </c>
      <c r="I25" s="320">
        <v>27688</v>
      </c>
      <c r="J25" s="265"/>
      <c r="K25" s="47"/>
      <c r="L25" s="332">
        <f t="shared" si="18"/>
        <v>1</v>
      </c>
      <c r="M25" s="39">
        <f t="shared" si="19"/>
        <v>1.1800000000000002</v>
      </c>
      <c r="N25" s="39">
        <f t="shared" si="20"/>
        <v>0.6</v>
      </c>
      <c r="O25" s="261">
        <f t="shared" si="21"/>
        <v>0.70800000000000007</v>
      </c>
      <c r="P25" s="259">
        <f t="shared" si="22"/>
        <v>0.70800000000000007</v>
      </c>
      <c r="Q25" s="252">
        <f t="shared" si="23"/>
        <v>27688.063309352521</v>
      </c>
      <c r="R25" s="319">
        <f t="shared" si="24"/>
        <v>30688.063309352521</v>
      </c>
      <c r="S25" s="297">
        <f t="shared" si="15"/>
        <v>1.1800000000000002</v>
      </c>
      <c r="T25" s="46"/>
      <c r="U25" s="9"/>
      <c r="X25" s="4"/>
    </row>
    <row r="26" spans="2:25" ht="17.399999999999999" x14ac:dyDescent="0.3">
      <c r="B26" s="330">
        <v>1</v>
      </c>
      <c r="C26" s="330" t="s">
        <v>179</v>
      </c>
      <c r="D26" s="333">
        <v>3.6</v>
      </c>
      <c r="E26" s="333">
        <v>0.6</v>
      </c>
      <c r="F26" s="330" t="s">
        <v>173</v>
      </c>
      <c r="G26" s="331">
        <f t="shared" si="16"/>
        <v>86349.214388489214</v>
      </c>
      <c r="H26" s="331">
        <f t="shared" si="17"/>
        <v>86349.214388489214</v>
      </c>
      <c r="I26" s="320">
        <v>86349</v>
      </c>
      <c r="J26" s="265"/>
      <c r="K26" s="47"/>
      <c r="L26" s="332">
        <f t="shared" si="18"/>
        <v>1</v>
      </c>
      <c r="M26" s="39">
        <f t="shared" si="19"/>
        <v>3.68</v>
      </c>
      <c r="N26" s="39">
        <f t="shared" si="20"/>
        <v>0.6</v>
      </c>
      <c r="O26" s="261">
        <f t="shared" si="21"/>
        <v>2.2080000000000002</v>
      </c>
      <c r="P26" s="259">
        <f t="shared" si="22"/>
        <v>2.2080000000000002</v>
      </c>
      <c r="Q26" s="252">
        <f t="shared" si="23"/>
        <v>86349.214388489214</v>
      </c>
      <c r="R26" s="319">
        <f t="shared" si="24"/>
        <v>89349.214388489214</v>
      </c>
      <c r="S26" s="297">
        <f t="shared" si="15"/>
        <v>3.68</v>
      </c>
      <c r="T26" s="46"/>
      <c r="U26" s="9"/>
      <c r="X26" s="4"/>
    </row>
    <row r="27" spans="2:25" ht="17.399999999999999" x14ac:dyDescent="0.3">
      <c r="B27" s="330">
        <v>2</v>
      </c>
      <c r="C27" s="330" t="s">
        <v>175</v>
      </c>
      <c r="D27" s="333">
        <v>2.65</v>
      </c>
      <c r="E27" s="333">
        <v>1</v>
      </c>
      <c r="F27" s="330" t="s">
        <v>173</v>
      </c>
      <c r="G27" s="331">
        <f>Q27</f>
        <v>106763.29496402878</v>
      </c>
      <c r="H27" s="331">
        <f t="shared" si="17"/>
        <v>213526.58992805757</v>
      </c>
      <c r="I27" s="320">
        <v>106763</v>
      </c>
      <c r="J27" s="265"/>
      <c r="K27" s="47"/>
      <c r="L27" s="332">
        <f t="shared" si="18"/>
        <v>2</v>
      </c>
      <c r="M27" s="39">
        <f t="shared" si="19"/>
        <v>2.73</v>
      </c>
      <c r="N27" s="39">
        <f t="shared" si="20"/>
        <v>1</v>
      </c>
      <c r="O27" s="261">
        <f t="shared" si="21"/>
        <v>2.73</v>
      </c>
      <c r="P27" s="259">
        <f t="shared" si="22"/>
        <v>5.46</v>
      </c>
      <c r="Q27" s="252">
        <f t="shared" si="23"/>
        <v>106763.29496402878</v>
      </c>
      <c r="R27" s="319">
        <f t="shared" si="24"/>
        <v>109763.29496402878</v>
      </c>
      <c r="S27" s="297"/>
      <c r="T27" s="46"/>
      <c r="U27" s="9"/>
      <c r="X27" s="4"/>
    </row>
    <row r="28" spans="2:25" ht="18" thickBot="1" x14ac:dyDescent="0.35">
      <c r="B28" s="285"/>
      <c r="C28" s="285"/>
      <c r="D28" s="286"/>
      <c r="E28" s="286"/>
      <c r="F28" s="285"/>
      <c r="G28" s="265"/>
      <c r="H28" s="321"/>
      <c r="I28" s="323"/>
      <c r="J28" s="233"/>
      <c r="K28" s="47"/>
      <c r="L28" s="47"/>
      <c r="M28" s="39"/>
      <c r="N28" s="39"/>
      <c r="O28" s="261"/>
      <c r="P28" s="259"/>
      <c r="Q28" s="252"/>
      <c r="R28" s="258"/>
      <c r="S28" s="297"/>
      <c r="T28" s="14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4" t="s">
        <v>28</v>
      </c>
      <c r="H29" s="325">
        <f>SUM(H21:H28)</f>
        <v>815390</v>
      </c>
      <c r="I29" s="322"/>
      <c r="J29" s="265"/>
      <c r="K29" s="47"/>
      <c r="L29" s="47"/>
      <c r="M29" s="39"/>
      <c r="N29" s="39"/>
      <c r="O29" s="261"/>
      <c r="P29" s="259"/>
      <c r="Q29" s="252"/>
      <c r="R29" s="258"/>
      <c r="S29" s="297"/>
      <c r="T29" s="46">
        <f>SUM(T21:T28)</f>
        <v>0</v>
      </c>
      <c r="U29" s="9"/>
      <c r="X29" s="4"/>
    </row>
    <row r="30" spans="2:25" ht="17.399999999999999" x14ac:dyDescent="0.3">
      <c r="B30" s="279"/>
      <c r="C30" s="282"/>
      <c r="D30" s="283"/>
      <c r="E30" s="283"/>
      <c r="F30" s="284"/>
      <c r="G30" s="296" t="s">
        <v>51</v>
      </c>
      <c r="H30" s="294">
        <f>H29*19%</f>
        <v>154924.1</v>
      </c>
      <c r="I30" s="322"/>
      <c r="J30" s="265"/>
      <c r="K30" s="47"/>
      <c r="L30" s="47"/>
      <c r="M30" s="39">
        <f>SUM(M21:M29)</f>
        <v>17.659999999999997</v>
      </c>
      <c r="N30" s="12"/>
      <c r="O30" s="12"/>
      <c r="P30" s="253">
        <f>SUM(P21:P28)</f>
        <v>20.849999999999998</v>
      </c>
      <c r="Q30" s="14"/>
      <c r="R30" s="12"/>
      <c r="S30" s="239"/>
      <c r="T30" s="46"/>
      <c r="U30" s="9"/>
      <c r="X30" s="4"/>
    </row>
    <row r="31" spans="2:25" ht="18" thickBot="1" x14ac:dyDescent="0.35">
      <c r="B31" s="275"/>
      <c r="C31" s="281"/>
      <c r="D31" s="272"/>
      <c r="E31" s="272"/>
      <c r="F31" s="273"/>
      <c r="G31" s="280" t="s">
        <v>6</v>
      </c>
      <c r="H31" s="295">
        <f>H29+H30</f>
        <v>970314.1</v>
      </c>
      <c r="I31" s="322"/>
      <c r="J31" s="265"/>
      <c r="K31" s="47"/>
      <c r="L31" s="47"/>
      <c r="M31" s="39"/>
      <c r="N31" s="12"/>
      <c r="O31" s="12"/>
      <c r="P31" s="253">
        <f>P30</f>
        <v>20.849999999999998</v>
      </c>
      <c r="Q31" s="14"/>
      <c r="R31" s="12"/>
      <c r="S31" s="239">
        <f>SUM(S21:S30)</f>
        <v>16.13</v>
      </c>
      <c r="T31" s="46"/>
      <c r="U31" s="9"/>
      <c r="X31" s="4"/>
    </row>
    <row r="32" spans="2:25" ht="17.399999999999999" x14ac:dyDescent="0.3">
      <c r="B32" s="275"/>
      <c r="C32" s="271"/>
      <c r="D32" s="272"/>
      <c r="E32" s="272"/>
      <c r="F32" s="273"/>
      <c r="J32" s="265"/>
      <c r="K32" s="47"/>
      <c r="L32" s="47"/>
      <c r="M32" s="14"/>
      <c r="N32" s="12"/>
      <c r="O32" s="12"/>
      <c r="P32" s="39">
        <f>P31*20%</f>
        <v>4.17</v>
      </c>
      <c r="Q32" s="39" t="s">
        <v>130</v>
      </c>
      <c r="R32" s="42"/>
      <c r="S32" s="240">
        <f>S31+T29</f>
        <v>16.13</v>
      </c>
      <c r="T32" s="14"/>
      <c r="U32" s="9"/>
      <c r="X32" s="4"/>
    </row>
    <row r="33" spans="1:24" ht="17.399999999999999" x14ac:dyDescent="0.35">
      <c r="B33" s="269"/>
      <c r="C33" s="230"/>
      <c r="D33" s="230"/>
      <c r="E33" s="233"/>
      <c r="F33" s="234"/>
      <c r="G33" s="230"/>
      <c r="H33" s="274"/>
      <c r="I33" s="274"/>
      <c r="J33" s="265"/>
      <c r="K33" s="47"/>
      <c r="L33" s="47"/>
      <c r="M33" s="14"/>
      <c r="N33" s="12"/>
      <c r="O33" s="12"/>
      <c r="P33" s="46">
        <f>P31+P32</f>
        <v>25.019999999999996</v>
      </c>
      <c r="Q33" s="14"/>
      <c r="R33" s="14"/>
      <c r="S33" s="238">
        <f>S32*20%</f>
        <v>3.226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4"/>
      <c r="J34" s="265"/>
      <c r="K34" s="47"/>
      <c r="L34" s="47"/>
      <c r="M34" s="14"/>
      <c r="N34" s="14"/>
      <c r="O34" s="14"/>
      <c r="P34" s="14"/>
      <c r="Q34" s="14"/>
      <c r="R34" s="14"/>
      <c r="S34" s="240">
        <f>S32+S33</f>
        <v>19.355999999999998</v>
      </c>
      <c r="T34" s="14"/>
      <c r="U34" s="302" t="s">
        <v>21</v>
      </c>
      <c r="V34" s="299" t="s">
        <v>151</v>
      </c>
      <c r="W34" s="303">
        <v>44971</v>
      </c>
      <c r="X34" s="304"/>
    </row>
    <row r="35" spans="1:24" ht="17.399999999999999" x14ac:dyDescent="0.35">
      <c r="B35" s="230"/>
      <c r="C35" s="230"/>
      <c r="D35" s="230"/>
      <c r="E35" s="230"/>
      <c r="F35" s="230"/>
      <c r="G35" s="230"/>
      <c r="J35" s="265"/>
      <c r="K35" s="47"/>
      <c r="L35" s="47"/>
      <c r="M35" s="39">
        <f>P33</f>
        <v>25.019999999999996</v>
      </c>
      <c r="N35" s="12">
        <v>1500</v>
      </c>
      <c r="O35" s="12">
        <f t="shared" ref="O35:O40" si="25">M35*N35</f>
        <v>37529.999999999993</v>
      </c>
      <c r="P35" s="14" t="s">
        <v>21</v>
      </c>
      <c r="Q35" s="14"/>
      <c r="R35" s="14"/>
      <c r="S35" s="241"/>
      <c r="T35" s="14"/>
      <c r="U35" s="302" t="s">
        <v>152</v>
      </c>
      <c r="V35" s="299">
        <v>3625</v>
      </c>
      <c r="W35" s="59" t="s">
        <v>153</v>
      </c>
      <c r="X35" s="304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5"/>
      <c r="K36" s="47"/>
      <c r="L36" s="47"/>
      <c r="M36" s="249">
        <v>6</v>
      </c>
      <c r="N36" s="12">
        <v>23500</v>
      </c>
      <c r="O36" s="12">
        <f t="shared" si="25"/>
        <v>141000</v>
      </c>
      <c r="P36" s="39" t="s">
        <v>31</v>
      </c>
      <c r="Q36" s="42"/>
      <c r="R36" s="14"/>
      <c r="S36" s="240"/>
      <c r="T36" s="14"/>
      <c r="U36" s="302"/>
      <c r="V36" s="59">
        <v>906.25</v>
      </c>
      <c r="W36" s="59" t="s">
        <v>154</v>
      </c>
      <c r="X36" s="304"/>
    </row>
    <row r="37" spans="1:24" s="230" customFormat="1" ht="17.399999999999999" x14ac:dyDescent="0.35">
      <c r="B37" s="24" t="s">
        <v>150</v>
      </c>
      <c r="J37" s="262"/>
      <c r="K37" s="232">
        <v>1220</v>
      </c>
      <c r="L37" s="250"/>
      <c r="M37" s="14"/>
      <c r="N37" s="250">
        <v>23500</v>
      </c>
      <c r="O37" s="12">
        <f t="shared" si="25"/>
        <v>0</v>
      </c>
      <c r="P37" s="39" t="s">
        <v>30</v>
      </c>
      <c r="Q37" s="42"/>
      <c r="S37" s="240"/>
      <c r="T37" s="256"/>
      <c r="U37" s="59"/>
      <c r="V37" s="59">
        <f>V36*20%</f>
        <v>181.25</v>
      </c>
      <c r="W37" s="304" t="s">
        <v>155</v>
      </c>
      <c r="X37" s="59"/>
    </row>
    <row r="38" spans="1:24" s="230" customFormat="1" ht="17.399999999999999" x14ac:dyDescent="0.35">
      <c r="B38" s="24" t="s">
        <v>143</v>
      </c>
      <c r="C38"/>
      <c r="D38"/>
      <c r="E38"/>
      <c r="F38"/>
      <c r="J38" s="262">
        <v>32859</v>
      </c>
      <c r="K38" s="232">
        <v>230</v>
      </c>
      <c r="L38" s="250"/>
      <c r="M38" s="14">
        <v>6</v>
      </c>
      <c r="N38" s="250">
        <v>36850</v>
      </c>
      <c r="O38" s="12">
        <f t="shared" si="25"/>
        <v>221100</v>
      </c>
      <c r="P38" s="14" t="s">
        <v>170</v>
      </c>
      <c r="Q38" s="17"/>
      <c r="S38" s="238"/>
      <c r="T38" s="256"/>
      <c r="U38" s="59"/>
      <c r="V38" s="59">
        <f>V36+V37</f>
        <v>1087.5</v>
      </c>
      <c r="W38" s="304" t="s">
        <v>156</v>
      </c>
      <c r="X38" s="59"/>
    </row>
    <row r="39" spans="1:24" s="230" customFormat="1" ht="17.399999999999999" x14ac:dyDescent="0.35">
      <c r="B39" s="29" t="s">
        <v>125</v>
      </c>
      <c r="C39"/>
      <c r="D39"/>
      <c r="E39"/>
      <c r="F39" s="229" t="s">
        <v>15</v>
      </c>
      <c r="J39" s="262"/>
      <c r="K39" s="260">
        <f>K37/K38</f>
        <v>5.3043478260869561</v>
      </c>
      <c r="L39" s="250"/>
      <c r="M39" s="249"/>
      <c r="N39" s="250">
        <v>15700</v>
      </c>
      <c r="O39" s="12">
        <f t="shared" si="25"/>
        <v>0</v>
      </c>
      <c r="P39" s="14" t="s">
        <v>32</v>
      </c>
      <c r="Q39" s="14"/>
      <c r="R39" s="230">
        <v>1.83</v>
      </c>
      <c r="S39" s="238"/>
      <c r="T39" s="238"/>
    </row>
    <row r="40" spans="1:24" s="230" customFormat="1" ht="17.399999999999999" x14ac:dyDescent="0.35">
      <c r="J40" s="293"/>
      <c r="K40" s="260" t="e">
        <f>#REF!/K39</f>
        <v>#REF!</v>
      </c>
      <c r="L40" s="250"/>
      <c r="M40" s="266">
        <v>16.13</v>
      </c>
      <c r="N40" s="12">
        <v>500</v>
      </c>
      <c r="O40" s="12">
        <f t="shared" si="25"/>
        <v>8064.9999999999991</v>
      </c>
      <c r="P40" s="14" t="s">
        <v>22</v>
      </c>
      <c r="Q40" s="14"/>
      <c r="R40">
        <v>2.5</v>
      </c>
      <c r="S40"/>
      <c r="T40" s="238"/>
      <c r="X40" s="231"/>
    </row>
    <row r="41" spans="1:24" s="230" customFormat="1" ht="17.399999999999999" x14ac:dyDescent="0.35">
      <c r="K41" s="260"/>
      <c r="L41" s="250"/>
      <c r="M41" s="14"/>
      <c r="N41" s="12"/>
      <c r="O41" s="12">
        <f>SUM(O35:O40)</f>
        <v>407695</v>
      </c>
      <c r="P41" s="39" t="s">
        <v>23</v>
      </c>
      <c r="Q41" s="14"/>
      <c r="R41">
        <f>R39*R40</f>
        <v>4.5750000000000002</v>
      </c>
      <c r="S41"/>
      <c r="T41" s="238"/>
      <c r="X41" s="231"/>
    </row>
    <row r="42" spans="1:24" s="230" customFormat="1" ht="17.399999999999999" x14ac:dyDescent="0.35">
      <c r="L42" s="250"/>
      <c r="M42" s="254" t="s">
        <v>33</v>
      </c>
      <c r="N42" s="12"/>
      <c r="O42" s="255">
        <f>O41*2</f>
        <v>815390</v>
      </c>
      <c r="P42" s="14" t="s">
        <v>140</v>
      </c>
      <c r="Q42" s="14"/>
      <c r="R42" s="40">
        <f>P33/R41</f>
        <v>5.4688524590163921</v>
      </c>
      <c r="S42"/>
      <c r="T42" s="257"/>
    </row>
    <row r="43" spans="1:24" s="230" customFormat="1" ht="17.399999999999999" x14ac:dyDescent="0.35">
      <c r="G43"/>
      <c r="H43" s="260"/>
      <c r="I43" s="260"/>
      <c r="J43" s="260">
        <v>22475</v>
      </c>
      <c r="K43" s="230">
        <v>40000</v>
      </c>
      <c r="L43" s="250"/>
      <c r="M43" s="14"/>
      <c r="N43" s="12"/>
      <c r="O43" s="12">
        <f>O42/P31</f>
        <v>39107.434052757795</v>
      </c>
      <c r="P43" s="45" t="s">
        <v>24</v>
      </c>
      <c r="Q43" s="14"/>
      <c r="R43" s="14"/>
      <c r="S43"/>
      <c r="T43" s="238"/>
      <c r="U43" s="59" t="s">
        <v>157</v>
      </c>
      <c r="V43" s="299">
        <v>43650</v>
      </c>
    </row>
    <row r="44" spans="1:24" s="230" customFormat="1" ht="17.399999999999999" x14ac:dyDescent="0.35">
      <c r="G44"/>
      <c r="J44" s="230">
        <v>6</v>
      </c>
      <c r="K44" s="230">
        <f>K43/1.19</f>
        <v>33613.445378151264</v>
      </c>
      <c r="L44" s="250"/>
      <c r="M44" s="13"/>
      <c r="N44" s="14"/>
      <c r="O44" s="17">
        <f>O42/O41</f>
        <v>2</v>
      </c>
      <c r="P44" s="15"/>
      <c r="Q44"/>
      <c r="R44"/>
      <c r="S44"/>
      <c r="T44" s="238"/>
      <c r="U44" s="59" t="s">
        <v>159</v>
      </c>
      <c r="V44" s="300" t="s">
        <v>158</v>
      </c>
      <c r="W44" s="59">
        <v>2.4</v>
      </c>
    </row>
    <row r="45" spans="1:24" s="230" customFormat="1" ht="17.399999999999999" x14ac:dyDescent="0.35">
      <c r="G45" s="23"/>
      <c r="J45" s="260">
        <f>J43*J44</f>
        <v>134850</v>
      </c>
      <c r="L45" s="12"/>
      <c r="T45" s="238"/>
      <c r="U45" s="59" t="s">
        <v>160</v>
      </c>
      <c r="V45" s="301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155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50"/>
    </row>
    <row r="49" spans="12:20" x14ac:dyDescent="0.3">
      <c r="L49" s="250"/>
      <c r="T49" s="270"/>
    </row>
    <row r="50" spans="12:20" x14ac:dyDescent="0.3">
      <c r="L50" s="250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147</v>
      </c>
    </row>
    <row r="79" spans="3:15" x14ac:dyDescent="0.3">
      <c r="C79" t="s">
        <v>146</v>
      </c>
    </row>
    <row r="82" spans="3:3" x14ac:dyDescent="0.3">
      <c r="C82" t="s">
        <v>146</v>
      </c>
    </row>
    <row r="159" spans="3:3" x14ac:dyDescent="0.3">
      <c r="C159" t="s">
        <v>146</v>
      </c>
    </row>
    <row r="160" spans="3:3" x14ac:dyDescent="0.3">
      <c r="C160" t="s">
        <v>148</v>
      </c>
    </row>
    <row r="161" spans="3:3" x14ac:dyDescent="0.3">
      <c r="C161" t="s">
        <v>149</v>
      </c>
    </row>
    <row r="586" spans="3:3" x14ac:dyDescent="0.3">
      <c r="C586" t="s">
        <v>146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8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-17795.70836678745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815390</v>
      </c>
      <c r="E11" s="132">
        <f>D11*0.19</f>
        <v>154924.1</v>
      </c>
      <c r="F11" s="131">
        <f>E11+D11</f>
        <v>970314.1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88194.291633212546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429464.09078743961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70194.291633212546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385925.90921256039</v>
      </c>
      <c r="E13" s="221">
        <f>(D11/D12)-1</f>
        <v>0.8986220675748462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61194.291633212546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22194.29163321255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708615.74979927531</v>
      </c>
      <c r="F15" s="216">
        <f>E15-D12</f>
        <v>279151.6590118357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22194.29163321255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62194.291633212546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180</v>
      </c>
      <c r="D19" s="122">
        <f>'2229'!O38</f>
        <v>221100</v>
      </c>
      <c r="E19" s="123">
        <f>D19*0.19</f>
        <v>42009</v>
      </c>
      <c r="F19" s="120">
        <f>SUM(D19:E19)</f>
        <v>263109</v>
      </c>
      <c r="H19" s="192"/>
      <c r="I19" s="202"/>
      <c r="J19" s="184"/>
      <c r="K19" s="158"/>
      <c r="L19" s="61"/>
      <c r="Q19" s="16"/>
      <c r="R19" s="347"/>
      <c r="S19" s="348"/>
      <c r="T19" s="348"/>
      <c r="U19" s="349"/>
      <c r="V19" s="350"/>
      <c r="W19" s="350"/>
      <c r="X19" s="106"/>
    </row>
    <row r="20" spans="1:31" x14ac:dyDescent="0.3">
      <c r="C20" s="79" t="s">
        <v>31</v>
      </c>
      <c r="D20" s="122">
        <f>'2229'!O36</f>
        <v>141000</v>
      </c>
      <c r="E20" s="123">
        <f>D20*0.19</f>
        <v>26790</v>
      </c>
      <c r="F20" s="120">
        <f>SUM(D20:E20)</f>
        <v>167790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'2229'!O35</f>
        <v>37529.999999999993</v>
      </c>
      <c r="E21" s="121">
        <f>D21*0.19</f>
        <v>7130.6999999999989</v>
      </c>
      <c r="F21" s="120">
        <f>SUM(D21:E21)</f>
        <v>44660.69999999999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399630</v>
      </c>
      <c r="E22" s="116">
        <f>SUM(E18:E21)</f>
        <v>75929.7</v>
      </c>
      <c r="F22" s="115">
        <f>SUM(F18:F21)</f>
        <v>475559.7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78994.400000000009</v>
      </c>
    </row>
    <row r="42" spans="1:16" ht="15" thickBot="1" x14ac:dyDescent="0.35">
      <c r="H42" s="344" t="s">
        <v>60</v>
      </c>
      <c r="I42" s="345"/>
      <c r="J42" s="345"/>
      <c r="K42" s="345"/>
      <c r="L42" s="345"/>
      <c r="M42" s="346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815390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399630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385925.90921256039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385925.90921256039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2026-02-04T18:38:28Z</cp:lastPrinted>
  <dcterms:created xsi:type="dcterms:W3CDTF">2013-03-18T13:35:42Z</dcterms:created>
  <dcterms:modified xsi:type="dcterms:W3CDTF">2026-02-05T19:36:26Z</dcterms:modified>
</cp:coreProperties>
</file>