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3A1130A5-FE53-49CD-8ACA-5BA2228458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L21" i="1"/>
  <c r="N5" i="6"/>
  <c r="A2" i="7"/>
  <c r="M24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<sst xmlns="http://schemas.openxmlformats.org/spreadsheetml/2006/main" count="486" uniqueCount="294">
  <si>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</si>
  <si>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</si>
  <si>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</si>
  <si>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</si>
  <si>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</si>
  <si>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</si>
  <si>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</si>
  <si>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</si>
  <si>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</si>
  <si>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</si>
  <si>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</si>
  <si>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</si>
  <si>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</si>
  <si>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</si>
  <si>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</si>
  <si>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</si>
  <si>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</si>
  <si>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</si>
  <si>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</si>
  <si>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</si>
  <si>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</si>
  <si>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</si>
  <si>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</si>
  <si>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</si>
  <si>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</si>
  <si>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</si>
  <si>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</si>
  <si>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</si>
  <si>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</si>
  <si>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</si>
  <si>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</si>
  <si>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</si>
  <si>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</si>
  <si>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</si>
  <si>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</si>
  <si>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</si>
  <si>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</si>
  <si>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</si>
  <si>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</si>
  <si>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</si>
  <si>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</si>
  <si>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</si>
  <si>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</si>
  <si>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</si>
  <si>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</si>
  <si>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</si>
  <si>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</si>
  <si>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</si>
  <si>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</si>
  <si>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</si>
  <si>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</si>
  <si>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</si>
  <si>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</si>
  <si>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</si>
  <si>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</si>
  <si>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</si>
  <si>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</si>
  <si>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</si>
  <si>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</si>
  <si>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</si>
  <si>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</si>
  <si>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</si>
  <si>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</si>
  <si>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</si>
  <si>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</si>
  <si>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</si>
  <si>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</si>
  <si>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</si>
  <si>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</si>
  <si>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</si>
  <si>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</si>
  <si>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</si>
  <si>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</si>
  <si>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</si>
  <si>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</si>
  <si>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</si>
  <si>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</si>
  <si>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</si>
  <si>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</si>
  <si>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</si>
  <si>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</si>
  <si>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</si>
  <si>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</si>
  <si>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</si>
  <si>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</si>
  <si>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</si>
  <si>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</si>
  <si>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</si>
  <si>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</si>
  <si>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</si>
  <si>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</si>
  <si>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</si>
  <si>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</si>
  <si>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</si>
  <si>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</si>
  <si>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</si>
  <si>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</si>
  <si>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</si>
  <si>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</si>
  <si>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</si>
  <si>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</si>
  <si>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</si>
  <si>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</si>
  <si>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</si>
  <si>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</si>
  <si>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</si>
  <si>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</si>
  <si>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</si>
  <si>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</si>
  <si>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</si>
  <si>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</si>
  <si>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</si>
  <si>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</si>
  <si>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</si>
  <si>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</si>
  <si>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</si>
  <si>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</si>
  <si>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</si>
  <si>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</si>
  <si>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</si>
  <si>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</si>
  <si>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</si>
  <si>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</si>
  <si>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</si>
  <si>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</si>
  <si>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</si>
  <si>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</si>
  <si>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</si>
  <si>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</si>
  <si>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</si>
  <si>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</si>
  <si>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</si>
  <si>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</si>
  <si>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</si>
  <si>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</si>
  <si>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</si>
  <si>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</si>
  <si>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</si>
  <si>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</si>
  <si>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</si>
  <si>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</si>
  <si>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</si>
  <si>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</si>
  <si>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</si>
  <si>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</si>
  <si>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</si>
  <si>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</si>
  <si>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</si>
  <si>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</si>
  <si>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</si>
  <si>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</si>
  <si>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</si>
  <si>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</si>
  <si>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</si>
  <si>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</si>
  <si>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</si>
  <si>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</si>
  <si>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</si>
  <si>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</si>
  <si>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</si>
  <si>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</si>
  <si>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</si>
  <si>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</si>
  <si>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</si>
  <si>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</si>
  <si>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</si>
  <si>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</si>
  <si>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</si>
  <si>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</si>
  <si>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</si>
  <si>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</si>
  <si>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</si>
  <si>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</si>
  <si>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</si>
  <si>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</si>
  <si>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</si>
  <si>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</si>
  <si>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</si>
  <si>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</si>
  <si>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</si>
  <si>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</si>
  <si>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</si>
  <si>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</si>
  <si>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</si>
  <si>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</si>
  <si>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</si>
  <si>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</si>
  <si>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</si>
  <si>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</si>
  <si>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</si>
  <si>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</si>
  <si>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</si>
  <si>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</si>
  <si>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</si>
  <si>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</si>
  <si>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</si>
  <si>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</si>
  <si>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</si>
  <si>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</si>
  <si>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</si>
  <si>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</si>
  <si>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</si>
  <si>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</si>
  <si>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</si>
  <si>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</si>
  <si>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</si>
  <si>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</si>
  <si>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</si>
  <si>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</si>
  <si>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</si>
  <si>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</si>
  <si>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</si>
  <si>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</si>
  <si>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</si>
  <si>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</si>
  <si>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</si>
  <si>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</si>
  <si>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</si>
  <si>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</si>
  <si>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</si>
  <si>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</si>
  <si>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</si>
  <si>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</si>
  <si>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</si>
  <si>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</si>
  <si>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</si>
  <si>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</si>
  <si>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</si>
  <si>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</si>
  <si>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</si>
  <si>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</si>
  <si>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</si>
  <si>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</si>
  <si>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</si>
  <si>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</si>
  <si>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</si>
  <si>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</si>
  <si>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</si>
  <si>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</si>
  <si>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</si>
  <si>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</si>
  <si>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</si>
  <si>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</si>
  <si>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</si>
  <si>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</si>
  <si>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</si>
  <si>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</si>
  <si>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</si>
  <si>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</si>
  <si>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</si>
  <si>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</si>
  <si>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</si>
  <si>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</si>
  <si>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</si>
  <si>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</si>
  <si>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</si>
  <si>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</si>
  <si>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</si>
  <si>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</si>
  <si>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</si>
  <si>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</si>
  <si>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</si>
  <si>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</si>
  <si>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</si>
  <si>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</si>
  <si>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</si>
  <si>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</si>
  <si>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</si>
  <si>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</si>
  <si>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</si>
  <si>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</si>
  <si>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</si>
  <si>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</si>
  <si>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</si>
  <si>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</si>
  <si>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</si>
  <si>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</si>
  <si>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</si>
  <si>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</si>
  <si>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</si>
  <si>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</si>
  <si>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</si>
  <si>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</si>
  <si>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</si>
  <si>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</si>
  <si>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</si>
  <si>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</si>
  <si>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</si>
  <si>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</si>
  <si>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N° 11863</t>
  </si>
  <si>
    <t>ALDO ARATA</t>
  </si>
  <si>
    <t>+569 7793 9434</t>
  </si>
  <si>
    <t>PR6 1 LADO</t>
  </si>
  <si>
    <t>SHELL WHITE 22011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</si>
</sst>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 MELAMIL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A37" sqref="A37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46056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291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67806.666666666672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2</v>
      </c>
      <c r="C21" s="430" t="s">
        <v>292</v>
      </c>
      <c r="D21" s="431">
        <v>2.2000000000000002</v>
      </c>
      <c r="E21" s="431">
        <v>0.5</v>
      </c>
      <c r="F21" s="430" t="s">
        <v>293</v>
      </c>
      <c r="G21" s="432">
        <f>Q21</f>
        <v>76282.5</v>
      </c>
      <c r="H21" s="432">
        <f>G21*B21</f>
        <v>152565</v>
      </c>
      <c r="I21" s="306"/>
      <c r="J21" s="264"/>
      <c r="K21" s="47"/>
      <c r="L21" s="47">
        <f>B21</f>
        <v>2</v>
      </c>
      <c r="M21" s="39">
        <f>D21+M$19</f>
        <v>2.25</v>
      </c>
      <c r="N21" s="39">
        <f>E21+$N$19</f>
        <v>0.5</v>
      </c>
      <c r="O21" s="260">
        <f t="shared" ref="O21" si="0">M21*N21</f>
        <v>1.125</v>
      </c>
      <c r="P21" s="258">
        <f t="shared" ref="P21" si="1">O21*L21</f>
        <v>2.25</v>
      </c>
      <c r="Q21" s="251">
        <f t="shared" ref="Q21" si="2">Q$20*O21</f>
        <v>76282.5</v>
      </c>
      <c r="R21" s="305">
        <f t="shared" ref="R21" si="3">Q21+R$20</f>
        <v>79282.5</v>
      </c>
      <c r="S21" s="290">
        <f>M21*L21</f>
        <v>4.5</v>
      </c>
      <c r="T21" s="46">
        <f>N21*2*L21*2</f>
        <v>4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152565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/>
      <c r="I24" s="308"/>
      <c r="J24" s="264"/>
      <c r="K24" s="47"/>
      <c r="L24" s="47"/>
      <c r="M24" s="39">
        <f>SUM(M22:M23)</f>
        <v>0</v>
      </c>
      <c r="N24" s="12"/>
      <c r="O24" s="12"/>
      <c r="P24" s="252">
        <f>SUM(P21:P21)</f>
        <v>2.25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152565</v>
      </c>
      <c r="I25" s="308"/>
      <c r="J25" s="264"/>
      <c r="K25" s="47"/>
      <c r="L25" s="47"/>
      <c r="M25" s="39"/>
      <c r="N25" s="12"/>
      <c r="O25" s="12"/>
      <c r="P25" s="252">
        <f>P24</f>
        <v>2.25</v>
      </c>
      <c r="Q25" s="14"/>
      <c r="R25" s="12"/>
      <c r="S25" s="239">
        <f>SUM(S21:S24)</f>
        <v>4.5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0.45</v>
      </c>
      <c r="Q26" s="39" t="s">
        <v>129</v>
      </c>
      <c r="R26" s="42"/>
      <c r="S26" s="240">
        <f>S25+T23</f>
        <v>8.5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2.7</v>
      </c>
      <c r="Q27" s="14"/>
      <c r="R27" s="14"/>
      <c r="S27" s="238">
        <f>S26*20%</f>
        <v>1.7000000000000002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10.199999999999999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2.7</v>
      </c>
      <c r="N29" s="12">
        <v>3500</v>
      </c>
      <c r="O29" s="12">
        <f t="shared" ref="O29:O34" si="4">M29*N29</f>
        <v>9450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1.18</v>
      </c>
      <c r="N30" s="12">
        <v>40000</v>
      </c>
      <c r="O30" s="12">
        <f t="shared" si="4"/>
        <v>47200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16000</v>
      </c>
      <c r="O32" s="12">
        <f t="shared" si="4"/>
        <v>16000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72650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O35*2.1</f>
        <v>152565</v>
      </c>
      <c r="P36" s="14" t="s">
        <v>138</v>
      </c>
      <c r="Q36" s="14"/>
      <c r="R36" s="40">
        <f>P27/R35</f>
        <v>0.72799827437446074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70970</v>
      </c>
      <c r="L37" s="249"/>
      <c r="M37" s="14"/>
      <c r="N37" s="12"/>
      <c r="O37" s="12">
        <f>O36/P25</f>
        <v>67806.666666666672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59638.655462184877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46056</v>
      </c>
    </row>
    <row r="6" spans="2:31" ht="16.2" thickBot="1" x14ac:dyDescent="0.35">
      <c r="B6" s="140" t="s">
        <v>2</v>
      </c>
      <c r="C6" s="139" t="str">
        <f>'2229'!C10</f>
        <v>ALDO ARATA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-1644.375033454111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152565</v>
      </c>
      <c r="E11" s="132">
        <f>D11*0.19</f>
        <v>28987.35</v>
      </c>
      <c r="F11" s="131">
        <f>E11+D11</f>
        <v>181552.35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104345.62496654589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86484.090787439607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86345.624966545889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66080.909212560393</v>
      </c>
      <c r="E13" s="221">
        <f>(D11/D12)-1</f>
        <v>0.76408167803918858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77345.624966545889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38345.624966545889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142698.74979927533</v>
      </c>
      <c r="F15" s="216">
        <f>E15-D12</f>
        <v>56214.659011835727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38345.624966545889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78345.624966545889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47200</v>
      </c>
      <c r="E19" s="123">
        <f>D19*0.19</f>
        <v>8968</v>
      </c>
      <c r="F19" s="120">
        <f>SUM(D19:E19)</f>
        <v>56168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9450</v>
      </c>
      <c r="E20" s="121">
        <f>D20*0.19</f>
        <v>1795.5</v>
      </c>
      <c r="F20" s="120">
        <f>SUM(D20:E20)</f>
        <v>11245.5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56650</v>
      </c>
      <c r="E21" s="116">
        <f>SUM(E18:E20)</f>
        <v>10763.5</v>
      </c>
      <c r="F21" s="115">
        <f>SUM(F18:F20)</f>
        <v>67413.5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18223.849999999999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152565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56650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66080.909212560393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66080.909212560393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11863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ALDO ARATA</v>
      </c>
      <c r="D10" s="350"/>
      <c r="E10" s="350"/>
      <c r="F10" s="351" t="s">
        <v>167</v>
      </c>
      <c r="G10" s="352">
        <f>'2229'!G10</f>
        <v>46056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46063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+569 7793 9434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PR6 1 LADO</v>
      </c>
      <c r="D22" s="321">
        <f>'2229'!D21*1000</f>
        <v>2200</v>
      </c>
      <c r="E22" s="321">
        <f>'2229'!E21*1000</f>
        <v>500</v>
      </c>
      <c r="F22" s="322" t="str">
        <f>'2229'!F21</f>
        <v>SHELL WHITE 22011 BR</v>
      </c>
      <c r="G22" s="314">
        <f>'2229'!G21</f>
        <v>76282.5</v>
      </c>
      <c r="H22" s="323">
        <f>G22*B22</f>
        <v>152565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152565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28987.35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181552.35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ALDO ARATA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11863</v>
      </c>
      <c r="C2" s="1">
        <f>'NOTA DE VENTA'!$G$10</f>
        <v>46056</v>
      </c>
      <c r="D2" s="1">
        <f>'NOTA DE VENTA'!$G$11</f>
        <v>46063</v>
      </c>
      <c r="E2" t="str">
        <f>'NOTA DE VENTA'!$C$10</f>
        <v>ALDO ARATA</v>
      </c>
      <c r="F2" t="str">
        <f>'NOTA DE VENTA'!$C$22</f>
        <v>PR6 1 LADO</v>
      </c>
      <c r="G2" t="str">
        <f>'NOTA DE VENTA'!$F$22</f>
        <v>SHELL WHITE 22011 BR</v>
      </c>
      <c r="H2" s="416">
        <f>'NOTA DE VENTA'!$H$25</f>
        <v>152565</v>
      </c>
      <c r="I2" s="416">
        <f>H2*0.19</f>
        <v>28987.35</v>
      </c>
      <c r="J2" s="416">
        <f>I2+H2</f>
        <v>181552.35</v>
      </c>
      <c r="L2" s="61">
        <f>J2-K2</f>
        <v>181552.35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2026-02-03T13:43:13Z</cp:lastPrinted>
  <dcterms:created xsi:type="dcterms:W3CDTF">2013-03-18T13:35:42Z</dcterms:created>
  <dcterms:modified xsi:type="dcterms:W3CDTF">2026-02-03T16:12:24Z</dcterms:modified>
</cp:coreProperties>
</file>