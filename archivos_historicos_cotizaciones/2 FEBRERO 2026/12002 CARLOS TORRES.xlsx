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773590D1-D255-443C-B985-E3EC96D4A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/>
  <c r="S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<sst xmlns="http://schemas.openxmlformats.org/spreadsheetml/2006/main" count="489" uniqueCount="294">
  <si>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</si>
  <si>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</si>
  <si>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</si>
  <si>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</si>
  <si>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</si>
  <si>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</si>
  <si>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</si>
  <si>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</si>
  <si>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</si>
  <si>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</si>
  <si>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</si>
  <si>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</si>
  <si>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</si>
  <si>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</si>
  <si>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</si>
  <si>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</si>
  <si>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</si>
  <si>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</si>
  <si>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</si>
  <si>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</si>
  <si>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</si>
  <si>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</si>
  <si>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</si>
  <si>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</si>
  <si>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</si>
  <si>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</si>
  <si>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</si>
  <si>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</si>
  <si>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</si>
  <si>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</si>
  <si>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</si>
  <si>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</si>
  <si>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</si>
  <si>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</si>
  <si>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</si>
  <si>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</si>
  <si>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</si>
  <si>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</si>
  <si>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</si>
  <si>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</si>
  <si>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</si>
  <si>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</si>
  <si>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</si>
  <si>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</si>
  <si>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</si>
  <si>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</si>
  <si>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</si>
  <si>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</si>
  <si>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</si>
  <si>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</si>
  <si>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</si>
  <si>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</si>
  <si>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</si>
  <si>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</si>
  <si>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</si>
  <si>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</si>
  <si>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</si>
  <si>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</si>
  <si>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</si>
  <si>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</si>
  <si>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</si>
  <si>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</si>
  <si>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</si>
  <si>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</si>
  <si>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</si>
  <si>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</si>
  <si>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</si>
  <si>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</si>
  <si>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</si>
  <si>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</si>
  <si>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</si>
  <si>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</si>
  <si>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</si>
  <si>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</si>
  <si>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</si>
  <si>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</si>
  <si>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</si>
  <si>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</si>
  <si>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</si>
  <si>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</si>
  <si>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</si>
  <si>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</si>
  <si>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</si>
  <si>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</si>
  <si>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</si>
  <si>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</si>
  <si>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</si>
  <si>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</si>
  <si>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</si>
  <si>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</si>
  <si>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</si>
  <si>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</si>
  <si>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</si>
  <si>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</si>
  <si>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</si>
  <si>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</si>
  <si>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</si>
  <si>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</si>
  <si>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</si>
  <si>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</si>
  <si>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</si>
  <si>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</si>
  <si>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</si>
  <si>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</si>
  <si>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</si>
  <si>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</si>
  <si>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</si>
  <si>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</si>
  <si>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</si>
  <si>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</si>
  <si>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</si>
  <si>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</si>
  <si>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</si>
  <si>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</si>
  <si>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</si>
  <si>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</si>
  <si>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</si>
  <si>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</si>
  <si>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</si>
  <si>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</si>
  <si>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</si>
  <si>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</si>
  <si>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</si>
  <si>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</si>
  <si>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</si>
  <si>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</si>
  <si>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</si>
  <si>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</si>
  <si>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</si>
  <si>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</si>
  <si>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</si>
  <si>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</si>
  <si>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</si>
  <si>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</si>
  <si>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</si>
  <si>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</si>
  <si>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</si>
  <si>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</si>
  <si>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</si>
  <si>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</si>
  <si>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</si>
  <si>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</si>
  <si>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</si>
  <si>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</si>
  <si>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</si>
  <si>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</si>
  <si>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</si>
  <si>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</si>
  <si>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</si>
  <si>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</si>
  <si>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</si>
  <si>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</si>
  <si>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</si>
  <si>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</si>
  <si>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</si>
  <si>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</si>
  <si>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</si>
  <si>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</si>
  <si>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</si>
  <si>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</si>
  <si>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</si>
  <si>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</si>
  <si>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</si>
  <si>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</si>
  <si>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</si>
  <si>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</si>
  <si>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</si>
  <si>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</si>
  <si>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</si>
  <si>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</si>
  <si>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</si>
  <si>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</si>
  <si>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</si>
  <si>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</si>
  <si>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</si>
  <si>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</si>
  <si>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</si>
  <si>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</si>
  <si>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</si>
  <si>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</si>
  <si>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</si>
  <si>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</si>
  <si>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</si>
  <si>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</si>
  <si>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</si>
  <si>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</si>
  <si>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</si>
  <si>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</si>
  <si>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</si>
  <si>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</si>
  <si>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</si>
  <si>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</si>
  <si>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</si>
  <si>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</si>
  <si>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</si>
  <si>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</si>
  <si>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</si>
  <si>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</si>
  <si>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</si>
  <si>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</si>
  <si>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</si>
  <si>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</si>
  <si>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</si>
  <si>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</si>
  <si>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</si>
  <si>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</si>
  <si>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</si>
  <si>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</si>
  <si>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</si>
  <si>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</si>
  <si>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</si>
  <si>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</si>
  <si>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</si>
  <si>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</si>
  <si>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</si>
  <si>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</si>
  <si>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</si>
  <si>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</si>
  <si>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</si>
  <si>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</si>
  <si>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</si>
  <si>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</si>
  <si>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</si>
  <si>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</si>
  <si>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</si>
  <si>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</si>
  <si>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</si>
  <si>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</si>
  <si>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</si>
  <si>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</si>
  <si>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</si>
  <si>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</si>
  <si>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</si>
  <si>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</si>
  <si>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</si>
  <si>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</si>
  <si>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</si>
  <si>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</si>
  <si>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</si>
  <si>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</si>
  <si>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</si>
  <si>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</si>
  <si>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</si>
  <si>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</si>
  <si>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</si>
  <si>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</si>
  <si>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</si>
  <si>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</si>
  <si>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</si>
  <si>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</si>
  <si>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</si>
  <si>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</si>
  <si>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</si>
  <si>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</si>
  <si>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</si>
  <si>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</si>
  <si>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</si>
  <si>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</si>
  <si>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</si>
  <si>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</si>
  <si>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</si>
  <si>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</si>
  <si>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</si>
  <si>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</si>
  <si>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</si>
  <si>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</si>
  <si>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</si>
  <si>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</si>
  <si>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</si>
  <si>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</si>
  <si>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</si>
  <si>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</si>
  <si>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</si>
  <si>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</si>
  <si>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</si>
  <si>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</si>
  <si>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</si>
  <si>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</si>
  <si>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</si>
  <si>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</si>
  <si>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</si>
  <si>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</si>
  <si>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</si>
  <si>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</si>
  <si>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</si>
  <si>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</si>
  <si>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</si>
  <si>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</si>
  <si>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12002</t>
  </si>
  <si>
    <t>CARLOS TORRES</t>
  </si>
  <si>
    <t>+56 9 5193 9027</t>
  </si>
  <si>
    <t>CUB CON RESPALDO FTE 90°</t>
  </si>
  <si>
    <t>INDUSTRIAL CONCRETE MT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</si>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</sst>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215080</xdr:rowOff>
    </xdr:from>
    <xdr:to>
      <xdr:col>5</xdr:col>
      <xdr:colOff>1732649</xdr:colOff>
      <xdr:row>26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I16" sqref="I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46076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290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81834.298877051522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291</v>
      </c>
      <c r="D21" s="432">
        <v>1.72</v>
      </c>
      <c r="E21" s="432">
        <v>0.6</v>
      </c>
      <c r="F21" s="313" t="s">
        <v>292</v>
      </c>
      <c r="G21" s="314">
        <f>Q21</f>
        <v>95746.129686150292</v>
      </c>
      <c r="H21" s="433">
        <f>G21*B21</f>
        <v>95746.129686150292</v>
      </c>
      <c r="I21" s="306"/>
      <c r="J21" s="264"/>
      <c r="K21" s="47"/>
      <c r="L21" s="47">
        <f>B21</f>
        <v>1</v>
      </c>
      <c r="M21" s="39">
        <f>D21+M$19</f>
        <v>1.8</v>
      </c>
      <c r="N21" s="39">
        <f>E21+$N$19</f>
        <v>0.65</v>
      </c>
      <c r="O21" s="260">
        <f t="shared" ref="O21" si="0">M21*N21</f>
        <v>1.1700000000000002</v>
      </c>
      <c r="P21" s="258">
        <f t="shared" ref="P21" si="1">O21*L21</f>
        <v>1.1700000000000002</v>
      </c>
      <c r="Q21" s="251">
        <f t="shared" ref="Q21" si="2">Q$20*O21</f>
        <v>95746.129686150292</v>
      </c>
      <c r="R21" s="305">
        <f t="shared" ref="R21" si="3">Q21+R$20</f>
        <v>98746.129686150292</v>
      </c>
      <c r="S21" s="290">
        <f>M21*L21</f>
        <v>1.8</v>
      </c>
      <c r="T21" s="46">
        <f>N21*2*L21*2</f>
        <v>2.6</v>
      </c>
      <c r="U21" s="9"/>
      <c r="X21" s="4"/>
    </row>
    <row r="22" spans="1:25" ht="18" thickBot="1" x14ac:dyDescent="0.35">
      <c r="B22" s="457">
        <v>1</v>
      </c>
      <c r="C22" s="458" t="s">
        <v>291</v>
      </c>
      <c r="D22" s="459">
        <v>0.95</v>
      </c>
      <c r="E22" s="459">
        <v>0.5</v>
      </c>
      <c r="F22" s="460" t="s">
        <v>292</v>
      </c>
      <c r="G22" s="461">
        <f>Q22</f>
        <v>46359.130313849695</v>
      </c>
      <c r="H22" s="462">
        <f>G22*B22</f>
        <v>46359.130313849695</v>
      </c>
      <c r="I22" s="306"/>
      <c r="J22" s="264"/>
      <c r="K22" s="47"/>
      <c r="L22" s="47">
        <f>B22</f>
        <v>1</v>
      </c>
      <c r="M22" s="39">
        <f>D22+M$19</f>
        <v>1.03</v>
      </c>
      <c r="N22" s="39">
        <f>E22+$N$19</f>
        <v>0.55000000000000004</v>
      </c>
      <c r="O22" s="260">
        <f t="shared" ref="O22" si="4">M22*N22</f>
        <v>0.56650000000000011</v>
      </c>
      <c r="P22" s="258">
        <f t="shared" ref="P22" si="5">O22*L22</f>
        <v>0.56650000000000011</v>
      </c>
      <c r="Q22" s="251">
        <f t="shared" ref="Q22" si="6">Q$20*O22</f>
        <v>46359.130313849695</v>
      </c>
      <c r="R22" s="305">
        <f t="shared" ref="R22" si="7">Q22+R$20</f>
        <v>49359.130313849695</v>
      </c>
      <c r="S22" s="290">
        <f>M22*L22</f>
        <v>1.03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142105.25999999998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2.6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26999.999399999997</v>
      </c>
      <c r="I26" s="308"/>
      <c r="J26" s="264"/>
      <c r="K26" s="47"/>
      <c r="L26" s="47"/>
      <c r="M26" s="39">
        <f>SUM(M21:M25)</f>
        <v>2.83</v>
      </c>
      <c r="N26" s="12"/>
      <c r="O26" s="12"/>
      <c r="P26" s="252">
        <f>SUM(P21:P23)</f>
        <v>1.7365000000000004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169105.25939999998</v>
      </c>
      <c r="I27" s="308"/>
      <c r="J27" s="264"/>
      <c r="K27" s="47"/>
      <c r="L27" s="47"/>
      <c r="M27" s="39"/>
      <c r="N27" s="12"/>
      <c r="O27" s="12"/>
      <c r="P27" s="252">
        <f>P26</f>
        <v>1.7365000000000004</v>
      </c>
      <c r="Q27" s="14"/>
      <c r="R27" s="12"/>
      <c r="S27" s="239">
        <f>SUM(S21:S26)</f>
        <v>2.83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0.34730000000000011</v>
      </c>
      <c r="Q28" s="39" t="s">
        <v>129</v>
      </c>
      <c r="R28" s="42"/>
      <c r="S28" s="240">
        <f>S27+T25</f>
        <v>5.43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2.0838000000000005</v>
      </c>
      <c r="Q29" s="14"/>
      <c r="R29" s="14"/>
      <c r="S29" s="238">
        <f>S28*20%</f>
        <v>1.0860000000000001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6.516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2.0838000000000005</v>
      </c>
      <c r="N31" s="12">
        <v>3500</v>
      </c>
      <c r="O31" s="12">
        <f t="shared" ref="O31:O36" si="8">M31*N31</f>
        <v>7293.300000000002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23500</v>
      </c>
      <c r="O32" s="12">
        <f t="shared" si="8"/>
        <v>14100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40000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39000</v>
      </c>
      <c r="O34" s="12">
        <f t="shared" si="8"/>
        <v>39000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2.8</v>
      </c>
      <c r="N36" s="12">
        <v>1500</v>
      </c>
      <c r="O36" s="12">
        <f t="shared" si="8"/>
        <v>4200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64593.3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142105.26</v>
      </c>
      <c r="P38" s="14" t="s">
        <v>138</v>
      </c>
      <c r="Q38" s="14"/>
      <c r="R38" s="40">
        <f>P29/R37</f>
        <v>0.56185289042277842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81834.298877051522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46076</v>
      </c>
    </row>
    <row r="6" spans="2:31" ht="16.2" thickBot="1" x14ac:dyDescent="0.35">
      <c r="B6" s="140" t="s">
        <v>2</v>
      </c>
      <c r="C6" s="139" t="str">
        <f>'2229'!C10</f>
        <v>CARLOS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-9596.6775334541016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142105.25999999998</v>
      </c>
      <c r="E11" s="132">
        <f>D11*0.19</f>
        <v>26999.999399999997</v>
      </c>
      <c r="F11" s="131">
        <f>E11+D11</f>
        <v>169105.25939999998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96393.322466545898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51227.390787439617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78393.322466545898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90877.869212560356</v>
      </c>
      <c r="E13" s="221">
        <f>(D11/D12)-1</f>
        <v>1.7740093300797706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69393.322466545898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30393.322466545898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84525.19479927537</v>
      </c>
      <c r="F15" s="216">
        <f>E15-D12</f>
        <v>33297.804011835753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30393.322466545898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70393.322466545898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7293.300000000002</v>
      </c>
      <c r="E20" s="121">
        <f>D20*0.19</f>
        <v>1385.7270000000003</v>
      </c>
      <c r="F20" s="120">
        <f>SUM(D20:E20)</f>
        <v>8679.0270000000019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21393.300000000003</v>
      </c>
      <c r="E21" s="116">
        <f>SUM(E18:E20)</f>
        <v>4064.7270000000003</v>
      </c>
      <c r="F21" s="115">
        <f>SUM(F18:F20)</f>
        <v>25458.027000000002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22935.272399999998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142105.25999999998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21393.300000000003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90877.869212560356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90877.869212560356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TORRES</v>
      </c>
      <c r="D10" s="350"/>
      <c r="E10" s="350"/>
      <c r="F10" s="351" t="s">
        <v>167</v>
      </c>
      <c r="G10" s="352">
        <f>'2229'!G10</f>
        <v>46076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1720</v>
      </c>
      <c r="E22" s="321">
        <f>'2229'!E21*1000</f>
        <v>600</v>
      </c>
      <c r="F22" s="322" t="str">
        <f>'2229'!F21</f>
        <v>INDUSTRIAL CONCRETE MT</v>
      </c>
      <c r="G22" s="314">
        <f>'2229'!G21</f>
        <v>95746.129686150292</v>
      </c>
      <c r="H22" s="323">
        <f>G22*B22</f>
        <v>95746.129686150292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95746.129686150292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18191.764640368554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113937.89432651884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TORRES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INDUSTRIAL CONCRETE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INDUSTRIAL CONCRETE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12002</v>
      </c>
      <c r="C2" s="1">
        <f>'NOTA DE VENTA'!$G$10</f>
        <v>46076</v>
      </c>
      <c r="D2" s="1">
        <f>'NOTA DE VENTA'!$G$11</f>
        <v>46083</v>
      </c>
      <c r="E2" t="str">
        <f>'NOTA DE VENTA'!$C$10</f>
        <v>CARLOS TORRES</v>
      </c>
      <c r="F2" t="str">
        <f>'NOTA DE VENTA'!$C$22</f>
        <v>CUB C/R R8</v>
      </c>
      <c r="G2" t="str">
        <f>'NOTA DE VENTA'!$F$22</f>
        <v>INDUSTRIAL CONCRETE MT</v>
      </c>
      <c r="H2" s="415">
        <f>'NOTA DE VENTA'!$H$25</f>
        <v>95746.129686150292</v>
      </c>
      <c r="I2" s="415">
        <f>H2*0.19</f>
        <v>18191.764640368554</v>
      </c>
      <c r="J2" s="415">
        <f>I2+H2</f>
        <v>113937.89432651884</v>
      </c>
      <c r="L2" s="61">
        <f>J2-K2</f>
        <v>113937.89432651884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2026-02-23T12:33:13Z</cp:lastPrinted>
  <dcterms:created xsi:type="dcterms:W3CDTF">2013-03-18T13:35:42Z</dcterms:created>
  <dcterms:modified xsi:type="dcterms:W3CDTF">2026-02-23T12:33:32Z</dcterms:modified>
</cp:coreProperties>
</file>