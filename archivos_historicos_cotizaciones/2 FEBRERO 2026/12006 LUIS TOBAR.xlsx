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FBBB44E9-9527-4915-B980-5DB78D90F4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G23" i="1"/>
  <c r="G22" i="1"/>
  <c r="L22" i="1"/>
  <c r="M22" i="1"/>
  <c r="N22" i="1"/>
  <c r="O22" i="1"/>
  <c r="P22" i="1"/>
  <c r="L23" i="1"/>
  <c r="M23" i="1"/>
  <c r="N23" i="1"/>
  <c r="O23" i="1"/>
  <c r="P23" i="1"/>
  <c r="D27" i="6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3" i="1" l="1"/>
  <c r="R23" i="1" s="1"/>
  <c r="Q22" i="1"/>
  <c r="R22" i="1" s="1"/>
  <c r="O41" i="1"/>
  <c r="E15" i="3"/>
  <c r="Q21" i="1" l="1"/>
  <c r="G21" i="1" s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<sst xmlns="http://schemas.openxmlformats.org/spreadsheetml/2006/main" count="491" uniqueCount="295">
  <si>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</si>
  <si>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</si>
  <si>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</si>
  <si>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</si>
  <si>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</si>
  <si>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</si>
  <si>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</si>
  <si>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</si>
  <si>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</si>
  <si>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</si>
  <si>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</si>
  <si>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</si>
  <si>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</si>
  <si>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</si>
  <si>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</si>
  <si>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</si>
  <si>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</si>
  <si>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</si>
  <si>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</si>
  <si>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</si>
  <si>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</si>
  <si>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</si>
  <si>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</si>
  <si>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</si>
  <si>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</si>
  <si>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</si>
  <si>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</si>
  <si>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</si>
  <si>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</si>
  <si>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</si>
  <si>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</si>
  <si>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</si>
  <si>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</si>
  <si>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</si>
  <si>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</si>
  <si>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</si>
  <si>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</si>
  <si>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</si>
  <si>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</si>
  <si>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</si>
  <si>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</si>
  <si>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</si>
  <si>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</si>
  <si>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</si>
  <si>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</si>
  <si>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</si>
  <si>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</si>
  <si>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</si>
  <si>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</si>
  <si>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</si>
  <si>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</si>
  <si>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</si>
  <si>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</si>
  <si>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</si>
  <si>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</si>
  <si>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</si>
  <si>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</si>
  <si>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</si>
  <si>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</si>
  <si>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</si>
  <si>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</si>
  <si>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</si>
  <si>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</si>
  <si>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</si>
  <si>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</si>
  <si>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</si>
  <si>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</si>
  <si>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</si>
  <si>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</si>
  <si>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</si>
  <si>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</si>
  <si>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</si>
  <si>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</si>
  <si>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</si>
  <si>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</si>
  <si>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</si>
  <si>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</si>
  <si>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</si>
  <si>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</si>
  <si>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</si>
  <si>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</si>
  <si>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</si>
  <si>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</si>
  <si>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</si>
  <si>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</si>
  <si>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</si>
  <si>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</si>
  <si>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</si>
  <si>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</si>
  <si>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</si>
  <si>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</si>
  <si>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</si>
  <si>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</si>
  <si>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</si>
  <si>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</si>
  <si>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</si>
  <si>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</si>
  <si>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</si>
  <si>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</si>
  <si>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</si>
  <si>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</si>
  <si>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</si>
  <si>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</si>
  <si>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</si>
  <si>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</si>
  <si>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</si>
  <si>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</si>
  <si>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</si>
  <si>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</si>
  <si>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</si>
  <si>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</si>
  <si>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</si>
  <si>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</si>
  <si>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</si>
  <si>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</si>
  <si>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</si>
  <si>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</si>
  <si>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</si>
  <si>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</si>
  <si>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</si>
  <si>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</si>
  <si>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</si>
  <si>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</si>
  <si>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</si>
  <si>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</si>
  <si>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</si>
  <si>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</si>
  <si>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</si>
  <si>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</si>
  <si>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</si>
  <si>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</si>
  <si>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</si>
  <si>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</si>
  <si>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</si>
  <si>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</si>
  <si>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</si>
  <si>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</si>
  <si>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</si>
  <si>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</si>
  <si>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</si>
  <si>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</si>
  <si>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</si>
  <si>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</si>
  <si>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</si>
  <si>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</si>
  <si>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</si>
  <si>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</si>
  <si>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</si>
  <si>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</si>
  <si>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</si>
  <si>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</si>
  <si>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</si>
  <si>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</si>
  <si>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</si>
  <si>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</si>
  <si>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</si>
  <si>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</si>
  <si>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</si>
  <si>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</si>
  <si>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</si>
  <si>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</si>
  <si>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</si>
  <si>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</si>
  <si>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</si>
  <si>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</si>
  <si>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</si>
  <si>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</si>
  <si>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</si>
  <si>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</si>
  <si>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</si>
  <si>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</si>
  <si>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</si>
  <si>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</si>
  <si>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</si>
  <si>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</si>
  <si>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</si>
  <si>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</si>
  <si>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</si>
  <si>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</si>
  <si>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</si>
  <si>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</si>
  <si>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</si>
  <si>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</si>
  <si>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</si>
  <si>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</si>
  <si>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</si>
  <si>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</si>
  <si>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</si>
  <si>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</si>
  <si>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</si>
  <si>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</si>
  <si>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</si>
  <si>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</si>
  <si>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</si>
  <si>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</si>
  <si>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</si>
  <si>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</si>
  <si>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</si>
  <si>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</si>
  <si>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</si>
  <si>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</si>
  <si>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</si>
  <si>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</si>
  <si>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</si>
  <si>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</si>
  <si>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</si>
  <si>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</si>
  <si>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</si>
  <si>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</si>
  <si>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</si>
  <si>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</si>
  <si>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</si>
  <si>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</si>
  <si>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</si>
  <si>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</si>
  <si>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</si>
  <si>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</si>
  <si>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</si>
  <si>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</si>
  <si>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</si>
  <si>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</si>
  <si>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</si>
  <si>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</si>
  <si>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</si>
  <si>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</si>
  <si>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</si>
  <si>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</si>
  <si>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</si>
  <si>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</si>
  <si>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</si>
  <si>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</si>
  <si>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</si>
  <si>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</si>
  <si>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</si>
  <si>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</si>
  <si>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</si>
  <si>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</si>
  <si>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</si>
  <si>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</si>
  <si>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</si>
  <si>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</si>
  <si>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</si>
  <si>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</si>
  <si>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</si>
  <si>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</si>
  <si>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</si>
  <si>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</si>
  <si>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</si>
  <si>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</si>
  <si>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</si>
  <si>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</si>
  <si>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</si>
  <si>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</si>
  <si>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</si>
  <si>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</si>
  <si>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</si>
  <si>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</si>
  <si>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</si>
  <si>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</si>
  <si>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</si>
  <si>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</si>
  <si>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</si>
  <si>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</si>
  <si>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</si>
  <si>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</si>
  <si>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</si>
  <si>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</si>
  <si>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</si>
  <si>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</si>
  <si>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</si>
  <si>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</si>
  <si>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</si>
  <si>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</si>
  <si>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</si>
  <si>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</si>
  <si>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</si>
  <si>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</si>
  <si>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</si>
  <si>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</si>
  <si>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</si>
  <si>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</si>
  <si>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</si>
  <si>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</si>
  <si>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</si>
  <si>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</si>
  <si>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</si>
  <si>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</si>
  <si>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</si>
  <si>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</si>
  <si>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CON RESPALDO FTE 90°</t>
  </si>
  <si>
    <t>CUB MESA 3 LADOS</t>
  </si>
  <si>
    <t>STRAIGHT WALNUT 10848 SF</t>
  </si>
  <si>
    <t>LUIS TOBAR</t>
  </si>
  <si>
    <t>N° 12006</t>
  </si>
  <si>
    <t>+569 9413 1761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</si>
</sst>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24581</xdr:colOff>
      <xdr:row>24</xdr:row>
      <xdr:rowOff>8193</xdr:rowOff>
    </xdr:from>
    <xdr:to>
      <xdr:col>5</xdr:col>
      <xdr:colOff>1728839</xdr:colOff>
      <xdr:row>27</xdr:row>
      <xdr:rowOff>221225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8" y="4785032"/>
          <a:ext cx="6292646" cy="88490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/>
            <a:t>CUBIERTA DE 1,32 CORTADA A LA MEDIDA Y ENCHAPADA CON REGRUESO EN</a:t>
          </a:r>
          <a:r>
            <a:rPr lang="es-CL" sz="1200" b="1" baseline="0"/>
            <a:t> EL COSTADO DER.</a:t>
          </a:r>
        </a:p>
        <a:p>
          <a:pPr algn="l"/>
          <a:r>
            <a:rPr lang="es-CL" sz="1200" b="1"/>
            <a:t>CUBIERTA DE 1,60 POSTFORMADA</a:t>
          </a:r>
          <a:r>
            <a:rPr lang="es-CL" sz="1200" b="1" baseline="0"/>
            <a:t> EN 2 LADOS DE 1,60 Y 1 LADO DE 0,60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292</v>
      </c>
      <c r="D10" s="243"/>
      <c r="E10" s="243"/>
      <c r="F10" s="417" t="s">
        <v>277</v>
      </c>
      <c r="G10" s="275">
        <v>46078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294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85824.564860426937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458" t="s">
        <v>289</v>
      </c>
      <c r="D21" s="459">
        <v>1.32</v>
      </c>
      <c r="E21" s="459">
        <v>0.6</v>
      </c>
      <c r="F21" s="313" t="s">
        <v>291</v>
      </c>
      <c r="G21" s="314">
        <f>Q21</f>
        <v>72092.634482758629</v>
      </c>
      <c r="H21" s="460">
        <f>G21*B21</f>
        <v>72092.634482758629</v>
      </c>
      <c r="I21" s="306"/>
      <c r="J21" s="264"/>
      <c r="K21" s="47"/>
      <c r="L21" s="47">
        <f>B21</f>
        <v>1</v>
      </c>
      <c r="M21" s="39">
        <f>D21+M$19</f>
        <v>1.4000000000000001</v>
      </c>
      <c r="N21" s="39">
        <f>E21+$N$19</f>
        <v>0.6</v>
      </c>
      <c r="O21" s="260">
        <f t="shared" ref="O21" si="0">M21*N21</f>
        <v>0.84000000000000008</v>
      </c>
      <c r="P21" s="258">
        <f t="shared" ref="P21" si="1">O21*L21</f>
        <v>0.84000000000000008</v>
      </c>
      <c r="Q21" s="251">
        <f t="shared" ref="Q21" si="2">Q$20*O21</f>
        <v>72092.634482758629</v>
      </c>
      <c r="R21" s="305">
        <f t="shared" ref="R21" si="3">Q21+R$20</f>
        <v>75092.634482758629</v>
      </c>
      <c r="S21" s="290">
        <f>M21*L21</f>
        <v>1.4000000000000001</v>
      </c>
      <c r="T21" s="46">
        <f>N21*2*L21*2</f>
        <v>2.4</v>
      </c>
      <c r="U21" s="9"/>
      <c r="X21" s="4"/>
    </row>
    <row r="22" spans="2:25" ht="17.399999999999999" x14ac:dyDescent="0.3">
      <c r="B22" s="461">
        <v>1</v>
      </c>
      <c r="C22" s="455" t="s">
        <v>290</v>
      </c>
      <c r="D22" s="456">
        <v>1.6</v>
      </c>
      <c r="E22" s="456">
        <v>0.6</v>
      </c>
      <c r="F22" s="454" t="s">
        <v>291</v>
      </c>
      <c r="G22" s="457">
        <f>Q22</f>
        <v>86511.161379310346</v>
      </c>
      <c r="H22" s="462">
        <f>G22*B22</f>
        <v>86511.161379310346</v>
      </c>
      <c r="I22" s="306"/>
      <c r="J22" s="264"/>
      <c r="K22" s="47"/>
      <c r="L22" s="47">
        <f t="shared" ref="L22:L23" si="4">B22</f>
        <v>1</v>
      </c>
      <c r="M22" s="39">
        <f t="shared" ref="M22:M23" si="5">D22+M$19</f>
        <v>1.6800000000000002</v>
      </c>
      <c r="N22" s="39">
        <f t="shared" ref="N22:N23" si="6">E22+$N$19</f>
        <v>0.6</v>
      </c>
      <c r="O22" s="260">
        <f t="shared" ref="O22:O23" si="7">M22*N22</f>
        <v>1.008</v>
      </c>
      <c r="P22" s="258">
        <f t="shared" ref="P22:P23" si="8">O22*L22</f>
        <v>1.008</v>
      </c>
      <c r="Q22" s="251">
        <f t="shared" ref="Q22:Q23" si="9">Q$20*O22</f>
        <v>86511.161379310346</v>
      </c>
      <c r="R22" s="305">
        <f t="shared" ref="R22:R23" si="10">Q22+R$20</f>
        <v>89511.161379310346</v>
      </c>
      <c r="S22" s="290"/>
      <c r="T22" s="46"/>
      <c r="U22" s="9"/>
      <c r="X22" s="4"/>
    </row>
    <row r="23" spans="2:25" ht="18" thickBot="1" x14ac:dyDescent="0.35">
      <c r="B23" s="463">
        <v>1</v>
      </c>
      <c r="C23" s="464" t="s">
        <v>289</v>
      </c>
      <c r="D23" s="465">
        <v>0.9</v>
      </c>
      <c r="E23" s="465">
        <v>0.6</v>
      </c>
      <c r="F23" s="466" t="s">
        <v>291</v>
      </c>
      <c r="G23" s="467">
        <f>Q23</f>
        <v>50464.844137931039</v>
      </c>
      <c r="H23" s="468">
        <f>G23*B23</f>
        <v>50464.844137931039</v>
      </c>
      <c r="I23" s="306"/>
      <c r="J23" s="264"/>
      <c r="K23" s="47"/>
      <c r="L23" s="47">
        <f t="shared" si="4"/>
        <v>1</v>
      </c>
      <c r="M23" s="39">
        <f t="shared" si="5"/>
        <v>0.98</v>
      </c>
      <c r="N23" s="39">
        <f t="shared" si="6"/>
        <v>0.6</v>
      </c>
      <c r="O23" s="260">
        <f t="shared" si="7"/>
        <v>0.58799999999999997</v>
      </c>
      <c r="P23" s="258">
        <f t="shared" si="8"/>
        <v>0.58799999999999997</v>
      </c>
      <c r="Q23" s="251">
        <f t="shared" si="9"/>
        <v>50464.844137931039</v>
      </c>
      <c r="R23" s="305">
        <f t="shared" si="10"/>
        <v>53464.844137931039</v>
      </c>
      <c r="S23" s="290"/>
      <c r="T23" s="46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2:25" ht="18" thickBot="1" x14ac:dyDescent="0.35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SUM(H21:H24)</f>
        <v>209068.64</v>
      </c>
      <c r="I26" s="308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SUM(T21:T24)</f>
        <v>2.4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39723.041600000004</v>
      </c>
      <c r="I27" s="308"/>
      <c r="J27" s="264"/>
      <c r="K27" s="47"/>
      <c r="L27" s="47"/>
      <c r="M27" s="39">
        <f>SUM(M21:M26)</f>
        <v>4.0600000000000005</v>
      </c>
      <c r="N27" s="12"/>
      <c r="O27" s="12"/>
      <c r="P27" s="252">
        <f>SUM(P21:P24)</f>
        <v>2.4359999999999999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248791.68160000001</v>
      </c>
      <c r="I28" s="308"/>
      <c r="J28" s="264"/>
      <c r="K28" s="47"/>
      <c r="L28" s="47"/>
      <c r="M28" s="39"/>
      <c r="N28" s="12"/>
      <c r="O28" s="12"/>
      <c r="P28" s="252">
        <f>P27</f>
        <v>2.4359999999999999</v>
      </c>
      <c r="Q28" s="14"/>
      <c r="R28" s="12"/>
      <c r="S28" s="239">
        <f>SUM(S21:S27)</f>
        <v>1.4000000000000001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0.48720000000000002</v>
      </c>
      <c r="Q29" s="39" t="s">
        <v>129</v>
      </c>
      <c r="R29" s="42"/>
      <c r="S29" s="240">
        <f>S28+T26</f>
        <v>3.8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2.9232</v>
      </c>
      <c r="Q30" s="14"/>
      <c r="R30" s="14"/>
      <c r="S30" s="238">
        <f>S29*20%</f>
        <v>0.76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4.5599999999999996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2.9232</v>
      </c>
      <c r="N32" s="12">
        <v>3500</v>
      </c>
      <c r="O32" s="12">
        <f t="shared" ref="O32:O37" si="11">M32*N32</f>
        <v>10231.200000000001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0.8</v>
      </c>
      <c r="N33" s="12">
        <v>23500</v>
      </c>
      <c r="O33" s="12">
        <f t="shared" si="11"/>
        <v>18800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41800</v>
      </c>
      <c r="O34" s="12">
        <f t="shared" si="11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>
        <v>2</v>
      </c>
      <c r="N35" s="249">
        <v>30000</v>
      </c>
      <c r="O35" s="12">
        <f t="shared" si="11"/>
        <v>60000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11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>
        <v>4</v>
      </c>
      <c r="N37" s="12">
        <v>1500</v>
      </c>
      <c r="O37" s="12">
        <f t="shared" si="11"/>
        <v>6000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95031.2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209068.64</v>
      </c>
      <c r="P39" s="14" t="s">
        <v>138</v>
      </c>
      <c r="Q39" s="14"/>
      <c r="R39" s="40">
        <f>P30/R38</f>
        <v>0.78817946505608283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85824.564860426937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46078</v>
      </c>
    </row>
    <row r="6" spans="2:31" ht="16.2" thickBot="1" x14ac:dyDescent="0.35">
      <c r="B6" s="140" t="s">
        <v>2</v>
      </c>
      <c r="C6" s="139" t="str">
        <f>'2229'!C10</f>
        <v>LUIS TOBAR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12006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-18656.818366787444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209068.64</v>
      </c>
      <c r="E11" s="132">
        <f>D11*0.19</f>
        <v>39723.041600000004</v>
      </c>
      <c r="F11" s="131">
        <f>E11+D11</f>
        <v>248791.68160000001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87333.18163321256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58865.290787439619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69333.18163321256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150203.3492125604</v>
      </c>
      <c r="E13" s="221">
        <f>(D11/D12)-1</f>
        <v>2.5516454128280639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60333.18163321256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21333.181633212556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97127.729799275359</v>
      </c>
      <c r="F15" s="216">
        <f>E15-D12</f>
        <v>38262.439011835741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21333.181633212556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61333.18163321256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18800</v>
      </c>
      <c r="E19" s="123">
        <f>D19*0.19</f>
        <v>3572</v>
      </c>
      <c r="F19" s="120">
        <f>SUM(D19:E19)</f>
        <v>22372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10231.200000000001</v>
      </c>
      <c r="E20" s="121">
        <f>D20*0.19</f>
        <v>1943.9280000000001</v>
      </c>
      <c r="F20" s="120">
        <f>SUM(D20:E20)</f>
        <v>12175.128000000001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29031.200000000001</v>
      </c>
      <c r="E21" s="116">
        <f>SUM(E18:E20)</f>
        <v>5515.9279999999999</v>
      </c>
      <c r="F21" s="115">
        <f>SUM(F18:F20)</f>
        <v>34547.127999999997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34207.113600000004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209068.64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29031.200000000001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150203.3492125604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150203.3492125604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12006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LUIS TOBAR</v>
      </c>
      <c r="D10" s="350"/>
      <c r="E10" s="350"/>
      <c r="F10" s="351" t="s">
        <v>167</v>
      </c>
      <c r="G10" s="352">
        <f>'2229'!G10</f>
        <v>46078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46085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+569 9413 1761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1320</v>
      </c>
      <c r="E22" s="321">
        <f>'2229'!E21*1000</f>
        <v>600</v>
      </c>
      <c r="F22" s="322" t="str">
        <f>'2229'!F21</f>
        <v>STRAIGHT WALNUT 10848 SF</v>
      </c>
      <c r="G22" s="314">
        <f>'2229'!G21</f>
        <v>72092.634482758629</v>
      </c>
      <c r="H22" s="323">
        <f>G22*B22</f>
        <v>72092.634482758629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72092.634482758629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13697.600551724139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85790.235034482772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1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LUIS TOBAR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46078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46085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600</v>
      </c>
      <c r="F27" s="383" t="str">
        <f t="shared" si="3"/>
        <v>STRAIGHT WALNUT 10848 SF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600</v>
      </c>
      <c r="F49" s="430" t="str">
        <f>'NOTA DE VENTA'!F22</f>
        <v>STRAIGHT WALNUT 10848 SF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12006</v>
      </c>
      <c r="C2" s="1">
        <f>'NOTA DE VENTA'!$G$10</f>
        <v>46078</v>
      </c>
      <c r="D2" s="1">
        <f>'NOTA DE VENTA'!$G$11</f>
        <v>46085</v>
      </c>
      <c r="E2" t="str">
        <f>'NOTA DE VENTA'!$C$10</f>
        <v>LUIS TOBAR</v>
      </c>
      <c r="F2" t="str">
        <f>'NOTA DE VENTA'!$C$22</f>
        <v>CUB C/R R8</v>
      </c>
      <c r="G2" t="str">
        <f>'NOTA DE VENTA'!$F$22</f>
        <v>STRAIGHT WALNUT 10848 SF</v>
      </c>
      <c r="H2" s="415">
        <f>'NOTA DE VENTA'!$H$25</f>
        <v>72092.634482758629</v>
      </c>
      <c r="I2" s="415">
        <f>H2*0.19</f>
        <v>13697.600551724139</v>
      </c>
      <c r="J2" s="415">
        <f>I2+H2</f>
        <v>85790.235034482772</v>
      </c>
      <c r="L2" s="61">
        <f>J2-K2</f>
        <v>85790.235034482772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2026-02-25T19:54:49Z</cp:lastPrinted>
  <dcterms:created xsi:type="dcterms:W3CDTF">2013-03-18T13:35:42Z</dcterms:created>
  <dcterms:modified xsi:type="dcterms:W3CDTF">2026-02-26T13:33:10Z</dcterms:modified>
</cp:coreProperties>
</file>