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2AAEAD8F-8F1E-4CEC-857F-348713C75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<sst xmlns="http://schemas.openxmlformats.org/spreadsheetml/2006/main" count="487" uniqueCount="294">
  <si>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</si>
  <si>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</si>
  <si>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</si>
  <si>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</si>
  <si>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</si>
  <si>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</si>
  <si>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</si>
  <si>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</si>
  <si>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</si>
  <si>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</si>
  <si>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</si>
  <si>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</si>
  <si>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</si>
  <si>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</si>
  <si>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</si>
  <si>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</si>
  <si>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</si>
  <si>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</si>
  <si>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</si>
  <si>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</si>
  <si>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</si>
  <si>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</si>
  <si>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</si>
  <si>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</si>
  <si>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</si>
  <si>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</si>
  <si>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</si>
  <si>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</si>
  <si>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</si>
  <si>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</si>
  <si>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</si>
  <si>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</si>
  <si>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</si>
  <si>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</si>
  <si>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</si>
  <si>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</si>
  <si>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</si>
  <si>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</si>
  <si>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</si>
  <si>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</si>
  <si>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</si>
  <si>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</si>
  <si>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</si>
  <si>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</si>
  <si>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</si>
  <si>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</si>
  <si>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</si>
  <si>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</si>
  <si>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</si>
  <si>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</si>
  <si>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</si>
  <si>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</si>
  <si>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</si>
  <si>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</si>
  <si>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</si>
  <si>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</si>
  <si>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</si>
  <si>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</si>
  <si>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</si>
  <si>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</si>
  <si>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</si>
  <si>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</si>
  <si>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</si>
  <si>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</si>
  <si>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</si>
  <si>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</si>
  <si>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</si>
  <si>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</si>
  <si>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</si>
  <si>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</si>
  <si>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</si>
  <si>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</si>
  <si>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</si>
  <si>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</si>
  <si>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</si>
  <si>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</si>
  <si>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</si>
  <si>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</si>
  <si>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</si>
  <si>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</si>
  <si>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</si>
  <si>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</si>
  <si>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</si>
  <si>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</si>
  <si>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</si>
  <si>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</si>
  <si>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</si>
  <si>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</si>
  <si>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</si>
  <si>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</si>
  <si>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</si>
  <si>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</si>
  <si>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</si>
  <si>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</si>
  <si>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</si>
  <si>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</si>
  <si>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</si>
  <si>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</si>
  <si>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</si>
  <si>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</si>
  <si>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</si>
  <si>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</si>
  <si>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</si>
  <si>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</si>
  <si>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</si>
  <si>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</si>
  <si>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</si>
  <si>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</si>
  <si>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</si>
  <si>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</si>
  <si>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</si>
  <si>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</si>
  <si>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</si>
  <si>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</si>
  <si>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</si>
  <si>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</si>
  <si>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</si>
  <si>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</si>
  <si>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</si>
  <si>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</si>
  <si>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</si>
  <si>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</si>
  <si>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</si>
  <si>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</si>
  <si>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</si>
  <si>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</si>
  <si>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</si>
  <si>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</si>
  <si>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</si>
  <si>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</si>
  <si>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</si>
  <si>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</si>
  <si>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</si>
  <si>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</si>
  <si>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</si>
  <si>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</si>
  <si>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</si>
  <si>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</si>
  <si>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</si>
  <si>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</si>
  <si>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</si>
  <si>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</si>
  <si>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</si>
  <si>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</si>
  <si>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</si>
  <si>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</si>
  <si>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</si>
  <si>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</si>
  <si>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</si>
  <si>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</si>
  <si>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</si>
  <si>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</si>
  <si>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</si>
  <si>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</si>
  <si>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</si>
  <si>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</si>
  <si>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</si>
  <si>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</si>
  <si>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</si>
  <si>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</si>
  <si>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</si>
  <si>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</si>
  <si>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</si>
  <si>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</si>
  <si>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</si>
  <si>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</si>
  <si>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</si>
  <si>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</si>
  <si>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</si>
  <si>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</si>
  <si>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</si>
  <si>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</si>
  <si>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</si>
  <si>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</si>
  <si>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</si>
  <si>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</si>
  <si>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</si>
  <si>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</si>
  <si>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</si>
  <si>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</si>
  <si>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</si>
  <si>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</si>
  <si>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</si>
  <si>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</si>
  <si>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</si>
  <si>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</si>
  <si>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</si>
  <si>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</si>
  <si>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</si>
  <si>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</si>
  <si>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</si>
  <si>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</si>
  <si>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</si>
  <si>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</si>
  <si>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</si>
  <si>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</si>
  <si>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</si>
  <si>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</si>
  <si>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</si>
  <si>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</si>
  <si>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</si>
  <si>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</si>
  <si>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</si>
  <si>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</si>
  <si>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</si>
  <si>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</si>
  <si>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</si>
  <si>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</si>
  <si>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</si>
  <si>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</si>
  <si>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</si>
  <si>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</si>
  <si>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</si>
  <si>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</si>
  <si>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</si>
  <si>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</si>
  <si>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</si>
  <si>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</si>
  <si>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</si>
  <si>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</si>
  <si>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</si>
  <si>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</si>
  <si>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</si>
  <si>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</si>
  <si>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</si>
  <si>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</si>
  <si>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</si>
  <si>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</si>
  <si>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</si>
  <si>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</si>
  <si>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</si>
  <si>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</si>
  <si>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</si>
  <si>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</si>
  <si>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</si>
  <si>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</si>
  <si>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</si>
  <si>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</si>
  <si>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</si>
  <si>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</si>
  <si>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</si>
  <si>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</si>
  <si>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</si>
  <si>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</si>
  <si>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</si>
  <si>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</si>
  <si>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</si>
  <si>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</si>
  <si>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</si>
  <si>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</si>
  <si>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</si>
  <si>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</si>
  <si>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</si>
  <si>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</si>
  <si>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</si>
  <si>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</si>
  <si>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</si>
  <si>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</si>
  <si>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</si>
  <si>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</si>
  <si>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</si>
  <si>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</si>
  <si>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</si>
  <si>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</si>
  <si>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</si>
  <si>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</si>
  <si>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</si>
  <si>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</si>
  <si>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</si>
  <si>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</si>
  <si>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</si>
  <si>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</si>
  <si>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</si>
  <si>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</si>
  <si>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</si>
  <si>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</si>
  <si>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</si>
  <si>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</si>
  <si>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</si>
  <si>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</si>
  <si>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</si>
  <si>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</si>
  <si>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</si>
  <si>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</si>
  <si>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</si>
  <si>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</si>
  <si>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</si>
  <si>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</si>
  <si>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</si>
  <si>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</si>
  <si>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N° 12005</t>
  </si>
  <si>
    <t>GONZALO CUBILLOS</t>
  </si>
  <si>
    <t>NEGRO</t>
  </si>
  <si>
    <t>+569 9141 4605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</si>
</sst>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22</xdr:row>
      <xdr:rowOff>221225</xdr:rowOff>
    </xdr:from>
    <xdr:to>
      <xdr:col>5</xdr:col>
      <xdr:colOff>1728839</xdr:colOff>
      <xdr:row>25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47419"/>
          <a:ext cx="6292646" cy="6718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B21" sqref="B21:H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46078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68163.076923076922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54">
        <v>1</v>
      </c>
      <c r="C21" s="455" t="s">
        <v>289</v>
      </c>
      <c r="D21" s="456">
        <v>1.35</v>
      </c>
      <c r="E21" s="456">
        <v>0.5</v>
      </c>
      <c r="F21" s="457" t="s">
        <v>292</v>
      </c>
      <c r="G21" s="458">
        <f>Q21</f>
        <v>48736.600000000006</v>
      </c>
      <c r="H21" s="459">
        <f>G21*B21</f>
        <v>48736.600000000006</v>
      </c>
      <c r="I21" s="306"/>
      <c r="J21" s="264"/>
      <c r="K21" s="47"/>
      <c r="L21" s="47">
        <f>B21</f>
        <v>1</v>
      </c>
      <c r="M21" s="39">
        <f>D21+M$19</f>
        <v>1.4300000000000002</v>
      </c>
      <c r="N21" s="39">
        <f>E21+$N$19</f>
        <v>0.5</v>
      </c>
      <c r="O21" s="260">
        <f t="shared" ref="O21" si="0">M21*N21</f>
        <v>0.71500000000000008</v>
      </c>
      <c r="P21" s="258">
        <f t="shared" ref="P21" si="1">O21*L21</f>
        <v>0.71500000000000008</v>
      </c>
      <c r="Q21" s="251">
        <f t="shared" ref="Q21" si="2">Q$20*O21</f>
        <v>48736.600000000006</v>
      </c>
      <c r="R21" s="305">
        <f t="shared" ref="R21" si="3">Q21+R$20</f>
        <v>51736.600000000006</v>
      </c>
      <c r="S21" s="290">
        <f>M21*L21</f>
        <v>1.4300000000000002</v>
      </c>
      <c r="T21" s="46">
        <f>N21*2*L21*2</f>
        <v>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48736.600000000006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9259.9540000000015</v>
      </c>
      <c r="I25" s="308"/>
      <c r="J25" s="264"/>
      <c r="K25" s="47"/>
      <c r="L25" s="47"/>
      <c r="M25" s="39">
        <f>SUM(M21:M24)</f>
        <v>1.4300000000000002</v>
      </c>
      <c r="N25" s="12"/>
      <c r="O25" s="12"/>
      <c r="P25" s="252">
        <f>SUM(P21:P22)</f>
        <v>0.71500000000000008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57996.554000000004</v>
      </c>
      <c r="I26" s="308"/>
      <c r="J26" s="264"/>
      <c r="K26" s="47"/>
      <c r="L26" s="47"/>
      <c r="M26" s="39"/>
      <c r="N26" s="12"/>
      <c r="O26" s="12"/>
      <c r="P26" s="252">
        <f>P25</f>
        <v>0.71500000000000008</v>
      </c>
      <c r="Q26" s="14"/>
      <c r="R26" s="12"/>
      <c r="S26" s="239">
        <f>SUM(S21:S25)</f>
        <v>1.4300000000000002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0.14300000000000002</v>
      </c>
      <c r="Q27" s="39" t="s">
        <v>129</v>
      </c>
      <c r="R27" s="42"/>
      <c r="S27" s="240">
        <f>S26+T24</f>
        <v>3.43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0.8580000000000001</v>
      </c>
      <c r="Q28" s="14"/>
      <c r="R28" s="14"/>
      <c r="S28" s="238">
        <f>S27*20%</f>
        <v>0.68600000000000005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4.1160000000000005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0.8580000000000001</v>
      </c>
      <c r="N30" s="12">
        <v>3500</v>
      </c>
      <c r="O30" s="12">
        <f t="shared" ref="O30:O35" si="4">M30*N30</f>
        <v>3003.0000000000005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4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41800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0.5</v>
      </c>
      <c r="N33" s="249">
        <v>20000</v>
      </c>
      <c r="O33" s="12">
        <f t="shared" si="4"/>
        <v>10000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1.4</v>
      </c>
      <c r="N35" s="12">
        <v>1500</v>
      </c>
      <c r="O35" s="12">
        <f t="shared" si="4"/>
        <v>2100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22153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48736.600000000006</v>
      </c>
      <c r="P37" s="14" t="s">
        <v>138</v>
      </c>
      <c r="Q37" s="14"/>
      <c r="R37" s="40">
        <f>P28/R36</f>
        <v>0.23134167385677309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68163.076923076922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46078</v>
      </c>
    </row>
    <row r="6" spans="2:31" ht="16.2" thickBot="1" x14ac:dyDescent="0.35">
      <c r="B6" s="140" t="s">
        <v>2</v>
      </c>
      <c r="C6" s="139" t="str">
        <f>'2229'!C10</f>
        <v>GONZALO CUBILLOS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2846.1832998792256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48736.600000000006</v>
      </c>
      <c r="E11" s="132">
        <f>D11*0.19</f>
        <v>9259.9540000000015</v>
      </c>
      <c r="F11" s="131">
        <f>E11+D11</f>
        <v>57996.554000000004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108836.18329987922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39887.090787439614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90836.183299879223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8849.5092125603915</v>
      </c>
      <c r="E13" s="221">
        <f>(D11/D12)-1</f>
        <v>0.22186399253131506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81836.183299879223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42836.183299879223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65813.69979927536</v>
      </c>
      <c r="F15" s="216">
        <f>E15-D12</f>
        <v>25926.609011835746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42836.183299879223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82836.183299879223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3003.0000000000005</v>
      </c>
      <c r="E20" s="121">
        <f>D20*0.19</f>
        <v>570.57000000000005</v>
      </c>
      <c r="F20" s="120">
        <f>SUM(D20:E20)</f>
        <v>3573.5700000000006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10053</v>
      </c>
      <c r="E21" s="116">
        <f>SUM(E18:E20)</f>
        <v>1910.0700000000002</v>
      </c>
      <c r="F21" s="115">
        <f>SUM(F18:F20)</f>
        <v>11963.07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7349.8840000000018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48736.600000000006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10053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8849.5092125603915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8849.5092125603915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GONZALO CUBILLOS</v>
      </c>
      <c r="D10" s="350"/>
      <c r="E10" s="350"/>
      <c r="F10" s="351" t="s">
        <v>167</v>
      </c>
      <c r="G10" s="352">
        <f>'2229'!G10</f>
        <v>46078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+569 9141 4605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1350</v>
      </c>
      <c r="E22" s="321">
        <f>'2229'!E21*1000</f>
        <v>500</v>
      </c>
      <c r="F22" s="322" t="str">
        <f>'2229'!F21</f>
        <v>NEGRO</v>
      </c>
      <c r="G22" s="314">
        <f>'2229'!G21</f>
        <v>48736.600000000006</v>
      </c>
      <c r="H22" s="323">
        <f>G22*B22</f>
        <v>48736.600000000006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48736.600000000006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9259.9540000000015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57996.554000000004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GONZALO CUBILLOS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>NEGRO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>NEGRO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12005</v>
      </c>
      <c r="C2" s="1">
        <f>'NOTA DE VENTA'!$G$10</f>
        <v>46078</v>
      </c>
      <c r="D2" s="1">
        <f>'NOTA DE VENTA'!$G$11</f>
        <v>46085</v>
      </c>
      <c r="E2" t="str">
        <f>'NOTA DE VENTA'!$C$10</f>
        <v>GONZALO CUBILLOS</v>
      </c>
      <c r="F2" t="str">
        <f>'NOTA DE VENTA'!$C$22</f>
        <v>CUB C/R R8</v>
      </c>
      <c r="G2" t="str">
        <f>'NOTA DE VENTA'!$F$22</f>
        <v>NEGRO</v>
      </c>
      <c r="H2" s="415">
        <f>'NOTA DE VENTA'!$H$25</f>
        <v>48736.600000000006</v>
      </c>
      <c r="I2" s="415">
        <f>H2*0.19</f>
        <v>9259.9540000000015</v>
      </c>
      <c r="J2" s="415">
        <f>I2+H2</f>
        <v>57996.554000000004</v>
      </c>
      <c r="L2" s="61">
        <f>J2-K2</f>
        <v>57996.554000000004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2026-02-25T15:06:39Z</cp:lastPrinted>
  <dcterms:created xsi:type="dcterms:W3CDTF">2013-03-18T13:35:42Z</dcterms:created>
  <dcterms:modified xsi:type="dcterms:W3CDTF">2026-02-25T18:16:28Z</dcterms:modified>
</cp:coreProperties>
</file>