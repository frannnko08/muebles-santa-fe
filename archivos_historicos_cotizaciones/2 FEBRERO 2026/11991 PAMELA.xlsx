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D930AF6A-BAE5-48E8-9467-36348E9F8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6" l="1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<sst xmlns="http://schemas.openxmlformats.org/spreadsheetml/2006/main" count="487" uniqueCount="294">
  <si>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</si>
  <si>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</si>
  <si>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</si>
  <si>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</si>
  <si>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</si>
  <si>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</si>
  <si>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</si>
  <si>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</si>
  <si>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</si>
  <si>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</si>
  <si>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</si>
  <si>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</si>
  <si>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</si>
  <si>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</si>
  <si>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</si>
  <si>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</si>
  <si>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</si>
  <si>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</si>
  <si>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</si>
  <si>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</si>
  <si>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</si>
  <si>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</si>
  <si>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</si>
  <si>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</si>
  <si>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</si>
  <si>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</si>
  <si>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</si>
  <si>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</si>
  <si>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</si>
  <si>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</si>
  <si>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</si>
  <si>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</si>
  <si>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</si>
  <si>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</si>
  <si>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</si>
  <si>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</si>
  <si>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</si>
  <si>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</si>
  <si>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</si>
  <si>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</si>
  <si>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</si>
  <si>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</si>
  <si>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</si>
  <si>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</si>
  <si>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</si>
  <si>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</si>
  <si>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</si>
  <si>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</si>
  <si>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</si>
  <si>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</si>
  <si>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</si>
  <si>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</si>
  <si>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</si>
  <si>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</si>
  <si>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</si>
  <si>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</si>
  <si>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</si>
  <si>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</si>
  <si>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</si>
  <si>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</si>
  <si>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</si>
  <si>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</si>
  <si>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</si>
  <si>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</si>
  <si>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</si>
  <si>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</si>
  <si>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</si>
  <si>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</si>
  <si>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</si>
  <si>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</si>
  <si>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</si>
  <si>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</si>
  <si>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</si>
  <si>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</si>
  <si>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</si>
  <si>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</si>
  <si>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</si>
  <si>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</si>
  <si>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</si>
  <si>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</si>
  <si>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</si>
  <si>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</si>
  <si>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</si>
  <si>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</si>
  <si>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</si>
  <si>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</si>
  <si>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</si>
  <si>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</si>
  <si>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</si>
  <si>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</si>
  <si>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</si>
  <si>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</si>
  <si>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</si>
  <si>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</si>
  <si>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</si>
  <si>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</si>
  <si>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</si>
  <si>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</si>
  <si>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</si>
  <si>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</si>
  <si>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</si>
  <si>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</si>
  <si>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</si>
  <si>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</si>
  <si>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</si>
  <si>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</si>
  <si>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</si>
  <si>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</si>
  <si>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</si>
  <si>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</si>
  <si>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</si>
  <si>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</si>
  <si>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</si>
  <si>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</si>
  <si>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</si>
  <si>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</si>
  <si>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</si>
  <si>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</si>
  <si>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</si>
  <si>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</si>
  <si>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</si>
  <si>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</si>
  <si>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</si>
  <si>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</si>
  <si>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</si>
  <si>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</si>
  <si>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</si>
  <si>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</si>
  <si>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</si>
  <si>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</si>
  <si>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</si>
  <si>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</si>
  <si>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</si>
  <si>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</si>
  <si>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</si>
  <si>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</si>
  <si>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</si>
  <si>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</si>
  <si>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</si>
  <si>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</si>
  <si>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</si>
  <si>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</si>
  <si>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</si>
  <si>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</si>
  <si>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</si>
  <si>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</si>
  <si>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</si>
  <si>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</si>
  <si>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</si>
  <si>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</si>
  <si>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</si>
  <si>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</si>
  <si>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</si>
  <si>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</si>
  <si>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</si>
  <si>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</si>
  <si>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</si>
  <si>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</si>
  <si>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</si>
  <si>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</si>
  <si>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</si>
  <si>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</si>
  <si>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</si>
  <si>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</si>
  <si>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</si>
  <si>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</si>
  <si>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</si>
  <si>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</si>
  <si>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</si>
  <si>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</si>
  <si>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</si>
  <si>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</si>
  <si>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</si>
  <si>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</si>
  <si>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</si>
  <si>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</si>
  <si>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</si>
  <si>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</si>
  <si>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</si>
  <si>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</si>
  <si>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</si>
  <si>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</si>
  <si>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</si>
  <si>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</si>
  <si>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</si>
  <si>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</si>
  <si>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</si>
  <si>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</si>
  <si>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</si>
  <si>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</si>
  <si>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</si>
  <si>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</si>
  <si>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</si>
  <si>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</si>
  <si>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</si>
  <si>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</si>
  <si>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</si>
  <si>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</si>
  <si>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</si>
  <si>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</si>
  <si>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</si>
  <si>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</si>
  <si>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</si>
  <si>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</si>
  <si>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</si>
  <si>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</si>
  <si>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</si>
  <si>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</si>
  <si>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</si>
  <si>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</si>
  <si>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</si>
  <si>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</si>
  <si>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</si>
  <si>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</si>
  <si>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</si>
  <si>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</si>
  <si>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</si>
  <si>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</si>
  <si>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</si>
  <si>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</si>
  <si>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</si>
  <si>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</si>
  <si>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</si>
  <si>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</si>
  <si>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</si>
  <si>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</si>
  <si>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</si>
  <si>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</si>
  <si>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</si>
  <si>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</si>
  <si>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</si>
  <si>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</si>
  <si>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</si>
  <si>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</si>
  <si>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</si>
  <si>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</si>
  <si>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</si>
  <si>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</si>
  <si>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</si>
  <si>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</si>
  <si>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</si>
  <si>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</si>
  <si>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</si>
  <si>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</si>
  <si>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</si>
  <si>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</si>
  <si>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</si>
  <si>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</si>
  <si>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</si>
  <si>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</si>
  <si>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</si>
  <si>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</si>
  <si>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</si>
  <si>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</si>
  <si>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</si>
  <si>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</si>
  <si>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</si>
  <si>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</si>
  <si>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</si>
  <si>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</si>
  <si>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</si>
  <si>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</si>
  <si>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</si>
  <si>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</si>
  <si>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</si>
  <si>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</si>
  <si>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</si>
  <si>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</si>
  <si>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</si>
  <si>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</si>
  <si>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</si>
  <si>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</si>
  <si>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</si>
  <si>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</si>
  <si>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</si>
  <si>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</si>
  <si>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</si>
  <si>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</si>
  <si>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</si>
  <si>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</si>
  <si>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</si>
  <si>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</si>
  <si>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</si>
  <si>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</si>
  <si>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</si>
  <si>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</si>
  <si>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</si>
  <si>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</si>
  <si>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1 DIAS HABILES</t>
  </si>
  <si>
    <t>PAMELA</t>
  </si>
  <si>
    <t>CUB SIN RESPALDO FTE 90°</t>
  </si>
  <si>
    <t>+569 9844 6502</t>
  </si>
  <si>
    <t>BLANCO MT</t>
  </si>
  <si>
    <t>N° 11991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</si>
</sst>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180258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A4" sqref="A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289</v>
      </c>
      <c r="D10" s="243"/>
      <c r="E10" s="243"/>
      <c r="F10" s="417" t="s">
        <v>277</v>
      </c>
      <c r="G10" s="275">
        <v>46069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291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53042.819148936171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290</v>
      </c>
      <c r="D21" s="432">
        <v>1.8</v>
      </c>
      <c r="E21" s="432">
        <v>0.75</v>
      </c>
      <c r="F21" s="313" t="s">
        <v>292</v>
      </c>
      <c r="G21" s="314">
        <f>Q21</f>
        <v>79776.400000000009</v>
      </c>
      <c r="H21" s="433">
        <f>G21*B21</f>
        <v>79776.400000000009</v>
      </c>
      <c r="I21" s="306"/>
      <c r="J21" s="264"/>
      <c r="K21" s="47"/>
      <c r="L21" s="47">
        <f>B21</f>
        <v>1</v>
      </c>
      <c r="M21" s="39">
        <f>D21+M$19</f>
        <v>1.8800000000000001</v>
      </c>
      <c r="N21" s="39">
        <f>E21+$N$19</f>
        <v>0.8</v>
      </c>
      <c r="O21" s="260">
        <f t="shared" ref="O21" si="0">M21*N21</f>
        <v>1.5040000000000002</v>
      </c>
      <c r="P21" s="258">
        <f t="shared" ref="P21" si="1">O21*L21</f>
        <v>1.5040000000000002</v>
      </c>
      <c r="Q21" s="251">
        <f t="shared" ref="Q21" si="2">Q$20*O21</f>
        <v>79776.400000000009</v>
      </c>
      <c r="R21" s="305">
        <f t="shared" ref="R21" si="3">Q21+R$20</f>
        <v>82776.400000000009</v>
      </c>
      <c r="S21" s="290">
        <f>M21*L21</f>
        <v>1.8800000000000001</v>
      </c>
      <c r="T21" s="46">
        <f>N21*2*L21*2</f>
        <v>3.2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79776.400000000009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SUM(T21:T22)</f>
        <v>3.2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15157.516000000001</v>
      </c>
      <c r="I26" s="308"/>
      <c r="J26" s="264"/>
      <c r="K26" s="47"/>
      <c r="L26" s="47"/>
      <c r="M26" s="39">
        <f>SUM(M21:M25)</f>
        <v>1.8800000000000001</v>
      </c>
      <c r="N26" s="12"/>
      <c r="O26" s="12"/>
      <c r="P26" s="252">
        <f>SUM(P21:P22)</f>
        <v>1.5040000000000002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94933.916000000012</v>
      </c>
      <c r="I27" s="308"/>
      <c r="J27" s="264"/>
      <c r="K27" s="47"/>
      <c r="L27" s="47"/>
      <c r="M27" s="39"/>
      <c r="N27" s="12"/>
      <c r="O27" s="12"/>
      <c r="P27" s="252">
        <f>P26</f>
        <v>1.5040000000000002</v>
      </c>
      <c r="Q27" s="14"/>
      <c r="R27" s="12"/>
      <c r="S27" s="239">
        <f>SUM(S21:S26)</f>
        <v>1.8800000000000001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0.30080000000000007</v>
      </c>
      <c r="Q28" s="39" t="s">
        <v>129</v>
      </c>
      <c r="R28" s="42"/>
      <c r="S28" s="240">
        <f>S27+T25</f>
        <v>5.08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1.8048000000000002</v>
      </c>
      <c r="Q29" s="14"/>
      <c r="R29" s="14"/>
      <c r="S29" s="238">
        <f>S28*20%</f>
        <v>1.016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6.0960000000000001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1.8048000000000002</v>
      </c>
      <c r="N31" s="12">
        <v>2500</v>
      </c>
      <c r="O31" s="12">
        <f t="shared" ref="O31:O36" si="4">M31*N31</f>
        <v>4512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0.5</v>
      </c>
      <c r="N32" s="12">
        <v>23500</v>
      </c>
      <c r="O32" s="12">
        <f t="shared" si="4"/>
        <v>11750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41800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20000</v>
      </c>
      <c r="O34" s="12">
        <f t="shared" si="4"/>
        <v>20000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1500</v>
      </c>
      <c r="O36" s="12">
        <f t="shared" si="4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36262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79776.400000000009</v>
      </c>
      <c r="P38" s="14" t="s">
        <v>138</v>
      </c>
      <c r="Q38" s="14"/>
      <c r="R38" s="40">
        <f>P29/R37</f>
        <v>0.4866264020707507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53042.819148936171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46069</v>
      </c>
    </row>
    <row r="6" spans="2:31" ht="16.2" thickBot="1" x14ac:dyDescent="0.35">
      <c r="B6" s="140" t="s">
        <v>2</v>
      </c>
      <c r="C6" s="139" t="str">
        <f>'2229'!C10</f>
        <v>PAMELA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11991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-619.64170012077375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79776.400000000009</v>
      </c>
      <c r="E11" s="132">
        <f>D11*0.19</f>
        <v>15157.516000000001</v>
      </c>
      <c r="F11" s="131">
        <f>E11+D11</f>
        <v>94933.916000000012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105370.35829987923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46096.090787439614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87370.358299879226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33680.309212560394</v>
      </c>
      <c r="E13" s="221">
        <f>(D11/D12)-1</f>
        <v>0.73065434914792582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78370.358299879226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39370.358299879226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76058.549799275366</v>
      </c>
      <c r="F15" s="216">
        <f>E15-D12</f>
        <v>29962.459011835752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39370.358299879226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79370.358299879226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4512</v>
      </c>
      <c r="E20" s="121">
        <f>D20*0.19</f>
        <v>857.28</v>
      </c>
      <c r="F20" s="120">
        <f>SUM(D20:E20)</f>
        <v>5369.28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16262</v>
      </c>
      <c r="E21" s="116">
        <f>SUM(E18:E20)</f>
        <v>3089.7799999999997</v>
      </c>
      <c r="F21" s="115">
        <f>SUM(F18:F20)</f>
        <v>19351.78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12067.736000000001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79776.400000000009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16262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33680.309212560394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33680.309212560394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11991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PAMELA</v>
      </c>
      <c r="D10" s="350"/>
      <c r="E10" s="350"/>
      <c r="F10" s="351" t="s">
        <v>167</v>
      </c>
      <c r="G10" s="352">
        <f>'2229'!G10</f>
        <v>46069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+569 9844 6502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1800</v>
      </c>
      <c r="E22" s="321">
        <f>'2229'!E21*1000</f>
        <v>750</v>
      </c>
      <c r="F22" s="322" t="str">
        <f>'2229'!F21</f>
        <v>BLANCO MT</v>
      </c>
      <c r="G22" s="314">
        <f>'2229'!G21</f>
        <v>79776.400000000009</v>
      </c>
      <c r="H22" s="323">
        <f>G22*B22</f>
        <v>79776.400000000009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79776.400000000009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15157.516000000001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94933.916000000012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PAMELA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720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46069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46076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720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750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880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750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750</v>
      </c>
      <c r="F27" s="383" t="str">
        <f t="shared" si="3"/>
        <v>BLANCO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750</v>
      </c>
      <c r="F49" s="430" t="str">
        <f>'NOTA DE VENTA'!F22</f>
        <v>BLANCO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11991</v>
      </c>
      <c r="C2" s="1">
        <f>'NOTA DE VENTA'!$G$10</f>
        <v>46069</v>
      </c>
      <c r="D2" s="1">
        <f>'NOTA DE VENTA'!$G$11</f>
        <v>46076</v>
      </c>
      <c r="E2" t="str">
        <f>'NOTA DE VENTA'!$C$10</f>
        <v>PAMELA</v>
      </c>
      <c r="F2" t="str">
        <f>'NOTA DE VENTA'!$C$22</f>
        <v>CUB C/R R8</v>
      </c>
      <c r="G2" t="str">
        <f>'NOTA DE VENTA'!$F$22</f>
        <v>BLANCO MT</v>
      </c>
      <c r="H2" s="415">
        <f>'NOTA DE VENTA'!$H$25</f>
        <v>79776.400000000009</v>
      </c>
      <c r="I2" s="415">
        <f>H2*0.19</f>
        <v>15157.516000000001</v>
      </c>
      <c r="J2" s="415">
        <f>I2+H2</f>
        <v>94933.916000000012</v>
      </c>
      <c r="L2" s="61">
        <f>J2-K2</f>
        <v>94933.916000000012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2026-02-16T18:49:35Z</cp:lastPrinted>
  <dcterms:created xsi:type="dcterms:W3CDTF">2013-03-18T13:35:42Z</dcterms:created>
  <dcterms:modified xsi:type="dcterms:W3CDTF">2026-02-17T12:12:57Z</dcterms:modified>
</cp:coreProperties>
</file>