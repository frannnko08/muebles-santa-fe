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20E84699-0933-4C15-A424-D8669BE700D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6" l="1"/>
  <c r="D27" i="6"/>
  <c r="E27" i="6"/>
  <c r="F27" i="6"/>
  <c r="B27" i="6"/>
  <c r="C49" i="6"/>
  <c r="D49" i="6"/>
  <c r="E49" i="6"/>
  <c r="F49" i="6"/>
  <c r="B49" i="6"/>
  <c r="L21" i="1" l="1"/>
  <c r="N5" i="6"/>
  <c r="A2" i="7"/>
  <c r="M24" i="1" l="1"/>
  <c r="C7" i="6"/>
  <c r="D4" i="6"/>
  <c r="D42" i="6"/>
  <c r="C42" i="6"/>
  <c r="D40" i="6"/>
  <c r="D39" i="6"/>
  <c r="F21" i="6"/>
  <c r="I21" i="6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D21" i="6"/>
  <c r="L5" i="6"/>
  <c r="M5" i="6"/>
  <c r="D2" i="7"/>
  <c r="D8" i="6"/>
  <c r="M21" i="1"/>
  <c r="S21" i="1" l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4" i="1"/>
  <c r="O33" i="1"/>
  <c r="F18" i="3" l="1"/>
  <c r="O29" i="1" l="1"/>
  <c r="O35" i="1" s="1"/>
  <c r="O36" i="1" s="1"/>
  <c r="D21" i="3" l="1"/>
  <c r="E21" i="3" s="1"/>
  <c r="E22" i="3" s="1"/>
  <c r="O37" i="1" l="1"/>
  <c r="Q20" i="1" s="1"/>
  <c r="D22" i="3"/>
  <c r="M44" i="3" s="1"/>
  <c r="D12" i="3" s="1"/>
  <c r="F21" i="3"/>
  <c r="F22" i="3" s="1"/>
  <c r="O38" i="1" l="1"/>
  <c r="E15" i="3"/>
  <c r="Q21" i="1" l="1"/>
  <c r="G21" i="1" s="1"/>
  <c r="F15" i="3"/>
  <c r="R21" i="1" l="1"/>
  <c r="H21" i="1" l="1"/>
  <c r="H23" i="1" l="1"/>
  <c r="H24" i="1" s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1" i="3"/>
  <c r="E11" i="3"/>
  <c r="D41" i="3" s="1"/>
  <c r="X12" i="3" l="1"/>
  <c r="X16" i="3"/>
  <c r="X13" i="3"/>
  <c r="E13" i="3"/>
  <c r="M43" i="3"/>
  <c r="M47" i="3" s="1"/>
  <c r="M50" i="3" s="1"/>
  <c r="X14" i="3"/>
  <c r="D13" i="3"/>
  <c r="F11" i="3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<sst xmlns="http://schemas.openxmlformats.org/spreadsheetml/2006/main" count="487" uniqueCount="295">
  <si>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</si>
  <si>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</si>
  <si>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</si>
  <si>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</si>
  <si>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</si>
  <si>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</si>
  <si>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</si>
  <si>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</si>
  <si>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</si>
  <si>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</si>
  <si>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</si>
  <si>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</si>
  <si>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</si>
  <si>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</si>
  <si>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</si>
  <si>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</si>
  <si>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</si>
  <si>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</si>
  <si>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</si>
  <si>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</si>
  <si>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</si>
  <si>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</si>
  <si>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</si>
  <si>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</si>
  <si>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</si>
  <si>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</si>
  <si>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</si>
  <si>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</si>
  <si>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</si>
  <si>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</si>
  <si>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</si>
  <si>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</si>
  <si>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</si>
  <si>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</si>
  <si>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</si>
  <si>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</si>
  <si>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</si>
  <si>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</si>
  <si>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</si>
  <si>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</si>
  <si>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</si>
  <si>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</si>
  <si>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</si>
  <si>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</si>
  <si>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</si>
  <si>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</si>
  <si>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</si>
  <si>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</si>
  <si>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</si>
  <si>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</si>
  <si>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</si>
  <si>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</si>
  <si>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</si>
  <si>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</si>
  <si>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</si>
  <si>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</si>
  <si>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</si>
  <si>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</si>
  <si>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</si>
  <si>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</si>
  <si>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</si>
  <si>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</si>
  <si>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</si>
  <si>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</si>
  <si>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</si>
  <si>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</si>
  <si>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</si>
  <si>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</si>
  <si>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</si>
  <si>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</si>
  <si>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</si>
  <si>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</si>
  <si>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</si>
  <si>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</si>
  <si>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</si>
  <si>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</si>
  <si>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</si>
  <si>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</si>
  <si>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</si>
  <si>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</si>
  <si>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</si>
  <si>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</si>
  <si>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</si>
  <si>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</si>
  <si>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</si>
  <si>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</si>
  <si>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</si>
  <si>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</si>
  <si>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</si>
  <si>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</si>
  <si>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</si>
  <si>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</si>
  <si>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</si>
  <si>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</si>
  <si>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</si>
  <si>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</si>
  <si>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</si>
  <si>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</si>
  <si>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</si>
  <si>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</si>
  <si>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</si>
  <si>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</si>
  <si>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</si>
  <si>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</si>
  <si>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</si>
  <si>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</si>
  <si>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</si>
  <si>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</si>
  <si>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</si>
  <si>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</si>
  <si>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</si>
  <si>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</si>
  <si>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</si>
  <si>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</si>
  <si>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</si>
  <si>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</si>
  <si>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</si>
  <si>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</si>
  <si>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</si>
  <si>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</si>
  <si>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</si>
  <si>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</si>
  <si>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</si>
  <si>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</si>
  <si>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</si>
  <si>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</si>
  <si>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</si>
  <si>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</si>
  <si>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</si>
  <si>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</si>
  <si>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</si>
  <si>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</si>
  <si>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</si>
  <si>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</si>
  <si>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</si>
  <si>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</si>
  <si>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</si>
  <si>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</si>
  <si>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</si>
  <si>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</si>
  <si>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</si>
  <si>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</si>
  <si>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</si>
  <si>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</si>
  <si>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</si>
  <si>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</si>
  <si>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</si>
  <si>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</si>
  <si>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</si>
  <si>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</si>
  <si>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</si>
  <si>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</si>
  <si>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</si>
  <si>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</si>
  <si>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</si>
  <si>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</si>
  <si>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</si>
  <si>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</si>
  <si>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</si>
  <si>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</si>
  <si>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</si>
  <si>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</si>
  <si>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</si>
  <si>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</si>
  <si>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</si>
  <si>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</si>
  <si>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</si>
  <si>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</si>
  <si>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</si>
  <si>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</si>
  <si>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</si>
  <si>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</si>
  <si>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</si>
  <si>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</si>
  <si>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</si>
  <si>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</si>
  <si>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</si>
  <si>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</si>
  <si>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</si>
  <si>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</si>
  <si>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</si>
  <si>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</si>
  <si>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</si>
  <si>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</si>
  <si>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</si>
  <si>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</si>
  <si>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</si>
  <si>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</si>
  <si>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</si>
  <si>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</si>
  <si>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</si>
  <si>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</si>
  <si>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</si>
  <si>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</si>
  <si>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</si>
  <si>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</si>
  <si>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</si>
  <si>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</si>
  <si>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</si>
  <si>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</si>
  <si>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</si>
  <si>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</si>
  <si>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</si>
  <si>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</si>
  <si>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</si>
  <si>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</si>
  <si>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</si>
  <si>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</si>
  <si>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</si>
  <si>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</si>
  <si>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</si>
  <si>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</si>
  <si>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</si>
  <si>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</si>
  <si>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</si>
  <si>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</si>
  <si>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</si>
  <si>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</si>
  <si>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</si>
  <si>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</si>
  <si>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</si>
  <si>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</si>
  <si>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</si>
  <si>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</si>
  <si>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</si>
  <si>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</si>
  <si>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</si>
  <si>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</si>
  <si>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</si>
  <si>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</si>
  <si>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</si>
  <si>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</si>
  <si>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</si>
  <si>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</si>
  <si>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</si>
  <si>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</si>
  <si>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</si>
  <si>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</si>
  <si>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</si>
  <si>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</si>
  <si>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</si>
  <si>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</si>
  <si>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</si>
  <si>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</si>
  <si>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</si>
  <si>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</si>
  <si>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</si>
  <si>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</si>
  <si>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</si>
  <si>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</si>
  <si>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</si>
  <si>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</si>
  <si>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</si>
  <si>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</si>
  <si>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</si>
  <si>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</si>
  <si>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</si>
  <si>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</si>
  <si>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</si>
  <si>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</si>
  <si>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</si>
  <si>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</si>
  <si>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</si>
  <si>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</si>
  <si>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</si>
  <si>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</si>
  <si>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</si>
  <si>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</si>
  <si>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</si>
  <si>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</si>
  <si>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</si>
  <si>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</si>
  <si>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</si>
  <si>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</si>
  <si>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</si>
  <si>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</si>
  <si>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</si>
  <si>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</si>
  <si>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</si>
  <si>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</si>
  <si>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</si>
  <si>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</si>
  <si>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</si>
  <si>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</si>
  <si>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</si>
  <si>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</si>
  <si>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</si>
  <si>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</si>
  <si>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</si>
  <si>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MARIO ZAPATA</t>
  </si>
  <si>
    <t>+569 4510 6187</t>
  </si>
  <si>
    <t>CUB C/R 90°</t>
  </si>
  <si>
    <t>LAMINA CHICA</t>
  </si>
  <si>
    <t>N° 11882</t>
  </si>
  <si>
    <t>COLOR MADERA CAFÉ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</si>
</sst>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opLeftCell="A3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289</v>
      </c>
      <c r="D10" s="243"/>
      <c r="E10" s="243"/>
      <c r="F10" s="416" t="s">
        <v>277</v>
      </c>
      <c r="G10" s="275">
        <v>46063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18"/>
      <c r="F11" s="29" t="s">
        <v>286</v>
      </c>
      <c r="G11" s="419" t="s">
        <v>288</v>
      </c>
      <c r="H11" s="420"/>
      <c r="Q11" s="19"/>
      <c r="R11" s="25" t="s">
        <v>18</v>
      </c>
      <c r="S11" s="19"/>
    </row>
    <row r="12" spans="2:24" x14ac:dyDescent="0.3">
      <c r="B12" s="245" t="s">
        <v>142</v>
      </c>
      <c r="C12" s="415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7" t="s">
        <v>143</v>
      </c>
      <c r="F13" s="29" t="s">
        <v>134</v>
      </c>
      <c r="G13" s="421" t="s">
        <v>133</v>
      </c>
      <c r="H13" s="420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7" t="s">
        <v>4</v>
      </c>
      <c r="C15" s="422" t="s">
        <v>290</v>
      </c>
      <c r="D15" s="423"/>
      <c r="F15" s="29" t="s">
        <v>284</v>
      </c>
      <c r="G15" s="75" t="s">
        <v>133</v>
      </c>
      <c r="H15" s="420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2" t="s">
        <v>95</v>
      </c>
      <c r="C19" s="433"/>
      <c r="D19" s="433"/>
      <c r="E19" s="433"/>
      <c r="F19" s="433"/>
      <c r="G19" s="433"/>
      <c r="H19" s="434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65853.333333333343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313" t="s">
        <v>291</v>
      </c>
      <c r="D21" s="429">
        <v>1.45</v>
      </c>
      <c r="E21" s="429">
        <v>0.5</v>
      </c>
      <c r="F21" s="313" t="s">
        <v>294</v>
      </c>
      <c r="G21" s="314">
        <f>Q21</f>
        <v>49390.000000000007</v>
      </c>
      <c r="H21" s="430">
        <f>G21*B21</f>
        <v>49390.000000000007</v>
      </c>
      <c r="I21" s="306"/>
      <c r="J21" s="264"/>
      <c r="K21" s="47"/>
      <c r="L21" s="47">
        <f>B21</f>
        <v>1</v>
      </c>
      <c r="M21" s="39">
        <f>D21+M$19</f>
        <v>1.5</v>
      </c>
      <c r="N21" s="39">
        <f>E21+$N$19</f>
        <v>0.5</v>
      </c>
      <c r="O21" s="260">
        <f t="shared" ref="O21" si="0">M21*N21</f>
        <v>0.75</v>
      </c>
      <c r="P21" s="258">
        <f t="shared" ref="P21" si="1">O21*L21</f>
        <v>0.75</v>
      </c>
      <c r="Q21" s="251">
        <f t="shared" ref="Q21" si="2">Q$20*O21</f>
        <v>49390.000000000007</v>
      </c>
      <c r="R21" s="305">
        <f t="shared" ref="R21" si="3">Q21+R$20</f>
        <v>52390.000000000007</v>
      </c>
      <c r="S21" s="290">
        <f>M21*L21</f>
        <v>1.5</v>
      </c>
      <c r="T21" s="46">
        <f>N21*2*L21*2</f>
        <v>2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49390.000000000007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SUM(T21:T22)</f>
        <v>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H23*0.19</f>
        <v>9384.1000000000022</v>
      </c>
      <c r="I24" s="308"/>
      <c r="J24" s="264"/>
      <c r="K24" s="47"/>
      <c r="L24" s="47"/>
      <c r="M24" s="39">
        <f>SUM(M22:M23)</f>
        <v>0</v>
      </c>
      <c r="N24" s="12"/>
      <c r="O24" s="12"/>
      <c r="P24" s="252">
        <f>SUM(P21:P21)</f>
        <v>0.75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H24+H23</f>
        <v>58774.100000000006</v>
      </c>
      <c r="I25" s="308"/>
      <c r="J25" s="264"/>
      <c r="K25" s="47"/>
      <c r="L25" s="47"/>
      <c r="M25" s="39"/>
      <c r="N25" s="12"/>
      <c r="O25" s="12"/>
      <c r="P25" s="252">
        <f>P24</f>
        <v>0.75</v>
      </c>
      <c r="Q25" s="14"/>
      <c r="R25" s="12"/>
      <c r="S25" s="239">
        <f>SUM(S21:S24)</f>
        <v>1.5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0.15000000000000002</v>
      </c>
      <c r="Q26" s="39" t="s">
        <v>129</v>
      </c>
      <c r="R26" s="42"/>
      <c r="S26" s="240">
        <f>S25+T23</f>
        <v>3.5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0.9</v>
      </c>
      <c r="Q27" s="14"/>
      <c r="R27" s="14"/>
      <c r="S27" s="238">
        <f>S26*20%</f>
        <v>0.70000000000000007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4.2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0.9</v>
      </c>
      <c r="N29" s="12">
        <v>3500</v>
      </c>
      <c r="O29" s="12">
        <f t="shared" ref="O29:O34" si="4">M29*N29</f>
        <v>3150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0.3</v>
      </c>
      <c r="N30" s="12">
        <v>23500</v>
      </c>
      <c r="O30" s="12">
        <f t="shared" si="4"/>
        <v>7050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0.5</v>
      </c>
      <c r="N32" s="249">
        <v>20000</v>
      </c>
      <c r="O32" s="12">
        <f t="shared" si="4"/>
        <v>10000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1.5</v>
      </c>
      <c r="N34" s="12">
        <v>1500</v>
      </c>
      <c r="O34" s="12">
        <f t="shared" si="4"/>
        <v>2250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22450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49390.000000000007</v>
      </c>
      <c r="P36" s="14" t="s">
        <v>138</v>
      </c>
      <c r="Q36" s="14"/>
      <c r="R36" s="40">
        <f>P27/R35</f>
        <v>0.24266609145815357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70970</v>
      </c>
      <c r="L37" s="249"/>
      <c r="M37" s="14"/>
      <c r="N37" s="12"/>
      <c r="O37" s="12">
        <f>O36/P25</f>
        <v>65853.333333333343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59638.655462184877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31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46063</v>
      </c>
    </row>
    <row r="6" spans="2:31" ht="16.2" thickBot="1" x14ac:dyDescent="0.35">
      <c r="B6" s="140" t="s">
        <v>2</v>
      </c>
      <c r="C6" s="139" t="str">
        <f>'2229'!C10</f>
        <v>MARIO ZAPATA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6" t="s">
        <v>98</v>
      </c>
      <c r="I7" s="437"/>
      <c r="J7" s="437"/>
      <c r="K7" s="438"/>
      <c r="N7" s="75"/>
      <c r="O7" s="43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5527.7082998792257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49390.000000000007</v>
      </c>
      <c r="E11" s="132">
        <f>D11*0.19</f>
        <v>9384.1000000000022</v>
      </c>
      <c r="F11" s="131">
        <f>E11+D11</f>
        <v>58774.100000000006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111517.70829987923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50034.090787439614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93517.708299879232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-644.09078743960708</v>
      </c>
      <c r="E13" s="221">
        <f>(D11/D12)-1</f>
        <v>-1.287303870826606E-2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84517.708299879232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45517.708299879225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82556.249799275363</v>
      </c>
      <c r="F15" s="216">
        <f>E15-D12</f>
        <v>32522.159011835749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45517.708299879225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85517.708299879232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292</v>
      </c>
      <c r="D19" s="122">
        <f>'2229'!O32</f>
        <v>10000</v>
      </c>
      <c r="E19" s="123">
        <f>D19*0.19</f>
        <v>1900</v>
      </c>
      <c r="F19" s="120">
        <f>SUM(D19:E19)</f>
        <v>11900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431"/>
      <c r="W19" s="431"/>
      <c r="X19" s="106"/>
    </row>
    <row r="20" spans="1:31" x14ac:dyDescent="0.3">
      <c r="C20" s="79" t="s">
        <v>31</v>
      </c>
      <c r="D20" s="122">
        <f>'2229'!O30</f>
        <v>7050</v>
      </c>
      <c r="E20" s="123">
        <f>D20*0.19</f>
        <v>1339.5</v>
      </c>
      <c r="F20" s="120">
        <f>SUM(D20:E20)</f>
        <v>8389.5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'2229'!O29</f>
        <v>3150</v>
      </c>
      <c r="E21" s="121">
        <f>D21*0.19</f>
        <v>598.5</v>
      </c>
      <c r="F21" s="120">
        <f>SUM(D21:E21)</f>
        <v>3748.5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20200</v>
      </c>
      <c r="E22" s="116">
        <f>SUM(E18:E21)</f>
        <v>3838</v>
      </c>
      <c r="F22" s="115">
        <f>SUM(F18:F21)</f>
        <v>24038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5546.1000000000022</v>
      </c>
    </row>
    <row r="42" spans="1:16" ht="15" thickBot="1" x14ac:dyDescent="0.35">
      <c r="H42" s="439" t="s">
        <v>60</v>
      </c>
      <c r="I42" s="440"/>
      <c r="J42" s="440"/>
      <c r="K42" s="440"/>
      <c r="L42" s="440"/>
      <c r="M42" s="441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49390.000000000007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20200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-644.09078743960708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-644.09078743960708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11882</v>
      </c>
      <c r="E8" s="138"/>
      <c r="F8" s="318" t="s">
        <v>165</v>
      </c>
      <c r="G8" s="319">
        <v>7385</v>
      </c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MARIO ZAPATA</v>
      </c>
      <c r="D10" s="350"/>
      <c r="E10" s="350"/>
      <c r="F10" s="351" t="s">
        <v>167</v>
      </c>
      <c r="G10" s="352">
        <f>'2229'!G10</f>
        <v>46063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+569 4510 6187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2" t="s">
        <v>175</v>
      </c>
      <c r="G17" s="442"/>
      <c r="H17" s="443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4" t="s">
        <v>176</v>
      </c>
      <c r="C20" s="445"/>
      <c r="D20" s="445"/>
      <c r="E20" s="445"/>
      <c r="F20" s="445"/>
      <c r="G20" s="445"/>
      <c r="H20" s="446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90°</v>
      </c>
      <c r="D22" s="321">
        <f>'2229'!D21*1000</f>
        <v>1450</v>
      </c>
      <c r="E22" s="321">
        <f>'2229'!E21*1000</f>
        <v>500</v>
      </c>
      <c r="F22" s="322" t="str">
        <f>'2229'!F21</f>
        <v>COLOR MADERA CAFÉ STOCK</v>
      </c>
      <c r="G22" s="314">
        <f>'2229'!G21</f>
        <v>49390.000000000007</v>
      </c>
      <c r="H22" s="323">
        <f>G22*B22</f>
        <v>49390.000000000007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49390.000000000007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9384.1000000000022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58774.100000000006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E9" sqref="E9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7" t="s">
        <v>182</v>
      </c>
      <c r="C2" s="447"/>
      <c r="D2" s="447"/>
      <c r="E2" s="361"/>
      <c r="G2" s="447" t="s">
        <v>183</v>
      </c>
      <c r="H2" s="447"/>
      <c r="I2" s="447"/>
      <c r="P2" s="448" t="s">
        <v>184</v>
      </c>
      <c r="Q2" s="448"/>
      <c r="R2" s="448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8" t="s">
        <v>184</v>
      </c>
      <c r="M8" s="448"/>
      <c r="N8" s="448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3" t="s">
        <v>265</v>
      </c>
      <c r="L3" s="453"/>
      <c r="M3" s="453" t="s">
        <v>266</v>
      </c>
      <c r="N3" s="453"/>
    </row>
    <row r="4" spans="1:14" ht="15.75" customHeight="1" x14ac:dyDescent="0.3">
      <c r="A4" s="138"/>
      <c r="B4" s="138"/>
      <c r="C4" s="370" t="s">
        <v>165</v>
      </c>
      <c r="D4" s="140">
        <f>IF('NOTA DE VENTA'!$G$8="","",'NOTA DE VENTA'!$G$8)</f>
        <v>7385</v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MARIO ZAPATA</v>
      </c>
      <c r="E5" s="320"/>
      <c r="F5" s="320"/>
      <c r="G5" s="138"/>
      <c r="K5">
        <f>LOOKUP(F14,REGLAS!$I$4:$I$37,REGLAS!$G$4:$G$37)+J14</f>
        <v>1500</v>
      </c>
      <c r="L5">
        <f>LOOKUP(F14,REGLAS!$I$4:$I$37,REGLAS!$H$4:$H$37)+K14</f>
        <v>470</v>
      </c>
      <c r="M5">
        <f>LOOKUP(F14,REGLAS!$D$4:$D$37,REGLAS!$B$4:$B$37)+J21</f>
        <v>1490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4">
        <f>'NOTA DE VENTA'!$G$10</f>
        <v>46063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3">
        <f>'NOTA DE VENTA'!$G$11</f>
        <v>46070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4" t="s">
        <v>265</v>
      </c>
      <c r="B10" s="454"/>
      <c r="C10" s="454"/>
      <c r="D10" s="454"/>
      <c r="E10" s="454"/>
      <c r="F10" s="454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50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1500</v>
      </c>
      <c r="E14" s="382">
        <f>LOOKUP(F14,REGLAS!$I$4:$I$37,REGLAS!$H$4:$H$37)+K14</f>
        <v>470</v>
      </c>
      <c r="F14" s="383" t="str">
        <f>C27</f>
        <v>CUB C/R 90°</v>
      </c>
      <c r="G14" s="138"/>
      <c r="I14" s="384">
        <f>I21</f>
        <v>1</v>
      </c>
      <c r="J14" s="150">
        <f t="shared" ref="J14:K14" si="1">D27</f>
        <v>1450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4" t="s">
        <v>266</v>
      </c>
      <c r="B17" s="454"/>
      <c r="C17" s="454"/>
      <c r="D17" s="454"/>
      <c r="E17" s="454"/>
      <c r="F17" s="454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1490</v>
      </c>
      <c r="E21" s="389">
        <v>630</v>
      </c>
      <c r="F21" s="390" t="str">
        <f>C27</f>
        <v>CUB C/R 90°</v>
      </c>
      <c r="G21" s="138"/>
      <c r="I21" s="384">
        <f>B27</f>
        <v>1</v>
      </c>
      <c r="J21" s="150">
        <f>D27</f>
        <v>1450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B49</f>
        <v>1</v>
      </c>
      <c r="C27" s="381" t="str">
        <f t="shared" ref="C27:F27" si="3">C49</f>
        <v>CUB C/R 90°</v>
      </c>
      <c r="D27" s="381">
        <f t="shared" si="3"/>
        <v>1450</v>
      </c>
      <c r="E27" s="381">
        <f t="shared" si="3"/>
        <v>500</v>
      </c>
      <c r="F27" s="381" t="str">
        <f t="shared" si="3"/>
        <v>COLOR MADERA CAFÉ STOCK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4" t="s">
        <v>272</v>
      </c>
      <c r="B45" s="454"/>
      <c r="C45" s="454"/>
      <c r="D45" s="454"/>
      <c r="E45" s="454"/>
      <c r="F45" s="454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9" t="s">
        <v>95</v>
      </c>
      <c r="C47" s="450"/>
      <c r="D47" s="451"/>
      <c r="E47" s="451"/>
      <c r="F47" s="452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'NOTA DE VENTA'!B22</f>
        <v>1</v>
      </c>
      <c r="C49" s="400" t="str">
        <f>'NOTA DE VENTA'!C22</f>
        <v>CUB C/R 90°</v>
      </c>
      <c r="D49" s="400">
        <f>'NOTA DE VENTA'!D22</f>
        <v>1450</v>
      </c>
      <c r="E49" s="400">
        <f>'NOTA DE VENTA'!E22</f>
        <v>500</v>
      </c>
      <c r="F49" s="400" t="str">
        <f>'NOTA DE VENTA'!F22</f>
        <v>COLOR MADERA CAFÉ STOCK</v>
      </c>
      <c r="G49" s="138"/>
    </row>
    <row r="50" spans="1:7" s="59" customFormat="1" ht="15" customHeight="1" x14ac:dyDescent="0.3">
      <c r="A50" s="391"/>
      <c r="B50" s="333"/>
      <c r="C50" s="401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2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tabSelected="1"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275</v>
      </c>
      <c r="B1" s="412" t="s">
        <v>276</v>
      </c>
      <c r="C1" s="411" t="s">
        <v>277</v>
      </c>
      <c r="D1" s="411" t="s">
        <v>278</v>
      </c>
      <c r="E1" s="411" t="s">
        <v>279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280</v>
      </c>
      <c r="L1" s="413" t="s">
        <v>281</v>
      </c>
      <c r="M1" s="411" t="s">
        <v>282</v>
      </c>
    </row>
    <row r="2" spans="1:13" x14ac:dyDescent="0.3">
      <c r="A2">
        <f>'NOTA DE VENTA'!$G$8</f>
        <v>7385</v>
      </c>
      <c r="B2" t="str">
        <f>'NOTA DE VENTA'!$D$8</f>
        <v>N° 11882</v>
      </c>
      <c r="C2" s="1">
        <f>'NOTA DE VENTA'!$G$10</f>
        <v>46063</v>
      </c>
      <c r="D2" s="1">
        <f>'NOTA DE VENTA'!$G$11</f>
        <v>46070</v>
      </c>
      <c r="E2" t="str">
        <f>'NOTA DE VENTA'!$C$10</f>
        <v>MARIO ZAPATA</v>
      </c>
      <c r="F2" t="str">
        <f>'NOTA DE VENTA'!$C$22</f>
        <v>CUB C/R 90°</v>
      </c>
      <c r="G2" t="str">
        <f>'NOTA DE VENTA'!$F$22</f>
        <v>COLOR MADERA CAFÉ STOCK</v>
      </c>
      <c r="H2" s="414">
        <f>'NOTA DE VENTA'!$H$25</f>
        <v>49390.000000000007</v>
      </c>
      <c r="I2" s="414">
        <f>H2*0.19</f>
        <v>9384.1000000000022</v>
      </c>
      <c r="J2" s="414">
        <f>I2+H2</f>
        <v>58774.100000000006</v>
      </c>
      <c r="L2" s="61">
        <f>J2-K2</f>
        <v>58774.100000000006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2026-02-05T11:52:42Z</cp:lastPrinted>
  <dcterms:created xsi:type="dcterms:W3CDTF">2013-03-18T13:35:42Z</dcterms:created>
  <dcterms:modified xsi:type="dcterms:W3CDTF">2026-02-10T18:41:40Z</dcterms:modified>
</cp:coreProperties>
</file>