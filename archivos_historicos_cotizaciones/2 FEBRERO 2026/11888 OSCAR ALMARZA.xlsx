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2 FEBRERO 2026\"/>
    </mc:Choice>
  </mc:AlternateContent>
  <xr:revisionPtr revIDLastSave="0" documentId="13_ncr:1_{BC9AEA7C-1DCF-43F8-91F4-6A6B0886CD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" l="1"/>
  <c r="H35" i="1"/>
  <c r="M34" i="1"/>
  <c r="O34" i="1" s="1"/>
  <c r="P34" i="1" s="1"/>
  <c r="M32" i="1"/>
  <c r="O32" i="1" s="1"/>
  <c r="P32" i="1" s="1"/>
  <c r="M33" i="1"/>
  <c r="O33" i="1" s="1"/>
  <c r="P33" i="1" s="1"/>
  <c r="M29" i="1"/>
  <c r="M30" i="1"/>
  <c r="S30" i="1" s="1"/>
  <c r="M31" i="1"/>
  <c r="S31" i="1" s="1"/>
  <c r="N33" i="1"/>
  <c r="N32" i="1"/>
  <c r="L35" i="1"/>
  <c r="L34" i="1"/>
  <c r="L33" i="1"/>
  <c r="L32" i="1"/>
  <c r="N31" i="1"/>
  <c r="N30" i="1"/>
  <c r="N29" i="1"/>
  <c r="N28" i="1"/>
  <c r="L31" i="1"/>
  <c r="L30" i="1"/>
  <c r="L29" i="1"/>
  <c r="L28" i="1"/>
  <c r="M28" i="1"/>
  <c r="L22" i="1"/>
  <c r="M22" i="1"/>
  <c r="N22" i="1"/>
  <c r="L23" i="1"/>
  <c r="M23" i="1"/>
  <c r="N23" i="1"/>
  <c r="L24" i="1"/>
  <c r="M24" i="1"/>
  <c r="N24" i="1"/>
  <c r="L25" i="1"/>
  <c r="M25" i="1"/>
  <c r="N25" i="1"/>
  <c r="L26" i="1"/>
  <c r="M26" i="1"/>
  <c r="N26" i="1"/>
  <c r="L27" i="1"/>
  <c r="M27" i="1"/>
  <c r="N27" i="1"/>
  <c r="L21" i="1"/>
  <c r="N5" i="6"/>
  <c r="A2" i="7"/>
  <c r="O29" i="1" l="1"/>
  <c r="P29" i="1" s="1"/>
  <c r="O30" i="1"/>
  <c r="P30" i="1" s="1"/>
  <c r="S33" i="1"/>
  <c r="S29" i="1"/>
  <c r="S34" i="1"/>
  <c r="S32" i="1"/>
  <c r="O31" i="1"/>
  <c r="P31" i="1" s="1"/>
  <c r="O22" i="1"/>
  <c r="P22" i="1" s="1"/>
  <c r="S26" i="1"/>
  <c r="S22" i="1"/>
  <c r="S24" i="1"/>
  <c r="S23" i="1"/>
  <c r="O28" i="1"/>
  <c r="P28" i="1" s="1"/>
  <c r="S28" i="1"/>
  <c r="S27" i="1"/>
  <c r="S25" i="1"/>
  <c r="O27" i="1"/>
  <c r="P27" i="1" s="1"/>
  <c r="O26" i="1"/>
  <c r="P26" i="1" s="1"/>
  <c r="O25" i="1"/>
  <c r="P25" i="1" s="1"/>
  <c r="O24" i="1"/>
  <c r="P24" i="1" s="1"/>
  <c r="O23" i="1"/>
  <c r="P23" i="1" s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T21" i="1" s="1"/>
  <c r="K5" i="6" l="1"/>
  <c r="D14" i="6"/>
  <c r="E14" i="6"/>
  <c r="E21" i="6"/>
  <c r="D21" i="6"/>
  <c r="L5" i="6"/>
  <c r="M5" i="6"/>
  <c r="D2" i="7"/>
  <c r="D8" i="6"/>
  <c r="M21" i="1"/>
  <c r="S21" i="1" s="1"/>
  <c r="M38" i="1" l="1"/>
  <c r="S39" i="1"/>
  <c r="T37" i="1"/>
  <c r="O21" i="1"/>
  <c r="P21" i="1" s="1"/>
  <c r="P38" i="1" s="1"/>
  <c r="K52" i="1"/>
  <c r="S40" i="1" l="1"/>
  <c r="S41" i="1" s="1"/>
  <c r="S42" i="1" s="1"/>
  <c r="V45" i="1"/>
  <c r="V46" i="1" s="1"/>
  <c r="P39" i="1" l="1"/>
  <c r="N20" i="1"/>
  <c r="L20" i="1"/>
  <c r="P40" i="1" l="1"/>
  <c r="P41" i="1" s="1"/>
  <c r="M43" i="1" s="1"/>
  <c r="O45" i="1"/>
  <c r="R49" i="1"/>
  <c r="R50" i="1" l="1"/>
  <c r="O44" i="1" s="1"/>
  <c r="O46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8" i="1"/>
  <c r="O47" i="1"/>
  <c r="F18" i="3" l="1"/>
  <c r="O43" i="1" l="1"/>
  <c r="O49" i="1" s="1"/>
  <c r="O50" i="1" s="1"/>
  <c r="D20" i="3" l="1"/>
  <c r="E20" i="3" s="1"/>
  <c r="E21" i="3" s="1"/>
  <c r="O51" i="1" l="1"/>
  <c r="Q20" i="1" s="1"/>
  <c r="D21" i="3"/>
  <c r="M43" i="3" s="1"/>
  <c r="D12" i="3" s="1"/>
  <c r="F20" i="3"/>
  <c r="F21" i="3" s="1"/>
  <c r="Q28" i="1" l="1"/>
  <c r="R28" i="1" s="1"/>
  <c r="Q31" i="1"/>
  <c r="R31" i="1" s="1"/>
  <c r="G31" i="1" s="1"/>
  <c r="H31" i="1" s="1"/>
  <c r="Q30" i="1"/>
  <c r="R30" i="1" s="1"/>
  <c r="G30" i="1" s="1"/>
  <c r="H30" i="1" s="1"/>
  <c r="Q34" i="1"/>
  <c r="R34" i="1" s="1"/>
  <c r="Q33" i="1"/>
  <c r="R33" i="1" s="1"/>
  <c r="H33" i="1" s="1"/>
  <c r="Q29" i="1"/>
  <c r="R29" i="1" s="1"/>
  <c r="G29" i="1" s="1"/>
  <c r="H29" i="1" s="1"/>
  <c r="Q32" i="1"/>
  <c r="R32" i="1" s="1"/>
  <c r="H32" i="1" s="1"/>
  <c r="Q23" i="1"/>
  <c r="R23" i="1" s="1"/>
  <c r="Q24" i="1"/>
  <c r="Q25" i="1"/>
  <c r="Q26" i="1"/>
  <c r="Q27" i="1"/>
  <c r="Q22" i="1"/>
  <c r="O52" i="1"/>
  <c r="E15" i="3"/>
  <c r="G23" i="1" l="1"/>
  <c r="H23" i="1" s="1"/>
  <c r="G28" i="1"/>
  <c r="H28" i="1" s="1"/>
  <c r="R27" i="1"/>
  <c r="R26" i="1"/>
  <c r="R25" i="1"/>
  <c r="R22" i="1"/>
  <c r="R24" i="1"/>
  <c r="Q21" i="1"/>
  <c r="F15" i="3"/>
  <c r="G22" i="1" l="1"/>
  <c r="H22" i="1" s="1"/>
  <c r="G25" i="1"/>
  <c r="H25" i="1" s="1"/>
  <c r="G26" i="1"/>
  <c r="H26" i="1" s="1"/>
  <c r="G24" i="1"/>
  <c r="H24" i="1" s="1"/>
  <c r="G27" i="1"/>
  <c r="H27" i="1" s="1"/>
  <c r="R21" i="1"/>
  <c r="G21" i="1" s="1"/>
  <c r="H21" i="1" l="1"/>
  <c r="H37" i="1" s="1"/>
  <c r="H39" i="1" l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<sst xmlns="http://schemas.openxmlformats.org/spreadsheetml/2006/main" count="514" uniqueCount="296">
  <si>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</si>
  <si>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</si>
  <si>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</si>
  <si>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</si>
  <si>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</si>
  <si>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</si>
  <si>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</si>
  <si>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</si>
  <si>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</si>
  <si>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</si>
  <si>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</si>
  <si>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</si>
  <si>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</si>
  <si>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</si>
  <si>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</si>
  <si>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</si>
  <si>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</si>
  <si>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</si>
  <si>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</si>
  <si>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</si>
  <si>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</si>
  <si>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</si>
  <si>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</si>
  <si>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</si>
  <si>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</si>
  <si>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</si>
  <si>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</si>
  <si>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</si>
  <si>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</si>
  <si>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</si>
  <si>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</si>
  <si>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</si>
  <si>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</si>
  <si>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</si>
  <si>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</si>
  <si>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</si>
  <si>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</si>
  <si>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</si>
  <si>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</si>
  <si>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</si>
  <si>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</si>
  <si>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</si>
  <si>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</si>
  <si>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</si>
  <si>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</si>
  <si>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</si>
  <si>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</si>
  <si>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</si>
  <si>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</si>
  <si>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</si>
  <si>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</si>
  <si>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</si>
  <si>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</si>
  <si>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</si>
  <si>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</si>
  <si>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</si>
  <si>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</si>
  <si>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</si>
  <si>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</si>
  <si>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</si>
  <si>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</si>
  <si>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</si>
  <si>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</si>
  <si>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</si>
  <si>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</si>
  <si>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</si>
  <si>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</si>
  <si>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</si>
  <si>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</si>
  <si>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</si>
  <si>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</si>
  <si>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</si>
  <si>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</si>
  <si>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</si>
  <si>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</si>
  <si>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</si>
  <si>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</si>
  <si>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</si>
  <si>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</si>
  <si>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</si>
  <si>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</si>
  <si>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</si>
  <si>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</si>
  <si>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</si>
  <si>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</si>
  <si>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</si>
  <si>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</si>
  <si>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</si>
  <si>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</si>
  <si>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</si>
  <si>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</si>
  <si>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</si>
  <si>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</si>
  <si>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</si>
  <si>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</si>
  <si>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</si>
  <si>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</si>
  <si>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</si>
  <si>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</si>
  <si>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</si>
  <si>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</si>
  <si>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</si>
  <si>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</si>
  <si>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</si>
  <si>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</si>
  <si>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</si>
  <si>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</si>
  <si>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</si>
  <si>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</si>
  <si>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</si>
  <si>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</si>
  <si>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</si>
  <si>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</si>
  <si>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</si>
  <si>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</si>
  <si>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</si>
  <si>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</si>
  <si>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</si>
  <si>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</si>
  <si>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</si>
  <si>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</si>
  <si>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</si>
  <si>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</si>
  <si>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</si>
  <si>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</si>
  <si>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</si>
  <si>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</si>
  <si>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</si>
  <si>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</si>
  <si>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</si>
  <si>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</si>
  <si>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</si>
  <si>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</si>
  <si>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</si>
  <si>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</si>
  <si>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</si>
  <si>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</si>
  <si>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</si>
  <si>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</si>
  <si>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</si>
  <si>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</si>
  <si>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</si>
  <si>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</si>
  <si>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</si>
  <si>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</si>
  <si>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</si>
  <si>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</si>
  <si>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</si>
  <si>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</si>
  <si>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</si>
  <si>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</si>
  <si>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</si>
  <si>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</si>
  <si>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</si>
  <si>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</si>
  <si>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</si>
  <si>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</si>
  <si>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</si>
  <si>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</si>
  <si>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</si>
  <si>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</si>
  <si>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</si>
  <si>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</si>
  <si>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</si>
  <si>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</si>
  <si>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</si>
  <si>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</si>
  <si>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</si>
  <si>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</si>
  <si>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</si>
  <si>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</si>
  <si>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</si>
  <si>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</si>
  <si>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</si>
  <si>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</si>
  <si>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</si>
  <si>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</si>
  <si>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</si>
  <si>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</si>
  <si>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</si>
  <si>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</si>
  <si>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</si>
  <si>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</si>
  <si>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</si>
  <si>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</si>
  <si>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</si>
  <si>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</si>
  <si>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</si>
  <si>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</si>
  <si>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</si>
  <si>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</si>
  <si>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</si>
  <si>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</si>
  <si>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</si>
  <si>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</si>
  <si>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</si>
  <si>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</si>
  <si>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</si>
  <si>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</si>
  <si>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</si>
  <si>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</si>
  <si>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</si>
  <si>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</si>
  <si>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</si>
  <si>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</si>
  <si>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</si>
  <si>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</si>
  <si>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</si>
  <si>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</si>
  <si>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</si>
  <si>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</si>
  <si>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</si>
  <si>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</si>
  <si>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</si>
  <si>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</si>
  <si>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</si>
  <si>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</si>
  <si>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</si>
  <si>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</si>
  <si>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</si>
  <si>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</si>
  <si>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</si>
  <si>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</si>
  <si>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</si>
  <si>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</si>
  <si>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</si>
  <si>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</si>
  <si>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</si>
  <si>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</si>
  <si>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</si>
  <si>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</si>
  <si>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</si>
  <si>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</si>
  <si>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</si>
  <si>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</si>
  <si>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</si>
  <si>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</si>
  <si>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</si>
  <si>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</si>
  <si>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</si>
  <si>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</si>
  <si>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</si>
  <si>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</si>
  <si>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</si>
  <si>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</si>
  <si>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</si>
  <si>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</si>
  <si>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</si>
  <si>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</si>
  <si>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</si>
  <si>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</si>
  <si>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</si>
  <si>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</si>
  <si>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</si>
  <si>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</si>
  <si>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</si>
  <si>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</si>
  <si>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</si>
  <si>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</si>
  <si>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</si>
  <si>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</si>
  <si>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</si>
  <si>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</si>
  <si>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</si>
  <si>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</si>
  <si>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</si>
  <si>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</si>
  <si>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</si>
  <si>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</si>
  <si>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</si>
  <si>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</si>
  <si>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</si>
  <si>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</si>
  <si>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</si>
  <si>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</si>
  <si>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</si>
  <si>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</si>
  <si>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</si>
  <si>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</si>
  <si>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</si>
  <si>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</si>
  <si>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</si>
  <si>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</si>
  <si>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</si>
  <si>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</si>
  <si>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</si>
  <si>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</si>
  <si>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</si>
  <si>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</si>
  <si>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N° 11888</t>
  </si>
  <si>
    <t>OSCAR ALMARZA</t>
  </si>
  <si>
    <t>+569 4577 9682</t>
  </si>
  <si>
    <t>DUSKBERG MARBLE 40476 SF</t>
  </si>
  <si>
    <t>CORNISAS 90° R6</t>
  </si>
  <si>
    <t>CENEFAS R6 1V</t>
  </si>
  <si>
    <t>HUINCHAS DE ZOCALO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</si>
</sst>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0" fontId="30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167" fontId="0" fillId="0" borderId="0" xfId="0" applyNumberFormat="1" applyFill="1"/>
    <xf numFmtId="166" fontId="3" fillId="0" borderId="0" xfId="0" applyNumberFormat="1" applyFont="1" applyFill="1"/>
    <xf numFmtId="167" fontId="0" fillId="3" borderId="0" xfId="0" applyNumberFormat="1" applyFill="1"/>
    <xf numFmtId="166" fontId="3" fillId="3" borderId="0" xfId="0" applyNumberFormat="1" applyFont="1" applyFill="1"/>
    <xf numFmtId="167" fontId="0" fillId="25" borderId="0" xfId="0" applyNumberFormat="1" applyFill="1"/>
    <xf numFmtId="166" fontId="3" fillId="25" borderId="0" xfId="0" applyNumberFormat="1" applyFont="1" applyFill="1"/>
    <xf numFmtId="0" fontId="30" fillId="0" borderId="1" xfId="0" applyFont="1" applyFill="1" applyBorder="1" applyAlignment="1">
      <alignment horizontal="center" vertical="center"/>
    </xf>
    <xf numFmtId="0" fontId="39" fillId="0" borderId="1" xfId="0" applyFont="1" applyFill="1" applyBorder="1" applyAlignment="1">
      <alignment horizontal="center" vertical="center"/>
    </xf>
    <xf numFmtId="166" fontId="30" fillId="0" borderId="1" xfId="0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40</xdr:row>
      <xdr:rowOff>8194</xdr:rowOff>
    </xdr:from>
    <xdr:to>
      <xdr:col>8</xdr:col>
      <xdr:colOff>8193</xdr:colOff>
      <xdr:row>43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42</xdr:row>
      <xdr:rowOff>154305</xdr:rowOff>
    </xdr:from>
    <xdr:to>
      <xdr:col>7</xdr:col>
      <xdr:colOff>853440</xdr:colOff>
      <xdr:row>42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40</xdr:row>
      <xdr:rowOff>9525</xdr:rowOff>
    </xdr:from>
    <xdr:to>
      <xdr:col>5</xdr:col>
      <xdr:colOff>1745226</xdr:colOff>
      <xdr:row>43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35</xdr:row>
      <xdr:rowOff>214364</xdr:rowOff>
    </xdr:from>
    <xdr:to>
      <xdr:col>5</xdr:col>
      <xdr:colOff>1728839</xdr:colOff>
      <xdr:row>38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PUERTAS SE ENTREGAN CORTADAS A LA MEDIDA Y ENCHAPDAS CON TAPACANTO PVC 0,4MM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MELAMIL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94"/>
  <sheetViews>
    <sheetView tabSelected="1" topLeftCell="A4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289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290</v>
      </c>
      <c r="D10" s="243"/>
      <c r="E10" s="243"/>
      <c r="F10" s="418" t="s">
        <v>277</v>
      </c>
      <c r="G10" s="275">
        <v>46077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0" t="s">
        <v>291</v>
      </c>
      <c r="D15" s="424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2:25" ht="15" thickBot="1" x14ac:dyDescent="0.35">
      <c r="B17" s="425" t="s">
        <v>13</v>
      </c>
      <c r="C17" s="299" t="s">
        <v>287</v>
      </c>
      <c r="D17" s="300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3"/>
      <c r="J19" s="263"/>
      <c r="K19" s="5"/>
      <c r="L19" s="249"/>
      <c r="M19" s="14">
        <v>0.05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O51</f>
        <v>84227.065585880962</v>
      </c>
      <c r="R20" s="257">
        <v>2500</v>
      </c>
      <c r="S20" s="38"/>
      <c r="T20" s="14" t="s">
        <v>127</v>
      </c>
      <c r="U20" s="9"/>
      <c r="X20" s="4"/>
    </row>
    <row r="21" spans="2:25" ht="17.399999999999999" x14ac:dyDescent="0.3">
      <c r="B21" s="464">
        <v>2</v>
      </c>
      <c r="C21" s="465" t="s">
        <v>260</v>
      </c>
      <c r="D21" s="466">
        <v>0.7</v>
      </c>
      <c r="E21" s="466">
        <v>0.316</v>
      </c>
      <c r="F21" s="431" t="s">
        <v>292</v>
      </c>
      <c r="G21" s="434">
        <f>R21</f>
        <v>22461.814543853787</v>
      </c>
      <c r="H21" s="434">
        <f t="shared" ref="H21:H28" si="0">G21*B21</f>
        <v>44923.629087707573</v>
      </c>
      <c r="I21" s="306"/>
      <c r="J21" s="264"/>
      <c r="K21" s="47"/>
      <c r="L21" s="460">
        <f>B21</f>
        <v>2</v>
      </c>
      <c r="M21" s="461">
        <f>D21+M$19</f>
        <v>0.75</v>
      </c>
      <c r="N21" s="461">
        <f>E21+$N$19</f>
        <v>0.316</v>
      </c>
      <c r="O21" s="260">
        <f t="shared" ref="O21" si="1">M21*N21</f>
        <v>0.23699999999999999</v>
      </c>
      <c r="P21" s="258">
        <f t="shared" ref="P21" si="2">O21*L21</f>
        <v>0.47399999999999998</v>
      </c>
      <c r="Q21" s="251">
        <f t="shared" ref="Q21" si="3">Q$20*O21</f>
        <v>19961.814543853787</v>
      </c>
      <c r="R21" s="305">
        <f t="shared" ref="R21" si="4">Q21+R$20</f>
        <v>22461.814543853787</v>
      </c>
      <c r="S21" s="290">
        <f>M21*L21*2</f>
        <v>3</v>
      </c>
      <c r="T21" s="46">
        <f>N21*2*L21*2</f>
        <v>2.528</v>
      </c>
      <c r="U21" s="9"/>
      <c r="X21" s="4"/>
    </row>
    <row r="22" spans="2:25" ht="17.399999999999999" x14ac:dyDescent="0.3">
      <c r="B22" s="464">
        <v>1</v>
      </c>
      <c r="C22" s="465" t="s">
        <v>260</v>
      </c>
      <c r="D22" s="466">
        <v>0.7</v>
      </c>
      <c r="E22" s="466">
        <v>0.39</v>
      </c>
      <c r="F22" s="431" t="s">
        <v>292</v>
      </c>
      <c r="G22" s="434">
        <f t="shared" ref="G22:G31" si="5">R22</f>
        <v>27136.416683870179</v>
      </c>
      <c r="H22" s="434">
        <f t="shared" si="0"/>
        <v>27136.416683870179</v>
      </c>
      <c r="I22" s="306"/>
      <c r="J22" s="264"/>
      <c r="K22" s="47"/>
      <c r="L22" s="460">
        <f t="shared" ref="L22:L35" si="6">B22</f>
        <v>1</v>
      </c>
      <c r="M22" s="461">
        <f t="shared" ref="M22:M34" si="7">D22+M$19</f>
        <v>0.75</v>
      </c>
      <c r="N22" s="461">
        <f t="shared" ref="N22:N33" si="8">E22+$N$19</f>
        <v>0.39</v>
      </c>
      <c r="O22" s="260">
        <f t="shared" ref="O22:O28" si="9">M22*N22</f>
        <v>0.29249999999999998</v>
      </c>
      <c r="P22" s="258">
        <f t="shared" ref="P22:P28" si="10">O22*L22</f>
        <v>0.29249999999999998</v>
      </c>
      <c r="Q22" s="251">
        <f t="shared" ref="Q22:Q28" si="11">Q$20*O22</f>
        <v>24636.416683870179</v>
      </c>
      <c r="R22" s="305">
        <f t="shared" ref="R22:R28" si="12">Q22+R$20</f>
        <v>27136.416683870179</v>
      </c>
      <c r="S22" s="290">
        <f t="shared" ref="S22:S28" si="13">M22*L22*2</f>
        <v>1.5</v>
      </c>
      <c r="T22" s="46"/>
      <c r="U22" s="9"/>
      <c r="X22" s="4"/>
    </row>
    <row r="23" spans="2:25" ht="17.399999999999999" x14ac:dyDescent="0.3">
      <c r="B23" s="464">
        <v>2</v>
      </c>
      <c r="C23" s="465" t="s">
        <v>260</v>
      </c>
      <c r="D23" s="466">
        <v>0.29599999999999999</v>
      </c>
      <c r="E23" s="466">
        <v>0.3</v>
      </c>
      <c r="F23" s="431" t="s">
        <v>292</v>
      </c>
      <c r="G23" s="434">
        <f t="shared" si="5"/>
        <v>11242.769407814443</v>
      </c>
      <c r="H23" s="434">
        <f t="shared" si="0"/>
        <v>22485.538815628886</v>
      </c>
      <c r="I23" s="306"/>
      <c r="J23" s="264"/>
      <c r="K23" s="47"/>
      <c r="L23" s="462">
        <f t="shared" si="6"/>
        <v>2</v>
      </c>
      <c r="M23" s="463">
        <f t="shared" si="7"/>
        <v>0.34599999999999997</v>
      </c>
      <c r="N23" s="463">
        <f t="shared" si="8"/>
        <v>0.3</v>
      </c>
      <c r="O23" s="260">
        <f t="shared" si="9"/>
        <v>0.10379999999999999</v>
      </c>
      <c r="P23" s="258">
        <f t="shared" si="10"/>
        <v>0.20759999999999998</v>
      </c>
      <c r="Q23" s="251">
        <f t="shared" si="11"/>
        <v>8742.7694078144432</v>
      </c>
      <c r="R23" s="305">
        <f t="shared" si="12"/>
        <v>11242.769407814443</v>
      </c>
      <c r="S23" s="290">
        <f t="shared" si="13"/>
        <v>1.3839999999999999</v>
      </c>
      <c r="T23" s="46"/>
      <c r="U23" s="9"/>
      <c r="X23" s="4"/>
    </row>
    <row r="24" spans="2:25" ht="17.399999999999999" x14ac:dyDescent="0.3">
      <c r="B24" s="464">
        <v>1</v>
      </c>
      <c r="C24" s="465" t="s">
        <v>260</v>
      </c>
      <c r="D24" s="466">
        <v>0.7</v>
      </c>
      <c r="E24" s="466">
        <v>0.14599999999999999</v>
      </c>
      <c r="F24" s="431" t="s">
        <v>292</v>
      </c>
      <c r="G24" s="434">
        <f t="shared" si="5"/>
        <v>11722.863681653964</v>
      </c>
      <c r="H24" s="434">
        <f t="shared" si="0"/>
        <v>11722.863681653964</v>
      </c>
      <c r="I24" s="306"/>
      <c r="J24" s="264"/>
      <c r="K24" s="47"/>
      <c r="L24" s="462">
        <f t="shared" si="6"/>
        <v>1</v>
      </c>
      <c r="M24" s="463">
        <f t="shared" si="7"/>
        <v>0.75</v>
      </c>
      <c r="N24" s="463">
        <f t="shared" si="8"/>
        <v>0.14599999999999999</v>
      </c>
      <c r="O24" s="260">
        <f t="shared" si="9"/>
        <v>0.10949999999999999</v>
      </c>
      <c r="P24" s="258">
        <f t="shared" si="10"/>
        <v>0.10949999999999999</v>
      </c>
      <c r="Q24" s="251">
        <f t="shared" si="11"/>
        <v>9222.8636816539638</v>
      </c>
      <c r="R24" s="305">
        <f t="shared" si="12"/>
        <v>11722.863681653964</v>
      </c>
      <c r="S24" s="290">
        <f t="shared" si="13"/>
        <v>1.5</v>
      </c>
      <c r="T24" s="46"/>
      <c r="U24" s="9"/>
      <c r="X24" s="4"/>
    </row>
    <row r="25" spans="2:25" ht="17.399999999999999" x14ac:dyDescent="0.3">
      <c r="B25" s="464">
        <v>2</v>
      </c>
      <c r="C25" s="465" t="s">
        <v>260</v>
      </c>
      <c r="D25" s="466">
        <v>0.7</v>
      </c>
      <c r="E25" s="466">
        <v>0.27200000000000002</v>
      </c>
      <c r="F25" s="431" t="s">
        <v>292</v>
      </c>
      <c r="G25" s="434">
        <f t="shared" si="5"/>
        <v>19682.321379519719</v>
      </c>
      <c r="H25" s="434">
        <f t="shared" si="0"/>
        <v>39364.642759039438</v>
      </c>
      <c r="I25" s="306"/>
      <c r="J25" s="264"/>
      <c r="K25" s="47"/>
      <c r="L25" s="462">
        <f t="shared" si="6"/>
        <v>2</v>
      </c>
      <c r="M25" s="463">
        <f t="shared" si="7"/>
        <v>0.75</v>
      </c>
      <c r="N25" s="463">
        <f t="shared" si="8"/>
        <v>0.27200000000000002</v>
      </c>
      <c r="O25" s="260">
        <f t="shared" si="9"/>
        <v>0.20400000000000001</v>
      </c>
      <c r="P25" s="258">
        <f t="shared" si="10"/>
        <v>0.40800000000000003</v>
      </c>
      <c r="Q25" s="251">
        <f t="shared" si="11"/>
        <v>17182.321379519719</v>
      </c>
      <c r="R25" s="305">
        <f t="shared" si="12"/>
        <v>19682.321379519719</v>
      </c>
      <c r="S25" s="290">
        <f t="shared" si="13"/>
        <v>3</v>
      </c>
      <c r="T25" s="46"/>
      <c r="U25" s="9"/>
      <c r="X25" s="4"/>
    </row>
    <row r="26" spans="2:25" ht="17.399999999999999" x14ac:dyDescent="0.3">
      <c r="B26" s="464">
        <v>5</v>
      </c>
      <c r="C26" s="465" t="s">
        <v>260</v>
      </c>
      <c r="D26" s="466">
        <v>0.7</v>
      </c>
      <c r="E26" s="466">
        <v>0.39600000000000002</v>
      </c>
      <c r="F26" s="431" t="s">
        <v>292</v>
      </c>
      <c r="G26" s="434">
        <f t="shared" si="5"/>
        <v>27515.438479006651</v>
      </c>
      <c r="H26" s="434">
        <f t="shared" si="0"/>
        <v>137577.19239503326</v>
      </c>
      <c r="I26" s="306"/>
      <c r="J26" s="264"/>
      <c r="K26" s="47"/>
      <c r="L26" s="460">
        <f t="shared" si="6"/>
        <v>5</v>
      </c>
      <c r="M26" s="461">
        <f t="shared" si="7"/>
        <v>0.75</v>
      </c>
      <c r="N26" s="461">
        <f t="shared" si="8"/>
        <v>0.39600000000000002</v>
      </c>
      <c r="O26" s="260">
        <f t="shared" si="9"/>
        <v>0.29700000000000004</v>
      </c>
      <c r="P26" s="258">
        <f t="shared" si="10"/>
        <v>1.4850000000000003</v>
      </c>
      <c r="Q26" s="251">
        <f t="shared" si="11"/>
        <v>25015.438479006651</v>
      </c>
      <c r="R26" s="305">
        <f t="shared" si="12"/>
        <v>27515.438479006651</v>
      </c>
      <c r="S26" s="290">
        <f t="shared" si="13"/>
        <v>7.5</v>
      </c>
      <c r="T26" s="46"/>
      <c r="U26" s="9"/>
      <c r="X26" s="4"/>
    </row>
    <row r="27" spans="2:25" ht="17.399999999999999" x14ac:dyDescent="0.3">
      <c r="B27" s="464">
        <v>1</v>
      </c>
      <c r="C27" s="465" t="s">
        <v>260</v>
      </c>
      <c r="D27" s="466">
        <v>0.72</v>
      </c>
      <c r="E27" s="466">
        <v>0.39600000000000002</v>
      </c>
      <c r="F27" s="431" t="s">
        <v>292</v>
      </c>
      <c r="G27" s="434">
        <f t="shared" si="5"/>
        <v>28182.516838446823</v>
      </c>
      <c r="H27" s="434">
        <f t="shared" si="0"/>
        <v>28182.516838446823</v>
      </c>
      <c r="I27" s="306"/>
      <c r="J27" s="264"/>
      <c r="K27" s="47"/>
      <c r="L27" s="462">
        <f t="shared" si="6"/>
        <v>1</v>
      </c>
      <c r="M27" s="463">
        <f t="shared" si="7"/>
        <v>0.77</v>
      </c>
      <c r="N27" s="463">
        <f t="shared" si="8"/>
        <v>0.39600000000000002</v>
      </c>
      <c r="O27" s="260">
        <f t="shared" si="9"/>
        <v>0.30492000000000002</v>
      </c>
      <c r="P27" s="258">
        <f t="shared" si="10"/>
        <v>0.30492000000000002</v>
      </c>
      <c r="Q27" s="251">
        <f t="shared" si="11"/>
        <v>25682.516838446823</v>
      </c>
      <c r="R27" s="305">
        <f t="shared" si="12"/>
        <v>28182.516838446823</v>
      </c>
      <c r="S27" s="290">
        <f t="shared" si="13"/>
        <v>1.54</v>
      </c>
      <c r="T27" s="46"/>
      <c r="U27" s="9"/>
      <c r="X27" s="4"/>
    </row>
    <row r="28" spans="2:25" ht="17.399999999999999" x14ac:dyDescent="0.3">
      <c r="B28" s="464">
        <v>1</v>
      </c>
      <c r="C28" s="465" t="s">
        <v>260</v>
      </c>
      <c r="D28" s="466">
        <v>0.7</v>
      </c>
      <c r="E28" s="466">
        <v>0.28599999999999998</v>
      </c>
      <c r="F28" s="431" t="s">
        <v>292</v>
      </c>
      <c r="G28" s="434">
        <f t="shared" si="5"/>
        <v>20566.705568171463</v>
      </c>
      <c r="H28" s="434">
        <f t="shared" si="0"/>
        <v>20566.705568171463</v>
      </c>
      <c r="I28" s="306"/>
      <c r="J28" s="264"/>
      <c r="K28" s="47"/>
      <c r="L28" s="458">
        <f t="shared" si="6"/>
        <v>1</v>
      </c>
      <c r="M28" s="459">
        <f t="shared" si="7"/>
        <v>0.75</v>
      </c>
      <c r="N28" s="459">
        <f t="shared" si="8"/>
        <v>0.28599999999999998</v>
      </c>
      <c r="O28" s="260">
        <f t="shared" si="9"/>
        <v>0.21449999999999997</v>
      </c>
      <c r="P28" s="258">
        <f t="shared" si="10"/>
        <v>0.21449999999999997</v>
      </c>
      <c r="Q28" s="251">
        <f t="shared" si="11"/>
        <v>18066.705568171463</v>
      </c>
      <c r="R28" s="305">
        <f t="shared" si="12"/>
        <v>20566.705568171463</v>
      </c>
      <c r="S28" s="290">
        <f t="shared" si="13"/>
        <v>1.5</v>
      </c>
      <c r="T28" s="46"/>
      <c r="U28" s="9"/>
      <c r="X28" s="4"/>
    </row>
    <row r="29" spans="2:25" ht="17.399999999999999" x14ac:dyDescent="0.3">
      <c r="B29" s="464">
        <v>2</v>
      </c>
      <c r="C29" s="465" t="s">
        <v>260</v>
      </c>
      <c r="D29" s="466">
        <v>0.7</v>
      </c>
      <c r="E29" s="466">
        <v>0.41599999999999998</v>
      </c>
      <c r="F29" s="431" t="s">
        <v>292</v>
      </c>
      <c r="G29" s="434">
        <f t="shared" si="5"/>
        <v>28778.844462794859</v>
      </c>
      <c r="H29" s="434">
        <f t="shared" ref="H29:H35" si="14">G29*B29</f>
        <v>57557.688925589719</v>
      </c>
      <c r="I29" s="306"/>
      <c r="J29" s="264"/>
      <c r="K29" s="47"/>
      <c r="L29" s="462">
        <f t="shared" si="6"/>
        <v>2</v>
      </c>
      <c r="M29" s="463">
        <f t="shared" si="7"/>
        <v>0.75</v>
      </c>
      <c r="N29" s="463">
        <f t="shared" si="8"/>
        <v>0.41599999999999998</v>
      </c>
      <c r="O29" s="260">
        <f t="shared" ref="O29:O34" si="15">M29*N29</f>
        <v>0.312</v>
      </c>
      <c r="P29" s="258">
        <f t="shared" ref="P29:P34" si="16">O29*L29</f>
        <v>0.624</v>
      </c>
      <c r="Q29" s="251">
        <f t="shared" ref="Q29:Q34" si="17">Q$20*O29</f>
        <v>26278.844462794859</v>
      </c>
      <c r="R29" s="305">
        <f t="shared" ref="R29:R34" si="18">Q29+R$20</f>
        <v>28778.844462794859</v>
      </c>
      <c r="S29" s="290">
        <f t="shared" ref="S29:S34" si="19">M29*L29*2</f>
        <v>3</v>
      </c>
      <c r="T29" s="46"/>
      <c r="U29" s="9"/>
      <c r="X29" s="4"/>
    </row>
    <row r="30" spans="2:25" ht="17.399999999999999" x14ac:dyDescent="0.3">
      <c r="B30" s="464">
        <v>1</v>
      </c>
      <c r="C30" s="465" t="s">
        <v>260</v>
      </c>
      <c r="D30" s="466">
        <v>1.5</v>
      </c>
      <c r="E30" s="466">
        <v>0.39600000000000002</v>
      </c>
      <c r="F30" s="431" t="s">
        <v>292</v>
      </c>
      <c r="G30" s="434">
        <f t="shared" si="5"/>
        <v>54198.572856613733</v>
      </c>
      <c r="H30" s="434">
        <f t="shared" si="14"/>
        <v>54198.572856613733</v>
      </c>
      <c r="I30" s="306"/>
      <c r="J30" s="264"/>
      <c r="K30" s="47"/>
      <c r="L30" s="458">
        <f t="shared" si="6"/>
        <v>1</v>
      </c>
      <c r="M30" s="459">
        <f t="shared" si="7"/>
        <v>1.55</v>
      </c>
      <c r="N30" s="459">
        <f t="shared" si="8"/>
        <v>0.39600000000000002</v>
      </c>
      <c r="O30" s="260">
        <f t="shared" si="15"/>
        <v>0.61380000000000001</v>
      </c>
      <c r="P30" s="258">
        <f t="shared" si="16"/>
        <v>0.61380000000000001</v>
      </c>
      <c r="Q30" s="251">
        <f t="shared" si="17"/>
        <v>51698.572856613733</v>
      </c>
      <c r="R30" s="305">
        <f t="shared" si="18"/>
        <v>54198.572856613733</v>
      </c>
      <c r="S30" s="290">
        <f t="shared" si="19"/>
        <v>3.1</v>
      </c>
      <c r="T30" s="46"/>
      <c r="U30" s="9"/>
      <c r="X30" s="4"/>
    </row>
    <row r="31" spans="2:25" ht="17.399999999999999" x14ac:dyDescent="0.3">
      <c r="B31" s="464">
        <v>1</v>
      </c>
      <c r="C31" s="465" t="s">
        <v>260</v>
      </c>
      <c r="D31" s="466">
        <v>0.65</v>
      </c>
      <c r="E31" s="466">
        <v>0.19600000000000001</v>
      </c>
      <c r="F31" s="431" t="s">
        <v>292</v>
      </c>
      <c r="G31" s="434">
        <f t="shared" si="5"/>
        <v>14055.95339838287</v>
      </c>
      <c r="H31" s="434">
        <f t="shared" si="14"/>
        <v>14055.95339838287</v>
      </c>
      <c r="I31" s="306"/>
      <c r="J31" s="264"/>
      <c r="K31" s="47"/>
      <c r="L31" s="458">
        <f t="shared" si="6"/>
        <v>1</v>
      </c>
      <c r="M31" s="459">
        <f t="shared" si="7"/>
        <v>0.70000000000000007</v>
      </c>
      <c r="N31" s="459">
        <f t="shared" si="8"/>
        <v>0.19600000000000001</v>
      </c>
      <c r="O31" s="260">
        <f t="shared" si="15"/>
        <v>0.13720000000000002</v>
      </c>
      <c r="P31" s="258">
        <f t="shared" si="16"/>
        <v>0.13720000000000002</v>
      </c>
      <c r="Q31" s="251">
        <f t="shared" si="17"/>
        <v>11555.95339838287</v>
      </c>
      <c r="R31" s="305">
        <f t="shared" si="18"/>
        <v>14055.95339838287</v>
      </c>
      <c r="S31" s="290">
        <f t="shared" si="19"/>
        <v>1.4000000000000001</v>
      </c>
      <c r="T31" s="46"/>
      <c r="U31" s="9"/>
      <c r="X31" s="4"/>
    </row>
    <row r="32" spans="2:25" ht="17.399999999999999" x14ac:dyDescent="0.3">
      <c r="B32" s="431">
        <v>2</v>
      </c>
      <c r="C32" s="432" t="s">
        <v>293</v>
      </c>
      <c r="D32" s="433">
        <v>3</v>
      </c>
      <c r="E32" s="433">
        <v>0.1</v>
      </c>
      <c r="F32" s="431" t="s">
        <v>292</v>
      </c>
      <c r="G32" s="434">
        <v>26462</v>
      </c>
      <c r="H32" s="434">
        <f t="shared" si="14"/>
        <v>52924</v>
      </c>
      <c r="I32" s="306"/>
      <c r="J32" s="264"/>
      <c r="K32" s="47"/>
      <c r="L32" s="47">
        <f t="shared" si="6"/>
        <v>2</v>
      </c>
      <c r="M32" s="39">
        <f t="shared" si="7"/>
        <v>3.05</v>
      </c>
      <c r="N32" s="39">
        <f t="shared" si="8"/>
        <v>0.1</v>
      </c>
      <c r="O32" s="260">
        <f t="shared" si="15"/>
        <v>0.30499999999999999</v>
      </c>
      <c r="P32" s="258">
        <f t="shared" si="16"/>
        <v>0.61</v>
      </c>
      <c r="Q32" s="251">
        <f t="shared" si="17"/>
        <v>25689.255003693692</v>
      </c>
      <c r="R32" s="305">
        <f t="shared" si="18"/>
        <v>28189.255003693692</v>
      </c>
      <c r="S32" s="290">
        <f t="shared" si="19"/>
        <v>12.2</v>
      </c>
      <c r="T32" s="46"/>
      <c r="U32" s="9"/>
      <c r="X32" s="4"/>
    </row>
    <row r="33" spans="1:24" ht="17.399999999999999" x14ac:dyDescent="0.3">
      <c r="B33" s="431">
        <v>1</v>
      </c>
      <c r="C33" s="432" t="s">
        <v>293</v>
      </c>
      <c r="D33" s="433">
        <v>1</v>
      </c>
      <c r="E33" s="433">
        <v>0.1</v>
      </c>
      <c r="F33" s="431" t="s">
        <v>292</v>
      </c>
      <c r="G33" s="434">
        <v>9110</v>
      </c>
      <c r="H33" s="434">
        <f t="shared" si="14"/>
        <v>9110</v>
      </c>
      <c r="I33" s="306"/>
      <c r="J33" s="264"/>
      <c r="K33" s="47"/>
      <c r="L33" s="47">
        <f t="shared" si="6"/>
        <v>1</v>
      </c>
      <c r="M33" s="39">
        <f t="shared" si="7"/>
        <v>1.05</v>
      </c>
      <c r="N33" s="39">
        <f t="shared" si="8"/>
        <v>0.1</v>
      </c>
      <c r="O33" s="260">
        <f t="shared" si="15"/>
        <v>0.10500000000000001</v>
      </c>
      <c r="P33" s="258">
        <f t="shared" si="16"/>
        <v>0.10500000000000001</v>
      </c>
      <c r="Q33" s="251">
        <f t="shared" si="17"/>
        <v>8843.8418865175026</v>
      </c>
      <c r="R33" s="305">
        <f t="shared" si="18"/>
        <v>11343.841886517503</v>
      </c>
      <c r="S33" s="290">
        <f t="shared" si="19"/>
        <v>2.1</v>
      </c>
      <c r="T33" s="46"/>
      <c r="U33" s="9"/>
      <c r="X33" s="4"/>
    </row>
    <row r="34" spans="1:24" ht="17.399999999999999" x14ac:dyDescent="0.3">
      <c r="B34" s="431">
        <v>2</v>
      </c>
      <c r="C34" s="432" t="s">
        <v>294</v>
      </c>
      <c r="D34" s="433">
        <v>2.4</v>
      </c>
      <c r="E34" s="433">
        <v>0.7</v>
      </c>
      <c r="F34" s="431" t="s">
        <v>292</v>
      </c>
      <c r="G34" s="434">
        <v>14880</v>
      </c>
      <c r="H34" s="434">
        <f t="shared" si="14"/>
        <v>29760</v>
      </c>
      <c r="I34" s="306"/>
      <c r="J34" s="264"/>
      <c r="K34" s="47"/>
      <c r="L34" s="47">
        <f t="shared" si="6"/>
        <v>2</v>
      </c>
      <c r="M34" s="39">
        <f t="shared" si="7"/>
        <v>2.4499999999999997</v>
      </c>
      <c r="N34" s="39">
        <v>7.0000000000000007E-2</v>
      </c>
      <c r="O34" s="260">
        <f t="shared" si="15"/>
        <v>0.17149999999999999</v>
      </c>
      <c r="P34" s="258">
        <f t="shared" si="16"/>
        <v>0.34299999999999997</v>
      </c>
      <c r="Q34" s="251">
        <f t="shared" si="17"/>
        <v>14444.941747978584</v>
      </c>
      <c r="R34" s="305">
        <f t="shared" si="18"/>
        <v>16944.941747978584</v>
      </c>
      <c r="S34" s="290">
        <f t="shared" si="19"/>
        <v>9.7999999999999989</v>
      </c>
      <c r="T34" s="46"/>
      <c r="U34" s="9"/>
      <c r="X34" s="4"/>
    </row>
    <row r="35" spans="1:24" ht="17.399999999999999" x14ac:dyDescent="0.3">
      <c r="B35" s="431">
        <v>6</v>
      </c>
      <c r="C35" s="432" t="s">
        <v>295</v>
      </c>
      <c r="D35" s="433">
        <v>3</v>
      </c>
      <c r="E35" s="433">
        <v>0.1</v>
      </c>
      <c r="F35" s="431" t="s">
        <v>292</v>
      </c>
      <c r="G35" s="434">
        <v>3000</v>
      </c>
      <c r="H35" s="434">
        <f t="shared" si="14"/>
        <v>18000</v>
      </c>
      <c r="I35" s="306"/>
      <c r="J35" s="264"/>
      <c r="K35" s="47"/>
      <c r="L35" s="47">
        <f t="shared" si="6"/>
        <v>6</v>
      </c>
      <c r="M35" s="39"/>
      <c r="N35" s="39"/>
      <c r="O35" s="260"/>
      <c r="P35" s="258"/>
      <c r="Q35" s="251"/>
      <c r="R35" s="305"/>
      <c r="S35" s="290"/>
      <c r="T35" s="46"/>
      <c r="U35" s="9"/>
      <c r="X35" s="4"/>
    </row>
    <row r="36" spans="1:24" ht="18" thickBot="1" x14ac:dyDescent="0.35">
      <c r="B36" s="283"/>
      <c r="C36" s="283"/>
      <c r="D36" s="284"/>
      <c r="E36" s="284"/>
      <c r="F36" s="283"/>
      <c r="G36" s="264"/>
      <c r="H36" s="307"/>
      <c r="I36" s="309"/>
      <c r="J36" s="233"/>
      <c r="K36" s="47"/>
      <c r="L36" s="47"/>
      <c r="M36" s="39"/>
      <c r="N36" s="39"/>
      <c r="O36" s="260"/>
      <c r="P36" s="258"/>
      <c r="Q36" s="251"/>
      <c r="R36" s="257"/>
      <c r="S36" s="290"/>
      <c r="T36" s="14"/>
      <c r="U36" s="9"/>
      <c r="X36" s="4"/>
    </row>
    <row r="37" spans="1:24" ht="17.399999999999999" x14ac:dyDescent="0.3">
      <c r="B37" s="283"/>
      <c r="C37" s="283"/>
      <c r="D37" s="284"/>
      <c r="E37" s="284"/>
      <c r="F37" s="283"/>
      <c r="G37" s="310" t="s">
        <v>28</v>
      </c>
      <c r="H37" s="311">
        <f>SUM(H21:H36)</f>
        <v>567565.72101013793</v>
      </c>
      <c r="I37" s="308"/>
      <c r="J37" s="264"/>
      <c r="K37" s="47">
        <v>2600000</v>
      </c>
      <c r="L37" s="47"/>
      <c r="M37" s="39"/>
      <c r="N37" s="39"/>
      <c r="O37" s="260"/>
      <c r="P37" s="258"/>
      <c r="Q37" s="251"/>
      <c r="R37" s="257"/>
      <c r="S37" s="290"/>
      <c r="T37" s="46">
        <f>SUM(T21:T36)</f>
        <v>2.528</v>
      </c>
      <c r="U37" s="9"/>
      <c r="X37" s="4"/>
    </row>
    <row r="38" spans="1:24" ht="17.399999999999999" x14ac:dyDescent="0.3">
      <c r="B38" s="277"/>
      <c r="C38" s="280"/>
      <c r="D38" s="281"/>
      <c r="E38" s="281"/>
      <c r="F38" s="282"/>
      <c r="G38" s="289" t="s">
        <v>51</v>
      </c>
      <c r="H38" s="287"/>
      <c r="I38" s="308"/>
      <c r="J38" s="264"/>
      <c r="K38" s="47"/>
      <c r="L38" s="47"/>
      <c r="M38" s="39">
        <f>SUM(M21:M37)</f>
        <v>15.166</v>
      </c>
      <c r="N38" s="12"/>
      <c r="O38" s="12"/>
      <c r="P38" s="252">
        <f>SUM(P21:P34)</f>
        <v>5.9290200000000013</v>
      </c>
      <c r="Q38" s="14"/>
      <c r="R38" s="12"/>
      <c r="S38" s="239"/>
      <c r="T38" s="46"/>
      <c r="U38" s="9"/>
      <c r="X38" s="4"/>
    </row>
    <row r="39" spans="1:24" ht="18" thickBot="1" x14ac:dyDescent="0.35">
      <c r="B39" s="274"/>
      <c r="C39" s="279"/>
      <c r="D39" s="271"/>
      <c r="E39" s="271"/>
      <c r="F39" s="272"/>
      <c r="G39" s="278" t="s">
        <v>6</v>
      </c>
      <c r="H39" s="288">
        <f>H37+H38</f>
        <v>567565.72101013793</v>
      </c>
      <c r="I39" s="308"/>
      <c r="J39" s="264"/>
      <c r="K39" s="47"/>
      <c r="L39" s="47"/>
      <c r="M39" s="39"/>
      <c r="N39" s="12"/>
      <c r="O39" s="12"/>
      <c r="P39" s="252">
        <f>P38</f>
        <v>5.9290200000000013</v>
      </c>
      <c r="Q39" s="14"/>
      <c r="R39" s="12"/>
      <c r="S39" s="239">
        <f>SUM(S21:S38)</f>
        <v>52.523999999999994</v>
      </c>
      <c r="T39" s="46"/>
      <c r="U39" s="9"/>
      <c r="X39" s="4"/>
    </row>
    <row r="40" spans="1:24" ht="17.399999999999999" x14ac:dyDescent="0.3">
      <c r="B40" s="274"/>
      <c r="C40" s="270"/>
      <c r="D40" s="271"/>
      <c r="E40" s="271"/>
      <c r="F40" s="272"/>
      <c r="J40" s="264"/>
      <c r="K40" s="47"/>
      <c r="L40" s="47"/>
      <c r="M40" s="14"/>
      <c r="N40" s="12"/>
      <c r="O40" s="12"/>
      <c r="P40" s="39">
        <f>P39*20%</f>
        <v>1.1858040000000003</v>
      </c>
      <c r="Q40" s="39" t="s">
        <v>129</v>
      </c>
      <c r="R40" s="42"/>
      <c r="S40" s="240">
        <f>S39+T37</f>
        <v>55.051999999999992</v>
      </c>
      <c r="T40" s="14"/>
      <c r="U40" s="9"/>
      <c r="X40" s="4"/>
    </row>
    <row r="41" spans="1:24" ht="17.399999999999999" x14ac:dyDescent="0.35">
      <c r="B41" s="268"/>
      <c r="C41" s="230"/>
      <c r="D41" s="230"/>
      <c r="E41" s="233"/>
      <c r="F41" s="234"/>
      <c r="G41" s="230"/>
      <c r="H41" s="273"/>
      <c r="I41" s="273"/>
      <c r="J41" s="264"/>
      <c r="K41" s="47"/>
      <c r="L41" s="47"/>
      <c r="M41" s="14"/>
      <c r="N41" s="12"/>
      <c r="O41" s="12"/>
      <c r="P41" s="46">
        <f>P39+P40</f>
        <v>7.1148240000000014</v>
      </c>
      <c r="Q41" s="14"/>
      <c r="R41" s="14"/>
      <c r="S41" s="238">
        <f>S40*20%</f>
        <v>11.010399999999999</v>
      </c>
      <c r="T41" s="14"/>
      <c r="U41" s="9"/>
      <c r="X41" s="4"/>
    </row>
    <row r="42" spans="1:24" ht="17.399999999999999" x14ac:dyDescent="0.35">
      <c r="B42" s="235"/>
      <c r="C42" s="236"/>
      <c r="D42" s="237"/>
      <c r="E42" s="235"/>
      <c r="F42" s="230"/>
      <c r="G42" s="230"/>
      <c r="I42" s="273"/>
      <c r="J42" s="264"/>
      <c r="K42" s="47"/>
      <c r="L42" s="47"/>
      <c r="M42" s="14"/>
      <c r="N42" s="14"/>
      <c r="O42" s="14"/>
      <c r="P42" s="14"/>
      <c r="Q42" s="14"/>
      <c r="R42" s="14"/>
      <c r="S42" s="240">
        <f>S40+S41</f>
        <v>66.062399999999997</v>
      </c>
      <c r="T42" s="14"/>
      <c r="U42" s="294" t="s">
        <v>21</v>
      </c>
      <c r="V42" s="291" t="s">
        <v>149</v>
      </c>
      <c r="W42" s="295">
        <v>44971</v>
      </c>
      <c r="X42" s="296"/>
    </row>
    <row r="43" spans="1:24" ht="17.399999999999999" x14ac:dyDescent="0.35">
      <c r="B43" s="230"/>
      <c r="C43" s="230"/>
      <c r="D43" s="230"/>
      <c r="E43" s="230"/>
      <c r="F43" s="230"/>
      <c r="G43" s="230"/>
      <c r="J43" s="264"/>
      <c r="K43" s="47"/>
      <c r="L43" s="47"/>
      <c r="M43" s="39">
        <f>P41</f>
        <v>7.1148240000000014</v>
      </c>
      <c r="N43" s="12">
        <v>3500</v>
      </c>
      <c r="O43" s="12">
        <f t="shared" ref="O43:O48" si="20">M43*N43</f>
        <v>24901.884000000005</v>
      </c>
      <c r="P43" s="14" t="s">
        <v>21</v>
      </c>
      <c r="Q43" s="14"/>
      <c r="R43" s="14"/>
      <c r="S43" s="241"/>
      <c r="T43" s="14"/>
      <c r="U43" s="294" t="s">
        <v>150</v>
      </c>
      <c r="V43" s="291">
        <v>3625</v>
      </c>
      <c r="W43" s="59" t="s">
        <v>151</v>
      </c>
      <c r="X43" s="296"/>
    </row>
    <row r="44" spans="1:24" ht="17.399999999999999" x14ac:dyDescent="0.35">
      <c r="A44" s="230"/>
      <c r="B44" s="230"/>
      <c r="C44" s="230"/>
      <c r="D44" s="230"/>
      <c r="E44" s="230"/>
      <c r="F44" s="230"/>
      <c r="G44" s="230"/>
      <c r="H44" s="230"/>
      <c r="J44" s="264"/>
      <c r="K44" s="47"/>
      <c r="L44" s="47"/>
      <c r="M44" s="248">
        <v>2</v>
      </c>
      <c r="N44" s="12">
        <v>40000</v>
      </c>
      <c r="O44" s="12">
        <f t="shared" si="20"/>
        <v>80000</v>
      </c>
      <c r="P44" s="39" t="s">
        <v>31</v>
      </c>
      <c r="Q44" s="42"/>
      <c r="R44" s="14"/>
      <c r="S44" s="240"/>
      <c r="T44" s="14"/>
      <c r="U44" s="294"/>
      <c r="V44" s="59">
        <v>906.25</v>
      </c>
      <c r="W44" s="59" t="s">
        <v>152</v>
      </c>
      <c r="X44" s="296"/>
    </row>
    <row r="45" spans="1:24" s="230" customFormat="1" ht="17.399999999999999" x14ac:dyDescent="0.35">
      <c r="B45" s="24" t="s">
        <v>148</v>
      </c>
      <c r="J45" s="261"/>
      <c r="K45" s="232"/>
      <c r="L45" s="249"/>
      <c r="M45" s="14"/>
      <c r="N45" s="249">
        <v>58860</v>
      </c>
      <c r="O45" s="12">
        <f t="shared" si="20"/>
        <v>0</v>
      </c>
      <c r="P45" s="39" t="s">
        <v>30</v>
      </c>
      <c r="Q45" s="42"/>
      <c r="S45" s="240"/>
      <c r="T45" s="255"/>
      <c r="U45" s="59"/>
      <c r="V45" s="59">
        <f>V44*20%</f>
        <v>181.25</v>
      </c>
      <c r="W45" s="296" t="s">
        <v>153</v>
      </c>
      <c r="X45" s="59"/>
    </row>
    <row r="46" spans="1:24" s="230" customFormat="1" ht="17.399999999999999" x14ac:dyDescent="0.35">
      <c r="B46" s="24" t="s">
        <v>162</v>
      </c>
      <c r="C46"/>
      <c r="D46"/>
      <c r="E46"/>
      <c r="F46"/>
      <c r="J46" s="261"/>
      <c r="K46" s="232"/>
      <c r="L46" s="249"/>
      <c r="M46" s="14">
        <v>3</v>
      </c>
      <c r="N46" s="249">
        <v>44300</v>
      </c>
      <c r="O46" s="12">
        <f t="shared" si="20"/>
        <v>132900</v>
      </c>
      <c r="P46" s="14" t="s">
        <v>139</v>
      </c>
      <c r="Q46" s="17"/>
      <c r="S46" s="238"/>
      <c r="T46" s="255"/>
      <c r="U46" s="59"/>
      <c r="V46" s="59">
        <f>V44+V45</f>
        <v>1087.5</v>
      </c>
      <c r="W46" s="296" t="s">
        <v>154</v>
      </c>
      <c r="X46" s="59"/>
    </row>
    <row r="47" spans="1:24" s="230" customFormat="1" ht="17.399999999999999" x14ac:dyDescent="0.35">
      <c r="A47" s="230" t="s">
        <v>283</v>
      </c>
      <c r="B47" s="29" t="s">
        <v>124</v>
      </c>
      <c r="C47"/>
      <c r="D47"/>
      <c r="E47"/>
      <c r="F47" s="229" t="s">
        <v>15</v>
      </c>
      <c r="J47" s="261"/>
      <c r="K47" s="259"/>
      <c r="L47" s="249"/>
      <c r="M47" s="248"/>
      <c r="N47" s="249">
        <v>900</v>
      </c>
      <c r="O47" s="12">
        <f t="shared" si="20"/>
        <v>0</v>
      </c>
      <c r="P47" s="14" t="s">
        <v>32</v>
      </c>
      <c r="Q47" s="14"/>
      <c r="R47" s="230">
        <v>1.52</v>
      </c>
      <c r="S47" s="238"/>
      <c r="T47" s="238"/>
    </row>
    <row r="48" spans="1:24" s="230" customFormat="1" ht="17.399999999999999" x14ac:dyDescent="0.35">
      <c r="J48" s="286"/>
      <c r="K48" s="259"/>
      <c r="L48" s="249"/>
      <c r="M48" s="265"/>
      <c r="N48" s="12">
        <v>1500</v>
      </c>
      <c r="O48" s="12">
        <f t="shared" si="20"/>
        <v>0</v>
      </c>
      <c r="P48" s="14" t="s">
        <v>22</v>
      </c>
      <c r="Q48" s="14"/>
      <c r="R48">
        <v>2.44</v>
      </c>
      <c r="S48"/>
      <c r="T48" s="238"/>
      <c r="X48" s="231"/>
    </row>
    <row r="49" spans="2:24" s="230" customFormat="1" ht="17.399999999999999" x14ac:dyDescent="0.35">
      <c r="K49" s="259"/>
      <c r="L49" s="249"/>
      <c r="M49" s="14"/>
      <c r="N49" s="12"/>
      <c r="O49" s="12">
        <f>SUM(O43:O48)</f>
        <v>237801.88400000002</v>
      </c>
      <c r="P49" s="39" t="s">
        <v>23</v>
      </c>
      <c r="Q49" s="14"/>
      <c r="R49">
        <f>R47*R48</f>
        <v>3.7088000000000001</v>
      </c>
      <c r="S49"/>
      <c r="T49" s="238"/>
      <c r="X49" s="231"/>
    </row>
    <row r="50" spans="2:24" s="230" customFormat="1" ht="17.399999999999999" x14ac:dyDescent="0.35">
      <c r="L50" s="249"/>
      <c r="M50" s="253" t="s">
        <v>33</v>
      </c>
      <c r="N50" s="12"/>
      <c r="O50" s="254">
        <f>O49*2.1</f>
        <v>499383.95640000008</v>
      </c>
      <c r="P50" s="14" t="s">
        <v>138</v>
      </c>
      <c r="Q50" s="14"/>
      <c r="R50" s="40">
        <f>P41/R49</f>
        <v>1.9183628127696293</v>
      </c>
      <c r="S50"/>
      <c r="T50" s="256"/>
    </row>
    <row r="51" spans="2:24" s="230" customFormat="1" ht="17.399999999999999" x14ac:dyDescent="0.35">
      <c r="G51"/>
      <c r="H51" s="259"/>
      <c r="I51" s="259"/>
      <c r="J51" s="259"/>
      <c r="K51" s="230">
        <v>42800</v>
      </c>
      <c r="L51" s="249"/>
      <c r="M51" s="14"/>
      <c r="N51" s="12"/>
      <c r="O51" s="12">
        <f>O50/P39</f>
        <v>84227.065585880962</v>
      </c>
      <c r="P51" s="45" t="s">
        <v>24</v>
      </c>
      <c r="Q51" s="14"/>
      <c r="R51" s="14"/>
      <c r="S51"/>
      <c r="T51" s="238"/>
      <c r="U51" s="59" t="s">
        <v>155</v>
      </c>
      <c r="V51" s="291">
        <v>43650</v>
      </c>
    </row>
    <row r="52" spans="2:24" s="230" customFormat="1" ht="17.399999999999999" x14ac:dyDescent="0.35">
      <c r="G52"/>
      <c r="K52" s="230">
        <f>K51/1.19</f>
        <v>35966.386554621851</v>
      </c>
      <c r="L52" s="249"/>
      <c r="M52" s="13"/>
      <c r="N52" s="14"/>
      <c r="O52" s="17">
        <f>O50/O49</f>
        <v>2.1</v>
      </c>
      <c r="P52" s="15"/>
      <c r="Q52"/>
      <c r="R52"/>
      <c r="S52"/>
      <c r="T52" s="238"/>
      <c r="U52" s="59" t="s">
        <v>157</v>
      </c>
      <c r="V52" s="292" t="s">
        <v>156</v>
      </c>
      <c r="W52" s="59">
        <v>2.4</v>
      </c>
    </row>
    <row r="53" spans="2:24" s="230" customFormat="1" ht="17.399999999999999" x14ac:dyDescent="0.35">
      <c r="G53" s="23"/>
      <c r="L53" s="12"/>
      <c r="T53" s="238"/>
      <c r="U53" s="59" t="s">
        <v>158</v>
      </c>
      <c r="V53" s="293">
        <v>395.37</v>
      </c>
    </row>
    <row r="54" spans="2:24" s="230" customFormat="1" ht="17.399999999999999" x14ac:dyDescent="0.35">
      <c r="B54"/>
      <c r="C54" s="228"/>
      <c r="D54" s="22"/>
      <c r="E54" s="22"/>
      <c r="F54" s="21"/>
      <c r="G54" s="23"/>
      <c r="L54" s="12"/>
      <c r="T54" s="238"/>
      <c r="U54" s="59" t="s">
        <v>153</v>
      </c>
      <c r="V54" s="59">
        <v>474.45</v>
      </c>
    </row>
    <row r="55" spans="2:24" ht="14.4" customHeight="1" x14ac:dyDescent="0.3">
      <c r="L55" s="12"/>
      <c r="U55" s="59"/>
      <c r="V55" s="59"/>
    </row>
    <row r="56" spans="2:24" x14ac:dyDescent="0.3">
      <c r="L56" s="249"/>
    </row>
    <row r="57" spans="2:24" x14ac:dyDescent="0.3">
      <c r="L57" s="249"/>
      <c r="T57" s="269"/>
    </row>
    <row r="58" spans="2:24" x14ac:dyDescent="0.3">
      <c r="L58" s="249"/>
    </row>
    <row r="59" spans="2:24" ht="15" customHeight="1" x14ac:dyDescent="0.3"/>
    <row r="61" spans="2:24" x14ac:dyDescent="0.3">
      <c r="O61">
        <v>40935</v>
      </c>
      <c r="P61" t="s">
        <v>16</v>
      </c>
      <c r="Q61" t="s">
        <v>26</v>
      </c>
    </row>
    <row r="63" spans="2:24" x14ac:dyDescent="0.3">
      <c r="O63" s="54"/>
      <c r="P63" s="54"/>
    </row>
    <row r="64" spans="2:24" x14ac:dyDescent="0.3">
      <c r="S64" s="18"/>
      <c r="T64" s="18"/>
    </row>
    <row r="65" spans="15:20" x14ac:dyDescent="0.3">
      <c r="S65" s="18"/>
      <c r="T65" s="18"/>
    </row>
    <row r="66" spans="15:20" x14ac:dyDescent="0.3">
      <c r="S66" s="18"/>
      <c r="T66" s="18"/>
    </row>
    <row r="67" spans="15:20" x14ac:dyDescent="0.3">
      <c r="S67" s="18"/>
      <c r="T67" s="18"/>
    </row>
    <row r="68" spans="15:20" x14ac:dyDescent="0.3">
      <c r="S68" s="18"/>
      <c r="T68" s="18"/>
    </row>
    <row r="69" spans="15:20" x14ac:dyDescent="0.3">
      <c r="S69" s="18"/>
      <c r="T69" s="18"/>
    </row>
    <row r="70" spans="15:20" x14ac:dyDescent="0.3">
      <c r="S70" s="18"/>
      <c r="T70" s="18"/>
    </row>
    <row r="71" spans="15:20" x14ac:dyDescent="0.3">
      <c r="S71" s="18"/>
      <c r="T71" s="18"/>
    </row>
    <row r="72" spans="15:20" x14ac:dyDescent="0.3">
      <c r="S72" s="18"/>
      <c r="T72" s="18"/>
    </row>
    <row r="75" spans="15:20" x14ac:dyDescent="0.3">
      <c r="O75" s="43"/>
    </row>
    <row r="76" spans="15:20" x14ac:dyDescent="0.3">
      <c r="O76" s="43"/>
    </row>
    <row r="77" spans="15:20" x14ac:dyDescent="0.3">
      <c r="O77" s="6"/>
    </row>
    <row r="78" spans="15:20" x14ac:dyDescent="0.3">
      <c r="O78" s="6"/>
    </row>
    <row r="86" spans="3:3" x14ac:dyDescent="0.3">
      <c r="C86" t="s">
        <v>145</v>
      </c>
    </row>
    <row r="87" spans="3:3" x14ac:dyDescent="0.3">
      <c r="C87" t="s">
        <v>144</v>
      </c>
    </row>
    <row r="90" spans="3:3" x14ac:dyDescent="0.3">
      <c r="C90" t="s">
        <v>144</v>
      </c>
    </row>
    <row r="167" spans="3:3" x14ac:dyDescent="0.3">
      <c r="C167" t="s">
        <v>144</v>
      </c>
    </row>
    <row r="168" spans="3:3" x14ac:dyDescent="0.3">
      <c r="C168" t="s">
        <v>146</v>
      </c>
    </row>
    <row r="169" spans="3:3" x14ac:dyDescent="0.3">
      <c r="C169" t="s">
        <v>147</v>
      </c>
    </row>
    <row r="594" spans="3:3" x14ac:dyDescent="0.3">
      <c r="C594" t="s">
        <v>144</v>
      </c>
    </row>
  </sheetData>
  <mergeCells count="1">
    <mergeCell ref="B19:H19"/>
  </mergeCells>
  <phoneticPr fontId="32" type="noConversion"/>
  <hyperlinks>
    <hyperlink ref="F4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46077</v>
      </c>
    </row>
    <row r="6" spans="2:31" ht="16.2" thickBot="1" x14ac:dyDescent="0.35">
      <c r="B6" s="140" t="s">
        <v>2</v>
      </c>
      <c r="C6" s="139" t="str">
        <f>'2229'!C10</f>
        <v>OSCAR ALMARZA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9" t="s">
        <v>98</v>
      </c>
      <c r="I7" s="440"/>
      <c r="J7" s="440"/>
      <c r="K7" s="441"/>
      <c r="N7" s="75"/>
      <c r="O7" s="4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11888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-57541.893768477101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'2229'!H37</f>
        <v>567565.72101013793</v>
      </c>
      <c r="E11" s="132">
        <f>D11*0.19</f>
        <v>107837.48699192621</v>
      </c>
      <c r="F11" s="131">
        <f>E11+D11</f>
        <v>675403.20800206414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48448.106231522899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134735.97478743963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30448.106231522899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432829.7462226983</v>
      </c>
      <c r="E13" s="221">
        <f>(D11/D12)-1</f>
        <v>3.2124289515516065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21448.106231522899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-17551.893768477101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222314.35839927537</v>
      </c>
      <c r="F15" s="216">
        <f>E15-D12</f>
        <v>87578.383611835743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-17551.893768477101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22448.106231522899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'2229'!O45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'2229'!O44</f>
        <v>80000</v>
      </c>
      <c r="E19" s="123">
        <f>D19*0.19</f>
        <v>15200</v>
      </c>
      <c r="F19" s="120">
        <f>SUM(D19:E19)</f>
        <v>95200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'2229'!O43</f>
        <v>24901.884000000005</v>
      </c>
      <c r="E20" s="121">
        <f>D20*0.19</f>
        <v>4731.3579600000012</v>
      </c>
      <c r="F20" s="120">
        <f>SUM(D20:E20)</f>
        <v>29633.241960000007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104901.88400000001</v>
      </c>
      <c r="E21" s="116">
        <f>SUM(E18:E20)</f>
        <v>19931.357960000001</v>
      </c>
      <c r="F21" s="115">
        <f>SUM(F18:F20)</f>
        <v>124833.24196000001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87906.129031926219</v>
      </c>
    </row>
    <row r="41" spans="2:16" ht="15" thickBot="1" x14ac:dyDescent="0.35">
      <c r="H41" s="442" t="s">
        <v>60</v>
      </c>
      <c r="I41" s="443"/>
      <c r="J41" s="443"/>
      <c r="K41" s="443"/>
      <c r="L41" s="443"/>
      <c r="M41" s="4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567565.72101013793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104901.88400000001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432829.7462226983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432829.7462226983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11888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OSCAR ALMARZA</v>
      </c>
      <c r="D10" s="350"/>
      <c r="E10" s="350"/>
      <c r="F10" s="351" t="s">
        <v>167</v>
      </c>
      <c r="G10" s="352">
        <f>'2229'!G10</f>
        <v>46077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46084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+569 4577 9682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5" t="s">
        <v>175</v>
      </c>
      <c r="G17" s="445"/>
      <c r="H17" s="446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7" t="s">
        <v>176</v>
      </c>
      <c r="C20" s="448"/>
      <c r="D20" s="448"/>
      <c r="E20" s="448"/>
      <c r="F20" s="448"/>
      <c r="G20" s="448"/>
      <c r="H20" s="449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2</v>
      </c>
      <c r="C22" s="313" t="str">
        <f>'2229'!C21</f>
        <v>PR6</v>
      </c>
      <c r="D22" s="321">
        <f>'2229'!D21*1000</f>
        <v>700</v>
      </c>
      <c r="E22" s="321">
        <f>'2229'!E21*1000</f>
        <v>316</v>
      </c>
      <c r="F22" s="322" t="str">
        <f>'2229'!F21</f>
        <v>DUSKBERG MARBLE 40476 SF</v>
      </c>
      <c r="G22" s="314">
        <f>'2229'!G21</f>
        <v>22461.814543853787</v>
      </c>
      <c r="H22" s="323">
        <f>G22*B22</f>
        <v>44923.629087707573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44923.629087707573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8535.4895266644398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53459.118614372012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0" t="s">
        <v>182</v>
      </c>
      <c r="C2" s="450"/>
      <c r="D2" s="450"/>
      <c r="E2" s="361"/>
      <c r="G2" s="450" t="s">
        <v>183</v>
      </c>
      <c r="H2" s="450"/>
      <c r="I2" s="450"/>
      <c r="P2" s="451" t="s">
        <v>184</v>
      </c>
      <c r="Q2" s="451"/>
      <c r="R2" s="451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1" t="s">
        <v>184</v>
      </c>
      <c r="M8" s="451"/>
      <c r="N8" s="451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6" t="s">
        <v>265</v>
      </c>
      <c r="L3" s="456"/>
      <c r="M3" s="456" t="s">
        <v>266</v>
      </c>
      <c r="N3" s="456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OSCAR ALMARZA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46077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46084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7" t="s">
        <v>265</v>
      </c>
      <c r="B10" s="457"/>
      <c r="C10" s="457"/>
      <c r="D10" s="457"/>
      <c r="E10" s="457"/>
      <c r="F10" s="457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7" t="s">
        <v>266</v>
      </c>
      <c r="B17" s="457"/>
      <c r="C17" s="457"/>
      <c r="D17" s="457"/>
      <c r="E17" s="457"/>
      <c r="F17" s="457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7" t="s">
        <v>272</v>
      </c>
      <c r="B45" s="457"/>
      <c r="C45" s="457"/>
      <c r="D45" s="457"/>
      <c r="E45" s="457"/>
      <c r="F45" s="457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2" t="s">
        <v>95</v>
      </c>
      <c r="C47" s="453"/>
      <c r="D47" s="454"/>
      <c r="E47" s="454"/>
      <c r="F47" s="455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11888</v>
      </c>
      <c r="C2" s="1">
        <f>'NOTA DE VENTA'!$G$10</f>
        <v>46077</v>
      </c>
      <c r="D2" s="1">
        <f>'NOTA DE VENTA'!$G$11</f>
        <v>46084</v>
      </c>
      <c r="E2" t="str">
        <f>'NOTA DE VENTA'!$C$10</f>
        <v>OSCAR ALMARZA</v>
      </c>
      <c r="F2" t="str">
        <f>'NOTA DE VENTA'!$C$22</f>
        <v>PR6</v>
      </c>
      <c r="G2" t="str">
        <f>'NOTA DE VENTA'!$F$22</f>
        <v>DUSKBERG MARBLE 40476 SF</v>
      </c>
      <c r="H2" s="416">
        <f>'NOTA DE VENTA'!$H$25</f>
        <v>44923.629087707573</v>
      </c>
      <c r="I2" s="416">
        <f>H2*0.19</f>
        <v>8535.4895266644398</v>
      </c>
      <c r="J2" s="416">
        <f>I2+H2</f>
        <v>53459.118614372012</v>
      </c>
      <c r="L2" s="61">
        <f>J2-K2</f>
        <v>53459.118614372012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2026-02-13T20:36:03Z</cp:lastPrinted>
  <dcterms:created xsi:type="dcterms:W3CDTF">2013-03-18T13:35:42Z</dcterms:created>
  <dcterms:modified xsi:type="dcterms:W3CDTF">2026-02-24T13:04:51Z</dcterms:modified>
</cp:coreProperties>
</file>