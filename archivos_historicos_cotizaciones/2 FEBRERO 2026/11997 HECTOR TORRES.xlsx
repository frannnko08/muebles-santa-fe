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41F6B6B8-BF0B-4E7C-ABA7-EC5036FC8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O22" i="1" s="1"/>
  <c r="P22" i="1" s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<sst xmlns="http://schemas.openxmlformats.org/spreadsheetml/2006/main" count="489" uniqueCount="294">
  <si>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</si>
  <si>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</si>
  <si>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</si>
  <si>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</si>
  <si>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</si>
  <si>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</si>
  <si>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</si>
  <si>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</si>
  <si>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</si>
  <si>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</si>
  <si>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</si>
  <si>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</si>
  <si>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</si>
  <si>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</si>
  <si>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</si>
  <si>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</si>
  <si>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</si>
  <si>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</si>
  <si>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</si>
  <si>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</si>
  <si>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</si>
  <si>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</si>
  <si>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</si>
  <si>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</si>
  <si>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</si>
  <si>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</si>
  <si>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</si>
  <si>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</si>
  <si>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</si>
  <si>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</si>
  <si>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</si>
  <si>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</si>
  <si>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</si>
  <si>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</si>
  <si>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</si>
  <si>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</si>
  <si>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</si>
  <si>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</si>
  <si>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</si>
  <si>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</si>
  <si>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</si>
  <si>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</si>
  <si>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</si>
  <si>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</si>
  <si>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</si>
  <si>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</si>
  <si>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</si>
  <si>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</si>
  <si>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</si>
  <si>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</si>
  <si>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</si>
  <si>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</si>
  <si>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</si>
  <si>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</si>
  <si>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</si>
  <si>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</si>
  <si>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</si>
  <si>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</si>
  <si>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</si>
  <si>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</si>
  <si>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</si>
  <si>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</si>
  <si>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</si>
  <si>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</si>
  <si>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</si>
  <si>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</si>
  <si>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</si>
  <si>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</si>
  <si>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</si>
  <si>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</si>
  <si>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</si>
  <si>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</si>
  <si>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</si>
  <si>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</si>
  <si>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</si>
  <si>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</si>
  <si>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</si>
  <si>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</si>
  <si>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</si>
  <si>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</si>
  <si>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</si>
  <si>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</si>
  <si>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</si>
  <si>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</si>
  <si>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</si>
  <si>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</si>
  <si>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</si>
  <si>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</si>
  <si>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</si>
  <si>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</si>
  <si>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</si>
  <si>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</si>
  <si>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</si>
  <si>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</si>
  <si>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</si>
  <si>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</si>
  <si>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</si>
  <si>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</si>
  <si>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</si>
  <si>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</si>
  <si>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</si>
  <si>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</si>
  <si>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</si>
  <si>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</si>
  <si>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</si>
  <si>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</si>
  <si>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</si>
  <si>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</si>
  <si>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</si>
  <si>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</si>
  <si>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</si>
  <si>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</si>
  <si>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</si>
  <si>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</si>
  <si>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</si>
  <si>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</si>
  <si>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</si>
  <si>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</si>
  <si>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</si>
  <si>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</si>
  <si>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</si>
  <si>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</si>
  <si>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</si>
  <si>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</si>
  <si>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</si>
  <si>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</si>
  <si>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</si>
  <si>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</si>
  <si>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</si>
  <si>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</si>
  <si>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</si>
  <si>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</si>
  <si>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</si>
  <si>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</si>
  <si>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</si>
  <si>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</si>
  <si>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</si>
  <si>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</si>
  <si>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</si>
  <si>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</si>
  <si>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</si>
  <si>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</si>
  <si>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</si>
  <si>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</si>
  <si>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</si>
  <si>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</si>
  <si>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</si>
  <si>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</si>
  <si>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</si>
  <si>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</si>
  <si>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</si>
  <si>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</si>
  <si>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</si>
  <si>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</si>
  <si>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</si>
  <si>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</si>
  <si>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</si>
  <si>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</si>
  <si>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</si>
  <si>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</si>
  <si>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</si>
  <si>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</si>
  <si>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</si>
  <si>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</si>
  <si>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</si>
  <si>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</si>
  <si>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</si>
  <si>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</si>
  <si>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</si>
  <si>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</si>
  <si>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</si>
  <si>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</si>
  <si>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</si>
  <si>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</si>
  <si>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</si>
  <si>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</si>
  <si>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</si>
  <si>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</si>
  <si>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</si>
  <si>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</si>
  <si>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</si>
  <si>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</si>
  <si>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</si>
  <si>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</si>
  <si>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</si>
  <si>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</si>
  <si>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</si>
  <si>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</si>
  <si>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</si>
  <si>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</si>
  <si>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</si>
  <si>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</si>
  <si>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</si>
  <si>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</si>
  <si>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</si>
  <si>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</si>
  <si>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</si>
  <si>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</si>
  <si>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</si>
  <si>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</si>
  <si>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</si>
  <si>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</si>
  <si>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</si>
  <si>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</si>
  <si>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</si>
  <si>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</si>
  <si>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</si>
  <si>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</si>
  <si>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</si>
  <si>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</si>
  <si>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</si>
  <si>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</si>
  <si>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</si>
  <si>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</si>
  <si>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</si>
  <si>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</si>
  <si>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</si>
  <si>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</si>
  <si>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</si>
  <si>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</si>
  <si>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</si>
  <si>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</si>
  <si>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</si>
  <si>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</si>
  <si>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</si>
  <si>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</si>
  <si>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</si>
  <si>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</si>
  <si>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</si>
  <si>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</si>
  <si>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</si>
  <si>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</si>
  <si>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</si>
  <si>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</si>
  <si>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</si>
  <si>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</si>
  <si>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</si>
  <si>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</si>
  <si>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</si>
  <si>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</si>
  <si>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</si>
  <si>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</si>
  <si>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</si>
  <si>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</si>
  <si>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</si>
  <si>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</si>
  <si>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</si>
  <si>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</si>
  <si>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</si>
  <si>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</si>
  <si>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</si>
  <si>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</si>
  <si>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</si>
  <si>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</si>
  <si>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</si>
  <si>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</si>
  <si>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</si>
  <si>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</si>
  <si>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</si>
  <si>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</si>
  <si>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</si>
  <si>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</si>
  <si>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</si>
  <si>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</si>
  <si>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</si>
  <si>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</si>
  <si>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</si>
  <si>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</si>
  <si>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</si>
  <si>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</si>
  <si>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</si>
  <si>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</si>
  <si>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</si>
  <si>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</si>
  <si>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</si>
  <si>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</si>
  <si>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</si>
  <si>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</si>
  <si>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</si>
  <si>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</si>
  <si>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</si>
  <si>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</si>
  <si>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</si>
  <si>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</si>
  <si>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</si>
  <si>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</si>
  <si>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</si>
  <si>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</si>
  <si>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11997</t>
  </si>
  <si>
    <t>HECTOR TORRES</t>
  </si>
  <si>
    <t>+569 8641 1139</t>
  </si>
  <si>
    <t>5 DIAS HABILES</t>
  </si>
  <si>
    <t>CUB CON RESPALDO Y FRENTE 90° R8</t>
  </si>
  <si>
    <t>COLOR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</si>
</sst>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40" xfId="0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215080</xdr:rowOff>
    </xdr:from>
    <xdr:to>
      <xdr:col>5</xdr:col>
      <xdr:colOff>1732649</xdr:colOff>
      <xdr:row>26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8" zoomScale="93" zoomScaleNormal="93" workbookViewId="0">
      <selection activeCell="M31" sqref="M3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46071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291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77260.240437892455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54">
        <v>1</v>
      </c>
      <c r="C21" s="455" t="s">
        <v>292</v>
      </c>
      <c r="D21" s="456">
        <v>1.93</v>
      </c>
      <c r="E21" s="456">
        <v>0.6</v>
      </c>
      <c r="F21" s="457" t="s">
        <v>293</v>
      </c>
      <c r="G21" s="458">
        <v>103941</v>
      </c>
      <c r="H21" s="459">
        <f>G21*B21</f>
        <v>103941</v>
      </c>
      <c r="I21" s="306"/>
      <c r="J21" s="264"/>
      <c r="K21" s="47"/>
      <c r="L21" s="47">
        <f>B21</f>
        <v>1</v>
      </c>
      <c r="M21" s="39">
        <f>D21+M$19</f>
        <v>2.0099999999999998</v>
      </c>
      <c r="N21" s="39">
        <f>E21+$N$19</f>
        <v>0.65</v>
      </c>
      <c r="O21" s="260">
        <f t="shared" ref="O21" si="0">M21*N21</f>
        <v>1.3065</v>
      </c>
      <c r="P21" s="258">
        <f t="shared" ref="P21" si="1">O21*L21</f>
        <v>1.3065</v>
      </c>
      <c r="Q21" s="251">
        <f t="shared" ref="Q21" si="2">Q$20*O21</f>
        <v>100940.50413210649</v>
      </c>
      <c r="R21" s="305">
        <f t="shared" ref="R21" si="3">Q21+R$20</f>
        <v>103940.50413210649</v>
      </c>
      <c r="S21" s="290">
        <f>M21*L21</f>
        <v>2.0099999999999998</v>
      </c>
      <c r="T21" s="46">
        <f>N21*2*L21*2</f>
        <v>2.6</v>
      </c>
      <c r="U21" s="9"/>
      <c r="X21" s="4"/>
    </row>
    <row r="22" spans="1:25" ht="17.399999999999999" x14ac:dyDescent="0.3">
      <c r="B22" s="460">
        <v>1</v>
      </c>
      <c r="C22" s="461" t="s">
        <v>292</v>
      </c>
      <c r="D22" s="462">
        <v>2.66</v>
      </c>
      <c r="E22" s="462">
        <v>0.56000000000000005</v>
      </c>
      <c r="F22" s="460" t="s">
        <v>293</v>
      </c>
      <c r="G22" s="463">
        <v>132133</v>
      </c>
      <c r="H22" s="463">
        <f>G22*B22</f>
        <v>132133</v>
      </c>
      <c r="I22" s="306"/>
      <c r="J22" s="264"/>
      <c r="K22" s="47"/>
      <c r="L22" s="47">
        <f>B22</f>
        <v>1</v>
      </c>
      <c r="M22" s="39">
        <f>D22+M$19</f>
        <v>2.74</v>
      </c>
      <c r="N22" s="39">
        <f>E22+$N$19</f>
        <v>0.6100000000000001</v>
      </c>
      <c r="O22" s="260">
        <f t="shared" ref="O22" si="4">M22*N22</f>
        <v>1.6714000000000004</v>
      </c>
      <c r="P22" s="258">
        <f t="shared" ref="P22" si="5">O22*L22</f>
        <v>1.6714000000000004</v>
      </c>
      <c r="Q22" s="251">
        <f t="shared" ref="Q22" si="6">Q$20*O22</f>
        <v>129132.76586789348</v>
      </c>
      <c r="R22" s="305">
        <f t="shared" ref="R22" si="7">Q22+R$20</f>
        <v>132132.76586789347</v>
      </c>
      <c r="S22" s="290"/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236074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2.6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44854.06</v>
      </c>
      <c r="I26" s="308"/>
      <c r="J26" s="264"/>
      <c r="K26" s="47"/>
      <c r="L26" s="47"/>
      <c r="M26" s="39">
        <f>SUM(M21:M25)</f>
        <v>4.75</v>
      </c>
      <c r="N26" s="12"/>
      <c r="O26" s="12"/>
      <c r="P26" s="252">
        <f>SUM(P21:P23)</f>
        <v>2.9779000000000004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280928.06</v>
      </c>
      <c r="I27" s="308"/>
      <c r="J27" s="264"/>
      <c r="K27" s="47"/>
      <c r="L27" s="47"/>
      <c r="M27" s="39"/>
      <c r="N27" s="12"/>
      <c r="O27" s="12"/>
      <c r="P27" s="252">
        <f>P26</f>
        <v>2.9779000000000004</v>
      </c>
      <c r="Q27" s="14"/>
      <c r="R27" s="12"/>
      <c r="S27" s="239">
        <f>SUM(S21:S26)</f>
        <v>2.0099999999999998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0.59558000000000011</v>
      </c>
      <c r="Q28" s="39" t="s">
        <v>129</v>
      </c>
      <c r="R28" s="42"/>
      <c r="S28" s="240">
        <f>S27+T25</f>
        <v>4.6099999999999994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3.5734800000000004</v>
      </c>
      <c r="Q29" s="14"/>
      <c r="R29" s="14"/>
      <c r="S29" s="238">
        <f>S28*20%</f>
        <v>0.92199999999999993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5.5319999999999991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3.5734800000000004</v>
      </c>
      <c r="N31" s="12">
        <v>2500</v>
      </c>
      <c r="O31" s="12">
        <f t="shared" ref="O31:O36" si="8">M31*N31</f>
        <v>8933.7000000000007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23500</v>
      </c>
      <c r="O32" s="12">
        <f t="shared" si="8"/>
        <v>23500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41800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2</v>
      </c>
      <c r="N34" s="249">
        <v>35000</v>
      </c>
      <c r="O34" s="12">
        <f t="shared" si="8"/>
        <v>70000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4.75</v>
      </c>
      <c r="N36" s="12">
        <v>1500</v>
      </c>
      <c r="O36" s="12">
        <f t="shared" si="8"/>
        <v>7125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109558.7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O37*2.1</f>
        <v>230073.27</v>
      </c>
      <c r="P38" s="14" t="s">
        <v>138</v>
      </c>
      <c r="Q38" s="14"/>
      <c r="R38" s="40">
        <f>P29/R37</f>
        <v>0.96351380500431416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77260.240437892455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46071</v>
      </c>
    </row>
    <row r="6" spans="2:31" ht="16.2" thickBot="1" x14ac:dyDescent="0.35">
      <c r="B6" s="140" t="s">
        <v>2</v>
      </c>
      <c r="C6" s="139" t="str">
        <f>'2229'!C10</f>
        <v>HECTOR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-22222.024200120777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236074</v>
      </c>
      <c r="E11" s="132">
        <f>D11*0.19</f>
        <v>44854.06</v>
      </c>
      <c r="F11" s="131">
        <f>E11+D11</f>
        <v>280928.06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83767.975799879219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62267.790787439619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65767.975799879219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173806.20921256038</v>
      </c>
      <c r="E13" s="221">
        <f>(D11/D12)-1</f>
        <v>2.7912698847125279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56767.975799879219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17767.975799879223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102741.85479927536</v>
      </c>
      <c r="F15" s="216">
        <f>E15-D12</f>
        <v>40474.064011835741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17767.975799879223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57767.975799879219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8933.7000000000007</v>
      </c>
      <c r="E20" s="121">
        <f>D20*0.19</f>
        <v>1697.4030000000002</v>
      </c>
      <c r="F20" s="120">
        <f>SUM(D20:E20)</f>
        <v>10631.103000000001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32433.7</v>
      </c>
      <c r="E21" s="116">
        <f>SUM(E18:E20)</f>
        <v>6162.4030000000002</v>
      </c>
      <c r="F21" s="115">
        <f>SUM(F18:F20)</f>
        <v>38596.103000000003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38691.656999999999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236074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32433.7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173806.20921256038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173806.20921256038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HECTOR TORRES</v>
      </c>
      <c r="D10" s="350"/>
      <c r="E10" s="350"/>
      <c r="F10" s="351" t="s">
        <v>167</v>
      </c>
      <c r="G10" s="352">
        <f>'2229'!G10</f>
        <v>46071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+569 8641 1139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1930</v>
      </c>
      <c r="E22" s="321">
        <f>'2229'!E21*1000</f>
        <v>600</v>
      </c>
      <c r="F22" s="322" t="str">
        <f>'2229'!F21</f>
        <v>COLOR POR DEFINIR</v>
      </c>
      <c r="G22" s="314">
        <f>'2229'!G21</f>
        <v>103941</v>
      </c>
      <c r="H22" s="323">
        <f>G22*B22</f>
        <v>103941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103941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19748.79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123689.79000000001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HECTOR TORRES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COLOR POR DEFINIR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COLOR POR DEFINIR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11997</v>
      </c>
      <c r="C2" s="1">
        <f>'NOTA DE VENTA'!$G$10</f>
        <v>46071</v>
      </c>
      <c r="D2" s="1">
        <f>'NOTA DE VENTA'!$G$11</f>
        <v>46078</v>
      </c>
      <c r="E2" t="str">
        <f>'NOTA DE VENTA'!$C$10</f>
        <v>HECTOR TORRES</v>
      </c>
      <c r="F2" t="str">
        <f>'NOTA DE VENTA'!$C$22</f>
        <v>CUB C/R R8</v>
      </c>
      <c r="G2" t="str">
        <f>'NOTA DE VENTA'!$F$22</f>
        <v>COLOR POR DEFINIR</v>
      </c>
      <c r="H2" s="415">
        <f>'NOTA DE VENTA'!$H$25</f>
        <v>103941</v>
      </c>
      <c r="I2" s="415">
        <f>H2*0.19</f>
        <v>19748.79</v>
      </c>
      <c r="J2" s="415">
        <f>I2+H2</f>
        <v>123689.79000000001</v>
      </c>
      <c r="L2" s="61">
        <f>J2-K2</f>
        <v>123689.79000000001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2026-02-18T18:01:32Z</cp:lastPrinted>
  <dcterms:created xsi:type="dcterms:W3CDTF">2013-03-18T13:35:42Z</dcterms:created>
  <dcterms:modified xsi:type="dcterms:W3CDTF">2026-02-18T21:51:30Z</dcterms:modified>
</cp:coreProperties>
</file>