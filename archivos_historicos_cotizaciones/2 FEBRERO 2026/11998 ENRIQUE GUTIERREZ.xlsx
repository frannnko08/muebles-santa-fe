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D1749B6D-6520-4366-AC52-BF2430BB2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1" l="1"/>
  <c r="N34" i="1" l="1"/>
  <c r="O34" i="1" s="1"/>
  <c r="M34" i="1"/>
  <c r="N33" i="1"/>
  <c r="M33" i="1"/>
  <c r="S33" i="1" s="1"/>
  <c r="L34" i="1"/>
  <c r="L33" i="1"/>
  <c r="L32" i="1"/>
  <c r="M32" i="1"/>
  <c r="N32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5" i="1"/>
  <c r="M35" i="1"/>
  <c r="N35" i="1"/>
  <c r="L21" i="1"/>
  <c r="N5" i="6"/>
  <c r="A2" i="7"/>
  <c r="O33" i="1" l="1"/>
  <c r="P33" i="1" s="1"/>
  <c r="S23" i="1"/>
  <c r="S34" i="1"/>
  <c r="S35" i="1"/>
  <c r="S28" i="1"/>
  <c r="P34" i="1"/>
  <c r="O32" i="1"/>
  <c r="O30" i="1"/>
  <c r="P30" i="1" s="1"/>
  <c r="S26" i="1"/>
  <c r="O26" i="1"/>
  <c r="P26" i="1" s="1"/>
  <c r="O25" i="1"/>
  <c r="S25" i="1"/>
  <c r="S32" i="1"/>
  <c r="O22" i="1"/>
  <c r="P22" i="1" s="1"/>
  <c r="O23" i="1"/>
  <c r="P23" i="1" s="1"/>
  <c r="S27" i="1"/>
  <c r="O27" i="1"/>
  <c r="P27" i="1" s="1"/>
  <c r="S29" i="1"/>
  <c r="O29" i="1"/>
  <c r="P29" i="1" s="1"/>
  <c r="S31" i="1"/>
  <c r="O31" i="1"/>
  <c r="P31" i="1" s="1"/>
  <c r="P32" i="1"/>
  <c r="S30" i="1"/>
  <c r="P25" i="1"/>
  <c r="S24" i="1"/>
  <c r="O35" i="1"/>
  <c r="P35" i="1" s="1"/>
  <c r="O28" i="1"/>
  <c r="P28" i="1" s="1"/>
  <c r="O24" i="1"/>
  <c r="P24" i="1" s="1"/>
  <c r="S22" i="1"/>
  <c r="M38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39" i="1" s="1"/>
  <c r="T21" i="1"/>
  <c r="T37" i="1" s="1"/>
  <c r="O21" i="1"/>
  <c r="P21" i="1" s="1"/>
  <c r="P38" i="1" s="1"/>
  <c r="K52" i="1"/>
  <c r="S40" i="1" l="1"/>
  <c r="S41" i="1" s="1"/>
  <c r="S42" i="1" s="1"/>
  <c r="V45" i="1"/>
  <c r="V46" i="1" s="1"/>
  <c r="P39" i="1" l="1"/>
  <c r="N20" i="1"/>
  <c r="L20" i="1"/>
  <c r="P40" i="1" l="1"/>
  <c r="P41" i="1" s="1"/>
  <c r="O45" i="1"/>
  <c r="R49" i="1"/>
  <c r="R50" i="1" l="1"/>
  <c r="O44" i="1" s="1"/>
  <c r="O46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48" i="1"/>
  <c r="O47" i="1"/>
  <c r="F18" i="3" l="1"/>
  <c r="O43" i="1" l="1"/>
  <c r="O49" i="1" s="1"/>
  <c r="O50" i="1" s="1"/>
  <c r="D21" i="3" l="1"/>
  <c r="E21" i="3" s="1"/>
  <c r="E22" i="3" s="1"/>
  <c r="O51" i="1" l="1"/>
  <c r="Q20" i="1" s="1"/>
  <c r="Q34" i="1" s="1"/>
  <c r="R34" i="1" s="1"/>
  <c r="G34" i="1" s="1"/>
  <c r="H34" i="1" s="1"/>
  <c r="D22" i="3"/>
  <c r="M44" i="3" s="1"/>
  <c r="D12" i="3" s="1"/>
  <c r="F21" i="3"/>
  <c r="F22" i="3" s="1"/>
  <c r="Q32" i="1" l="1"/>
  <c r="R32" i="1" s="1"/>
  <c r="G32" i="1" s="1"/>
  <c r="H32" i="1" s="1"/>
  <c r="Q33" i="1"/>
  <c r="R33" i="1" s="1"/>
  <c r="G33" i="1" s="1"/>
  <c r="H33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5" i="1"/>
  <c r="R35" i="1" s="1"/>
  <c r="O52" i="1"/>
  <c r="E15" i="3"/>
  <c r="G26" i="1" l="1"/>
  <c r="H26" i="1" s="1"/>
  <c r="G25" i="1"/>
  <c r="H25" i="1" s="1"/>
  <c r="G31" i="1"/>
  <c r="H31" i="1" s="1"/>
  <c r="G27" i="1"/>
  <c r="H27" i="1" s="1"/>
  <c r="G23" i="1"/>
  <c r="H23" i="1" s="1"/>
  <c r="H30" i="1"/>
  <c r="G30" i="1"/>
  <c r="G22" i="1"/>
  <c r="H22" i="1" s="1"/>
  <c r="G29" i="1"/>
  <c r="H29" i="1" s="1"/>
  <c r="G35" i="1"/>
  <c r="H35" i="1" s="1"/>
  <c r="G28" i="1"/>
  <c r="H28" i="1" s="1"/>
  <c r="G24" i="1"/>
  <c r="H24" i="1" s="1"/>
  <c r="Q21" i="1"/>
  <c r="F15" i="3"/>
  <c r="R21" i="1" l="1"/>
  <c r="G21" i="1" s="1"/>
  <c r="H21" i="1" l="1"/>
  <c r="H37" i="1" l="1"/>
  <c r="H38" i="1" s="1"/>
  <c r="H39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1" i="3" s="1"/>
  <c r="X16" i="3"/>
  <c r="E13" i="3"/>
  <c r="D13" i="3"/>
  <c r="M43" i="3"/>
  <c r="M47" i="3" s="1"/>
  <c r="M50" i="3" s="1"/>
  <c r="X14" i="3"/>
  <c r="X12" i="3"/>
  <c r="X11" i="3"/>
  <c r="F11" i="3" l="1"/>
</calcChain>
</file>

<file path=xl/sharedStrings.xml><?xml version="1.0" encoding="utf-8"?>
<sst xmlns="http://schemas.openxmlformats.org/spreadsheetml/2006/main" count="515" uniqueCount="296">
  <si>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</si>
  <si>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</si>
  <si>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</si>
  <si>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</si>
  <si>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</si>
  <si>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</si>
  <si>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</si>
  <si>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</si>
  <si>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</si>
  <si>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</si>
  <si>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</si>
  <si>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</si>
  <si>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</si>
  <si>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</si>
  <si>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</si>
  <si>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</si>
  <si>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</si>
  <si>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</si>
  <si>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</si>
  <si>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</si>
  <si>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</si>
  <si>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</si>
  <si>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</si>
  <si>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</si>
  <si>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</si>
  <si>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</si>
  <si>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</si>
  <si>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</si>
  <si>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</si>
  <si>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</si>
  <si>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</si>
  <si>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</si>
  <si>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</si>
  <si>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</si>
  <si>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</si>
  <si>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</si>
  <si>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</si>
  <si>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</si>
  <si>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</si>
  <si>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</si>
  <si>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</si>
  <si>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</si>
  <si>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</si>
  <si>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</si>
  <si>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</si>
  <si>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</si>
  <si>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</si>
  <si>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</si>
  <si>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</si>
  <si>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</si>
  <si>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</si>
  <si>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</si>
  <si>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</si>
  <si>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</si>
  <si>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</si>
  <si>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</si>
  <si>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</si>
  <si>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</si>
  <si>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</si>
  <si>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</si>
  <si>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</si>
  <si>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</si>
  <si>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</si>
  <si>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</si>
  <si>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</si>
  <si>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</si>
  <si>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</si>
  <si>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</si>
  <si>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</si>
  <si>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</si>
  <si>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</si>
  <si>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</si>
  <si>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</si>
  <si>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</si>
  <si>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</si>
  <si>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</si>
  <si>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</si>
  <si>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</si>
  <si>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</si>
  <si>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</si>
  <si>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</si>
  <si>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</si>
  <si>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</si>
  <si>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</si>
  <si>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</si>
  <si>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</si>
  <si>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</si>
  <si>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</si>
  <si>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</si>
  <si>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</si>
  <si>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</si>
  <si>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</si>
  <si>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</si>
  <si>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</si>
  <si>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</si>
  <si>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</si>
  <si>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</si>
  <si>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</si>
  <si>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</si>
  <si>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</si>
  <si>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</si>
  <si>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</si>
  <si>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</si>
  <si>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</si>
  <si>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</si>
  <si>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</si>
  <si>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</si>
  <si>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</si>
  <si>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</si>
  <si>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</si>
  <si>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</si>
  <si>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</si>
  <si>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</si>
  <si>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</si>
  <si>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</si>
  <si>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</si>
  <si>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</si>
  <si>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</si>
  <si>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</si>
  <si>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</si>
  <si>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</si>
  <si>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</si>
  <si>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</si>
  <si>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</si>
  <si>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</si>
  <si>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</si>
  <si>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</si>
  <si>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</si>
  <si>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</si>
  <si>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</si>
  <si>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</si>
  <si>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</si>
  <si>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</si>
  <si>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</si>
  <si>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</si>
  <si>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</si>
  <si>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</si>
  <si>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</si>
  <si>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</si>
  <si>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</si>
  <si>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</si>
  <si>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</si>
  <si>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</si>
  <si>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</si>
  <si>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</si>
  <si>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</si>
  <si>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</si>
  <si>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</si>
  <si>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</si>
  <si>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</si>
  <si>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</si>
  <si>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</si>
  <si>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</si>
  <si>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</si>
  <si>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</si>
  <si>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</si>
  <si>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</si>
  <si>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</si>
  <si>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</si>
  <si>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</si>
  <si>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</si>
  <si>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</si>
  <si>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</si>
  <si>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</si>
  <si>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</si>
  <si>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</si>
  <si>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</si>
  <si>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</si>
  <si>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</si>
  <si>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</si>
  <si>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</si>
  <si>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</si>
  <si>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</si>
  <si>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</si>
  <si>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</si>
  <si>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</si>
  <si>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</si>
  <si>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</si>
  <si>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</si>
  <si>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</si>
  <si>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</si>
  <si>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</si>
  <si>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</si>
  <si>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</si>
  <si>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</si>
  <si>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</si>
  <si>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</si>
  <si>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</si>
  <si>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</si>
  <si>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</si>
  <si>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</si>
  <si>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</si>
  <si>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</si>
  <si>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</si>
  <si>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</si>
  <si>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</si>
  <si>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</si>
  <si>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</si>
  <si>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</si>
  <si>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</si>
  <si>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</si>
  <si>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</si>
  <si>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</si>
  <si>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</si>
  <si>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</si>
  <si>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</si>
  <si>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</si>
  <si>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</si>
  <si>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</si>
  <si>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</si>
  <si>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</si>
  <si>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</si>
  <si>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</si>
  <si>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</si>
  <si>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</si>
  <si>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</si>
  <si>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</si>
  <si>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</si>
  <si>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</si>
  <si>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</si>
  <si>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</si>
  <si>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</si>
  <si>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</si>
  <si>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</si>
  <si>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</si>
  <si>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</si>
  <si>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</si>
  <si>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</si>
  <si>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</si>
  <si>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</si>
  <si>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</si>
  <si>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</si>
  <si>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</si>
  <si>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</si>
  <si>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</si>
  <si>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</si>
  <si>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</si>
  <si>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</si>
  <si>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</si>
  <si>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</si>
  <si>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</si>
  <si>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</si>
  <si>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</si>
  <si>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</si>
  <si>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</si>
  <si>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</si>
  <si>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</si>
  <si>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</si>
  <si>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</si>
  <si>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</si>
  <si>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</si>
  <si>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</si>
  <si>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</si>
  <si>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</si>
  <si>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</si>
  <si>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</si>
  <si>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</si>
  <si>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</si>
  <si>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</si>
  <si>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</si>
  <si>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</si>
  <si>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</si>
  <si>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</si>
  <si>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</si>
  <si>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</si>
  <si>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</si>
  <si>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</si>
  <si>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</si>
  <si>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</si>
  <si>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</si>
  <si>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</si>
  <si>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</si>
  <si>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</si>
  <si>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</si>
  <si>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</si>
  <si>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</si>
  <si>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</si>
  <si>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</si>
  <si>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</si>
  <si>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</si>
  <si>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</si>
  <si>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</si>
  <si>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</si>
  <si>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</si>
  <si>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</si>
  <si>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</si>
  <si>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</si>
  <si>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</si>
  <si>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LAMINA CHICA</t>
  </si>
  <si>
    <t>ENRIQUE GUTIERREZ</t>
  </si>
  <si>
    <t>MINT 2236 MT</t>
  </si>
  <si>
    <t>+569 7865 8972</t>
  </si>
  <si>
    <t>ENCHAPE RECTO 2 CARAS</t>
  </si>
  <si>
    <t>N° 11998</t>
  </si>
  <si>
    <t>10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</si>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</sst>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7" fontId="0" fillId="0" borderId="6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5" borderId="0" xfId="0" applyNumberFormat="1" applyFill="1"/>
    <xf numFmtId="166" fontId="3" fillId="25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35</xdr:row>
      <xdr:rowOff>214364</xdr:rowOff>
    </xdr:from>
    <xdr:to>
      <xdr:col>5</xdr:col>
      <xdr:colOff>1728839</xdr:colOff>
      <xdr:row>38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</a:t>
          </a:r>
          <a:r>
            <a:rPr lang="es-CL" sz="1200" b="1" baseline="0"/>
            <a:t> SE ENTREGAN CORTADAS A LA MEDIDA Y ENCHAPADAS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TRASCARA LAMINA BLANCA  Y COLOR MINT 2236 MT POR EL FRENTE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zoomScale="93" zoomScaleNormal="93" workbookViewId="0">
      <selection activeCell="J11" sqref="J11"/>
    </sheetView>
  </sheetViews>
  <sheetFormatPr baseColWidth="10" defaultRowHeight="14.4" x14ac:dyDescent="0.3"/>
  <cols>
    <col min="1" max="1" width="6" customWidth="1"/>
    <col min="2" max="2" width="10.5546875" customWidth="1"/>
    <col min="3" max="3" width="31.77734375" customWidth="1"/>
    <col min="4" max="4" width="11.109375" customWidth="1"/>
    <col min="5" max="5" width="10.5546875" customWidth="1"/>
    <col min="6" max="6" width="21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46132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294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295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O51</f>
        <v>84536.927447389084</v>
      </c>
      <c r="R20" s="257">
        <v>2000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1</v>
      </c>
      <c r="C21" s="430" t="s">
        <v>292</v>
      </c>
      <c r="D21" s="431">
        <v>0.98</v>
      </c>
      <c r="E21" s="431">
        <v>0.42699999999999999</v>
      </c>
      <c r="F21" s="430" t="s">
        <v>290</v>
      </c>
      <c r="G21" s="432">
        <f>R21</f>
        <v>39180.186060636188</v>
      </c>
      <c r="H21" s="432">
        <f>G21*B21</f>
        <v>39180.186060636188</v>
      </c>
      <c r="I21" s="306"/>
      <c r="J21" s="264"/>
      <c r="K21" s="47"/>
      <c r="L21" s="47">
        <f>B21</f>
        <v>1</v>
      </c>
      <c r="M21" s="39">
        <f>D21+M$19</f>
        <v>1.03</v>
      </c>
      <c r="N21" s="39">
        <f>E21+$N$19</f>
        <v>0.42699999999999999</v>
      </c>
      <c r="O21" s="260">
        <f t="shared" ref="O21" si="0">M21*N21</f>
        <v>0.43980999999999998</v>
      </c>
      <c r="P21" s="258">
        <f t="shared" ref="P21" si="1">O21*L21</f>
        <v>0.43980999999999998</v>
      </c>
      <c r="Q21" s="251">
        <f t="shared" ref="Q21" si="2">Q$20*O21</f>
        <v>37180.186060636188</v>
      </c>
      <c r="R21" s="305">
        <f t="shared" ref="R21" si="3">Q21+R$20</f>
        <v>39180.186060636188</v>
      </c>
      <c r="S21" s="290">
        <f>M21*L21</f>
        <v>1.03</v>
      </c>
      <c r="T21" s="46">
        <f>N21*2*L21*2</f>
        <v>1.708</v>
      </c>
      <c r="U21" s="9"/>
      <c r="X21" s="4"/>
    </row>
    <row r="22" spans="2:25" ht="17.399999999999999" x14ac:dyDescent="0.3">
      <c r="B22" s="430">
        <v>1</v>
      </c>
      <c r="C22" s="430" t="s">
        <v>292</v>
      </c>
      <c r="D22" s="431">
        <v>0.98</v>
      </c>
      <c r="E22" s="431">
        <v>0.41299999999999998</v>
      </c>
      <c r="F22" s="430" t="s">
        <v>290</v>
      </c>
      <c r="G22" s="432">
        <f t="shared" ref="G22:G35" si="4">R22</f>
        <v>37961.163566844843</v>
      </c>
      <c r="H22" s="432">
        <f>G22*B22</f>
        <v>37961.163566844843</v>
      </c>
      <c r="I22" s="306"/>
      <c r="J22" s="264"/>
      <c r="K22" s="47"/>
      <c r="L22" s="47">
        <f t="shared" ref="L22:L35" si="5">B22</f>
        <v>1</v>
      </c>
      <c r="M22" s="39">
        <f t="shared" ref="M22:M35" si="6">D22+M$19</f>
        <v>1.03</v>
      </c>
      <c r="N22" s="39">
        <f t="shared" ref="N22:N35" si="7">E22+$N$19</f>
        <v>0.41299999999999998</v>
      </c>
      <c r="O22" s="260">
        <f t="shared" ref="O22:O35" si="8">M22*N22</f>
        <v>0.42538999999999999</v>
      </c>
      <c r="P22" s="258">
        <f t="shared" ref="P22:P35" si="9">O22*L22</f>
        <v>0.42538999999999999</v>
      </c>
      <c r="Q22" s="251">
        <f t="shared" ref="Q22:Q35" si="10">Q$20*O22</f>
        <v>35961.163566844843</v>
      </c>
      <c r="R22" s="305">
        <f t="shared" ref="R22:R35" si="11">Q22+R$20</f>
        <v>37961.163566844843</v>
      </c>
      <c r="S22" s="290">
        <f t="shared" ref="S22:S35" si="12">M22*L22</f>
        <v>1.03</v>
      </c>
      <c r="T22" s="46"/>
      <c r="U22" s="9"/>
      <c r="X22" s="4"/>
    </row>
    <row r="23" spans="2:25" ht="17.399999999999999" x14ac:dyDescent="0.3">
      <c r="B23" s="430">
        <v>1</v>
      </c>
      <c r="C23" s="430" t="s">
        <v>292</v>
      </c>
      <c r="D23" s="431">
        <v>0.98</v>
      </c>
      <c r="E23" s="431">
        <v>0.41699999999999998</v>
      </c>
      <c r="F23" s="430" t="s">
        <v>290</v>
      </c>
      <c r="G23" s="432">
        <f t="shared" si="4"/>
        <v>38309.455707928086</v>
      </c>
      <c r="H23" s="432">
        <f t="shared" ref="H23:H35" si="13">G23*B23</f>
        <v>38309.455707928086</v>
      </c>
      <c r="I23" s="306"/>
      <c r="J23" s="264"/>
      <c r="K23" s="47"/>
      <c r="L23" s="47">
        <f t="shared" si="5"/>
        <v>1</v>
      </c>
      <c r="M23" s="39">
        <f t="shared" si="6"/>
        <v>1.03</v>
      </c>
      <c r="N23" s="39">
        <f t="shared" si="7"/>
        <v>0.41699999999999998</v>
      </c>
      <c r="O23" s="260">
        <f t="shared" si="8"/>
        <v>0.42951</v>
      </c>
      <c r="P23" s="258">
        <f t="shared" si="9"/>
        <v>0.42951</v>
      </c>
      <c r="Q23" s="251">
        <f t="shared" si="10"/>
        <v>36309.455707928086</v>
      </c>
      <c r="R23" s="305">
        <f t="shared" si="11"/>
        <v>38309.455707928086</v>
      </c>
      <c r="S23" s="290">
        <f t="shared" si="12"/>
        <v>1.03</v>
      </c>
      <c r="T23" s="46"/>
      <c r="U23" s="9"/>
      <c r="X23" s="4"/>
    </row>
    <row r="24" spans="2:25" ht="17.399999999999999" x14ac:dyDescent="0.3">
      <c r="B24" s="430">
        <v>2</v>
      </c>
      <c r="C24" s="430" t="s">
        <v>292</v>
      </c>
      <c r="D24" s="431">
        <v>0.67400000000000004</v>
      </c>
      <c r="E24" s="431">
        <v>0.314</v>
      </c>
      <c r="F24" s="430" t="s">
        <v>290</v>
      </c>
      <c r="G24" s="432">
        <f t="shared" si="4"/>
        <v>21218.286938179648</v>
      </c>
      <c r="H24" s="432">
        <f t="shared" si="13"/>
        <v>42436.573876359296</v>
      </c>
      <c r="I24" s="306"/>
      <c r="J24" s="264"/>
      <c r="K24" s="47"/>
      <c r="L24" s="47">
        <f t="shared" si="5"/>
        <v>2</v>
      </c>
      <c r="M24" s="39">
        <f t="shared" si="6"/>
        <v>0.72400000000000009</v>
      </c>
      <c r="N24" s="39">
        <f t="shared" si="7"/>
        <v>0.314</v>
      </c>
      <c r="O24" s="260">
        <f t="shared" si="8"/>
        <v>0.22733600000000004</v>
      </c>
      <c r="P24" s="258">
        <f t="shared" si="9"/>
        <v>0.45467200000000008</v>
      </c>
      <c r="Q24" s="251">
        <f t="shared" si="10"/>
        <v>19218.286938179648</v>
      </c>
      <c r="R24" s="305">
        <f t="shared" si="11"/>
        <v>21218.286938179648</v>
      </c>
      <c r="S24" s="290">
        <f t="shared" si="12"/>
        <v>1.4480000000000002</v>
      </c>
      <c r="T24" s="46"/>
      <c r="U24" s="9"/>
      <c r="X24" s="4"/>
    </row>
    <row r="25" spans="2:25" ht="17.399999999999999" x14ac:dyDescent="0.3">
      <c r="B25" s="430">
        <v>1</v>
      </c>
      <c r="C25" s="430" t="s">
        <v>292</v>
      </c>
      <c r="D25" s="431">
        <v>0.73099999999999998</v>
      </c>
      <c r="E25" s="431">
        <v>0.41299999999999998</v>
      </c>
      <c r="F25" s="430" t="s">
        <v>290</v>
      </c>
      <c r="G25" s="432">
        <f t="shared" si="4"/>
        <v>29267.639558937688</v>
      </c>
      <c r="H25" s="432">
        <f t="shared" si="13"/>
        <v>29267.639558937688</v>
      </c>
      <c r="I25" s="306"/>
      <c r="J25" s="264"/>
      <c r="K25" s="47"/>
      <c r="L25" s="460">
        <f t="shared" si="5"/>
        <v>1</v>
      </c>
      <c r="M25" s="461">
        <f t="shared" si="6"/>
        <v>0.78100000000000003</v>
      </c>
      <c r="N25" s="461">
        <f t="shared" si="7"/>
        <v>0.41299999999999998</v>
      </c>
      <c r="O25" s="260">
        <f t="shared" si="8"/>
        <v>0.32255299999999998</v>
      </c>
      <c r="P25" s="258">
        <f t="shared" si="9"/>
        <v>0.32255299999999998</v>
      </c>
      <c r="Q25" s="251">
        <f t="shared" si="10"/>
        <v>27267.639558937688</v>
      </c>
      <c r="R25" s="305">
        <f t="shared" si="11"/>
        <v>29267.639558937688</v>
      </c>
      <c r="S25" s="290">
        <f t="shared" si="12"/>
        <v>0.78100000000000003</v>
      </c>
      <c r="T25" s="46"/>
      <c r="U25" s="9"/>
      <c r="X25" s="4"/>
    </row>
    <row r="26" spans="2:25" ht="17.399999999999999" x14ac:dyDescent="0.3">
      <c r="B26" s="430">
        <v>1</v>
      </c>
      <c r="C26" s="430" t="s">
        <v>292</v>
      </c>
      <c r="D26" s="431">
        <v>0.12</v>
      </c>
      <c r="E26" s="431">
        <v>0.60199999999999998</v>
      </c>
      <c r="F26" s="430" t="s">
        <v>290</v>
      </c>
      <c r="G26" s="432">
        <f t="shared" si="4"/>
        <v>10651.509154965797</v>
      </c>
      <c r="H26" s="432">
        <f t="shared" si="13"/>
        <v>10651.509154965797</v>
      </c>
      <c r="I26" s="306"/>
      <c r="J26" s="264"/>
      <c r="K26" s="47"/>
      <c r="L26" s="47">
        <f t="shared" si="5"/>
        <v>1</v>
      </c>
      <c r="M26" s="39">
        <f t="shared" si="6"/>
        <v>0.16999999999999998</v>
      </c>
      <c r="N26" s="39">
        <f t="shared" si="7"/>
        <v>0.60199999999999998</v>
      </c>
      <c r="O26" s="260">
        <f t="shared" si="8"/>
        <v>0.10233999999999999</v>
      </c>
      <c r="P26" s="258">
        <f t="shared" si="9"/>
        <v>0.10233999999999999</v>
      </c>
      <c r="Q26" s="251">
        <f t="shared" si="10"/>
        <v>8651.5091549657973</v>
      </c>
      <c r="R26" s="305">
        <f t="shared" si="11"/>
        <v>10651.509154965797</v>
      </c>
      <c r="S26" s="290">
        <f t="shared" si="12"/>
        <v>0.16999999999999998</v>
      </c>
      <c r="T26" s="46"/>
      <c r="U26" s="9"/>
      <c r="X26" s="4"/>
    </row>
    <row r="27" spans="2:25" ht="17.399999999999999" x14ac:dyDescent="0.3">
      <c r="B27" s="430">
        <v>2</v>
      </c>
      <c r="C27" s="430" t="s">
        <v>292</v>
      </c>
      <c r="D27" s="431">
        <v>0.21</v>
      </c>
      <c r="E27" s="431">
        <v>0.59099999999999997</v>
      </c>
      <c r="F27" s="430" t="s">
        <v>290</v>
      </c>
      <c r="G27" s="432">
        <f t="shared" si="4"/>
        <v>14989.944271565806</v>
      </c>
      <c r="H27" s="432">
        <f t="shared" si="13"/>
        <v>29979.888543131612</v>
      </c>
      <c r="I27" s="306"/>
      <c r="J27" s="264"/>
      <c r="K27" s="47"/>
      <c r="L27" s="47">
        <f t="shared" si="5"/>
        <v>2</v>
      </c>
      <c r="M27" s="39">
        <f t="shared" si="6"/>
        <v>0.26</v>
      </c>
      <c r="N27" s="39">
        <f t="shared" si="7"/>
        <v>0.59099999999999997</v>
      </c>
      <c r="O27" s="260">
        <f t="shared" si="8"/>
        <v>0.15365999999999999</v>
      </c>
      <c r="P27" s="258">
        <f t="shared" si="9"/>
        <v>0.30731999999999998</v>
      </c>
      <c r="Q27" s="251">
        <f t="shared" si="10"/>
        <v>12989.944271565806</v>
      </c>
      <c r="R27" s="305">
        <f t="shared" si="11"/>
        <v>14989.944271565806</v>
      </c>
      <c r="S27" s="290">
        <f t="shared" si="12"/>
        <v>0.52</v>
      </c>
      <c r="T27" s="46"/>
      <c r="U27" s="9"/>
      <c r="X27" s="4"/>
    </row>
    <row r="28" spans="2:25" ht="17.399999999999999" x14ac:dyDescent="0.3">
      <c r="B28" s="430">
        <v>1</v>
      </c>
      <c r="C28" s="430" t="s">
        <v>292</v>
      </c>
      <c r="D28" s="431">
        <v>0.31</v>
      </c>
      <c r="E28" s="431">
        <v>0.59099999999999997</v>
      </c>
      <c r="F28" s="430" t="s">
        <v>290</v>
      </c>
      <c r="G28" s="432">
        <f t="shared" si="4"/>
        <v>19986.076683706498</v>
      </c>
      <c r="H28" s="432">
        <f t="shared" si="13"/>
        <v>19986.076683706498</v>
      </c>
      <c r="I28" s="306"/>
      <c r="J28" s="264"/>
      <c r="K28" s="47"/>
      <c r="L28" s="47">
        <f t="shared" si="5"/>
        <v>1</v>
      </c>
      <c r="M28" s="39">
        <f t="shared" si="6"/>
        <v>0.36</v>
      </c>
      <c r="N28" s="39">
        <f t="shared" si="7"/>
        <v>0.59099999999999997</v>
      </c>
      <c r="O28" s="260">
        <f t="shared" si="8"/>
        <v>0.21275999999999998</v>
      </c>
      <c r="P28" s="258">
        <f t="shared" si="9"/>
        <v>0.21275999999999998</v>
      </c>
      <c r="Q28" s="251">
        <f t="shared" si="10"/>
        <v>17986.076683706498</v>
      </c>
      <c r="R28" s="305">
        <f t="shared" si="11"/>
        <v>19986.076683706498</v>
      </c>
      <c r="S28" s="290">
        <f t="shared" si="12"/>
        <v>0.36</v>
      </c>
      <c r="T28" s="46"/>
      <c r="U28" s="9"/>
      <c r="X28" s="4"/>
    </row>
    <row r="29" spans="2:25" ht="17.399999999999999" x14ac:dyDescent="0.3">
      <c r="B29" s="430">
        <v>2</v>
      </c>
      <c r="C29" s="430" t="s">
        <v>292</v>
      </c>
      <c r="D29" s="431">
        <v>0.56000000000000005</v>
      </c>
      <c r="E29" s="431">
        <v>0.24</v>
      </c>
      <c r="F29" s="430" t="s">
        <v>290</v>
      </c>
      <c r="G29" s="432">
        <f t="shared" si="4"/>
        <v>14376.206178297765</v>
      </c>
      <c r="H29" s="432">
        <f t="shared" si="13"/>
        <v>28752.412356595531</v>
      </c>
      <c r="I29" s="306"/>
      <c r="J29" s="264"/>
      <c r="K29" s="47"/>
      <c r="L29" s="47">
        <f t="shared" si="5"/>
        <v>2</v>
      </c>
      <c r="M29" s="39">
        <f t="shared" si="6"/>
        <v>0.6100000000000001</v>
      </c>
      <c r="N29" s="39">
        <f t="shared" si="7"/>
        <v>0.24</v>
      </c>
      <c r="O29" s="260">
        <f t="shared" si="8"/>
        <v>0.14640000000000003</v>
      </c>
      <c r="P29" s="258">
        <f t="shared" si="9"/>
        <v>0.29280000000000006</v>
      </c>
      <c r="Q29" s="251">
        <f t="shared" si="10"/>
        <v>12376.206178297765</v>
      </c>
      <c r="R29" s="305">
        <f t="shared" si="11"/>
        <v>14376.206178297765</v>
      </c>
      <c r="S29" s="290">
        <f t="shared" si="12"/>
        <v>1.2200000000000002</v>
      </c>
      <c r="T29" s="46"/>
      <c r="U29" s="9"/>
      <c r="X29" s="4"/>
    </row>
    <row r="30" spans="2:25" ht="17.399999999999999" x14ac:dyDescent="0.3">
      <c r="B30" s="430">
        <v>2</v>
      </c>
      <c r="C30" s="430" t="s">
        <v>292</v>
      </c>
      <c r="D30" s="431">
        <v>0.70199999999999996</v>
      </c>
      <c r="E30" s="431">
        <v>0.32400000000000001</v>
      </c>
      <c r="F30" s="430" t="s">
        <v>290</v>
      </c>
      <c r="G30" s="432">
        <f t="shared" si="4"/>
        <v>22597.253298701457</v>
      </c>
      <c r="H30" s="432">
        <f t="shared" si="13"/>
        <v>45194.506597402913</v>
      </c>
      <c r="I30" s="306"/>
      <c r="J30" s="264"/>
      <c r="K30" s="47"/>
      <c r="L30" s="458">
        <f t="shared" si="5"/>
        <v>2</v>
      </c>
      <c r="M30" s="459">
        <f t="shared" si="6"/>
        <v>0.752</v>
      </c>
      <c r="N30" s="459">
        <f t="shared" si="7"/>
        <v>0.32400000000000001</v>
      </c>
      <c r="O30" s="260">
        <f t="shared" si="8"/>
        <v>0.243648</v>
      </c>
      <c r="P30" s="258">
        <f t="shared" si="9"/>
        <v>0.48729600000000001</v>
      </c>
      <c r="Q30" s="251">
        <f t="shared" si="10"/>
        <v>20597.253298701457</v>
      </c>
      <c r="R30" s="305">
        <f t="shared" si="11"/>
        <v>22597.253298701457</v>
      </c>
      <c r="S30" s="290">
        <f t="shared" si="12"/>
        <v>1.504</v>
      </c>
      <c r="T30" s="46"/>
      <c r="U30" s="9"/>
      <c r="X30" s="4"/>
    </row>
    <row r="31" spans="2:25" ht="17.399999999999999" x14ac:dyDescent="0.3">
      <c r="B31" s="430">
        <v>2</v>
      </c>
      <c r="C31" s="430" t="s">
        <v>292</v>
      </c>
      <c r="D31" s="431">
        <v>0.70199999999999996</v>
      </c>
      <c r="E31" s="431">
        <v>0.32700000000000001</v>
      </c>
      <c r="F31" s="430" t="s">
        <v>290</v>
      </c>
      <c r="G31" s="432">
        <f t="shared" si="4"/>
        <v>22787.968607022765</v>
      </c>
      <c r="H31" s="432">
        <f t="shared" si="13"/>
        <v>45575.937214045531</v>
      </c>
      <c r="I31" s="306"/>
      <c r="J31" s="264"/>
      <c r="K31" s="47"/>
      <c r="L31" s="458">
        <f t="shared" si="5"/>
        <v>2</v>
      </c>
      <c r="M31" s="459">
        <f t="shared" si="6"/>
        <v>0.752</v>
      </c>
      <c r="N31" s="459">
        <f t="shared" si="7"/>
        <v>0.32700000000000001</v>
      </c>
      <c r="O31" s="260">
        <f t="shared" si="8"/>
        <v>0.24590400000000001</v>
      </c>
      <c r="P31" s="258">
        <f t="shared" si="9"/>
        <v>0.49180800000000002</v>
      </c>
      <c r="Q31" s="251">
        <f t="shared" si="10"/>
        <v>20787.968607022765</v>
      </c>
      <c r="R31" s="305">
        <f t="shared" si="11"/>
        <v>22787.968607022765</v>
      </c>
      <c r="S31" s="290">
        <f t="shared" si="12"/>
        <v>1.504</v>
      </c>
      <c r="T31" s="46"/>
      <c r="U31" s="9"/>
      <c r="X31" s="4"/>
    </row>
    <row r="32" spans="2:25" ht="17.399999999999999" x14ac:dyDescent="0.3">
      <c r="B32" s="430">
        <v>1</v>
      </c>
      <c r="C32" s="430" t="s">
        <v>292</v>
      </c>
      <c r="D32" s="431">
        <v>0.70199999999999996</v>
      </c>
      <c r="E32" s="431">
        <v>0.33600000000000002</v>
      </c>
      <c r="F32" s="430" t="s">
        <v>290</v>
      </c>
      <c r="G32" s="432">
        <f t="shared" si="4"/>
        <v>23360.114531986696</v>
      </c>
      <c r="H32" s="432">
        <f t="shared" si="13"/>
        <v>23360.114531986696</v>
      </c>
      <c r="I32" s="306"/>
      <c r="J32" s="264"/>
      <c r="K32" s="47"/>
      <c r="L32" s="458">
        <f t="shared" ref="L32:L34" si="14">B32</f>
        <v>1</v>
      </c>
      <c r="M32" s="459">
        <f t="shared" ref="M32:M34" si="15">D32+M$19</f>
        <v>0.752</v>
      </c>
      <c r="N32" s="459">
        <f t="shared" ref="N32:N34" si="16">E32+$N$19</f>
        <v>0.33600000000000002</v>
      </c>
      <c r="O32" s="260">
        <f t="shared" ref="O32:O34" si="17">M32*N32</f>
        <v>0.25267200000000001</v>
      </c>
      <c r="P32" s="258">
        <f t="shared" ref="P32:P34" si="18">O32*L32</f>
        <v>0.25267200000000001</v>
      </c>
      <c r="Q32" s="251">
        <f t="shared" ref="Q32:Q34" si="19">Q$20*O32</f>
        <v>21360.114531986696</v>
      </c>
      <c r="R32" s="305">
        <f t="shared" ref="R32:R34" si="20">Q32+R$20</f>
        <v>23360.114531986696</v>
      </c>
      <c r="S32" s="290">
        <f t="shared" ref="S32:S34" si="21">M32*L32</f>
        <v>0.752</v>
      </c>
      <c r="T32" s="46"/>
      <c r="U32" s="9"/>
      <c r="X32" s="4"/>
    </row>
    <row r="33" spans="1:24" ht="17.399999999999999" x14ac:dyDescent="0.3">
      <c r="B33" s="430">
        <v>2</v>
      </c>
      <c r="C33" s="430" t="s">
        <v>292</v>
      </c>
      <c r="D33" s="431">
        <v>0.73099999999999998</v>
      </c>
      <c r="E33" s="431">
        <v>0.40100000000000002</v>
      </c>
      <c r="F33" s="430" t="s">
        <v>290</v>
      </c>
      <c r="G33" s="432">
        <f t="shared" si="4"/>
        <v>28475.359474900764</v>
      </c>
      <c r="H33" s="432">
        <f t="shared" si="13"/>
        <v>56950.718949801529</v>
      </c>
      <c r="I33" s="306"/>
      <c r="J33" s="264"/>
      <c r="K33" s="47"/>
      <c r="L33" s="458">
        <f t="shared" si="14"/>
        <v>2</v>
      </c>
      <c r="M33" s="459">
        <f t="shared" si="15"/>
        <v>0.78100000000000003</v>
      </c>
      <c r="N33" s="459">
        <f t="shared" si="16"/>
        <v>0.40100000000000002</v>
      </c>
      <c r="O33" s="260">
        <f t="shared" si="17"/>
        <v>0.31318100000000004</v>
      </c>
      <c r="P33" s="258">
        <f t="shared" si="18"/>
        <v>0.62636200000000009</v>
      </c>
      <c r="Q33" s="251">
        <f t="shared" si="19"/>
        <v>26475.359474900764</v>
      </c>
      <c r="R33" s="305">
        <f t="shared" si="20"/>
        <v>28475.359474900764</v>
      </c>
      <c r="S33" s="290">
        <f t="shared" si="21"/>
        <v>1.5620000000000001</v>
      </c>
      <c r="T33" s="46"/>
      <c r="U33" s="9"/>
      <c r="X33" s="4"/>
    </row>
    <row r="34" spans="1:24" ht="17.399999999999999" x14ac:dyDescent="0.3">
      <c r="B34" s="430">
        <v>1</v>
      </c>
      <c r="C34" s="430" t="s">
        <v>292</v>
      </c>
      <c r="D34" s="431">
        <v>0.73099999999999998</v>
      </c>
      <c r="E34" s="431">
        <v>0.38100000000000001</v>
      </c>
      <c r="F34" s="430" t="s">
        <v>290</v>
      </c>
      <c r="G34" s="432">
        <f t="shared" si="4"/>
        <v>27154.892668172546</v>
      </c>
      <c r="H34" s="432">
        <f t="shared" si="13"/>
        <v>27154.892668172546</v>
      </c>
      <c r="I34" s="306"/>
      <c r="J34" s="264"/>
      <c r="K34" s="47"/>
      <c r="L34" s="458">
        <f t="shared" si="14"/>
        <v>1</v>
      </c>
      <c r="M34" s="459">
        <f t="shared" si="15"/>
        <v>0.78100000000000003</v>
      </c>
      <c r="N34" s="459">
        <f t="shared" si="16"/>
        <v>0.38100000000000001</v>
      </c>
      <c r="O34" s="260">
        <f t="shared" si="17"/>
        <v>0.29756100000000002</v>
      </c>
      <c r="P34" s="258">
        <f t="shared" si="18"/>
        <v>0.29756100000000002</v>
      </c>
      <c r="Q34" s="251">
        <f t="shared" si="19"/>
        <v>25154.892668172546</v>
      </c>
      <c r="R34" s="305">
        <f t="shared" si="20"/>
        <v>27154.892668172546</v>
      </c>
      <c r="S34" s="290">
        <f t="shared" si="21"/>
        <v>0.78100000000000003</v>
      </c>
      <c r="T34" s="46"/>
      <c r="U34" s="9"/>
      <c r="X34" s="4"/>
    </row>
    <row r="35" spans="1:24" ht="17.399999999999999" x14ac:dyDescent="0.3">
      <c r="B35" s="430">
        <v>1</v>
      </c>
      <c r="C35" s="430" t="s">
        <v>292</v>
      </c>
      <c r="D35" s="431">
        <v>0.73099999999999998</v>
      </c>
      <c r="E35" s="431">
        <v>0.26600000000000001</v>
      </c>
      <c r="F35" s="430" t="s">
        <v>290</v>
      </c>
      <c r="G35" s="432">
        <f t="shared" si="4"/>
        <v>19562.208529485295</v>
      </c>
      <c r="H35" s="432">
        <f t="shared" si="13"/>
        <v>19562.208529485295</v>
      </c>
      <c r="I35" s="306"/>
      <c r="J35" s="264"/>
      <c r="K35" s="47"/>
      <c r="L35" s="460">
        <f t="shared" si="5"/>
        <v>1</v>
      </c>
      <c r="M35" s="461">
        <f t="shared" si="6"/>
        <v>0.78100000000000003</v>
      </c>
      <c r="N35" s="461">
        <f t="shared" si="7"/>
        <v>0.26600000000000001</v>
      </c>
      <c r="O35" s="260">
        <f t="shared" si="8"/>
        <v>0.20774600000000001</v>
      </c>
      <c r="P35" s="258">
        <f t="shared" si="9"/>
        <v>0.20774600000000001</v>
      </c>
      <c r="Q35" s="251">
        <f t="shared" si="10"/>
        <v>17562.208529485295</v>
      </c>
      <c r="R35" s="305">
        <f t="shared" si="11"/>
        <v>19562.208529485295</v>
      </c>
      <c r="S35" s="290">
        <f t="shared" si="12"/>
        <v>0.78100000000000003</v>
      </c>
      <c r="T35" s="46"/>
      <c r="U35" s="9"/>
      <c r="X35" s="4"/>
    </row>
    <row r="36" spans="1:24" ht="18" thickBot="1" x14ac:dyDescent="0.35">
      <c r="B36" s="283"/>
      <c r="C36" s="283"/>
      <c r="D36" s="284"/>
      <c r="E36" s="284"/>
      <c r="F36" s="283"/>
      <c r="G36" s="264"/>
      <c r="H36" s="307"/>
      <c r="I36" s="309"/>
      <c r="J36" s="233"/>
      <c r="K36" s="47"/>
      <c r="L36" s="47"/>
      <c r="M36" s="39"/>
      <c r="N36" s="39"/>
      <c r="O36" s="260"/>
      <c r="P36" s="258"/>
      <c r="Q36" s="251"/>
      <c r="R36" s="305"/>
      <c r="S36" s="290"/>
      <c r="T36" s="14"/>
      <c r="U36" s="9"/>
      <c r="X36" s="4"/>
    </row>
    <row r="37" spans="1:24" ht="17.399999999999999" x14ac:dyDescent="0.3">
      <c r="B37" s="283"/>
      <c r="C37" s="283"/>
      <c r="D37" s="284"/>
      <c r="E37" s="284"/>
      <c r="F37" s="283"/>
      <c r="G37" s="310" t="s">
        <v>28</v>
      </c>
      <c r="H37" s="311">
        <f>SUM(H21:H35)</f>
        <v>494323.28400000004</v>
      </c>
      <c r="I37" s="308"/>
      <c r="J37" s="264"/>
      <c r="K37" s="47"/>
      <c r="L37" s="47"/>
      <c r="M37" s="39"/>
      <c r="N37" s="39"/>
      <c r="O37" s="260"/>
      <c r="P37" s="258"/>
      <c r="Q37" s="251"/>
      <c r="R37" s="305"/>
      <c r="S37" s="290"/>
      <c r="T37" s="46">
        <f>SUM(T21:T36)</f>
        <v>1.708</v>
      </c>
      <c r="U37" s="9"/>
      <c r="X37" s="4"/>
    </row>
    <row r="38" spans="1:24" ht="17.399999999999999" x14ac:dyDescent="0.3">
      <c r="B38" s="277"/>
      <c r="C38" s="280"/>
      <c r="D38" s="281"/>
      <c r="E38" s="281"/>
      <c r="F38" s="282"/>
      <c r="G38" s="289" t="s">
        <v>51</v>
      </c>
      <c r="H38" s="287">
        <f>H37*0.19</f>
        <v>93921.423960000015</v>
      </c>
      <c r="I38" s="308"/>
      <c r="J38" s="264"/>
      <c r="K38" s="47"/>
      <c r="L38" s="47"/>
      <c r="M38" s="39">
        <f>SUM(M36:M37)</f>
        <v>0</v>
      </c>
      <c r="N38" s="12"/>
      <c r="O38" s="12"/>
      <c r="P38" s="252">
        <f>SUM(P21:P35)</f>
        <v>5.3506</v>
      </c>
      <c r="Q38" s="14"/>
      <c r="R38" s="12"/>
      <c r="S38" s="239"/>
      <c r="T38" s="46"/>
      <c r="U38" s="9"/>
      <c r="X38" s="4"/>
    </row>
    <row r="39" spans="1:24" ht="18" thickBot="1" x14ac:dyDescent="0.35">
      <c r="B39" s="274"/>
      <c r="C39" s="279"/>
      <c r="D39" s="271"/>
      <c r="E39" s="271"/>
      <c r="F39" s="272"/>
      <c r="G39" s="278" t="s">
        <v>6</v>
      </c>
      <c r="H39" s="288">
        <f>H38+H37</f>
        <v>588244.70796000003</v>
      </c>
      <c r="I39" s="308"/>
      <c r="J39" s="264"/>
      <c r="K39" s="47"/>
      <c r="L39" s="47"/>
      <c r="M39" s="39"/>
      <c r="N39" s="12"/>
      <c r="O39" s="12"/>
      <c r="P39" s="252">
        <f>P38</f>
        <v>5.3506</v>
      </c>
      <c r="Q39" s="14"/>
      <c r="R39" s="12"/>
      <c r="S39" s="239">
        <f>SUM(S21:S38)</f>
        <v>14.473000000000001</v>
      </c>
      <c r="T39" s="46"/>
      <c r="U39" s="9"/>
      <c r="X39" s="4"/>
    </row>
    <row r="40" spans="1:24" ht="17.399999999999999" x14ac:dyDescent="0.3">
      <c r="B40" s="274"/>
      <c r="C40" s="270"/>
      <c r="D40" s="271"/>
      <c r="E40" s="271"/>
      <c r="F40" s="272"/>
      <c r="J40" s="264"/>
      <c r="K40" s="47"/>
      <c r="L40" s="47"/>
      <c r="M40" s="14"/>
      <c r="N40" s="12"/>
      <c r="O40" s="12"/>
      <c r="P40" s="39">
        <f>P39*20%</f>
        <v>1.07012</v>
      </c>
      <c r="Q40" s="39" t="s">
        <v>129</v>
      </c>
      <c r="R40" s="42"/>
      <c r="S40" s="240">
        <f>S39+T37</f>
        <v>16.181000000000001</v>
      </c>
      <c r="T40" s="14"/>
      <c r="U40" s="9"/>
      <c r="X40" s="4"/>
    </row>
    <row r="41" spans="1:24" ht="17.399999999999999" x14ac:dyDescent="0.35">
      <c r="B41" s="268"/>
      <c r="C41" s="230"/>
      <c r="D41" s="230"/>
      <c r="E41" s="233"/>
      <c r="F41" s="234"/>
      <c r="G41" s="230"/>
      <c r="H41" s="273"/>
      <c r="I41" s="273"/>
      <c r="J41" s="264"/>
      <c r="K41" s="47"/>
      <c r="L41" s="47"/>
      <c r="M41" s="14"/>
      <c r="N41" s="12"/>
      <c r="O41" s="12"/>
      <c r="P41" s="46">
        <f>P39+P40</f>
        <v>6.4207200000000002</v>
      </c>
      <c r="Q41" s="14"/>
      <c r="R41" s="14"/>
      <c r="S41" s="238">
        <f>S40*20%</f>
        <v>3.2362000000000002</v>
      </c>
      <c r="T41" s="14"/>
      <c r="U41" s="9"/>
      <c r="X41" s="4"/>
    </row>
    <row r="42" spans="1:24" ht="17.399999999999999" x14ac:dyDescent="0.35">
      <c r="B42" s="235"/>
      <c r="C42" s="236"/>
      <c r="D42" s="237"/>
      <c r="E42" s="235"/>
      <c r="F42" s="230"/>
      <c r="G42" s="230"/>
      <c r="I42" s="273"/>
      <c r="J42" s="264"/>
      <c r="K42" s="47"/>
      <c r="L42" s="47"/>
      <c r="M42" s="14"/>
      <c r="N42" s="14"/>
      <c r="O42" s="14"/>
      <c r="P42" s="14"/>
      <c r="Q42" s="14"/>
      <c r="R42" s="14"/>
      <c r="S42" s="240">
        <f>S40+S41</f>
        <v>19.417200000000001</v>
      </c>
      <c r="T42" s="14"/>
      <c r="U42" s="294" t="s">
        <v>21</v>
      </c>
      <c r="V42" s="291" t="s">
        <v>149</v>
      </c>
      <c r="W42" s="295">
        <v>44971</v>
      </c>
      <c r="X42" s="296"/>
    </row>
    <row r="43" spans="1:24" ht="17.399999999999999" x14ac:dyDescent="0.35">
      <c r="B43" s="230"/>
      <c r="C43" s="230"/>
      <c r="D43" s="230"/>
      <c r="E43" s="230"/>
      <c r="F43" s="230"/>
      <c r="G43" s="230"/>
      <c r="J43" s="264"/>
      <c r="K43" s="47"/>
      <c r="L43" s="47"/>
      <c r="M43" s="39">
        <f>P41*2</f>
        <v>12.84144</v>
      </c>
      <c r="N43" s="12">
        <v>3500</v>
      </c>
      <c r="O43" s="12">
        <f t="shared" ref="O43:O48" si="22">M43*N43</f>
        <v>44945.04</v>
      </c>
      <c r="P43" s="14" t="s">
        <v>21</v>
      </c>
      <c r="Q43" s="14"/>
      <c r="R43" s="14"/>
      <c r="S43" s="241"/>
      <c r="T43" s="14"/>
      <c r="U43" s="294" t="s">
        <v>150</v>
      </c>
      <c r="V43" s="291">
        <v>3625</v>
      </c>
      <c r="W43" s="59" t="s">
        <v>151</v>
      </c>
      <c r="X43" s="296"/>
    </row>
    <row r="44" spans="1:24" ht="17.399999999999999" x14ac:dyDescent="0.35">
      <c r="A44" s="230"/>
      <c r="B44" s="230"/>
      <c r="C44" s="230"/>
      <c r="D44" s="230"/>
      <c r="E44" s="230"/>
      <c r="F44" s="230"/>
      <c r="G44" s="230"/>
      <c r="H44" s="230"/>
      <c r="J44" s="264"/>
      <c r="K44" s="47"/>
      <c r="L44" s="47"/>
      <c r="M44" s="248">
        <v>1.7</v>
      </c>
      <c r="N44" s="12">
        <v>24910</v>
      </c>
      <c r="O44" s="12">
        <f t="shared" si="22"/>
        <v>42347</v>
      </c>
      <c r="P44" s="39" t="s">
        <v>31</v>
      </c>
      <c r="Q44" s="42"/>
      <c r="R44" s="14"/>
      <c r="S44" s="240"/>
      <c r="T44" s="14"/>
      <c r="U44" s="294"/>
      <c r="V44" s="59">
        <v>906.25</v>
      </c>
      <c r="W44" s="59" t="s">
        <v>152</v>
      </c>
      <c r="X44" s="296"/>
    </row>
    <row r="45" spans="1:24" s="230" customFormat="1" ht="17.399999999999999" x14ac:dyDescent="0.35">
      <c r="B45" s="24" t="s">
        <v>148</v>
      </c>
      <c r="J45" s="261"/>
      <c r="K45" s="232"/>
      <c r="L45" s="249"/>
      <c r="M45" s="14">
        <v>3</v>
      </c>
      <c r="N45" s="249">
        <v>25000</v>
      </c>
      <c r="O45" s="12">
        <f t="shared" si="22"/>
        <v>75000</v>
      </c>
      <c r="P45" s="39" t="s">
        <v>30</v>
      </c>
      <c r="Q45" s="42"/>
      <c r="S45" s="240"/>
      <c r="T45" s="255"/>
      <c r="U45" s="59"/>
      <c r="V45" s="59">
        <f>V44*20%</f>
        <v>181.25</v>
      </c>
      <c r="W45" s="296" t="s">
        <v>153</v>
      </c>
      <c r="X45" s="59"/>
    </row>
    <row r="46" spans="1:24" s="230" customFormat="1" ht="17.399999999999999" x14ac:dyDescent="0.35">
      <c r="B46" s="24" t="s">
        <v>162</v>
      </c>
      <c r="C46"/>
      <c r="D46"/>
      <c r="E46"/>
      <c r="F46"/>
      <c r="J46" s="261"/>
      <c r="K46" s="232"/>
      <c r="L46" s="249"/>
      <c r="M46" s="14">
        <v>3</v>
      </c>
      <c r="N46" s="249">
        <v>17700</v>
      </c>
      <c r="O46" s="12">
        <f t="shared" si="22"/>
        <v>53100</v>
      </c>
      <c r="P46" s="14" t="s">
        <v>139</v>
      </c>
      <c r="Q46" s="17"/>
      <c r="S46" s="238"/>
      <c r="T46" s="255"/>
      <c r="U46" s="59"/>
      <c r="V46" s="59">
        <f>V44+V45</f>
        <v>1087.5</v>
      </c>
      <c r="W46" s="296" t="s">
        <v>154</v>
      </c>
      <c r="X46" s="59"/>
    </row>
    <row r="47" spans="1:24" s="230" customFormat="1" ht="17.399999999999999" x14ac:dyDescent="0.35">
      <c r="A47" s="230" t="s">
        <v>283</v>
      </c>
      <c r="B47" s="29" t="s">
        <v>124</v>
      </c>
      <c r="C47"/>
      <c r="D47"/>
      <c r="E47"/>
      <c r="F47" s="229" t="s">
        <v>15</v>
      </c>
      <c r="J47" s="261"/>
      <c r="K47" s="259"/>
      <c r="L47" s="249"/>
      <c r="M47" s="248"/>
      <c r="N47" s="249">
        <v>900</v>
      </c>
      <c r="O47" s="12">
        <f t="shared" si="22"/>
        <v>0</v>
      </c>
      <c r="P47" s="14" t="s">
        <v>32</v>
      </c>
      <c r="Q47" s="14"/>
      <c r="R47" s="230">
        <v>1.52</v>
      </c>
      <c r="S47" s="238"/>
      <c r="T47" s="238"/>
    </row>
    <row r="48" spans="1:24" s="230" customFormat="1" ht="17.399999999999999" x14ac:dyDescent="0.35">
      <c r="J48" s="286"/>
      <c r="K48" s="259"/>
      <c r="L48" s="249"/>
      <c r="M48" s="265"/>
      <c r="N48" s="12">
        <v>1500</v>
      </c>
      <c r="O48" s="12">
        <f t="shared" si="22"/>
        <v>0</v>
      </c>
      <c r="P48" s="14" t="s">
        <v>22</v>
      </c>
      <c r="Q48" s="14"/>
      <c r="R48">
        <v>2.44</v>
      </c>
      <c r="S48"/>
      <c r="T48" s="238"/>
      <c r="X48" s="231"/>
    </row>
    <row r="49" spans="2:24" s="230" customFormat="1" ht="17.399999999999999" x14ac:dyDescent="0.35">
      <c r="K49" s="259"/>
      <c r="L49" s="249"/>
      <c r="M49" s="14"/>
      <c r="N49" s="12"/>
      <c r="O49" s="12">
        <f>SUM(O43:O48)</f>
        <v>215392.04</v>
      </c>
      <c r="P49" s="39" t="s">
        <v>23</v>
      </c>
      <c r="Q49" s="14"/>
      <c r="R49">
        <f>R47*R48</f>
        <v>3.7088000000000001</v>
      </c>
      <c r="S49"/>
      <c r="T49" s="238"/>
      <c r="X49" s="231"/>
    </row>
    <row r="50" spans="2:24" s="230" customFormat="1" ht="17.399999999999999" x14ac:dyDescent="0.35">
      <c r="L50" s="249"/>
      <c r="M50" s="253" t="s">
        <v>33</v>
      </c>
      <c r="N50" s="12"/>
      <c r="O50" s="254">
        <f>O49*2.1</f>
        <v>452323.28400000004</v>
      </c>
      <c r="P50" s="14" t="s">
        <v>138</v>
      </c>
      <c r="Q50" s="14"/>
      <c r="R50" s="40">
        <f>P41/R49</f>
        <v>1.7312122519413287</v>
      </c>
      <c r="S50"/>
      <c r="T50" s="256"/>
    </row>
    <row r="51" spans="2:24" s="230" customFormat="1" ht="17.399999999999999" x14ac:dyDescent="0.35">
      <c r="G51"/>
      <c r="H51" s="259"/>
      <c r="I51" s="259"/>
      <c r="J51" s="259"/>
      <c r="K51" s="230">
        <v>70970</v>
      </c>
      <c r="L51" s="249"/>
      <c r="M51" s="14"/>
      <c r="N51" s="12"/>
      <c r="O51" s="12">
        <f>O50/P39</f>
        <v>84536.927447389084</v>
      </c>
      <c r="P51" s="45" t="s">
        <v>24</v>
      </c>
      <c r="Q51" s="14"/>
      <c r="R51" s="14"/>
      <c r="S51"/>
      <c r="T51" s="238"/>
      <c r="U51" s="59" t="s">
        <v>155</v>
      </c>
      <c r="V51" s="291">
        <v>43650</v>
      </c>
    </row>
    <row r="52" spans="2:24" s="230" customFormat="1" ht="17.399999999999999" x14ac:dyDescent="0.35">
      <c r="G52"/>
      <c r="K52" s="230">
        <f>K51/1.19</f>
        <v>59638.655462184877</v>
      </c>
      <c r="L52" s="249"/>
      <c r="M52" s="13"/>
      <c r="N52" s="14"/>
      <c r="O52" s="17">
        <f>O50/O49</f>
        <v>2.1</v>
      </c>
      <c r="P52" s="15"/>
      <c r="Q52"/>
      <c r="R52"/>
      <c r="S52"/>
      <c r="T52" s="238"/>
      <c r="U52" s="59" t="s">
        <v>157</v>
      </c>
      <c r="V52" s="292" t="s">
        <v>156</v>
      </c>
      <c r="W52" s="59">
        <v>2.4</v>
      </c>
    </row>
    <row r="53" spans="2:24" s="230" customFormat="1" ht="17.399999999999999" x14ac:dyDescent="0.35">
      <c r="G53" s="23"/>
      <c r="L53" s="12"/>
      <c r="T53" s="238"/>
      <c r="U53" s="59" t="s">
        <v>158</v>
      </c>
      <c r="V53" s="293">
        <v>395.37</v>
      </c>
    </row>
    <row r="54" spans="2:24" s="230" customFormat="1" ht="17.399999999999999" x14ac:dyDescent="0.35">
      <c r="B54"/>
      <c r="C54" s="228"/>
      <c r="D54" s="22"/>
      <c r="E54" s="22"/>
      <c r="F54" s="21"/>
      <c r="G54" s="23"/>
      <c r="L54" s="12"/>
      <c r="T54" s="238"/>
      <c r="U54" s="59" t="s">
        <v>153</v>
      </c>
      <c r="V54" s="59">
        <v>474.45</v>
      </c>
    </row>
    <row r="55" spans="2:24" ht="14.4" customHeight="1" x14ac:dyDescent="0.3">
      <c r="L55" s="12"/>
      <c r="U55" s="59"/>
      <c r="V55" s="59"/>
    </row>
    <row r="56" spans="2:24" x14ac:dyDescent="0.3">
      <c r="L56" s="249"/>
    </row>
    <row r="57" spans="2:24" x14ac:dyDescent="0.3">
      <c r="L57" s="249"/>
      <c r="T57" s="269"/>
    </row>
    <row r="58" spans="2:24" x14ac:dyDescent="0.3">
      <c r="L58" s="249"/>
    </row>
    <row r="59" spans="2:24" ht="15" customHeight="1" x14ac:dyDescent="0.3"/>
    <row r="61" spans="2:24" x14ac:dyDescent="0.3">
      <c r="O61">
        <v>40935</v>
      </c>
      <c r="P61" t="s">
        <v>16</v>
      </c>
      <c r="Q61" t="s">
        <v>26</v>
      </c>
    </row>
    <row r="63" spans="2:24" x14ac:dyDescent="0.3">
      <c r="O63" s="54"/>
      <c r="P63" s="54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3"/>
    </row>
    <row r="76" spans="15:20" x14ac:dyDescent="0.3">
      <c r="O76" s="43"/>
    </row>
    <row r="77" spans="15:20" x14ac:dyDescent="0.3">
      <c r="O77" s="6"/>
    </row>
    <row r="78" spans="15:20" x14ac:dyDescent="0.3">
      <c r="O78" s="6"/>
    </row>
    <row r="86" spans="3:3" x14ac:dyDescent="0.3">
      <c r="C86" t="s">
        <v>145</v>
      </c>
    </row>
    <row r="87" spans="3:3" x14ac:dyDescent="0.3">
      <c r="C87" t="s">
        <v>144</v>
      </c>
    </row>
    <row r="90" spans="3:3" x14ac:dyDescent="0.3">
      <c r="C90" t="s">
        <v>144</v>
      </c>
    </row>
    <row r="167" spans="3:3" x14ac:dyDescent="0.3">
      <c r="C167" t="s">
        <v>144</v>
      </c>
    </row>
    <row r="168" spans="3:3" x14ac:dyDescent="0.3">
      <c r="C168" t="s">
        <v>146</v>
      </c>
    </row>
    <row r="169" spans="3:3" x14ac:dyDescent="0.3">
      <c r="C169" t="s">
        <v>147</v>
      </c>
    </row>
    <row r="594" spans="3:3" x14ac:dyDescent="0.3">
      <c r="C594" t="s">
        <v>144</v>
      </c>
    </row>
  </sheetData>
  <mergeCells count="1">
    <mergeCell ref="B19:H19"/>
  </mergeCells>
  <phoneticPr fontId="32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46132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-14950.028033454117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'2229'!H37</f>
        <v>494323.28400000004</v>
      </c>
      <c r="E11" s="132">
        <f>D11*0.19</f>
        <v>93921.423960000015</v>
      </c>
      <c r="F11" s="131">
        <f>E11+D11</f>
        <v>588244.70796000003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91039.971966545883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245226.13078743962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73039.971966545883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249097.15321256043</v>
      </c>
      <c r="E13" s="221">
        <f>(D11/D12)-1</f>
        <v>1.0157855217659337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64039.971966545883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25039.971966545883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404623.11579927534</v>
      </c>
      <c r="F15" s="216">
        <f>E15-D12</f>
        <v>159396.98501183573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25039.971966545883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65039.971966545883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'2229'!O45</f>
        <v>75000</v>
      </c>
      <c r="E18" s="123">
        <f>D18*0.19</f>
        <v>14250</v>
      </c>
      <c r="F18" s="120">
        <f>SUM(D18:E18)</f>
        <v>89250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288</v>
      </c>
      <c r="D19" s="122">
        <f>'2229'!O46</f>
        <v>53100</v>
      </c>
      <c r="E19" s="123">
        <f>D19*0.19</f>
        <v>10089</v>
      </c>
      <c r="F19" s="120">
        <f>SUM(D19:E19)</f>
        <v>63189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34"/>
      <c r="W19" s="434"/>
      <c r="X19" s="106"/>
    </row>
    <row r="20" spans="1:31" x14ac:dyDescent="0.3">
      <c r="C20" s="79" t="s">
        <v>31</v>
      </c>
      <c r="D20" s="122">
        <f>'2229'!O44</f>
        <v>42347</v>
      </c>
      <c r="E20" s="123">
        <f>D20*0.19</f>
        <v>8045.93</v>
      </c>
      <c r="F20" s="120">
        <f>SUM(D20:E20)</f>
        <v>50392.93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'2229'!O43</f>
        <v>44945.04</v>
      </c>
      <c r="E21" s="121">
        <f>D21*0.19</f>
        <v>8539.5576000000001</v>
      </c>
      <c r="F21" s="120">
        <f>SUM(D21:E21)</f>
        <v>53484.597600000001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215392.04</v>
      </c>
      <c r="E22" s="116">
        <f>SUM(E18:E21)</f>
        <v>40924.4876</v>
      </c>
      <c r="F22" s="115">
        <f>SUM(F18:F21)</f>
        <v>256316.5276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52996.936360000014</v>
      </c>
    </row>
    <row r="42" spans="1:16" ht="15" thickBot="1" x14ac:dyDescent="0.35">
      <c r="H42" s="442" t="s">
        <v>60</v>
      </c>
      <c r="I42" s="443"/>
      <c r="J42" s="443"/>
      <c r="K42" s="443"/>
      <c r="L42" s="443"/>
      <c r="M42" s="444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494323.28400000004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215392.04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249097.15321256043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249097.15321256043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11998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ENRIQUE GUTIERREZ</v>
      </c>
      <c r="D10" s="350"/>
      <c r="E10" s="350"/>
      <c r="F10" s="351" t="s">
        <v>167</v>
      </c>
      <c r="G10" s="352">
        <f>'2229'!G10</f>
        <v>46132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46139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+569 7865 8972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ENCHAPE RECTO 2 CARAS</v>
      </c>
      <c r="D22" s="321">
        <f>'2229'!D21*1000</f>
        <v>980</v>
      </c>
      <c r="E22" s="321">
        <f>'2229'!E21*1000</f>
        <v>427</v>
      </c>
      <c r="F22" s="322" t="str">
        <f>'2229'!F21</f>
        <v>MINT 2236 MT</v>
      </c>
      <c r="G22" s="314">
        <f>'2229'!G21</f>
        <v>39180.186060636188</v>
      </c>
      <c r="H22" s="323">
        <f>G22*B22</f>
        <v>39180.186060636188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39180.186060636188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7444.2353515208761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46624.421412157062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8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ENRIQUE GUTIERREZ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46139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11998</v>
      </c>
      <c r="C2" s="1">
        <f>'NOTA DE VENTA'!$G$10</f>
        <v>46132</v>
      </c>
      <c r="D2" s="1">
        <f>'NOTA DE VENTA'!$G$11</f>
        <v>46139</v>
      </c>
      <c r="E2" t="str">
        <f>'NOTA DE VENTA'!$C$10</f>
        <v>ENRIQUE GUTIERREZ</v>
      </c>
      <c r="F2" t="str">
        <f>'NOTA DE VENTA'!$C$22</f>
        <v>ENCHAPE RECTO 2 CARAS</v>
      </c>
      <c r="G2" t="str">
        <f>'NOTA DE VENTA'!$F$22</f>
        <v>MINT 2236 MT</v>
      </c>
      <c r="H2" s="416">
        <f>'NOTA DE VENTA'!$H$25</f>
        <v>39180.186060636188</v>
      </c>
      <c r="I2" s="416">
        <f>H2*0.19</f>
        <v>7444.2353515208761</v>
      </c>
      <c r="J2" s="416">
        <f>I2+H2</f>
        <v>46624.421412157062</v>
      </c>
      <c r="L2" s="61">
        <f>J2-K2</f>
        <v>46624.421412157062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2026-02-05T11:52:42Z</cp:lastPrinted>
  <dcterms:created xsi:type="dcterms:W3CDTF">2013-03-18T13:35:42Z</dcterms:created>
  <dcterms:modified xsi:type="dcterms:W3CDTF">2026-04-20T22:11:40Z</dcterms:modified>
</cp:coreProperties>
</file>