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2 FEBRERO 2026\"/>
    </mc:Choice>
  </mc:AlternateContent>
  <xr:revisionPtr revIDLastSave="0" documentId="13_ncr:1_{ED696148-F600-4221-BD71-091395ED6A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1" l="1"/>
  <c r="S23" i="1"/>
  <c r="N26" i="1"/>
  <c r="O26" i="1"/>
  <c r="P26" i="1" s="1"/>
  <c r="M26" i="1"/>
  <c r="L26" i="1"/>
  <c r="H23" i="1"/>
  <c r="H24" i="1"/>
  <c r="H25" i="1"/>
  <c r="L23" i="1"/>
  <c r="M23" i="1"/>
  <c r="N23" i="1"/>
  <c r="L24" i="1"/>
  <c r="M24" i="1"/>
  <c r="N24" i="1"/>
  <c r="L25" i="1"/>
  <c r="M25" i="1"/>
  <c r="N25" i="1"/>
  <c r="M21" i="1"/>
  <c r="S21" i="1" s="1"/>
  <c r="L22" i="1"/>
  <c r="L21" i="1"/>
  <c r="O23" i="1" l="1"/>
  <c r="P23" i="1" s="1"/>
  <c r="S25" i="1"/>
  <c r="O24" i="1"/>
  <c r="P24" i="1" s="1"/>
  <c r="O25" i="1"/>
  <c r="S24" i="1"/>
  <c r="P25" i="1"/>
  <c r="M22" i="1"/>
  <c r="N22" i="1"/>
  <c r="S22" i="1" l="1"/>
  <c r="O22" i="1"/>
  <c r="P22" i="1" s="1"/>
  <c r="N21" i="1"/>
  <c r="O21" i="1" l="1"/>
  <c r="P21" i="1" s="1"/>
  <c r="P30" i="1" s="1"/>
  <c r="S31" i="1"/>
  <c r="M30" i="1"/>
  <c r="T29" i="1"/>
  <c r="S32" i="1" l="1"/>
  <c r="S33" i="1" s="1"/>
  <c r="S34" i="1" s="1"/>
  <c r="V37" i="1"/>
  <c r="V38" i="1" s="1"/>
  <c r="O36" i="1" l="1"/>
  <c r="P31" i="1" l="1"/>
  <c r="N20" i="1"/>
  <c r="L20" i="1"/>
  <c r="P32" i="1" l="1"/>
  <c r="P33" i="1" s="1"/>
  <c r="M35" i="1" s="1"/>
  <c r="O37" i="1"/>
  <c r="R41" i="1"/>
  <c r="R42" i="1" l="1"/>
  <c r="O38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40" i="1"/>
  <c r="O39" i="1"/>
  <c r="F18" i="3" l="1"/>
  <c r="O35" i="1" l="1"/>
  <c r="O41" i="1" s="1"/>
  <c r="O42" i="1" s="1"/>
  <c r="D20" i="3" l="1"/>
  <c r="E20" i="3" s="1"/>
  <c r="E21" i="3" s="1"/>
  <c r="O43" i="1" l="1"/>
  <c r="Q20" i="1" s="1"/>
  <c r="Q26" i="1" s="1"/>
  <c r="R26" i="1" s="1"/>
  <c r="D21" i="3"/>
  <c r="M43" i="3" s="1"/>
  <c r="D12" i="3" s="1"/>
  <c r="F20" i="3"/>
  <c r="F21" i="3" s="1"/>
  <c r="Q23" i="1" l="1"/>
  <c r="R23" i="1" s="1"/>
  <c r="Q24" i="1"/>
  <c r="R24" i="1" s="1"/>
  <c r="Q25" i="1"/>
  <c r="R25" i="1" s="1"/>
  <c r="Q22" i="1"/>
  <c r="R22" i="1" s="1"/>
  <c r="Q21" i="1"/>
  <c r="O44" i="1"/>
  <c r="E15" i="3"/>
  <c r="H22" i="1" l="1"/>
  <c r="R21" i="1"/>
  <c r="H21" i="1"/>
  <c r="F15" i="3"/>
  <c r="H29" i="1" l="1"/>
  <c r="H30" i="1" s="1"/>
  <c r="H31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<sst xmlns="http://schemas.openxmlformats.org/spreadsheetml/2006/main" count="240" uniqueCount="176">
  <si>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</si>
  <si>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</si>
  <si>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</si>
  <si>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</si>
  <si>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</si>
  <si>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</si>
  <si>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</si>
  <si>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</si>
  <si>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</si>
  <si>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</si>
  <si>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</si>
  <si>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</si>
  <si>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</si>
  <si>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</si>
  <si>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</si>
  <si>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</si>
  <si>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</si>
  <si>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</si>
  <si>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</si>
  <si>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</si>
  <si>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</si>
  <si>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</si>
  <si>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</si>
  <si>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</si>
  <si>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</si>
  <si>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</si>
  <si>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</si>
  <si>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</si>
  <si>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</si>
  <si>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</si>
  <si>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</si>
  <si>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</si>
  <si>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</si>
  <si>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</si>
  <si>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</si>
  <si>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</si>
  <si>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</si>
  <si>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</si>
  <si>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</si>
  <si>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</si>
  <si>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</si>
  <si>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</si>
  <si>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</si>
  <si>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</si>
  <si>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</si>
  <si>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</si>
  <si>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</si>
  <si>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</si>
  <si>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</si>
  <si>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</si>
  <si>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</si>
  <si>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</si>
  <si>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</si>
  <si>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</si>
  <si>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</si>
  <si>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</si>
  <si>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</si>
  <si>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</si>
  <si>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</si>
  <si>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</si>
  <si>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</si>
  <si>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</si>
  <si>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</si>
  <si>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</si>
  <si>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</si>
  <si>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</si>
  <si>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</si>
  <si>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</si>
  <si>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</si>
  <si>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</si>
  <si>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</si>
  <si>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</si>
  <si>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</si>
  <si>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</si>
  <si>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</si>
  <si>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</si>
  <si>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</si>
  <si>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</si>
  <si>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</si>
  <si>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</si>
  <si>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</si>
  <si>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</si>
  <si>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</si>
  <si>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</si>
  <si>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</si>
  <si>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</si>
  <si>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</si>
  <si>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</si>
  <si>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</si>
  <si>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</si>
  <si>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</si>
  <si>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</si>
  <si>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</si>
  <si>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</si>
  <si>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</si>
  <si>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</si>
  <si>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</si>
  <si>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</si>
  <si>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</si>
  <si>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</si>
  <si>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</si>
  <si>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</si>
  <si>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</si>
  <si>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</si>
  <si>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</si>
  <si>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</si>
  <si>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</si>
  <si>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</si>
  <si>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</si>
  <si>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</si>
  <si>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</si>
  <si>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</si>
  <si>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</si>
  <si>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</si>
  <si>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</si>
  <si>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</si>
  <si>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</si>
  <si>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</si>
  <si>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</si>
  <si>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</si>
  <si>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</si>
  <si>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</si>
  <si>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</si>
  <si>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</si>
  <si>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</si>
  <si>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</si>
  <si>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</si>
  <si>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</si>
  <si>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</si>
  <si>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</si>
  <si>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</si>
  <si>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</si>
  <si>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</si>
  <si>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</si>
  <si>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</si>
  <si>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</si>
  <si>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</si>
  <si>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</si>
  <si>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</si>
  <si>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</si>
  <si>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</si>
  <si>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</si>
  <si>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</si>
  <si>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</si>
  <si>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</si>
  <si>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</si>
  <si>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</si>
  <si>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</si>
  <si>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</si>
  <si>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</si>
  <si>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</si>
  <si>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</si>
  <si>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</si>
  <si>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</si>
  <si>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</si>
  <si>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</si>
  <si>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</si>
  <si>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</si>
  <si>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</si>
  <si>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</si>
  <si>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</si>
  <si>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</si>
  <si>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</si>
  <si>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</si>
  <si>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</si>
  <si>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</si>
  <si>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MUEBLES ASENJO</t>
  </si>
  <si>
    <t>MIGUEL ASENJO</t>
  </si>
  <si>
    <t>SI</t>
  </si>
  <si>
    <t xml:space="preserve">ORDEN DE COMPRA </t>
  </si>
  <si>
    <t>LAMINA 122X306</t>
  </si>
  <si>
    <t>CUB C/R 90° R8</t>
  </si>
  <si>
    <t>GLACIAL WHITE 22191 SF</t>
  </si>
  <si>
    <t>5 DIAS HABILES</t>
  </si>
  <si>
    <t>CUB MESA 90° 2 LADOS</t>
  </si>
  <si>
    <t>N° 11996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</si>
</sst>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0" fillId="21" borderId="0" xfId="0" applyNumberForma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32</xdr:row>
      <xdr:rowOff>8194</xdr:rowOff>
    </xdr:from>
    <xdr:to>
      <xdr:col>8</xdr:col>
      <xdr:colOff>8193</xdr:colOff>
      <xdr:row>35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34</xdr:row>
      <xdr:rowOff>154305</xdr:rowOff>
    </xdr:from>
    <xdr:to>
      <xdr:col>7</xdr:col>
      <xdr:colOff>853440</xdr:colOff>
      <xdr:row>34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32</xdr:row>
      <xdr:rowOff>9525</xdr:rowOff>
    </xdr:from>
    <xdr:to>
      <xdr:col>5</xdr:col>
      <xdr:colOff>1745226</xdr:colOff>
      <xdr:row>35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28</xdr:row>
      <xdr:rowOff>25913</xdr:rowOff>
    </xdr:from>
    <xdr:to>
      <xdr:col>5</xdr:col>
      <xdr:colOff>1728839</xdr:colOff>
      <xdr:row>31</xdr:row>
      <xdr:rowOff>32775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269784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6"/>
  <sheetViews>
    <sheetView tabSelected="1" topLeftCell="A6" zoomScale="84" zoomScaleNormal="84" workbookViewId="0">
      <selection activeCell="A27" sqref="A27"/>
    </sheetView>
  </sheetViews>
  <sheetFormatPr baseColWidth="10" defaultRowHeight="14.4" x14ac:dyDescent="0.3"/>
  <cols>
    <col min="1" max="1" width="6" customWidth="1"/>
    <col min="2" max="2" width="10.5546875" customWidth="1"/>
    <col min="3" max="3" width="34.109375" customWidth="1"/>
    <col min="4" max="4" width="11.109375" customWidth="1"/>
    <col min="5" max="5" width="10.5546875" customWidth="1"/>
    <col min="6" max="6" width="32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141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142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175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161</v>
      </c>
      <c r="C10" s="278" t="s">
        <v>166</v>
      </c>
      <c r="D10" s="243"/>
      <c r="E10" s="243"/>
      <c r="F10" s="244" t="s">
        <v>0</v>
      </c>
      <c r="G10" s="276">
        <v>46071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173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145</v>
      </c>
      <c r="C13" t="s">
        <v>167</v>
      </c>
      <c r="F13" t="s">
        <v>169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/>
      <c r="D15" s="310"/>
      <c r="F15" t="s">
        <v>134</v>
      </c>
      <c r="G15" s="308" t="s">
        <v>168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162</v>
      </c>
      <c r="H16" s="248"/>
    </row>
    <row r="17" spans="2:25" ht="15" thickBot="1" x14ac:dyDescent="0.35">
      <c r="B17" s="311" t="s">
        <v>13</v>
      </c>
      <c r="C17" s="312" t="s">
        <v>165</v>
      </c>
      <c r="D17" s="313"/>
      <c r="E17" s="119"/>
      <c r="F17" s="334" t="s">
        <v>164</v>
      </c>
      <c r="G17" s="334"/>
      <c r="H17" s="335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O43</f>
        <v>53073.197900022824</v>
      </c>
      <c r="R20" s="258">
        <v>3000</v>
      </c>
      <c r="S20" s="38"/>
      <c r="T20" s="14" t="s">
        <v>128</v>
      </c>
      <c r="U20" s="9"/>
      <c r="X20" s="4"/>
    </row>
    <row r="21" spans="2:25" ht="17.399999999999999" x14ac:dyDescent="0.3">
      <c r="B21" s="330">
        <v>1</v>
      </c>
      <c r="C21" s="330" t="s">
        <v>171</v>
      </c>
      <c r="D21" s="332">
        <v>2.0299999999999998</v>
      </c>
      <c r="E21" s="332">
        <v>0.7</v>
      </c>
      <c r="F21" s="330" t="s">
        <v>172</v>
      </c>
      <c r="G21" s="331">
        <v>78389</v>
      </c>
      <c r="H21" s="331">
        <f t="shared" ref="H21" si="1">G21*B21</f>
        <v>78389</v>
      </c>
      <c r="I21" s="320"/>
      <c r="J21" s="265"/>
      <c r="K21" s="47"/>
      <c r="L21" s="333">
        <f>B21</f>
        <v>1</v>
      </c>
      <c r="M21" s="39">
        <f>D21+M$19</f>
        <v>2.11</v>
      </c>
      <c r="N21" s="39">
        <f t="shared" ref="N21" si="2">E21+$N$19</f>
        <v>0.7</v>
      </c>
      <c r="O21" s="261">
        <f t="shared" ref="O21" si="3">M21*N21</f>
        <v>1.4769999999999999</v>
      </c>
      <c r="P21" s="259">
        <f t="shared" ref="P21" si="4">O21*L21</f>
        <v>1.4769999999999999</v>
      </c>
      <c r="Q21" s="252">
        <f t="shared" ref="Q21" si="5">Q$20*O21</f>
        <v>78389.113298333701</v>
      </c>
      <c r="R21" s="319">
        <f t="shared" ref="R21" si="6">Q21+R$20</f>
        <v>81389.113298333701</v>
      </c>
      <c r="S21" s="297">
        <f t="shared" ref="S21:S23" si="7">L21*M21</f>
        <v>2.11</v>
      </c>
      <c r="T21" s="46"/>
      <c r="U21" s="9"/>
      <c r="X21" s="4"/>
    </row>
    <row r="22" spans="2:25" ht="17.399999999999999" x14ac:dyDescent="0.3">
      <c r="B22" s="330">
        <v>1</v>
      </c>
      <c r="C22" s="330" t="s">
        <v>171</v>
      </c>
      <c r="D22" s="332">
        <v>3.3</v>
      </c>
      <c r="E22" s="332">
        <v>0.9</v>
      </c>
      <c r="F22" s="330" t="s">
        <v>172</v>
      </c>
      <c r="G22" s="331">
        <v>161449</v>
      </c>
      <c r="H22" s="331">
        <f t="shared" ref="H22:H26" si="8">G22*B22</f>
        <v>161449</v>
      </c>
      <c r="I22" s="320"/>
      <c r="J22" s="265"/>
      <c r="K22" s="47"/>
      <c r="L22" s="333">
        <f>B22</f>
        <v>1</v>
      </c>
      <c r="M22" s="39">
        <f t="shared" ref="M22" si="9">D22+M$19</f>
        <v>3.38</v>
      </c>
      <c r="N22" s="39">
        <f t="shared" ref="N22" si="10">E22+$N$19</f>
        <v>0.9</v>
      </c>
      <c r="O22" s="261">
        <f t="shared" ref="O22" si="11">M22*N22</f>
        <v>3.0419999999999998</v>
      </c>
      <c r="P22" s="259">
        <f t="shared" ref="P22" si="12">O22*L22</f>
        <v>3.0419999999999998</v>
      </c>
      <c r="Q22" s="252">
        <f t="shared" ref="Q22" si="13">Q$20*O22</f>
        <v>161448.66801186942</v>
      </c>
      <c r="R22" s="319">
        <f t="shared" ref="R22" si="14">Q22+R$20</f>
        <v>164448.66801186942</v>
      </c>
      <c r="S22" s="297">
        <f t="shared" si="7"/>
        <v>3.38</v>
      </c>
      <c r="T22" s="46"/>
      <c r="U22" s="9"/>
      <c r="X22" s="4"/>
    </row>
    <row r="23" spans="2:25" ht="17.399999999999999" x14ac:dyDescent="0.3">
      <c r="B23" s="330">
        <v>1</v>
      </c>
      <c r="C23" s="330" t="s">
        <v>171</v>
      </c>
      <c r="D23" s="332">
        <v>1.5</v>
      </c>
      <c r="E23" s="332">
        <v>0.7</v>
      </c>
      <c r="F23" s="330" t="s">
        <v>172</v>
      </c>
      <c r="G23" s="331">
        <v>58699</v>
      </c>
      <c r="H23" s="331">
        <f t="shared" si="8"/>
        <v>58699</v>
      </c>
      <c r="I23" s="320"/>
      <c r="J23" s="265"/>
      <c r="K23" s="47"/>
      <c r="L23" s="333">
        <f t="shared" ref="L23:L26" si="15">B23</f>
        <v>1</v>
      </c>
      <c r="M23" s="39">
        <f t="shared" ref="M23:M26" si="16">D23+M$19</f>
        <v>1.58</v>
      </c>
      <c r="N23" s="39">
        <f t="shared" ref="N23:N26" si="17">E23+$N$19</f>
        <v>0.7</v>
      </c>
      <c r="O23" s="261">
        <f t="shared" ref="O23:O26" si="18">M23*N23</f>
        <v>1.1059999999999999</v>
      </c>
      <c r="P23" s="259">
        <f t="shared" ref="P23:P26" si="19">O23*L23</f>
        <v>1.1059999999999999</v>
      </c>
      <c r="Q23" s="252">
        <f t="shared" ref="Q23:Q26" si="20">Q$20*O23</f>
        <v>58698.956877425233</v>
      </c>
      <c r="R23" s="319">
        <f t="shared" ref="R23:R26" si="21">Q23+R$20</f>
        <v>61698.956877425233</v>
      </c>
      <c r="S23" s="297">
        <f t="shared" si="7"/>
        <v>1.58</v>
      </c>
      <c r="T23" s="46"/>
      <c r="U23" s="9"/>
      <c r="X23" s="4"/>
    </row>
    <row r="24" spans="2:25" ht="17.399999999999999" x14ac:dyDescent="0.3">
      <c r="B24" s="330">
        <v>1</v>
      </c>
      <c r="C24" s="330" t="s">
        <v>171</v>
      </c>
      <c r="D24" s="332">
        <v>3.17</v>
      </c>
      <c r="E24" s="332">
        <v>0.6</v>
      </c>
      <c r="F24" s="330" t="s">
        <v>172</v>
      </c>
      <c r="G24" s="331">
        <v>103493</v>
      </c>
      <c r="H24" s="331">
        <f t="shared" si="8"/>
        <v>103493</v>
      </c>
      <c r="I24" s="320"/>
      <c r="J24" s="265"/>
      <c r="K24" s="47"/>
      <c r="L24" s="333">
        <f t="shared" si="15"/>
        <v>1</v>
      </c>
      <c r="M24" s="39">
        <f t="shared" si="16"/>
        <v>3.25</v>
      </c>
      <c r="N24" s="39">
        <f t="shared" si="17"/>
        <v>0.6</v>
      </c>
      <c r="O24" s="261">
        <f t="shared" si="18"/>
        <v>1.95</v>
      </c>
      <c r="P24" s="259">
        <f t="shared" si="19"/>
        <v>1.95</v>
      </c>
      <c r="Q24" s="252">
        <f t="shared" si="20"/>
        <v>103492.73590504451</v>
      </c>
      <c r="R24" s="319">
        <f t="shared" si="21"/>
        <v>106492.73590504451</v>
      </c>
      <c r="S24" s="297">
        <f t="shared" ref="S24:S26" si="22">L24*M24</f>
        <v>3.25</v>
      </c>
      <c r="T24" s="46"/>
      <c r="U24" s="9"/>
      <c r="X24" s="4"/>
    </row>
    <row r="25" spans="2:25" ht="17.399999999999999" x14ac:dyDescent="0.3">
      <c r="B25" s="330">
        <v>1</v>
      </c>
      <c r="C25" s="330" t="s">
        <v>171</v>
      </c>
      <c r="D25" s="332">
        <v>3.3</v>
      </c>
      <c r="E25" s="332">
        <v>0.6</v>
      </c>
      <c r="F25" s="330" t="s">
        <v>172</v>
      </c>
      <c r="G25" s="331">
        <v>107632</v>
      </c>
      <c r="H25" s="331">
        <f t="shared" si="8"/>
        <v>107632</v>
      </c>
      <c r="I25" s="320"/>
      <c r="J25" s="265"/>
      <c r="K25" s="47"/>
      <c r="L25" s="333">
        <f t="shared" si="15"/>
        <v>1</v>
      </c>
      <c r="M25" s="39">
        <f t="shared" si="16"/>
        <v>3.38</v>
      </c>
      <c r="N25" s="39">
        <f t="shared" si="17"/>
        <v>0.6</v>
      </c>
      <c r="O25" s="261">
        <f t="shared" si="18"/>
        <v>2.028</v>
      </c>
      <c r="P25" s="259">
        <f t="shared" si="19"/>
        <v>2.028</v>
      </c>
      <c r="Q25" s="252">
        <f t="shared" si="20"/>
        <v>107632.44534124629</v>
      </c>
      <c r="R25" s="319">
        <f t="shared" si="21"/>
        <v>110632.44534124629</v>
      </c>
      <c r="S25" s="297">
        <f t="shared" si="22"/>
        <v>3.38</v>
      </c>
      <c r="T25" s="46"/>
      <c r="U25" s="9"/>
      <c r="X25" s="4"/>
    </row>
    <row r="26" spans="2:25" ht="17.399999999999999" x14ac:dyDescent="0.3">
      <c r="B26" s="330">
        <v>1</v>
      </c>
      <c r="C26" s="330" t="s">
        <v>174</v>
      </c>
      <c r="D26" s="332">
        <v>2.87</v>
      </c>
      <c r="E26" s="332">
        <v>1.2</v>
      </c>
      <c r="F26" s="330" t="s">
        <v>172</v>
      </c>
      <c r="G26" s="331">
        <v>187879</v>
      </c>
      <c r="H26" s="331">
        <f t="shared" si="8"/>
        <v>187879</v>
      </c>
      <c r="I26" s="320"/>
      <c r="J26" s="265"/>
      <c r="K26" s="47"/>
      <c r="L26" s="333">
        <f t="shared" si="15"/>
        <v>1</v>
      </c>
      <c r="M26" s="39">
        <f t="shared" si="16"/>
        <v>2.95</v>
      </c>
      <c r="N26" s="39">
        <f t="shared" si="17"/>
        <v>1.2</v>
      </c>
      <c r="O26" s="261">
        <f t="shared" si="18"/>
        <v>3.54</v>
      </c>
      <c r="P26" s="259">
        <f t="shared" si="19"/>
        <v>3.54</v>
      </c>
      <c r="Q26" s="252">
        <f t="shared" si="20"/>
        <v>187879.12056608079</v>
      </c>
      <c r="R26" s="319">
        <f t="shared" si="21"/>
        <v>190879.12056608079</v>
      </c>
      <c r="S26" s="297"/>
      <c r="T26" s="46"/>
      <c r="U26" s="9"/>
      <c r="X26" s="4"/>
    </row>
    <row r="27" spans="2:25" ht="17.399999999999999" x14ac:dyDescent="0.3">
      <c r="B27" s="285"/>
      <c r="C27" s="285"/>
      <c r="D27" s="286"/>
      <c r="E27" s="286"/>
      <c r="F27" s="285"/>
      <c r="G27" s="320"/>
      <c r="H27" s="320"/>
      <c r="I27" s="320"/>
      <c r="J27" s="265"/>
      <c r="K27" s="47"/>
      <c r="L27" s="333"/>
      <c r="M27" s="39"/>
      <c r="N27" s="39"/>
      <c r="O27" s="261"/>
      <c r="P27" s="259"/>
      <c r="Q27" s="252"/>
      <c r="R27" s="319"/>
      <c r="S27" s="297"/>
      <c r="T27" s="46"/>
      <c r="U27" s="9"/>
      <c r="X27" s="4"/>
    </row>
    <row r="28" spans="2:25" ht="18" thickBot="1" x14ac:dyDescent="0.35">
      <c r="B28" s="285"/>
      <c r="C28" s="285"/>
      <c r="D28" s="286"/>
      <c r="E28" s="286"/>
      <c r="F28" s="285"/>
      <c r="G28" s="265"/>
      <c r="H28" s="321"/>
      <c r="I28" s="323"/>
      <c r="J28" s="233"/>
      <c r="K28" s="47"/>
      <c r="L28" s="47"/>
      <c r="M28" s="39"/>
      <c r="N28" s="39"/>
      <c r="O28" s="261"/>
      <c r="P28" s="259"/>
      <c r="Q28" s="252"/>
      <c r="R28" s="258"/>
      <c r="S28" s="297"/>
      <c r="T28" s="14"/>
      <c r="U28" s="9"/>
      <c r="X28" s="4"/>
    </row>
    <row r="29" spans="2:25" ht="17.399999999999999" x14ac:dyDescent="0.3">
      <c r="B29" s="285"/>
      <c r="C29" s="285"/>
      <c r="D29" s="286"/>
      <c r="E29" s="286"/>
      <c r="F29" s="285"/>
      <c r="G29" s="324" t="s">
        <v>28</v>
      </c>
      <c r="H29" s="325">
        <f>SUM(H21:H28)</f>
        <v>697541</v>
      </c>
      <c r="I29" s="322"/>
      <c r="J29" s="265"/>
      <c r="K29" s="47"/>
      <c r="L29" s="47"/>
      <c r="M29" s="39"/>
      <c r="N29" s="39"/>
      <c r="O29" s="261"/>
      <c r="P29" s="259"/>
      <c r="Q29" s="252"/>
      <c r="R29" s="258"/>
      <c r="S29" s="297"/>
      <c r="T29" s="46">
        <f>SUM(T21:T28)</f>
        <v>0</v>
      </c>
      <c r="U29" s="9"/>
      <c r="X29" s="4"/>
    </row>
    <row r="30" spans="2:25" ht="17.399999999999999" x14ac:dyDescent="0.3">
      <c r="B30" s="279"/>
      <c r="C30" s="282"/>
      <c r="D30" s="283"/>
      <c r="E30" s="283"/>
      <c r="F30" s="284"/>
      <c r="G30" s="296" t="s">
        <v>51</v>
      </c>
      <c r="H30" s="294">
        <f>H29*19%</f>
        <v>132532.79</v>
      </c>
      <c r="I30" s="322"/>
      <c r="J30" s="265"/>
      <c r="K30" s="47"/>
      <c r="L30" s="47"/>
      <c r="M30" s="39">
        <f>SUM(M21:M29)</f>
        <v>16.649999999999999</v>
      </c>
      <c r="N30" s="12"/>
      <c r="O30" s="12"/>
      <c r="P30" s="253">
        <f>SUM(P21:P28)</f>
        <v>13.143000000000001</v>
      </c>
      <c r="Q30" s="14"/>
      <c r="R30" s="12"/>
      <c r="S30" s="239"/>
      <c r="T30" s="46"/>
      <c r="U30" s="9"/>
      <c r="X30" s="4"/>
    </row>
    <row r="31" spans="2:25" ht="18" thickBot="1" x14ac:dyDescent="0.35">
      <c r="B31" s="275"/>
      <c r="C31" s="281"/>
      <c r="D31" s="272"/>
      <c r="E31" s="272"/>
      <c r="F31" s="273"/>
      <c r="G31" s="280" t="s">
        <v>6</v>
      </c>
      <c r="H31" s="295">
        <f>H29+H30</f>
        <v>830073.79</v>
      </c>
      <c r="I31" s="322"/>
      <c r="J31" s="265"/>
      <c r="K31" s="47"/>
      <c r="L31" s="47"/>
      <c r="M31" s="39"/>
      <c r="N31" s="12"/>
      <c r="O31" s="12"/>
      <c r="P31" s="253">
        <f>P30</f>
        <v>13.143000000000001</v>
      </c>
      <c r="Q31" s="14"/>
      <c r="R31" s="12"/>
      <c r="S31" s="239">
        <f>SUM(S21:S30)</f>
        <v>13.7</v>
      </c>
      <c r="T31" s="46"/>
      <c r="U31" s="9"/>
      <c r="X31" s="4"/>
    </row>
    <row r="32" spans="2:25" ht="17.399999999999999" x14ac:dyDescent="0.3">
      <c r="B32" s="275"/>
      <c r="C32" s="271"/>
      <c r="D32" s="272"/>
      <c r="E32" s="272"/>
      <c r="F32" s="273"/>
      <c r="J32" s="265"/>
      <c r="K32" s="47"/>
      <c r="L32" s="47"/>
      <c r="M32" s="14"/>
      <c r="N32" s="12"/>
      <c r="O32" s="12"/>
      <c r="P32" s="39">
        <f>P31*20%</f>
        <v>2.6286000000000005</v>
      </c>
      <c r="Q32" s="39" t="s">
        <v>130</v>
      </c>
      <c r="R32" s="42"/>
      <c r="S32" s="240">
        <f>S31+T29</f>
        <v>13.7</v>
      </c>
      <c r="T32" s="14"/>
      <c r="U32" s="9"/>
      <c r="X32" s="4"/>
    </row>
    <row r="33" spans="1:24" ht="17.399999999999999" x14ac:dyDescent="0.35">
      <c r="B33" s="269"/>
      <c r="C33" s="230"/>
      <c r="D33" s="230"/>
      <c r="E33" s="233"/>
      <c r="F33" s="234"/>
      <c r="G33" s="230"/>
      <c r="H33" s="274"/>
      <c r="I33" s="274"/>
      <c r="J33" s="265"/>
      <c r="K33" s="47"/>
      <c r="L33" s="47"/>
      <c r="M33" s="14"/>
      <c r="N33" s="12"/>
      <c r="O33" s="12"/>
      <c r="P33" s="46">
        <f>P31+P32</f>
        <v>15.771600000000001</v>
      </c>
      <c r="Q33" s="14"/>
      <c r="R33" s="14"/>
      <c r="S33" s="238">
        <f>S32*20%</f>
        <v>2.74</v>
      </c>
      <c r="T33" s="14"/>
      <c r="U33" s="9"/>
      <c r="X33" s="4"/>
    </row>
    <row r="34" spans="1:24" ht="17.399999999999999" x14ac:dyDescent="0.35">
      <c r="B34" s="235"/>
      <c r="C34" s="236"/>
      <c r="D34" s="237"/>
      <c r="E34" s="235"/>
      <c r="F34" s="230"/>
      <c r="G34" s="230"/>
      <c r="I34" s="274"/>
      <c r="J34" s="265"/>
      <c r="K34" s="47"/>
      <c r="L34" s="47"/>
      <c r="M34" s="14"/>
      <c r="N34" s="14"/>
      <c r="O34" s="14"/>
      <c r="P34" s="14"/>
      <c r="Q34" s="14"/>
      <c r="R34" s="14"/>
      <c r="S34" s="240">
        <f>S32+S33</f>
        <v>16.439999999999998</v>
      </c>
      <c r="T34" s="14"/>
      <c r="U34" s="302" t="s">
        <v>21</v>
      </c>
      <c r="V34" s="299" t="s">
        <v>151</v>
      </c>
      <c r="W34" s="303">
        <v>44971</v>
      </c>
      <c r="X34" s="304"/>
    </row>
    <row r="35" spans="1:24" ht="17.399999999999999" x14ac:dyDescent="0.35">
      <c r="B35" s="230"/>
      <c r="C35" s="230"/>
      <c r="D35" s="230"/>
      <c r="E35" s="230"/>
      <c r="F35" s="230"/>
      <c r="G35" s="230"/>
      <c r="J35" s="265"/>
      <c r="K35" s="47"/>
      <c r="L35" s="47"/>
      <c r="M35" s="39">
        <f>P33</f>
        <v>15.771600000000001</v>
      </c>
      <c r="N35" s="12">
        <v>1500</v>
      </c>
      <c r="O35" s="12">
        <f t="shared" ref="O35:O40" si="23">M35*N35</f>
        <v>23657.4</v>
      </c>
      <c r="P35" s="14" t="s">
        <v>21</v>
      </c>
      <c r="Q35" s="14"/>
      <c r="R35" s="14"/>
      <c r="S35" s="241"/>
      <c r="T35" s="14"/>
      <c r="U35" s="302" t="s">
        <v>152</v>
      </c>
      <c r="V35" s="299">
        <v>3625</v>
      </c>
      <c r="W35" s="59" t="s">
        <v>153</v>
      </c>
      <c r="X35" s="304"/>
    </row>
    <row r="36" spans="1:24" ht="17.399999999999999" x14ac:dyDescent="0.35">
      <c r="A36" s="230"/>
      <c r="B36" s="230"/>
      <c r="C36" s="230"/>
      <c r="D36" s="230"/>
      <c r="E36" s="230"/>
      <c r="F36" s="230"/>
      <c r="G36" s="230"/>
      <c r="H36" s="230"/>
      <c r="J36" s="265"/>
      <c r="K36" s="47"/>
      <c r="L36" s="47"/>
      <c r="M36" s="249">
        <v>5</v>
      </c>
      <c r="N36" s="12">
        <v>23500</v>
      </c>
      <c r="O36" s="12">
        <f t="shared" si="23"/>
        <v>117500</v>
      </c>
      <c r="P36" s="39" t="s">
        <v>31</v>
      </c>
      <c r="Q36" s="42"/>
      <c r="R36" s="14"/>
      <c r="S36" s="240"/>
      <c r="T36" s="14"/>
      <c r="U36" s="302"/>
      <c r="V36" s="59">
        <v>906.25</v>
      </c>
      <c r="W36" s="59" t="s">
        <v>154</v>
      </c>
      <c r="X36" s="304"/>
    </row>
    <row r="37" spans="1:24" s="230" customFormat="1" ht="17.399999999999999" x14ac:dyDescent="0.35">
      <c r="B37" s="24" t="s">
        <v>150</v>
      </c>
      <c r="J37" s="262"/>
      <c r="K37" s="232"/>
      <c r="L37" s="250"/>
      <c r="M37" s="14"/>
      <c r="N37" s="250">
        <v>23500</v>
      </c>
      <c r="O37" s="12">
        <f t="shared" si="23"/>
        <v>0</v>
      </c>
      <c r="P37" s="39" t="s">
        <v>30</v>
      </c>
      <c r="Q37" s="42"/>
      <c r="S37" s="240"/>
      <c r="T37" s="256"/>
      <c r="U37" s="59"/>
      <c r="V37" s="59">
        <f>V36*20%</f>
        <v>181.25</v>
      </c>
      <c r="W37" s="304" t="s">
        <v>155</v>
      </c>
      <c r="X37" s="59"/>
    </row>
    <row r="38" spans="1:24" s="230" customFormat="1" ht="17.399999999999999" x14ac:dyDescent="0.35">
      <c r="B38" s="24" t="s">
        <v>143</v>
      </c>
      <c r="C38"/>
      <c r="D38"/>
      <c r="E38"/>
      <c r="F38"/>
      <c r="J38" s="262"/>
      <c r="K38" s="232"/>
      <c r="L38" s="250"/>
      <c r="M38" s="14">
        <v>5</v>
      </c>
      <c r="N38" s="250">
        <v>36831</v>
      </c>
      <c r="O38" s="12">
        <f t="shared" si="23"/>
        <v>184155</v>
      </c>
      <c r="P38" s="14" t="s">
        <v>170</v>
      </c>
      <c r="Q38" s="17"/>
      <c r="S38" s="238"/>
      <c r="T38" s="256"/>
      <c r="U38" s="59"/>
      <c r="V38" s="59">
        <f>V36+V37</f>
        <v>1087.5</v>
      </c>
      <c r="W38" s="304" t="s">
        <v>156</v>
      </c>
      <c r="X38" s="59"/>
    </row>
    <row r="39" spans="1:24" s="230" customFormat="1" ht="17.399999999999999" x14ac:dyDescent="0.35">
      <c r="B39" s="29" t="s">
        <v>125</v>
      </c>
      <c r="C39"/>
      <c r="D39"/>
      <c r="E39"/>
      <c r="F39" s="229" t="s">
        <v>15</v>
      </c>
      <c r="J39" s="262"/>
      <c r="K39" s="260"/>
      <c r="L39" s="250"/>
      <c r="M39" s="249"/>
      <c r="N39" s="250">
        <v>15700</v>
      </c>
      <c r="O39" s="12">
        <f t="shared" si="23"/>
        <v>0</v>
      </c>
      <c r="P39" s="14" t="s">
        <v>32</v>
      </c>
      <c r="Q39" s="14"/>
      <c r="R39" s="230">
        <v>1.83</v>
      </c>
      <c r="S39" s="238"/>
      <c r="T39" s="238"/>
    </row>
    <row r="40" spans="1:24" s="230" customFormat="1" ht="17.399999999999999" x14ac:dyDescent="0.35">
      <c r="J40" s="293"/>
      <c r="K40" s="260"/>
      <c r="L40" s="250"/>
      <c r="M40" s="266">
        <v>13.7</v>
      </c>
      <c r="N40" s="12">
        <v>500</v>
      </c>
      <c r="O40" s="12">
        <f t="shared" si="23"/>
        <v>6850</v>
      </c>
      <c r="P40" s="14" t="s">
        <v>22</v>
      </c>
      <c r="Q40" s="14"/>
      <c r="R40">
        <v>2.5</v>
      </c>
      <c r="S40"/>
      <c r="T40" s="238"/>
      <c r="X40" s="231"/>
    </row>
    <row r="41" spans="1:24" s="230" customFormat="1" ht="17.399999999999999" x14ac:dyDescent="0.35">
      <c r="K41" s="260"/>
      <c r="L41" s="250"/>
      <c r="M41" s="14"/>
      <c r="N41" s="12"/>
      <c r="O41" s="12">
        <f>SUM(O35:O40)</f>
        <v>332162.40000000002</v>
      </c>
      <c r="P41" s="39" t="s">
        <v>23</v>
      </c>
      <c r="Q41" s="14"/>
      <c r="R41">
        <f>R39*R40</f>
        <v>4.5750000000000002</v>
      </c>
      <c r="S41"/>
      <c r="T41" s="238"/>
      <c r="X41" s="231"/>
    </row>
    <row r="42" spans="1:24" s="230" customFormat="1" ht="17.399999999999999" x14ac:dyDescent="0.35">
      <c r="L42" s="250"/>
      <c r="M42" s="254" t="s">
        <v>33</v>
      </c>
      <c r="N42" s="12"/>
      <c r="O42" s="255">
        <f>O41*2.1</f>
        <v>697541.04</v>
      </c>
      <c r="P42" s="14" t="s">
        <v>140</v>
      </c>
      <c r="Q42" s="14"/>
      <c r="R42" s="40">
        <f>P33/R41</f>
        <v>3.4473442622950823</v>
      </c>
      <c r="S42"/>
      <c r="T42" s="257"/>
    </row>
    <row r="43" spans="1:24" s="230" customFormat="1" ht="17.399999999999999" x14ac:dyDescent="0.35">
      <c r="G43"/>
      <c r="H43" s="260"/>
      <c r="I43" s="260"/>
      <c r="J43" s="260"/>
      <c r="L43" s="250"/>
      <c r="M43" s="14"/>
      <c r="N43" s="12"/>
      <c r="O43" s="12">
        <f>O42/P31</f>
        <v>53073.197900022824</v>
      </c>
      <c r="P43" s="45" t="s">
        <v>24</v>
      </c>
      <c r="Q43" s="14"/>
      <c r="R43" s="14"/>
      <c r="S43"/>
      <c r="T43" s="238"/>
      <c r="U43" s="59" t="s">
        <v>157</v>
      </c>
      <c r="V43" s="299">
        <v>43650</v>
      </c>
    </row>
    <row r="44" spans="1:24" s="230" customFormat="1" ht="17.399999999999999" x14ac:dyDescent="0.35">
      <c r="G44"/>
      <c r="L44" s="250"/>
      <c r="M44" s="13"/>
      <c r="N44" s="14"/>
      <c r="O44" s="17">
        <f>O42/O41</f>
        <v>2.1</v>
      </c>
      <c r="P44" s="15"/>
      <c r="Q44"/>
      <c r="R44"/>
      <c r="S44"/>
      <c r="T44" s="238"/>
      <c r="U44" s="59" t="s">
        <v>159</v>
      </c>
      <c r="V44" s="300" t="s">
        <v>158</v>
      </c>
      <c r="W44" s="59">
        <v>2.4</v>
      </c>
    </row>
    <row r="45" spans="1:24" s="230" customFormat="1" ht="17.399999999999999" x14ac:dyDescent="0.35">
      <c r="G45" s="23"/>
      <c r="J45" s="260"/>
      <c r="L45" s="12"/>
      <c r="T45" s="238"/>
      <c r="U45" s="59" t="s">
        <v>160</v>
      </c>
      <c r="V45" s="301">
        <v>395.37</v>
      </c>
    </row>
    <row r="46" spans="1:24" s="230" customFormat="1" ht="17.399999999999999" x14ac:dyDescent="0.35">
      <c r="B46"/>
      <c r="C46" s="228"/>
      <c r="D46" s="22"/>
      <c r="E46" s="22"/>
      <c r="F46" s="21"/>
      <c r="G46" s="23"/>
      <c r="L46" s="12"/>
      <c r="T46" s="238"/>
      <c r="U46" s="59" t="s">
        <v>155</v>
      </c>
      <c r="V46" s="59">
        <v>474.45</v>
      </c>
    </row>
    <row r="47" spans="1:24" ht="14.4" customHeight="1" x14ac:dyDescent="0.3">
      <c r="L47" s="12"/>
      <c r="U47" s="59"/>
      <c r="V47" s="59"/>
    </row>
    <row r="48" spans="1:24" x14ac:dyDescent="0.3">
      <c r="L48" s="250"/>
    </row>
    <row r="49" spans="12:20" x14ac:dyDescent="0.3">
      <c r="L49" s="250"/>
      <c r="T49" s="270"/>
    </row>
    <row r="50" spans="12:20" x14ac:dyDescent="0.3">
      <c r="L50" s="250"/>
    </row>
    <row r="51" spans="12:20" ht="15" customHeight="1" x14ac:dyDescent="0.3"/>
    <row r="53" spans="12:20" x14ac:dyDescent="0.3">
      <c r="O53">
        <v>40935</v>
      </c>
      <c r="P53" t="s">
        <v>16</v>
      </c>
      <c r="Q53" t="s">
        <v>26</v>
      </c>
    </row>
    <row r="55" spans="12:20" x14ac:dyDescent="0.3">
      <c r="O55" s="54"/>
      <c r="P55" s="54"/>
    </row>
    <row r="56" spans="12:20" x14ac:dyDescent="0.3">
      <c r="S56" s="18"/>
      <c r="T56" s="18"/>
    </row>
    <row r="57" spans="12:20" x14ac:dyDescent="0.3">
      <c r="S57" s="18"/>
      <c r="T57" s="18"/>
    </row>
    <row r="58" spans="12:20" x14ac:dyDescent="0.3">
      <c r="S58" s="18"/>
      <c r="T58" s="18"/>
    </row>
    <row r="59" spans="12:20" x14ac:dyDescent="0.3">
      <c r="S59" s="18"/>
      <c r="T59" s="18"/>
    </row>
    <row r="60" spans="12:20" x14ac:dyDescent="0.3">
      <c r="S60" s="18"/>
      <c r="T60" s="18"/>
    </row>
    <row r="61" spans="12:20" x14ac:dyDescent="0.3">
      <c r="S61" s="18"/>
      <c r="T61" s="18"/>
    </row>
    <row r="62" spans="12:20" x14ac:dyDescent="0.3">
      <c r="S62" s="18"/>
      <c r="T62" s="18"/>
    </row>
    <row r="63" spans="12:20" x14ac:dyDescent="0.3">
      <c r="S63" s="18"/>
      <c r="T63" s="18"/>
    </row>
    <row r="64" spans="12:20" x14ac:dyDescent="0.3">
      <c r="S64" s="18"/>
      <c r="T64" s="18"/>
    </row>
    <row r="67" spans="3:15" x14ac:dyDescent="0.3">
      <c r="O67" s="43"/>
    </row>
    <row r="68" spans="3:15" x14ac:dyDescent="0.3">
      <c r="O68" s="43"/>
    </row>
    <row r="69" spans="3:15" x14ac:dyDescent="0.3">
      <c r="O69" s="6"/>
    </row>
    <row r="70" spans="3:15" x14ac:dyDescent="0.3">
      <c r="O70" s="6"/>
    </row>
    <row r="78" spans="3:15" x14ac:dyDescent="0.3">
      <c r="C78" t="s">
        <v>147</v>
      </c>
    </row>
    <row r="79" spans="3:15" x14ac:dyDescent="0.3">
      <c r="C79" t="s">
        <v>146</v>
      </c>
    </row>
    <row r="82" spans="3:3" x14ac:dyDescent="0.3">
      <c r="C82" t="s">
        <v>146</v>
      </c>
    </row>
    <row r="159" spans="3:3" x14ac:dyDescent="0.3">
      <c r="C159" t="s">
        <v>146</v>
      </c>
    </row>
    <row r="160" spans="3:3" x14ac:dyDescent="0.3">
      <c r="C160" t="s">
        <v>148</v>
      </c>
    </row>
    <row r="161" spans="3:3" x14ac:dyDescent="0.3">
      <c r="C161" t="s">
        <v>149</v>
      </c>
    </row>
    <row r="586" spans="3:3" x14ac:dyDescent="0.3">
      <c r="C586" t="s">
        <v>146</v>
      </c>
    </row>
  </sheetData>
  <mergeCells count="2">
    <mergeCell ref="F17:H17"/>
    <mergeCell ref="B19:H19"/>
  </mergeCells>
  <phoneticPr fontId="34" type="noConversion"/>
  <hyperlinks>
    <hyperlink ref="F39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46071</v>
      </c>
    </row>
    <row r="6" spans="2:31" ht="16.2" thickBot="1" x14ac:dyDescent="0.35">
      <c r="B6" s="140" t="s">
        <v>2</v>
      </c>
      <c r="C6" s="139" t="str">
        <f>'2229'!C10</f>
        <v>MUEBLES ASENJO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11996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-69234.173366787451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'2229'!H29</f>
        <v>697541</v>
      </c>
      <c r="E11" s="132">
        <f>D11*0.19</f>
        <v>132532.79</v>
      </c>
      <c r="F11" s="131">
        <f>E11+D11</f>
        <v>830073.79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36755.826633212549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170991.4907874396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18755.826633212549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526549.50921256037</v>
      </c>
      <c r="E13" s="221">
        <f>(D11/D12)-1</f>
        <v>3.0793901309809435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9755.8266332125495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-29244.173366787451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282135.95979927533</v>
      </c>
      <c r="F15" s="216">
        <f>E15-D12</f>
        <v>111144.46901183572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-29244.173366787451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10755.826633212549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'2229'!O37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'2229'!O36</f>
        <v>117500</v>
      </c>
      <c r="E19" s="123">
        <f>D19*0.19</f>
        <v>22325</v>
      </c>
      <c r="F19" s="120">
        <f>SUM(D19:E19)</f>
        <v>139825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'2229'!O35</f>
        <v>23657.4</v>
      </c>
      <c r="E20" s="121">
        <f>D20*0.19</f>
        <v>4494.9059999999999</v>
      </c>
      <c r="F20" s="120">
        <f>SUM(D20:E20)</f>
        <v>28152.306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141157.4</v>
      </c>
      <c r="E21" s="116">
        <f>SUM(E18:E20)</f>
        <v>26819.905999999999</v>
      </c>
      <c r="F21" s="115">
        <f>SUM(F18:F20)</f>
        <v>167977.30600000001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105712.88400000001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697541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141157.4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526549.50921256037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526549.50921256037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2026-02-17T19:10:22Z</cp:lastPrinted>
  <dcterms:created xsi:type="dcterms:W3CDTF">2013-03-18T13:35:42Z</dcterms:created>
  <dcterms:modified xsi:type="dcterms:W3CDTF">2026-02-18T21:39:44Z</dcterms:modified>
</cp:coreProperties>
</file>