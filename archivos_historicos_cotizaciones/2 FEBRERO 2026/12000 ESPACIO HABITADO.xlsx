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A6618953-B89C-4EB1-B4B0-CA452711BDD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<sst xmlns="http://schemas.openxmlformats.org/spreadsheetml/2006/main" count="486" uniqueCount="293">
  <si>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</si>
  <si>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</si>
  <si>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</si>
  <si>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</si>
  <si>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</si>
  <si>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</si>
  <si>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</si>
  <si>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</si>
  <si>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</si>
  <si>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</si>
  <si>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</si>
  <si>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</si>
  <si>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</si>
  <si>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</si>
  <si>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</si>
  <si>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</si>
  <si>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</si>
  <si>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</si>
  <si>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</si>
  <si>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</si>
  <si>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</si>
  <si>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</si>
  <si>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</si>
  <si>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</si>
  <si>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</si>
  <si>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</si>
  <si>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</si>
  <si>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</si>
  <si>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</si>
  <si>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</si>
  <si>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</si>
  <si>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</si>
  <si>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</si>
  <si>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</si>
  <si>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</si>
  <si>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</si>
  <si>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</si>
  <si>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</si>
  <si>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</si>
  <si>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</si>
  <si>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</si>
  <si>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</si>
  <si>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</si>
  <si>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</si>
  <si>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</si>
  <si>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</si>
  <si>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</si>
  <si>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</si>
  <si>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</si>
  <si>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</si>
  <si>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</si>
  <si>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</si>
  <si>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</si>
  <si>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</si>
  <si>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</si>
  <si>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</si>
  <si>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</si>
  <si>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</si>
  <si>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</si>
  <si>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</si>
  <si>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</si>
  <si>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</si>
  <si>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</si>
  <si>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</si>
  <si>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</si>
  <si>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</si>
  <si>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</si>
  <si>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</si>
  <si>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</si>
  <si>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</si>
  <si>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</si>
  <si>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</si>
  <si>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</si>
  <si>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</si>
  <si>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</si>
  <si>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</si>
  <si>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</si>
  <si>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</si>
  <si>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</si>
  <si>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</si>
  <si>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</si>
  <si>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</si>
  <si>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</si>
  <si>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</si>
  <si>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</si>
  <si>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</si>
  <si>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</si>
  <si>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</si>
  <si>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</si>
  <si>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</si>
  <si>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</si>
  <si>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</si>
  <si>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</si>
  <si>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</si>
  <si>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</si>
  <si>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</si>
  <si>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</si>
  <si>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</si>
  <si>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</si>
  <si>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</si>
  <si>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</si>
  <si>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</si>
  <si>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</si>
  <si>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</si>
  <si>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</si>
  <si>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</si>
  <si>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</si>
  <si>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</si>
  <si>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</si>
  <si>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</si>
  <si>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</si>
  <si>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</si>
  <si>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</si>
  <si>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</si>
  <si>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</si>
  <si>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</si>
  <si>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</si>
  <si>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</si>
  <si>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</si>
  <si>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</si>
  <si>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</si>
  <si>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</si>
  <si>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</si>
  <si>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</si>
  <si>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</si>
  <si>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</si>
  <si>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</si>
  <si>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</si>
  <si>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</si>
  <si>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</si>
  <si>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</si>
  <si>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</si>
  <si>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</si>
  <si>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</si>
  <si>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</si>
  <si>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</si>
  <si>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</si>
  <si>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</si>
  <si>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</si>
  <si>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</si>
  <si>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</si>
  <si>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</si>
  <si>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</si>
  <si>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</si>
  <si>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</si>
  <si>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</si>
  <si>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</si>
  <si>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</si>
  <si>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</si>
  <si>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</si>
  <si>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</si>
  <si>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</si>
  <si>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</si>
  <si>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</si>
  <si>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</si>
  <si>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</si>
  <si>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</si>
  <si>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</si>
  <si>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</si>
  <si>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</si>
  <si>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</si>
  <si>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</si>
  <si>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</si>
  <si>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</si>
  <si>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</si>
  <si>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</si>
  <si>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</si>
  <si>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</si>
  <si>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</si>
  <si>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</si>
  <si>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</si>
  <si>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</si>
  <si>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</si>
  <si>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</si>
  <si>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</si>
  <si>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</si>
  <si>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</si>
  <si>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</si>
  <si>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</si>
  <si>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</si>
  <si>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</si>
  <si>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</si>
  <si>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</si>
  <si>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</si>
  <si>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</si>
  <si>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</si>
  <si>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</si>
  <si>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</si>
  <si>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</si>
  <si>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</si>
  <si>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</si>
  <si>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</si>
  <si>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</si>
  <si>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</si>
  <si>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</si>
  <si>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</si>
  <si>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</si>
  <si>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</si>
  <si>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</si>
  <si>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</si>
  <si>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</si>
  <si>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</si>
  <si>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</si>
  <si>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</si>
  <si>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</si>
  <si>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</si>
  <si>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</si>
  <si>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</si>
  <si>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</si>
  <si>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</si>
  <si>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</si>
  <si>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</si>
  <si>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</si>
  <si>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</si>
  <si>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</si>
  <si>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</si>
  <si>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</si>
  <si>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</si>
  <si>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</si>
  <si>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</si>
  <si>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</si>
  <si>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</si>
  <si>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</si>
  <si>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</si>
  <si>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</si>
  <si>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</si>
  <si>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</si>
  <si>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</si>
  <si>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</si>
  <si>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</si>
  <si>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</si>
  <si>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</si>
  <si>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</si>
  <si>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</si>
  <si>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</si>
  <si>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</si>
  <si>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</si>
  <si>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</si>
  <si>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</si>
  <si>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</si>
  <si>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</si>
  <si>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</si>
  <si>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</si>
  <si>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</si>
  <si>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</si>
  <si>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</si>
  <si>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</si>
  <si>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</si>
  <si>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</si>
  <si>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</si>
  <si>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</si>
  <si>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</si>
  <si>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</si>
  <si>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</si>
  <si>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</si>
  <si>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</si>
  <si>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</si>
  <si>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</si>
  <si>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</si>
  <si>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</si>
  <si>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</si>
  <si>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</si>
  <si>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</si>
  <si>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</si>
  <si>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</si>
  <si>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</si>
  <si>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</si>
  <si>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</si>
  <si>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</si>
  <si>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</si>
  <si>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</si>
  <si>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</si>
  <si>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</si>
  <si>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</si>
  <si>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</si>
  <si>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</si>
  <si>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</si>
  <si>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</si>
  <si>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</si>
  <si>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</si>
  <si>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</si>
  <si>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</si>
  <si>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</si>
  <si>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</si>
  <si>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</si>
  <si>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</si>
  <si>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</si>
  <si>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</si>
  <si>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 DIAS HABILES</t>
  </si>
  <si>
    <t>N° 11999</t>
  </si>
  <si>
    <t>ESPACIO HABITADO</t>
  </si>
  <si>
    <t>+569 8822 6102</t>
  </si>
  <si>
    <t>CUB CON RESPALDO FTE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</si>
</sst>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215080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9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46072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30394.527620030978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2.9</v>
      </c>
      <c r="E21" s="432">
        <v>0.6</v>
      </c>
      <c r="F21" s="313"/>
      <c r="G21" s="314">
        <f>R21</f>
        <v>61874.200000000004</v>
      </c>
      <c r="H21" s="433">
        <f>G21*B21</f>
        <v>61874.200000000004</v>
      </c>
      <c r="I21" s="306"/>
      <c r="J21" s="264"/>
      <c r="K21" s="47"/>
      <c r="L21" s="47">
        <f>B21</f>
        <v>1</v>
      </c>
      <c r="M21" s="39">
        <f>D21+M$19</f>
        <v>2.98</v>
      </c>
      <c r="N21" s="39">
        <f>E21+$N$19</f>
        <v>0.65</v>
      </c>
      <c r="O21" s="260">
        <f t="shared" ref="O21" si="0">M21*N21</f>
        <v>1.9370000000000001</v>
      </c>
      <c r="P21" s="258">
        <f t="shared" ref="P21" si="1">O21*L21</f>
        <v>1.9370000000000001</v>
      </c>
      <c r="Q21" s="251">
        <f t="shared" ref="Q21" si="2">Q$20*O21</f>
        <v>58874.200000000004</v>
      </c>
      <c r="R21" s="305">
        <f t="shared" ref="R21" si="3">Q21+R$20</f>
        <v>61874.200000000004</v>
      </c>
      <c r="S21" s="290">
        <f>M21*L21</f>
        <v>2.98</v>
      </c>
      <c r="T21" s="46">
        <f>N21*2*L21*2</f>
        <v>2.6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61874.200000000004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11756.098000000002</v>
      </c>
      <c r="I25" s="308"/>
      <c r="J25" s="264"/>
      <c r="K25" s="47"/>
      <c r="L25" s="47"/>
      <c r="M25" s="39">
        <f>SUM(M21:M24)</f>
        <v>2.98</v>
      </c>
      <c r="N25" s="12"/>
      <c r="O25" s="12"/>
      <c r="P25" s="252">
        <f>SUM(P21:P22)</f>
        <v>1.9370000000000001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73630.29800000001</v>
      </c>
      <c r="I26" s="308"/>
      <c r="J26" s="264"/>
      <c r="K26" s="47"/>
      <c r="L26" s="47"/>
      <c r="M26" s="39"/>
      <c r="N26" s="12"/>
      <c r="O26" s="12"/>
      <c r="P26" s="252">
        <f>P25</f>
        <v>1.9370000000000001</v>
      </c>
      <c r="Q26" s="14"/>
      <c r="R26" s="12"/>
      <c r="S26" s="239">
        <f>SUM(S21:S25)</f>
        <v>2.98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0.38740000000000002</v>
      </c>
      <c r="Q27" s="39" t="s">
        <v>129</v>
      </c>
      <c r="R27" s="42"/>
      <c r="S27" s="240">
        <f>S26+T24</f>
        <v>5.58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2.3244000000000002</v>
      </c>
      <c r="Q28" s="14"/>
      <c r="R28" s="14"/>
      <c r="S28" s="238">
        <f>S27*20%</f>
        <v>1.1160000000000001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6.6959999999999997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2.3244000000000002</v>
      </c>
      <c r="N30" s="12">
        <v>2500</v>
      </c>
      <c r="O30" s="12">
        <f t="shared" ref="O30:O35" si="4">M30*N30</f>
        <v>5811.0000000000009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0.7</v>
      </c>
      <c r="N31" s="12">
        <v>23500</v>
      </c>
      <c r="O31" s="12">
        <f t="shared" si="4"/>
        <v>16450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40000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</v>
      </c>
      <c r="N33" s="249">
        <v>20000</v>
      </c>
      <c r="O33" s="12">
        <f t="shared" si="4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</v>
      </c>
      <c r="N35" s="12">
        <v>1500</v>
      </c>
      <c r="O35" s="12">
        <f t="shared" si="4"/>
        <v>4500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26761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58874.200000000004</v>
      </c>
      <c r="P37" s="14" t="s">
        <v>138</v>
      </c>
      <c r="Q37" s="14"/>
      <c r="R37" s="40">
        <f>P28/R36</f>
        <v>0.62672562553925804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30394.527620030978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46072</v>
      </c>
    </row>
    <row r="6" spans="2:31" ht="16.2" thickBot="1" x14ac:dyDescent="0.35">
      <c r="B6" s="140" t="s">
        <v>2</v>
      </c>
      <c r="C6" s="139" t="str">
        <f>'2229'!C10</f>
        <v>ESPACIO HABITADO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4013.7832998792255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61874.200000000004</v>
      </c>
      <c r="E11" s="132">
        <f>D11*0.19</f>
        <v>11756.098000000002</v>
      </c>
      <c r="F11" s="131">
        <f>E11+D11</f>
        <v>73630.29800000001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110003.78329987923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52095.090787439614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92003.783299879229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9779.10921256039</v>
      </c>
      <c r="E13" s="221">
        <f>(D11/D12)-1</f>
        <v>0.18771652116821302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83003.783299879229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44003.783299879229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85956.899799275358</v>
      </c>
      <c r="F15" s="216">
        <f>E15-D12</f>
        <v>33861.809011835743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44003.783299879229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84003.783299879229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5811.0000000000009</v>
      </c>
      <c r="E20" s="121">
        <f>D20*0.19</f>
        <v>1104.0900000000001</v>
      </c>
      <c r="F20" s="120">
        <f>SUM(D20:E20)</f>
        <v>6915.0900000000011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22261</v>
      </c>
      <c r="E21" s="116">
        <f>SUM(E18:E20)</f>
        <v>4229.59</v>
      </c>
      <c r="F21" s="115">
        <f>SUM(F18:F20)</f>
        <v>26490.59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7526.5080000000016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61874.200000000004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22261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9779.10921256039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9779.10921256039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ESPACIO HABITADO</v>
      </c>
      <c r="D10" s="350"/>
      <c r="E10" s="350"/>
      <c r="F10" s="351" t="s">
        <v>167</v>
      </c>
      <c r="G10" s="352">
        <f>'2229'!G10</f>
        <v>46072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+569 8822 6102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2900</v>
      </c>
      <c r="E22" s="321">
        <f>'2229'!E21*1000</f>
        <v>600</v>
      </c>
      <c r="F22" s="322">
        <f>'2229'!F21</f>
        <v>0</v>
      </c>
      <c r="G22" s="314">
        <f>'2229'!G21</f>
        <v>61874.200000000004</v>
      </c>
      <c r="H22" s="323">
        <f>G22*B22</f>
        <v>61874.200000000004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61874.200000000004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11756.098000000002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73630.29800000001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ESPACIO HABITADO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>
        <f t="shared" si="3"/>
        <v>0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>
        <f>'NOTA DE VENTA'!F22</f>
        <v>0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11999</v>
      </c>
      <c r="C2" s="1">
        <f>'NOTA DE VENTA'!$G$10</f>
        <v>46072</v>
      </c>
      <c r="D2" s="1">
        <f>'NOTA DE VENTA'!$G$11</f>
        <v>46079</v>
      </c>
      <c r="E2" t="str">
        <f>'NOTA DE VENTA'!$C$10</f>
        <v>ESPACIO HABITADO</v>
      </c>
      <c r="F2" t="str">
        <f>'NOTA DE VENTA'!$C$22</f>
        <v>CUB C/R R8</v>
      </c>
      <c r="G2">
        <f>'NOTA DE VENTA'!$F$22</f>
        <v>0</v>
      </c>
      <c r="H2" s="415">
        <f>'NOTA DE VENTA'!$H$25</f>
        <v>61874.200000000004</v>
      </c>
      <c r="I2" s="415">
        <f>H2*0.19</f>
        <v>11756.098000000002</v>
      </c>
      <c r="J2" s="415">
        <f>I2+H2</f>
        <v>73630.29800000001</v>
      </c>
      <c r="L2" s="61">
        <f>J2-K2</f>
        <v>73630.29800000001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2026-02-19T19:52:13Z</cp:lastPrinted>
  <dcterms:created xsi:type="dcterms:W3CDTF">2013-03-18T13:35:42Z</dcterms:created>
  <dcterms:modified xsi:type="dcterms:W3CDTF">2026-02-19T20:23:54Z</dcterms:modified>
</cp:coreProperties>
</file>