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B8473096-B9EA-4799-BFB5-E2C9C5E9ADDD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 s="1"/>
  <c r="P26" i="1"/>
  <c r="L22" i="1"/>
  <c r="M22" i="1"/>
  <c r="N22" i="1"/>
  <c r="O22" i="1"/>
  <c r="P22" i="1" s="1"/>
  <c r="S22" i="1"/>
  <c r="L23" i="1"/>
  <c r="M23" i="1"/>
  <c r="S23" i="1" s="1"/>
  <c r="N23" i="1"/>
  <c r="L21" i="1"/>
  <c r="N5" i="6"/>
  <c r="A2" i="7"/>
  <c r="F19" i="3" l="1"/>
  <c r="O23" i="1"/>
  <c r="M26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P23" i="1" l="1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7" i="1" s="1"/>
  <c r="T21" i="1"/>
  <c r="T25" i="1" s="1"/>
  <c r="O21" i="1"/>
  <c r="P21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6" i="1"/>
  <c r="O35" i="1"/>
  <c r="F18" i="3" l="1"/>
  <c r="O31" i="1" l="1"/>
  <c r="O37" i="1" s="1"/>
  <c r="O38" i="1" s="1"/>
  <c r="D21" i="3" l="1"/>
  <c r="E21" i="3" s="1"/>
  <c r="E22" i="3" s="1"/>
  <c r="O39" i="1" l="1"/>
  <c r="Q20" i="1" s="1"/>
  <c r="D22" i="3"/>
  <c r="M44" i="3" s="1"/>
  <c r="D12" i="3" s="1"/>
  <c r="F21" i="3"/>
  <c r="F22" i="3" s="1"/>
  <c r="Q22" i="1" l="1"/>
  <c r="Q23" i="1"/>
  <c r="O40" i="1"/>
  <c r="E15" i="3"/>
  <c r="R23" i="1" l="1"/>
  <c r="G23" i="1"/>
  <c r="H23" i="1" s="1"/>
  <c r="R22" i="1"/>
  <c r="G22" i="1"/>
  <c r="H22" i="1" s="1"/>
  <c r="Q21" i="1"/>
  <c r="G21" i="1" s="1"/>
  <c r="F15" i="3"/>
  <c r="R21" i="1" l="1"/>
  <c r="H21" i="1" l="1"/>
  <c r="H25" i="1" l="1"/>
  <c r="H26" i="1" s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<sst xmlns="http://schemas.openxmlformats.org/spreadsheetml/2006/main" count="491" uniqueCount="295">
  <si>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</si>
  <si>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</si>
  <si>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</si>
  <si>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</si>
  <si>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</si>
  <si>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</si>
  <si>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</si>
  <si>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</si>
  <si>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</si>
  <si>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</si>
  <si>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</si>
  <si>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</si>
  <si>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</si>
  <si>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</si>
  <si>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</si>
  <si>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</si>
  <si>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</si>
  <si>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</si>
  <si>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</si>
  <si>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</si>
  <si>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</si>
  <si>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</si>
  <si>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</si>
  <si>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</si>
  <si>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</si>
  <si>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</si>
  <si>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</si>
  <si>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</si>
  <si>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</si>
  <si>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</si>
  <si>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</si>
  <si>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</si>
  <si>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</si>
  <si>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</si>
  <si>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</si>
  <si>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</si>
  <si>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</si>
  <si>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</si>
  <si>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</si>
  <si>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</si>
  <si>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</si>
  <si>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</si>
  <si>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</si>
  <si>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</si>
  <si>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</si>
  <si>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</si>
  <si>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</si>
  <si>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</si>
  <si>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</si>
  <si>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</si>
  <si>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</si>
  <si>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</si>
  <si>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</si>
  <si>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</si>
  <si>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</si>
  <si>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</si>
  <si>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</si>
  <si>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</si>
  <si>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</si>
  <si>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</si>
  <si>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</si>
  <si>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</si>
  <si>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</si>
  <si>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</si>
  <si>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</si>
  <si>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</si>
  <si>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</si>
  <si>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</si>
  <si>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</si>
  <si>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</si>
  <si>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</si>
  <si>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</si>
  <si>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</si>
  <si>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</si>
  <si>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</si>
  <si>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</si>
  <si>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</si>
  <si>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</si>
  <si>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</si>
  <si>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</si>
  <si>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</si>
  <si>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</si>
  <si>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</si>
  <si>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</si>
  <si>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</si>
  <si>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</si>
  <si>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</si>
  <si>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</si>
  <si>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</si>
  <si>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</si>
  <si>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</si>
  <si>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</si>
  <si>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</si>
  <si>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</si>
  <si>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</si>
  <si>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</si>
  <si>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</si>
  <si>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</si>
  <si>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</si>
  <si>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</si>
  <si>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</si>
  <si>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</si>
  <si>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</si>
  <si>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</si>
  <si>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</si>
  <si>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</si>
  <si>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</si>
  <si>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</si>
  <si>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</si>
  <si>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</si>
  <si>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</si>
  <si>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</si>
  <si>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</si>
  <si>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</si>
  <si>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</si>
  <si>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</si>
  <si>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</si>
  <si>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</si>
  <si>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</si>
  <si>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</si>
  <si>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</si>
  <si>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</si>
  <si>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</si>
  <si>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</si>
  <si>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</si>
  <si>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</si>
  <si>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</si>
  <si>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</si>
  <si>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</si>
  <si>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</si>
  <si>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</si>
  <si>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</si>
  <si>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</si>
  <si>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</si>
  <si>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</si>
  <si>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</si>
  <si>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</si>
  <si>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</si>
  <si>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</si>
  <si>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</si>
  <si>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</si>
  <si>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</si>
  <si>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</si>
  <si>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</si>
  <si>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</si>
  <si>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</si>
  <si>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</si>
  <si>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</si>
  <si>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</si>
  <si>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</si>
  <si>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</si>
  <si>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</si>
  <si>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</si>
  <si>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</si>
  <si>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</si>
  <si>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</si>
  <si>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</si>
  <si>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</si>
  <si>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</si>
  <si>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</si>
  <si>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</si>
  <si>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</si>
  <si>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</si>
  <si>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</si>
  <si>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</si>
  <si>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</si>
  <si>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</si>
  <si>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</si>
  <si>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</si>
  <si>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</si>
  <si>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</si>
  <si>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</si>
  <si>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</si>
  <si>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</si>
  <si>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</si>
  <si>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</si>
  <si>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</si>
  <si>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</si>
  <si>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</si>
  <si>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</si>
  <si>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</si>
  <si>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</si>
  <si>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</si>
  <si>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</si>
  <si>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</si>
  <si>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</si>
  <si>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</si>
  <si>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</si>
  <si>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</si>
  <si>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</si>
  <si>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</si>
  <si>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</si>
  <si>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</si>
  <si>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</si>
  <si>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</si>
  <si>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</si>
  <si>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</si>
  <si>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</si>
  <si>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</si>
  <si>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</si>
  <si>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</si>
  <si>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</si>
  <si>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</si>
  <si>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</si>
  <si>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</si>
  <si>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</si>
  <si>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</si>
  <si>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</si>
  <si>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</si>
  <si>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</si>
  <si>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</si>
  <si>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</si>
  <si>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</si>
  <si>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</si>
  <si>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</si>
  <si>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</si>
  <si>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</si>
  <si>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</si>
  <si>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</si>
  <si>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</si>
  <si>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</si>
  <si>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</si>
  <si>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</si>
  <si>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</si>
  <si>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</si>
  <si>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</si>
  <si>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</si>
  <si>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</si>
  <si>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</si>
  <si>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</si>
  <si>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</si>
  <si>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</si>
  <si>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</si>
  <si>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</si>
  <si>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</si>
  <si>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</si>
  <si>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</si>
  <si>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</si>
  <si>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</si>
  <si>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</si>
  <si>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</si>
  <si>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</si>
  <si>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</si>
  <si>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</si>
  <si>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</si>
  <si>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</si>
  <si>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</si>
  <si>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</si>
  <si>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</si>
  <si>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</si>
  <si>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</si>
  <si>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</si>
  <si>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</si>
  <si>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</si>
  <si>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</si>
  <si>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</si>
  <si>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</si>
  <si>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</si>
  <si>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</si>
  <si>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</si>
  <si>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</si>
  <si>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</si>
  <si>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</si>
  <si>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</si>
  <si>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</si>
  <si>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</si>
  <si>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</si>
  <si>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</si>
  <si>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</si>
  <si>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</si>
  <si>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</si>
  <si>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</si>
  <si>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</si>
  <si>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</si>
  <si>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</si>
  <si>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</si>
  <si>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</si>
  <si>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</si>
  <si>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</si>
  <si>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</si>
  <si>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</si>
  <si>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</si>
  <si>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</si>
  <si>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</si>
  <si>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</si>
  <si>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</si>
  <si>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</si>
  <si>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</si>
  <si>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</si>
  <si>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MARIO ZAPATA</t>
  </si>
  <si>
    <t>N° 11871</t>
  </si>
  <si>
    <t>+569 4510 6187</t>
  </si>
  <si>
    <t>CUB C/R 90°</t>
  </si>
  <si>
    <t>NEW BLACK GRANITE BR</t>
  </si>
  <si>
    <t>LAMINA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</si>
</sst>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opLeftCell="D13" zoomScale="93" zoomScaleNormal="93" workbookViewId="0">
      <selection activeCell="I31" sqref="I31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46058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3" t="s">
        <v>95</v>
      </c>
      <c r="C19" s="444"/>
      <c r="D19" s="444"/>
      <c r="E19" s="444"/>
      <c r="F19" s="444"/>
      <c r="G19" s="444"/>
      <c r="H19" s="445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61021.932595147337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313" t="s">
        <v>292</v>
      </c>
      <c r="D21" s="434">
        <v>1.6</v>
      </c>
      <c r="E21" s="434">
        <v>0.53</v>
      </c>
      <c r="F21" s="313" t="s">
        <v>293</v>
      </c>
      <c r="G21" s="314">
        <f>Q21</f>
        <v>53363.680054456359</v>
      </c>
      <c r="H21" s="435">
        <f>G21*B21</f>
        <v>53363.680054456359</v>
      </c>
      <c r="I21" s="306"/>
      <c r="J21" s="264"/>
      <c r="K21" s="47"/>
      <c r="L21" s="47">
        <f>B21</f>
        <v>1</v>
      </c>
      <c r="M21" s="39">
        <f>D21+M$19</f>
        <v>1.6500000000000001</v>
      </c>
      <c r="N21" s="39">
        <f>E21+$N$19</f>
        <v>0.53</v>
      </c>
      <c r="O21" s="260">
        <f t="shared" ref="O21" si="0">M21*N21</f>
        <v>0.87450000000000017</v>
      </c>
      <c r="P21" s="258">
        <f t="shared" ref="P21" si="1">O21*L21</f>
        <v>0.87450000000000017</v>
      </c>
      <c r="Q21" s="251">
        <f t="shared" ref="Q21" si="2">Q$20*O21</f>
        <v>53363.680054456359</v>
      </c>
      <c r="R21" s="305">
        <f t="shared" ref="R21" si="3">Q21+R$20</f>
        <v>56363.680054456359</v>
      </c>
      <c r="S21" s="290">
        <f>M21*L21</f>
        <v>1.6500000000000001</v>
      </c>
      <c r="T21" s="46">
        <f>N21*2*L21*2</f>
        <v>2.12</v>
      </c>
      <c r="U21" s="9"/>
      <c r="X21" s="4"/>
    </row>
    <row r="22" spans="1:25" ht="17.399999999999999" x14ac:dyDescent="0.3">
      <c r="B22" s="436">
        <v>1</v>
      </c>
      <c r="C22" s="430" t="s">
        <v>292</v>
      </c>
      <c r="D22" s="431">
        <v>0.86</v>
      </c>
      <c r="E22" s="431">
        <v>0.43</v>
      </c>
      <c r="F22" s="430" t="s">
        <v>293</v>
      </c>
      <c r="G22" s="432">
        <f>Q22</f>
        <v>23877.882224481153</v>
      </c>
      <c r="H22" s="437">
        <f>G22*B22</f>
        <v>23877.882224481153</v>
      </c>
      <c r="I22" s="306"/>
      <c r="J22" s="264"/>
      <c r="K22" s="47"/>
      <c r="L22" s="47">
        <f t="shared" ref="L22:L23" si="4">B22</f>
        <v>1</v>
      </c>
      <c r="M22" s="39">
        <f t="shared" ref="M22:M23" si="5">D22+M$19</f>
        <v>0.91</v>
      </c>
      <c r="N22" s="39">
        <f t="shared" ref="N22:N23" si="6">E22+$N$19</f>
        <v>0.43</v>
      </c>
      <c r="O22" s="260">
        <f t="shared" ref="O22:O23" si="7">M22*N22</f>
        <v>0.39129999999999998</v>
      </c>
      <c r="P22" s="258">
        <f t="shared" ref="P22:P23" si="8">O22*L22</f>
        <v>0.39129999999999998</v>
      </c>
      <c r="Q22" s="251">
        <f t="shared" ref="Q22:Q23" si="9">Q$20*O22</f>
        <v>23877.882224481153</v>
      </c>
      <c r="R22" s="305">
        <f t="shared" ref="R22:R23" si="10">Q22+R$20</f>
        <v>26877.882224481153</v>
      </c>
      <c r="S22" s="290">
        <f t="shared" ref="S22:S23" si="11">M22*L22</f>
        <v>0.91</v>
      </c>
      <c r="T22" s="46"/>
      <c r="U22" s="9"/>
      <c r="X22" s="4"/>
    </row>
    <row r="23" spans="1:25" ht="18" thickBot="1" x14ac:dyDescent="0.35">
      <c r="B23" s="438">
        <v>1</v>
      </c>
      <c r="C23" s="439" t="s">
        <v>292</v>
      </c>
      <c r="D23" s="440">
        <v>0.68</v>
      </c>
      <c r="E23" s="440">
        <v>0.53</v>
      </c>
      <c r="F23" s="439" t="s">
        <v>293</v>
      </c>
      <c r="G23" s="441">
        <f>Q23</f>
        <v>23609.38572106251</v>
      </c>
      <c r="H23" s="442">
        <f>G23*B23</f>
        <v>23609.38572106251</v>
      </c>
      <c r="I23" s="306"/>
      <c r="J23" s="264"/>
      <c r="K23" s="47"/>
      <c r="L23" s="47">
        <f t="shared" si="4"/>
        <v>1</v>
      </c>
      <c r="M23" s="39">
        <f t="shared" si="5"/>
        <v>0.73000000000000009</v>
      </c>
      <c r="N23" s="39">
        <f t="shared" si="6"/>
        <v>0.53</v>
      </c>
      <c r="O23" s="260">
        <f t="shared" si="7"/>
        <v>0.38690000000000008</v>
      </c>
      <c r="P23" s="258">
        <f t="shared" si="8"/>
        <v>0.38690000000000008</v>
      </c>
      <c r="Q23" s="251">
        <f t="shared" si="9"/>
        <v>23609.38572106251</v>
      </c>
      <c r="R23" s="305">
        <f t="shared" si="10"/>
        <v>26609.38572106251</v>
      </c>
      <c r="S23" s="290">
        <f t="shared" si="11"/>
        <v>0.73000000000000009</v>
      </c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100850.94800000003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SUM(T21:T24)</f>
        <v>2.12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H25*0.19</f>
        <v>19161.680120000008</v>
      </c>
      <c r="I26" s="308"/>
      <c r="J26" s="264"/>
      <c r="K26" s="47"/>
      <c r="L26" s="47"/>
      <c r="M26" s="39">
        <f>SUM(M24:M25)</f>
        <v>0</v>
      </c>
      <c r="N26" s="12"/>
      <c r="O26" s="12"/>
      <c r="P26" s="252">
        <f>SUM(P21:P23)</f>
        <v>1.6527000000000001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H26+H25</f>
        <v>120012.62812000004</v>
      </c>
      <c r="I27" s="308"/>
      <c r="J27" s="264"/>
      <c r="K27" s="47"/>
      <c r="L27" s="47"/>
      <c r="M27" s="39"/>
      <c r="N27" s="12"/>
      <c r="O27" s="12"/>
      <c r="P27" s="252">
        <f>P26</f>
        <v>1.6527000000000001</v>
      </c>
      <c r="Q27" s="14"/>
      <c r="R27" s="12"/>
      <c r="S27" s="239">
        <f>SUM(S21:S26)</f>
        <v>3.29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0.33054000000000006</v>
      </c>
      <c r="Q28" s="39" t="s">
        <v>129</v>
      </c>
      <c r="R28" s="42"/>
      <c r="S28" s="240">
        <f>S27+T25</f>
        <v>5.41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1.9832400000000001</v>
      </c>
      <c r="Q29" s="14"/>
      <c r="R29" s="14"/>
      <c r="S29" s="238">
        <f>S28*20%</f>
        <v>1.0820000000000001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6.492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1.9832400000000001</v>
      </c>
      <c r="N31" s="12">
        <v>3500</v>
      </c>
      <c r="O31" s="12">
        <f t="shared" ref="O31:O36" si="12">M31*N31</f>
        <v>6941.34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0.6</v>
      </c>
      <c r="N32" s="12">
        <v>23500</v>
      </c>
      <c r="O32" s="12">
        <f t="shared" si="12"/>
        <v>14100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12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12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12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3.2</v>
      </c>
      <c r="N36" s="12">
        <v>1500</v>
      </c>
      <c r="O36" s="12">
        <f t="shared" si="12"/>
        <v>4800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45841.34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100850.948</v>
      </c>
      <c r="P38" s="14" t="s">
        <v>138</v>
      </c>
      <c r="Q38" s="14"/>
      <c r="R38" s="40">
        <f>P29/R37</f>
        <v>0.53473899913718725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70970</v>
      </c>
      <c r="L39" s="249"/>
      <c r="M39" s="14"/>
      <c r="N39" s="12"/>
      <c r="O39" s="12">
        <f>O38/P27</f>
        <v>61021.932595147337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59638.655462184877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46058</v>
      </c>
    </row>
    <row r="6" spans="2:31" ht="16.2" thickBot="1" x14ac:dyDescent="0.35">
      <c r="B6" s="140" t="s">
        <v>2</v>
      </c>
      <c r="C6" s="139" t="str">
        <f>'2229'!C10</f>
        <v>MARIO ZAPATA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7" t="s">
        <v>98</v>
      </c>
      <c r="I7" s="448"/>
      <c r="J7" s="448"/>
      <c r="K7" s="449"/>
      <c r="N7" s="75"/>
      <c r="O7" s="44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2682.2521332125521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100850.94800000003</v>
      </c>
      <c r="E11" s="132">
        <f>D11*0.19</f>
        <v>19161.680120000008</v>
      </c>
      <c r="F11" s="131">
        <f>E11+D11</f>
        <v>120012.62812000004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108672.25213321255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70875.430787439604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90672.252133212547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29975.517212560429</v>
      </c>
      <c r="E13" s="221">
        <f>(D11/D12)-1</f>
        <v>0.42293241648800861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81672.252133212547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42672.252133212554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116944.46079927534</v>
      </c>
      <c r="F15" s="216">
        <f>E15-D12</f>
        <v>46069.030011835741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42672.252133212554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82672.252133212547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294</v>
      </c>
      <c r="D19" s="122">
        <f>'2229'!O34</f>
        <v>20000</v>
      </c>
      <c r="E19" s="123">
        <f>D19*0.19</f>
        <v>3800</v>
      </c>
      <c r="F19" s="120">
        <f>SUM(D19:E19)</f>
        <v>23800</v>
      </c>
      <c r="H19" s="192"/>
      <c r="I19" s="202"/>
      <c r="J19" s="184"/>
      <c r="K19" s="158"/>
      <c r="L19" s="61"/>
      <c r="Q19" s="16"/>
      <c r="R19" s="466"/>
      <c r="S19" s="467"/>
      <c r="T19" s="467"/>
      <c r="U19" s="468"/>
      <c r="V19" s="469"/>
      <c r="W19" s="469"/>
      <c r="X19" s="106"/>
    </row>
    <row r="20" spans="1:31" x14ac:dyDescent="0.3">
      <c r="C20" s="79" t="s">
        <v>31</v>
      </c>
      <c r="D20" s="122">
        <f>'2229'!O32</f>
        <v>14100</v>
      </c>
      <c r="E20" s="123">
        <f>D20*0.19</f>
        <v>2679</v>
      </c>
      <c r="F20" s="120">
        <f>SUM(D20:E20)</f>
        <v>16779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'2229'!O31</f>
        <v>6941.34</v>
      </c>
      <c r="E21" s="121">
        <f>D21*0.19</f>
        <v>1318.8546000000001</v>
      </c>
      <c r="F21" s="120">
        <f>SUM(D21:E21)</f>
        <v>8260.1946000000007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41041.339999999997</v>
      </c>
      <c r="E22" s="116">
        <f>SUM(E18:E21)</f>
        <v>7797.8546000000006</v>
      </c>
      <c r="F22" s="115">
        <f>SUM(F18:F21)</f>
        <v>48839.194600000003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11363.825520000008</v>
      </c>
    </row>
    <row r="42" spans="1:16" ht="15" thickBot="1" x14ac:dyDescent="0.35">
      <c r="H42" s="450" t="s">
        <v>60</v>
      </c>
      <c r="I42" s="451"/>
      <c r="J42" s="451"/>
      <c r="K42" s="451"/>
      <c r="L42" s="451"/>
      <c r="M42" s="452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100850.94800000003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41041.339999999997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29975.517212560429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29975.517212560429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MARIO ZAPATA</v>
      </c>
      <c r="D10" s="350"/>
      <c r="E10" s="350"/>
      <c r="F10" s="351" t="s">
        <v>167</v>
      </c>
      <c r="G10" s="352">
        <f>'2229'!G10</f>
        <v>46058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+569 4510 6187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3" t="s">
        <v>175</v>
      </c>
      <c r="G17" s="453"/>
      <c r="H17" s="45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5" t="s">
        <v>176</v>
      </c>
      <c r="C20" s="456"/>
      <c r="D20" s="456"/>
      <c r="E20" s="456"/>
      <c r="F20" s="456"/>
      <c r="G20" s="456"/>
      <c r="H20" s="457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90°</v>
      </c>
      <c r="D22" s="321">
        <f>'2229'!D21*1000</f>
        <v>1600</v>
      </c>
      <c r="E22" s="321">
        <f>'2229'!E21*1000</f>
        <v>530</v>
      </c>
      <c r="F22" s="322" t="str">
        <f>'2229'!F21</f>
        <v>NEW BLACK GRANITE BR</v>
      </c>
      <c r="G22" s="314">
        <f>'2229'!G21</f>
        <v>53363.680054456359</v>
      </c>
      <c r="H22" s="323">
        <f>G22*B22</f>
        <v>53363.680054456359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53363.680054456359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10139.099210346709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63502.779264803066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8" t="s">
        <v>182</v>
      </c>
      <c r="C2" s="458"/>
      <c r="D2" s="458"/>
      <c r="E2" s="361"/>
      <c r="G2" s="458" t="s">
        <v>183</v>
      </c>
      <c r="H2" s="458"/>
      <c r="I2" s="458"/>
      <c r="P2" s="459" t="s">
        <v>184</v>
      </c>
      <c r="Q2" s="459"/>
      <c r="R2" s="459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9" t="s">
        <v>184</v>
      </c>
      <c r="M8" s="459"/>
      <c r="N8" s="459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4" t="s">
        <v>265</v>
      </c>
      <c r="L3" s="464"/>
      <c r="M3" s="464" t="s">
        <v>266</v>
      </c>
      <c r="N3" s="464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MARIO ZAPATA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5" t="s">
        <v>265</v>
      </c>
      <c r="B10" s="465"/>
      <c r="C10" s="465"/>
      <c r="D10" s="465"/>
      <c r="E10" s="465"/>
      <c r="F10" s="465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5" t="s">
        <v>266</v>
      </c>
      <c r="B17" s="465"/>
      <c r="C17" s="465"/>
      <c r="D17" s="465"/>
      <c r="E17" s="465"/>
      <c r="F17" s="465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5" t="s">
        <v>272</v>
      </c>
      <c r="B45" s="465"/>
      <c r="C45" s="465"/>
      <c r="D45" s="465"/>
      <c r="E45" s="465"/>
      <c r="F45" s="46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0" t="s">
        <v>95</v>
      </c>
      <c r="C47" s="461"/>
      <c r="D47" s="462"/>
      <c r="E47" s="462"/>
      <c r="F47" s="463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11871</v>
      </c>
      <c r="C2" s="1">
        <f>'NOTA DE VENTA'!$G$10</f>
        <v>46058</v>
      </c>
      <c r="D2" s="1">
        <f>'NOTA DE VENTA'!$G$11</f>
        <v>46065</v>
      </c>
      <c r="E2" t="str">
        <f>'NOTA DE VENTA'!$C$10</f>
        <v>MARIO ZAPATA</v>
      </c>
      <c r="F2" t="str">
        <f>'NOTA DE VENTA'!$C$22</f>
        <v>CUB C/R 90°</v>
      </c>
      <c r="G2" t="str">
        <f>'NOTA DE VENTA'!$F$22</f>
        <v>NEW BLACK GRANITE BR</v>
      </c>
      <c r="H2" s="416">
        <f>'NOTA DE VENTA'!$H$25</f>
        <v>53363.680054456359</v>
      </c>
      <c r="I2" s="416">
        <f>H2*0.19</f>
        <v>10139.099210346709</v>
      </c>
      <c r="J2" s="416">
        <f>I2+H2</f>
        <v>63502.779264803066</v>
      </c>
      <c r="L2" s="61">
        <f>J2-K2</f>
        <v>63502.779264803066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2026-02-05T11:52:42Z</cp:lastPrinted>
  <dcterms:created xsi:type="dcterms:W3CDTF">2013-03-18T13:35:42Z</dcterms:created>
  <dcterms:modified xsi:type="dcterms:W3CDTF">2026-02-05T19:34:29Z</dcterms:modified>
</cp:coreProperties>
</file>