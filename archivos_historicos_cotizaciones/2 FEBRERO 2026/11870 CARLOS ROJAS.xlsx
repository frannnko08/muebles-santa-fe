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DC266886-D2BD-4601-A1F0-748654C6411A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F19" i="3" s="1"/>
  <c r="E19" i="3"/>
  <c r="H23" i="1"/>
  <c r="L21" i="1"/>
  <c r="N5" i="6"/>
  <c r="A2" i="7"/>
  <c r="M24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D21" i="3" l="1"/>
  <c r="E21" i="3" s="1"/>
  <c r="E22" i="3" s="1"/>
  <c r="O37" i="1" l="1"/>
  <c r="Q20" i="1" s="1"/>
  <c r="D22" i="3"/>
  <c r="M44" i="3" s="1"/>
  <c r="D12" i="3" s="1"/>
  <c r="F21" i="3"/>
  <c r="F22" i="3" s="1"/>
  <c r="O38" i="1" l="1"/>
  <c r="E15" i="3"/>
  <c r="Q21" i="1" l="1"/>
  <c r="F15" i="3"/>
  <c r="R21" i="1" l="1"/>
  <c r="H21" i="1" l="1"/>
  <c r="H24" i="1" s="1"/>
  <c r="G22" i="4" l="1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<sst xmlns="http://schemas.openxmlformats.org/spreadsheetml/2006/main" count="487" uniqueCount="295">
  <si>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</si>
  <si>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</si>
  <si>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</si>
  <si>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</si>
  <si>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</si>
  <si>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</si>
  <si>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</si>
  <si>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</si>
  <si>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</si>
  <si>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</si>
  <si>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</si>
  <si>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</si>
  <si>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</si>
  <si>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</si>
  <si>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</si>
  <si>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</si>
  <si>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</si>
  <si>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</si>
  <si>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</si>
  <si>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</si>
  <si>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</si>
  <si>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</si>
  <si>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</si>
  <si>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</si>
  <si>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</si>
  <si>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</si>
  <si>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</si>
  <si>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</si>
  <si>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</si>
  <si>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</si>
  <si>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</si>
  <si>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</si>
  <si>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</si>
  <si>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</si>
  <si>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</si>
  <si>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</si>
  <si>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</si>
  <si>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</si>
  <si>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</si>
  <si>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</si>
  <si>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</si>
  <si>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</si>
  <si>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</si>
  <si>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</si>
  <si>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</si>
  <si>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</si>
  <si>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</si>
  <si>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</si>
  <si>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</si>
  <si>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</si>
  <si>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</si>
  <si>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</si>
  <si>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</si>
  <si>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</si>
  <si>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</si>
  <si>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</si>
  <si>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</si>
  <si>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</si>
  <si>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</si>
  <si>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</si>
  <si>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</si>
  <si>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</si>
  <si>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</si>
  <si>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</si>
  <si>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</si>
  <si>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</si>
  <si>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</si>
  <si>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</si>
  <si>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</si>
  <si>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</si>
  <si>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</si>
  <si>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</si>
  <si>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</si>
  <si>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</si>
  <si>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</si>
  <si>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</si>
  <si>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</si>
  <si>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</si>
  <si>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</si>
  <si>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</si>
  <si>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</si>
  <si>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</si>
  <si>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</si>
  <si>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</si>
  <si>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</si>
  <si>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</si>
  <si>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</si>
  <si>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</si>
  <si>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</si>
  <si>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</si>
  <si>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</si>
  <si>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</si>
  <si>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</si>
  <si>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</si>
  <si>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</si>
  <si>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</si>
  <si>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</si>
  <si>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</si>
  <si>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</si>
  <si>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</si>
  <si>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</si>
  <si>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</si>
  <si>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</si>
  <si>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</si>
  <si>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</si>
  <si>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</si>
  <si>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</si>
  <si>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</si>
  <si>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</si>
  <si>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</si>
  <si>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</si>
  <si>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</si>
  <si>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</si>
  <si>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</si>
  <si>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</si>
  <si>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</si>
  <si>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</si>
  <si>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</si>
  <si>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</si>
  <si>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</si>
  <si>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</si>
  <si>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</si>
  <si>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</si>
  <si>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</si>
  <si>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</si>
  <si>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</si>
  <si>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</si>
  <si>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</si>
  <si>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</si>
  <si>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</si>
  <si>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</si>
  <si>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</si>
  <si>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</si>
  <si>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</si>
  <si>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</si>
  <si>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</si>
  <si>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</si>
  <si>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</si>
  <si>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</si>
  <si>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</si>
  <si>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</si>
  <si>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</si>
  <si>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</si>
  <si>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</si>
  <si>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</si>
  <si>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</si>
  <si>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</si>
  <si>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</si>
  <si>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</si>
  <si>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</si>
  <si>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</si>
  <si>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</si>
  <si>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</si>
  <si>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</si>
  <si>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</si>
  <si>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</si>
  <si>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</si>
  <si>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</si>
  <si>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</si>
  <si>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</si>
  <si>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</si>
  <si>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</si>
  <si>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</si>
  <si>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</si>
  <si>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</si>
  <si>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</si>
  <si>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</si>
  <si>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</si>
  <si>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</si>
  <si>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</si>
  <si>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</si>
  <si>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</si>
  <si>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</si>
  <si>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</si>
  <si>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</si>
  <si>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</si>
  <si>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</si>
  <si>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</si>
  <si>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</si>
  <si>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</si>
  <si>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</si>
  <si>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</si>
  <si>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</si>
  <si>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</si>
  <si>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</si>
  <si>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</si>
  <si>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</si>
  <si>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</si>
  <si>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</si>
  <si>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</si>
  <si>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</si>
  <si>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</si>
  <si>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</si>
  <si>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</si>
  <si>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</si>
  <si>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</si>
  <si>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</si>
  <si>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</si>
  <si>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</si>
  <si>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</si>
  <si>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</si>
  <si>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</si>
  <si>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</si>
  <si>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</si>
  <si>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</si>
  <si>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</si>
  <si>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</si>
  <si>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</si>
  <si>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</si>
  <si>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</si>
  <si>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</si>
  <si>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</si>
  <si>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</si>
  <si>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</si>
  <si>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</si>
  <si>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</si>
  <si>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</si>
  <si>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</si>
  <si>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</si>
  <si>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</si>
  <si>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</si>
  <si>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</si>
  <si>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</si>
  <si>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</si>
  <si>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</si>
  <si>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</si>
  <si>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</si>
  <si>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</si>
  <si>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</si>
  <si>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</si>
  <si>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</si>
  <si>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</si>
  <si>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</si>
  <si>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</si>
  <si>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</si>
  <si>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</si>
  <si>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</si>
  <si>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</si>
  <si>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</si>
  <si>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</si>
  <si>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</si>
  <si>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</si>
  <si>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</si>
  <si>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</si>
  <si>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</si>
  <si>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</si>
  <si>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</si>
  <si>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</si>
  <si>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</si>
  <si>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</si>
  <si>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</si>
  <si>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</si>
  <si>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</si>
  <si>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</si>
  <si>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</si>
  <si>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</si>
  <si>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</si>
  <si>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</si>
  <si>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</si>
  <si>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</si>
  <si>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</si>
  <si>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</si>
  <si>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</si>
  <si>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</si>
  <si>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</si>
  <si>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</si>
  <si>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</si>
  <si>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</si>
  <si>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</si>
  <si>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</si>
  <si>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</si>
  <si>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</si>
  <si>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</si>
  <si>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</si>
  <si>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</si>
  <si>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</si>
  <si>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</si>
  <si>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</si>
  <si>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</si>
  <si>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</si>
  <si>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</si>
  <si>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</si>
  <si>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</si>
  <si>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</si>
  <si>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</si>
  <si>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</si>
  <si>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</si>
  <si>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</si>
  <si>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</si>
  <si>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SHELL WHITE BR</t>
  </si>
  <si>
    <t>CUB C/R 180°</t>
  </si>
  <si>
    <t>CARLOS ROJAS</t>
  </si>
  <si>
    <t>+569 6833 9286</t>
  </si>
  <si>
    <t>N° 11870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</si>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</sst>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opLeftCell="A5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46057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64047.017543859649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290</v>
      </c>
      <c r="D21" s="431">
        <v>0.9</v>
      </c>
      <c r="E21" s="431">
        <v>0.6</v>
      </c>
      <c r="F21" s="430" t="s">
        <v>289</v>
      </c>
      <c r="G21" s="432">
        <v>32773</v>
      </c>
      <c r="H21" s="432">
        <f>G21*B21</f>
        <v>32773</v>
      </c>
      <c r="I21" s="306"/>
      <c r="J21" s="264"/>
      <c r="K21" s="47"/>
      <c r="L21" s="47">
        <f>B21</f>
        <v>1</v>
      </c>
      <c r="M21" s="39">
        <f>D21+M$19</f>
        <v>0.95000000000000007</v>
      </c>
      <c r="N21" s="39">
        <f>E21+$N$19</f>
        <v>0.6</v>
      </c>
      <c r="O21" s="260">
        <f t="shared" ref="O21" si="0">M21*N21</f>
        <v>0.57000000000000006</v>
      </c>
      <c r="P21" s="258">
        <f t="shared" ref="P21" si="1">O21*L21</f>
        <v>0.57000000000000006</v>
      </c>
      <c r="Q21" s="251">
        <f t="shared" ref="Q21" si="2">Q$20*O21</f>
        <v>36506.800000000003</v>
      </c>
      <c r="R21" s="305">
        <f t="shared" ref="R21" si="3">Q21+R$20</f>
        <v>39506.800000000003</v>
      </c>
      <c r="S21" s="290">
        <f>M21*L21</f>
        <v>0.95000000000000007</v>
      </c>
      <c r="T21" s="46">
        <f>N21*2*L21*2</f>
        <v>2.4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H25/1.19</f>
        <v>32773.10924369748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2.4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H23*0.19</f>
        <v>6226.8907563025214</v>
      </c>
      <c r="I24" s="308"/>
      <c r="J24" s="264"/>
      <c r="K24" s="47"/>
      <c r="L24" s="47"/>
      <c r="M24" s="39">
        <f>SUM(M22:M23)</f>
        <v>0</v>
      </c>
      <c r="N24" s="12"/>
      <c r="O24" s="12"/>
      <c r="P24" s="252">
        <f>SUM(P21:P21)</f>
        <v>0.57000000000000006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v>39000</v>
      </c>
      <c r="I25" s="308"/>
      <c r="J25" s="264"/>
      <c r="K25" s="47"/>
      <c r="L25" s="47"/>
      <c r="M25" s="39"/>
      <c r="N25" s="12"/>
      <c r="O25" s="12"/>
      <c r="P25" s="252">
        <f>P24</f>
        <v>0.57000000000000006</v>
      </c>
      <c r="Q25" s="14"/>
      <c r="R25" s="12"/>
      <c r="S25" s="239">
        <f>SUM(S21:S24)</f>
        <v>0.95000000000000007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0.11400000000000002</v>
      </c>
      <c r="Q26" s="39" t="s">
        <v>129</v>
      </c>
      <c r="R26" s="42"/>
      <c r="S26" s="240">
        <f>S25+T23</f>
        <v>3.35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0.68400000000000005</v>
      </c>
      <c r="Q27" s="14"/>
      <c r="R27" s="14"/>
      <c r="S27" s="238">
        <f>S26*20%</f>
        <v>0.67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4.0200000000000005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0.68400000000000005</v>
      </c>
      <c r="N29" s="12">
        <v>3500</v>
      </c>
      <c r="O29" s="12">
        <f t="shared" ref="O29:O34" si="4">M29*N29</f>
        <v>2394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0.2</v>
      </c>
      <c r="N30" s="12">
        <v>23500</v>
      </c>
      <c r="O30" s="12">
        <f t="shared" si="4"/>
        <v>4700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8000</v>
      </c>
      <c r="O32" s="12">
        <f t="shared" si="4"/>
        <v>8000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</v>
      </c>
      <c r="N34" s="12">
        <v>1500</v>
      </c>
      <c r="O34" s="12">
        <f t="shared" si="4"/>
        <v>1500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16594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36506.800000000003</v>
      </c>
      <c r="P36" s="14" t="s">
        <v>138</v>
      </c>
      <c r="Q36" s="14"/>
      <c r="R36" s="40">
        <f>P27/R35</f>
        <v>0.18442622950819673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64047.017543859649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6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46057</v>
      </c>
    </row>
    <row r="6" spans="2:31" ht="16.2" thickBot="1" x14ac:dyDescent="0.35">
      <c r="B6" s="140" t="s">
        <v>2</v>
      </c>
      <c r="C6" s="139" t="str">
        <f>'2229'!C10</f>
        <v>CARLOS ROJAS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6893.0400925963122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32773.10924369748</v>
      </c>
      <c r="E11" s="132">
        <f>D11*0.19</f>
        <v>6226.8907563025214</v>
      </c>
      <c r="F11" s="131">
        <f>E11+D11</f>
        <v>39000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112883.04009259632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44928.090787439614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94883.040092596319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-12154.981543742135</v>
      </c>
      <c r="E13" s="221">
        <f>(D11/D12)-1</f>
        <v>-0.27054302399024399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85883.040092596319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46883.040092596311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74131.349799275355</v>
      </c>
      <c r="F15" s="216">
        <f>E15-D12</f>
        <v>29203.25901183574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46883.040092596311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86883.040092596319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294</v>
      </c>
      <c r="D19" s="122">
        <f>'2229'!O32</f>
        <v>8000</v>
      </c>
      <c r="E19" s="123">
        <f>D19*0.19</f>
        <v>1520</v>
      </c>
      <c r="F19" s="120">
        <f>SUM(D19:E19)</f>
        <v>9520</v>
      </c>
      <c r="H19" s="192"/>
      <c r="I19" s="202"/>
      <c r="J19" s="184"/>
      <c r="K19" s="158"/>
      <c r="L19" s="61"/>
      <c r="Q19" s="16"/>
      <c r="R19" s="457"/>
      <c r="S19" s="458"/>
      <c r="T19" s="458"/>
      <c r="U19" s="459"/>
      <c r="V19" s="460"/>
      <c r="W19" s="460"/>
      <c r="X19" s="106"/>
    </row>
    <row r="20" spans="1:31" x14ac:dyDescent="0.3">
      <c r="C20" s="79" t="s">
        <v>31</v>
      </c>
      <c r="D20" s="122">
        <f>'2229'!O30</f>
        <v>4700</v>
      </c>
      <c r="E20" s="123">
        <f>D20*0.19</f>
        <v>893</v>
      </c>
      <c r="F20" s="120">
        <f>SUM(D20:E20)</f>
        <v>5593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'2229'!O29</f>
        <v>2394</v>
      </c>
      <c r="E21" s="121">
        <f>D21*0.19</f>
        <v>454.86</v>
      </c>
      <c r="F21" s="120">
        <f>SUM(D21:E21)</f>
        <v>2848.86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15094</v>
      </c>
      <c r="E22" s="116">
        <f>SUM(E18:E21)</f>
        <v>2867.86</v>
      </c>
      <c r="F22" s="115">
        <f>SUM(F18:F21)</f>
        <v>17961.86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3359.0307563025212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32773.10924369748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15094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-12154.981543742135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-12154.981543742135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ROJAS</v>
      </c>
      <c r="D10" s="350"/>
      <c r="E10" s="350"/>
      <c r="F10" s="351" t="s">
        <v>167</v>
      </c>
      <c r="G10" s="352">
        <f>'2229'!G10</f>
        <v>46057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+569 6833 9286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180°</v>
      </c>
      <c r="D22" s="321">
        <f>'2229'!D21*1000</f>
        <v>900</v>
      </c>
      <c r="E22" s="321">
        <f>'2229'!E21*1000</f>
        <v>600</v>
      </c>
      <c r="F22" s="322" t="str">
        <f>'2229'!F21</f>
        <v>SHELL WHITE BR</v>
      </c>
      <c r="G22" s="314">
        <f>'2229'!G21</f>
        <v>32773</v>
      </c>
      <c r="H22" s="323">
        <f>G22*B22</f>
        <v>32773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32773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6226.87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38999.870000000003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ROJAS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11870</v>
      </c>
      <c r="C2" s="1">
        <f>'NOTA DE VENTA'!$G$10</f>
        <v>46057</v>
      </c>
      <c r="D2" s="1">
        <f>'NOTA DE VENTA'!$G$11</f>
        <v>46064</v>
      </c>
      <c r="E2" t="str">
        <f>'NOTA DE VENTA'!$C$10</f>
        <v>CARLOS ROJAS</v>
      </c>
      <c r="F2" t="str">
        <f>'NOTA DE VENTA'!$C$22</f>
        <v>CUB C/R 180°</v>
      </c>
      <c r="G2" t="str">
        <f>'NOTA DE VENTA'!$F$22</f>
        <v>SHELL WHITE BR</v>
      </c>
      <c r="H2" s="416">
        <f>'NOTA DE VENTA'!$H$25</f>
        <v>32773</v>
      </c>
      <c r="I2" s="416">
        <f>H2*0.19</f>
        <v>6226.87</v>
      </c>
      <c r="J2" s="416">
        <f>I2+H2</f>
        <v>38999.870000000003</v>
      </c>
      <c r="L2" s="61">
        <f>J2-K2</f>
        <v>38999.870000000003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2026-02-03T18:32:27Z</cp:lastPrinted>
  <dcterms:created xsi:type="dcterms:W3CDTF">2013-03-18T13:35:42Z</dcterms:created>
  <dcterms:modified xsi:type="dcterms:W3CDTF">2026-02-05T19:35:35Z</dcterms:modified>
</cp:coreProperties>
</file>