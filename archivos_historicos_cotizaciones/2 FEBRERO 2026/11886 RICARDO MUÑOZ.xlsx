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4221855B-48BF-4E9B-B205-749AFD8779BA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5" i="1" l="1"/>
  <c r="S26" i="1"/>
  <c r="T24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<sst xmlns="http://schemas.openxmlformats.org/spreadsheetml/2006/main" count="486" uniqueCount="294">
  <si>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</si>
  <si>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</si>
  <si>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</si>
  <si>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</si>
  <si>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</si>
  <si>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</si>
  <si>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</si>
  <si>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</si>
  <si>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</si>
  <si>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</si>
  <si>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</si>
  <si>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</si>
  <si>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</si>
  <si>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</si>
  <si>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</si>
  <si>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</si>
  <si>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</si>
  <si>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</si>
  <si>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</si>
  <si>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</si>
  <si>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</si>
  <si>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</si>
  <si>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</si>
  <si>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</si>
  <si>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</si>
  <si>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</si>
  <si>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</si>
  <si>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</si>
  <si>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</si>
  <si>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</si>
  <si>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</si>
  <si>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</si>
  <si>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</si>
  <si>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</si>
  <si>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</si>
  <si>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</si>
  <si>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</si>
  <si>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</si>
  <si>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</si>
  <si>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</si>
  <si>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</si>
  <si>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</si>
  <si>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</si>
  <si>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</si>
  <si>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</si>
  <si>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</si>
  <si>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</si>
  <si>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</si>
  <si>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</si>
  <si>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</si>
  <si>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</si>
  <si>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</si>
  <si>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</si>
  <si>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</si>
  <si>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</si>
  <si>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</si>
  <si>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</si>
  <si>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</si>
  <si>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</si>
  <si>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</si>
  <si>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</si>
  <si>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</si>
  <si>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</si>
  <si>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</si>
  <si>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</si>
  <si>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</si>
  <si>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</si>
  <si>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</si>
  <si>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</si>
  <si>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</si>
  <si>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</si>
  <si>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</si>
  <si>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</si>
  <si>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</si>
  <si>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</si>
  <si>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</si>
  <si>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</si>
  <si>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</si>
  <si>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</si>
  <si>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</si>
  <si>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</si>
  <si>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</si>
  <si>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</si>
  <si>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</si>
  <si>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</si>
  <si>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</si>
  <si>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</si>
  <si>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</si>
  <si>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</si>
  <si>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</si>
  <si>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</si>
  <si>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</si>
  <si>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</si>
  <si>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</si>
  <si>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</si>
  <si>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</si>
  <si>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</si>
  <si>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</si>
  <si>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</si>
  <si>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</si>
  <si>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</si>
  <si>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</si>
  <si>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</si>
  <si>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</si>
  <si>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</si>
  <si>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</si>
  <si>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</si>
  <si>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</si>
  <si>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</si>
  <si>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</si>
  <si>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</si>
  <si>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</si>
  <si>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</si>
  <si>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</si>
  <si>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</si>
  <si>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</si>
  <si>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</si>
  <si>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</si>
  <si>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</si>
  <si>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</si>
  <si>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</si>
  <si>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</si>
  <si>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</si>
  <si>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</si>
  <si>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</si>
  <si>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</si>
  <si>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</si>
  <si>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</si>
  <si>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</si>
  <si>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</si>
  <si>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</si>
  <si>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</si>
  <si>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</si>
  <si>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</si>
  <si>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</si>
  <si>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</si>
  <si>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</si>
  <si>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</si>
  <si>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</si>
  <si>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</si>
  <si>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</si>
  <si>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</si>
  <si>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</si>
  <si>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</si>
  <si>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</si>
  <si>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</si>
  <si>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</si>
  <si>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</si>
  <si>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</si>
  <si>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</si>
  <si>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</si>
  <si>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</si>
  <si>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</si>
  <si>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</si>
  <si>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</si>
  <si>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</si>
  <si>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</si>
  <si>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</si>
  <si>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</si>
  <si>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</si>
  <si>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</si>
  <si>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</si>
  <si>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</si>
  <si>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</si>
  <si>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</si>
  <si>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</si>
  <si>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</si>
  <si>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</si>
  <si>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</si>
  <si>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</si>
  <si>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</si>
  <si>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</si>
  <si>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</si>
  <si>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</si>
  <si>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</si>
  <si>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</si>
  <si>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</si>
  <si>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</si>
  <si>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</si>
  <si>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</si>
  <si>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</si>
  <si>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</si>
  <si>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</si>
  <si>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</si>
  <si>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</si>
  <si>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</si>
  <si>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</si>
  <si>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</si>
  <si>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</si>
  <si>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</si>
  <si>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</si>
  <si>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</si>
  <si>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</si>
  <si>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</si>
  <si>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</si>
  <si>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</si>
  <si>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</si>
  <si>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</si>
  <si>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</si>
  <si>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</si>
  <si>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</si>
  <si>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</si>
  <si>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</si>
  <si>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</si>
  <si>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</si>
  <si>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</si>
  <si>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</si>
  <si>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</si>
  <si>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</si>
  <si>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</si>
  <si>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</si>
  <si>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</si>
  <si>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</si>
  <si>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</si>
  <si>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</si>
  <si>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</si>
  <si>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</si>
  <si>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</si>
  <si>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</si>
  <si>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</si>
  <si>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</si>
  <si>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</si>
  <si>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</si>
  <si>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</si>
  <si>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</si>
  <si>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</si>
  <si>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</si>
  <si>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</si>
  <si>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</si>
  <si>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</si>
  <si>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</si>
  <si>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</si>
  <si>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</si>
  <si>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</si>
  <si>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</si>
  <si>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</si>
  <si>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</si>
  <si>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</si>
  <si>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</si>
  <si>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</si>
  <si>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</si>
  <si>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</si>
  <si>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</si>
  <si>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</si>
  <si>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</si>
  <si>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</si>
  <si>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</si>
  <si>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</si>
  <si>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</si>
  <si>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</si>
  <si>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</si>
  <si>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</si>
  <si>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</si>
  <si>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</si>
  <si>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</si>
  <si>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</si>
  <si>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</si>
  <si>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</si>
  <si>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</si>
  <si>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</si>
  <si>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</si>
  <si>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</si>
  <si>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</si>
  <si>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</si>
  <si>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</si>
  <si>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</si>
  <si>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</si>
  <si>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</si>
  <si>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</si>
  <si>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</si>
  <si>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</si>
  <si>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</si>
  <si>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</si>
  <si>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</si>
  <si>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</si>
  <si>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</si>
  <si>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</si>
  <si>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</si>
  <si>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</si>
  <si>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</si>
  <si>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</si>
  <si>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</si>
  <si>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</si>
  <si>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</si>
  <si>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</si>
  <si>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</si>
  <si>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</si>
  <si>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</si>
  <si>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</si>
  <si>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+569 7796 8431</t>
  </si>
  <si>
    <t>RICARDO MUÑOZ</t>
  </si>
  <si>
    <t>N° 11886</t>
  </si>
  <si>
    <t>CUB CON RESPALDO FTE 90°</t>
  </si>
  <si>
    <t>GRANITO CINZA PP 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</si>
</sst>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9" zoomScale="93" zoomScaleNormal="93" workbookViewId="0">
      <selection activeCell="B21" sqref="B21:H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290</v>
      </c>
      <c r="D10" s="243"/>
      <c r="E10" s="243"/>
      <c r="F10" s="418" t="s">
        <v>277</v>
      </c>
      <c r="G10" s="275">
        <v>46065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289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72944.066634002927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54">
        <v>1</v>
      </c>
      <c r="C21" s="455" t="s">
        <v>292</v>
      </c>
      <c r="D21" s="456">
        <v>3.06</v>
      </c>
      <c r="E21" s="456">
        <v>0.6</v>
      </c>
      <c r="F21" s="457" t="s">
        <v>293</v>
      </c>
      <c r="G21" s="458">
        <f>Q21</f>
        <v>148878.84</v>
      </c>
      <c r="H21" s="459">
        <f>G21*B21</f>
        <v>148878.84</v>
      </c>
      <c r="I21" s="306"/>
      <c r="J21" s="264"/>
      <c r="K21" s="47"/>
      <c r="L21" s="47">
        <f>B21</f>
        <v>1</v>
      </c>
      <c r="M21" s="39">
        <f>D21+M$19</f>
        <v>3.14</v>
      </c>
      <c r="N21" s="39">
        <f>E21+$N$19</f>
        <v>0.65</v>
      </c>
      <c r="O21" s="260">
        <f t="shared" ref="O21" si="0">M21*N21</f>
        <v>2.0410000000000004</v>
      </c>
      <c r="P21" s="258">
        <f t="shared" ref="P21" si="1">O21*L21</f>
        <v>2.0410000000000004</v>
      </c>
      <c r="Q21" s="251">
        <f t="shared" ref="Q21" si="2">Q$20*O21</f>
        <v>148878.84</v>
      </c>
      <c r="R21" s="305">
        <f t="shared" ref="R21" si="3">Q21+R$20</f>
        <v>151878.84</v>
      </c>
      <c r="S21" s="290">
        <f>M21*L21*2</f>
        <v>6.28</v>
      </c>
      <c r="T21" s="46">
        <f>N21*2*L21*2</f>
        <v>2.6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148878.84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2.6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28286.979599999999</v>
      </c>
      <c r="I25" s="308"/>
      <c r="J25" s="264"/>
      <c r="K25" s="47"/>
      <c r="L25" s="47"/>
      <c r="M25" s="39">
        <f>SUM(M21:M24)</f>
        <v>3.14</v>
      </c>
      <c r="N25" s="12"/>
      <c r="O25" s="12"/>
      <c r="P25" s="252">
        <f>SUM(P21:P22)</f>
        <v>2.0410000000000004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177165.81959999999</v>
      </c>
      <c r="I26" s="308"/>
      <c r="J26" s="264"/>
      <c r="K26" s="47"/>
      <c r="L26" s="47"/>
      <c r="M26" s="39"/>
      <c r="N26" s="12"/>
      <c r="O26" s="12"/>
      <c r="P26" s="252">
        <f>P25</f>
        <v>2.0410000000000004</v>
      </c>
      <c r="Q26" s="14"/>
      <c r="R26" s="12"/>
      <c r="S26" s="239">
        <f>SUM(S21:S25)</f>
        <v>6.28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0.40820000000000012</v>
      </c>
      <c r="Q27" s="39" t="s">
        <v>129</v>
      </c>
      <c r="R27" s="42"/>
      <c r="S27" s="240">
        <f>S26+T24</f>
        <v>8.8800000000000008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2.4492000000000003</v>
      </c>
      <c r="Q28" s="14"/>
      <c r="R28" s="14"/>
      <c r="S28" s="238">
        <f>S27*20%</f>
        <v>1.7760000000000002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10.656000000000001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2.4492000000000003</v>
      </c>
      <c r="N30" s="12">
        <v>3500</v>
      </c>
      <c r="O30" s="12">
        <f t="shared" ref="O30:O35" si="4">M30*N30</f>
        <v>8572.2000000000007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0.7</v>
      </c>
      <c r="N31" s="12">
        <v>23500</v>
      </c>
      <c r="O31" s="12">
        <f t="shared" si="4"/>
        <v>16450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38000</v>
      </c>
      <c r="O33" s="12">
        <f t="shared" si="4"/>
        <v>38000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3.1</v>
      </c>
      <c r="N35" s="12">
        <v>1500</v>
      </c>
      <c r="O35" s="12">
        <f t="shared" si="4"/>
        <v>4650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67672.2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148878.84</v>
      </c>
      <c r="P37" s="14" t="s">
        <v>138</v>
      </c>
      <c r="Q37" s="14"/>
      <c r="R37" s="40">
        <f>P28/R36</f>
        <v>0.66037532355478867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72944.066634002927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46065</v>
      </c>
    </row>
    <row r="6" spans="2:31" ht="16.2" thickBot="1" x14ac:dyDescent="0.35">
      <c r="B6" s="140" t="s">
        <v>2</v>
      </c>
      <c r="C6" s="139" t="str">
        <f>'2229'!C10</f>
        <v>RICARDO MUÑOZ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-9727.6600334541054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148878.84</v>
      </c>
      <c r="E11" s="132">
        <f>D11*0.19</f>
        <v>28286.979599999999</v>
      </c>
      <c r="F11" s="131">
        <f>E11+D11</f>
        <v>177165.81959999999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96262.3399665459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54856.290787439619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78262.3399665459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94022.549212560378</v>
      </c>
      <c r="E13" s="221">
        <f>(D11/D12)-1</f>
        <v>1.7139793424401311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69262.3399665459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30262.339966545893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90512.879799275368</v>
      </c>
      <c r="F15" s="216">
        <f>E15-D12</f>
        <v>35656.589011835749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30262.339966545893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70262.3399665459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8572.2000000000007</v>
      </c>
      <c r="E20" s="121">
        <f>D20*0.19</f>
        <v>1628.7180000000001</v>
      </c>
      <c r="F20" s="120">
        <f>SUM(D20:E20)</f>
        <v>10200.918000000001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25022.2</v>
      </c>
      <c r="E21" s="116">
        <f>SUM(E18:E20)</f>
        <v>4754.2179999999998</v>
      </c>
      <c r="F21" s="115">
        <f>SUM(F18:F20)</f>
        <v>29776.418000000001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23532.761599999998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148878.84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25022.2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94022.549212560378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94022.549212560378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RICARDO MUÑOZ</v>
      </c>
      <c r="D10" s="350"/>
      <c r="E10" s="350"/>
      <c r="F10" s="351" t="s">
        <v>167</v>
      </c>
      <c r="G10" s="352">
        <f>'2229'!G10</f>
        <v>46065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+569 7796 8431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3060</v>
      </c>
      <c r="E22" s="321">
        <f>'2229'!E21*1000</f>
        <v>600</v>
      </c>
      <c r="F22" s="322" t="str">
        <f>'2229'!F21</f>
        <v>GRANITO CINZA PP 383</v>
      </c>
      <c r="G22" s="314">
        <f>'2229'!G21</f>
        <v>148878.84</v>
      </c>
      <c r="H22" s="323">
        <f>G22*B22</f>
        <v>148878.84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148878.84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28286.979599999999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177165.81959999999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1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RICARDO MUÑOZ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46065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46072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11886</v>
      </c>
      <c r="C2" s="1">
        <f>'NOTA DE VENTA'!$G$10</f>
        <v>46065</v>
      </c>
      <c r="D2" s="1">
        <f>'NOTA DE VENTA'!$G$11</f>
        <v>46072</v>
      </c>
      <c r="E2" t="str">
        <f>'NOTA DE VENTA'!$C$10</f>
        <v>RICARDO MUÑOZ</v>
      </c>
      <c r="F2" t="str">
        <f>'NOTA DE VENTA'!$C$22</f>
        <v>CUB CON RESPALDO FTE 90°</v>
      </c>
      <c r="G2" t="str">
        <f>'NOTA DE VENTA'!$F$22</f>
        <v>GRANITO CINZA PP 383</v>
      </c>
      <c r="H2" s="416">
        <f>'NOTA DE VENTA'!$H$25</f>
        <v>148878.84</v>
      </c>
      <c r="I2" s="416">
        <f>H2*0.19</f>
        <v>28286.979599999999</v>
      </c>
      <c r="J2" s="416">
        <f>I2+H2</f>
        <v>177165.81959999999</v>
      </c>
      <c r="L2" s="61">
        <f>J2-K2</f>
        <v>177165.81959999999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2026-02-12T14:43:31Z</cp:lastPrinted>
  <dcterms:created xsi:type="dcterms:W3CDTF">2013-03-18T13:35:42Z</dcterms:created>
  <dcterms:modified xsi:type="dcterms:W3CDTF">2026-02-12T15:27:18Z</dcterms:modified>
</cp:coreProperties>
</file>