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C80A5722-5312-4E01-BED0-EE3BA046F6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S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2" i="1" s="1"/>
  <c r="D21" i="3"/>
  <c r="M43" i="3" s="1"/>
  <c r="D12" i="3" s="1"/>
  <c r="F20" i="3"/>
  <c r="F21" i="3" s="1"/>
  <c r="R22" i="1" l="1"/>
  <c r="G22" i="1"/>
  <c r="H22" i="1" s="1"/>
  <c r="O41" i="1"/>
  <c r="E15" i="3"/>
  <c r="Q21" i="1" l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<sst xmlns="http://schemas.openxmlformats.org/spreadsheetml/2006/main" count="489" uniqueCount="296">
  <si>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</si>
  <si>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</si>
  <si>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</si>
  <si>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</si>
  <si>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</si>
  <si>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</si>
  <si>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</si>
  <si>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</si>
  <si>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</si>
  <si>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</si>
  <si>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</si>
  <si>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</si>
  <si>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</si>
  <si>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</si>
  <si>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</si>
  <si>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</si>
  <si>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</si>
  <si>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</si>
  <si>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</si>
  <si>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</si>
  <si>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</si>
  <si>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</si>
  <si>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</si>
  <si>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</si>
  <si>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</si>
  <si>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</si>
  <si>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</si>
  <si>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</si>
  <si>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</si>
  <si>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</si>
  <si>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</si>
  <si>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</si>
  <si>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</si>
  <si>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</si>
  <si>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</si>
  <si>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</si>
  <si>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</si>
  <si>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</si>
  <si>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</si>
  <si>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</si>
  <si>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</si>
  <si>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</si>
  <si>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</si>
  <si>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</si>
  <si>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</si>
  <si>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</si>
  <si>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</si>
  <si>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</si>
  <si>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</si>
  <si>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</si>
  <si>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</si>
  <si>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</si>
  <si>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</si>
  <si>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</si>
  <si>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</si>
  <si>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</si>
  <si>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</si>
  <si>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</si>
  <si>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</si>
  <si>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</si>
  <si>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</si>
  <si>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</si>
  <si>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</si>
  <si>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</si>
  <si>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</si>
  <si>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</si>
  <si>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</si>
  <si>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</si>
  <si>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</si>
  <si>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</si>
  <si>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</si>
  <si>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</si>
  <si>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</si>
  <si>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</si>
  <si>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</si>
  <si>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</si>
  <si>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</si>
  <si>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</si>
  <si>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</si>
  <si>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</si>
  <si>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</si>
  <si>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</si>
  <si>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</si>
  <si>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</si>
  <si>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</si>
  <si>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</si>
  <si>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</si>
  <si>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</si>
  <si>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</si>
  <si>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</si>
  <si>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</si>
  <si>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</si>
  <si>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</si>
  <si>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</si>
  <si>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</si>
  <si>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</si>
  <si>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</si>
  <si>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</si>
  <si>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</si>
  <si>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</si>
  <si>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</si>
  <si>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</si>
  <si>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</si>
  <si>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</si>
  <si>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</si>
  <si>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</si>
  <si>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</si>
  <si>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</si>
  <si>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</si>
  <si>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</si>
  <si>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</si>
  <si>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</si>
  <si>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</si>
  <si>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</si>
  <si>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</si>
  <si>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</si>
  <si>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</si>
  <si>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</si>
  <si>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</si>
  <si>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</si>
  <si>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</si>
  <si>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</si>
  <si>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</si>
  <si>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</si>
  <si>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</si>
  <si>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</si>
  <si>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</si>
  <si>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</si>
  <si>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</si>
  <si>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</si>
  <si>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</si>
  <si>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</si>
  <si>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</si>
  <si>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</si>
  <si>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</si>
  <si>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</si>
  <si>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</si>
  <si>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</si>
  <si>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</si>
  <si>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</si>
  <si>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</si>
  <si>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</si>
  <si>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</si>
  <si>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</si>
  <si>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</si>
  <si>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</si>
  <si>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</si>
  <si>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</si>
  <si>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</si>
  <si>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</si>
  <si>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</si>
  <si>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</si>
  <si>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</si>
  <si>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</si>
  <si>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</si>
  <si>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</si>
  <si>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</si>
  <si>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</si>
  <si>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</si>
  <si>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</si>
  <si>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</si>
  <si>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</si>
  <si>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</si>
  <si>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</si>
  <si>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</si>
  <si>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</si>
  <si>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</si>
  <si>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</si>
  <si>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</si>
  <si>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</si>
  <si>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</si>
  <si>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</si>
  <si>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</si>
  <si>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</si>
  <si>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</si>
  <si>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</si>
  <si>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</si>
  <si>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</si>
  <si>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</si>
  <si>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</si>
  <si>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</si>
  <si>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</si>
  <si>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</si>
  <si>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</si>
  <si>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</si>
  <si>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</si>
  <si>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</si>
  <si>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</si>
  <si>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</si>
  <si>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</si>
  <si>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</si>
  <si>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</si>
  <si>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</si>
  <si>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</si>
  <si>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</si>
  <si>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</si>
  <si>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</si>
  <si>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</si>
  <si>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</si>
  <si>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</si>
  <si>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</si>
  <si>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</si>
  <si>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</si>
  <si>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</si>
  <si>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</si>
  <si>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</si>
  <si>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</si>
  <si>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</si>
  <si>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</si>
  <si>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</si>
  <si>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</si>
  <si>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</si>
  <si>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</si>
  <si>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</si>
  <si>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</si>
  <si>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</si>
  <si>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</si>
  <si>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</si>
  <si>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</si>
  <si>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</si>
  <si>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</si>
  <si>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</si>
  <si>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</si>
  <si>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</si>
  <si>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</si>
  <si>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</si>
  <si>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</si>
  <si>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</si>
  <si>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</si>
  <si>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</si>
  <si>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</si>
  <si>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</si>
  <si>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</si>
  <si>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</si>
  <si>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</si>
  <si>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</si>
  <si>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</si>
  <si>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</si>
  <si>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</si>
  <si>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</si>
  <si>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</si>
  <si>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</si>
  <si>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</si>
  <si>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</si>
  <si>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</si>
  <si>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</si>
  <si>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</si>
  <si>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</si>
  <si>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</si>
  <si>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</si>
  <si>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</si>
  <si>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</si>
  <si>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</si>
  <si>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</si>
  <si>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</si>
  <si>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</si>
  <si>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</si>
  <si>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</si>
  <si>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</si>
  <si>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</si>
  <si>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</si>
  <si>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</si>
  <si>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</si>
  <si>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</si>
  <si>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</si>
  <si>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</si>
  <si>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</si>
  <si>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</si>
  <si>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</si>
  <si>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</si>
  <si>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</si>
  <si>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</si>
  <si>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</si>
  <si>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</si>
  <si>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</si>
  <si>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</si>
  <si>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</si>
  <si>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</si>
  <si>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</si>
  <si>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</si>
  <si>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</si>
  <si>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</si>
  <si>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</si>
  <si>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</si>
  <si>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</si>
  <si>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</si>
  <si>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</si>
  <si>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</si>
  <si>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</si>
  <si>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5 DIAS HABILES</t>
  </si>
  <si>
    <t>CUB CON RESPALDO FTE 90°</t>
  </si>
  <si>
    <t>NIBALDO</t>
  </si>
  <si>
    <t>+569 8958 4423</t>
  </si>
  <si>
    <t>N° 11888</t>
  </si>
  <si>
    <t>CUB MESA 2 LADOS 90°</t>
  </si>
  <si>
    <t>NEW BLACK GRANITE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</si>
</sst>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180258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I17" sqref="I1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46066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292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63082.356210058351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54" t="s">
        <v>290</v>
      </c>
      <c r="D21" s="455">
        <v>1.7</v>
      </c>
      <c r="E21" s="455">
        <v>0.6</v>
      </c>
      <c r="F21" s="313" t="s">
        <v>295</v>
      </c>
      <c r="G21" s="314">
        <f>Q21</f>
        <v>67371.956432342326</v>
      </c>
      <c r="H21" s="456">
        <f>G21*B21</f>
        <v>67371.956432342326</v>
      </c>
      <c r="I21" s="306"/>
      <c r="J21" s="264"/>
      <c r="K21" s="47"/>
      <c r="L21" s="47">
        <f>B21</f>
        <v>1</v>
      </c>
      <c r="M21" s="39">
        <f>D21+M$19</f>
        <v>1.78</v>
      </c>
      <c r="N21" s="39">
        <f>E21+$N$19</f>
        <v>0.6</v>
      </c>
      <c r="O21" s="260">
        <f t="shared" ref="O21" si="0">M21*N21</f>
        <v>1.0680000000000001</v>
      </c>
      <c r="P21" s="258">
        <f t="shared" ref="P21" si="1">O21*L21</f>
        <v>1.0680000000000001</v>
      </c>
      <c r="Q21" s="251">
        <f t="shared" ref="Q21" si="2">Q$20*O21</f>
        <v>67371.956432342326</v>
      </c>
      <c r="R21" s="305">
        <f t="shared" ref="R21" si="3">Q21+R$20</f>
        <v>70371.956432342326</v>
      </c>
      <c r="S21" s="290">
        <f>M21*L21</f>
        <v>1.78</v>
      </c>
      <c r="T21" s="46">
        <f>N21*2*L21*2</f>
        <v>2.4</v>
      </c>
      <c r="U21" s="9"/>
      <c r="X21" s="4"/>
    </row>
    <row r="22" spans="2:25" ht="18" thickBot="1" x14ac:dyDescent="0.35">
      <c r="B22" s="457">
        <v>1</v>
      </c>
      <c r="C22" s="458" t="s">
        <v>294</v>
      </c>
      <c r="D22" s="459">
        <v>1.25</v>
      </c>
      <c r="E22" s="459">
        <v>0.55000000000000004</v>
      </c>
      <c r="F22" s="460" t="s">
        <v>295</v>
      </c>
      <c r="G22" s="461">
        <f>Q22</f>
        <v>46144.743567657693</v>
      </c>
      <c r="H22" s="462">
        <f>G22*B22</f>
        <v>46144.743567657693</v>
      </c>
      <c r="I22" s="306"/>
      <c r="J22" s="264"/>
      <c r="K22" s="47"/>
      <c r="L22" s="47">
        <f>B22</f>
        <v>1</v>
      </c>
      <c r="M22" s="39">
        <f>D22+M$19</f>
        <v>1.33</v>
      </c>
      <c r="N22" s="39">
        <f>E22+$N$19</f>
        <v>0.55000000000000004</v>
      </c>
      <c r="O22" s="260">
        <f t="shared" ref="O22" si="4">M22*N22</f>
        <v>0.73150000000000015</v>
      </c>
      <c r="P22" s="258">
        <f t="shared" ref="P22" si="5">O22*L22</f>
        <v>0.73150000000000015</v>
      </c>
      <c r="Q22" s="251">
        <f t="shared" ref="Q22" si="6">Q$20*O22</f>
        <v>46144.743567657693</v>
      </c>
      <c r="R22" s="305">
        <f t="shared" ref="R22" si="7">Q22+R$20</f>
        <v>49144.743567657693</v>
      </c>
      <c r="S22" s="290">
        <f>M22*L22</f>
        <v>1.33</v>
      </c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113516.70000000001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21568.173000000003</v>
      </c>
      <c r="I27" s="308"/>
      <c r="J27" s="264"/>
      <c r="K27" s="47"/>
      <c r="L27" s="47"/>
      <c r="M27" s="39">
        <f>SUM(M21:M26)</f>
        <v>3.1100000000000003</v>
      </c>
      <c r="N27" s="12"/>
      <c r="O27" s="12"/>
      <c r="P27" s="252">
        <f>SUM(P21:P23)</f>
        <v>1.7995000000000001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135084.87300000002</v>
      </c>
      <c r="I28" s="308"/>
      <c r="J28" s="264"/>
      <c r="K28" s="47"/>
      <c r="L28" s="47"/>
      <c r="M28" s="39"/>
      <c r="N28" s="12"/>
      <c r="O28" s="12"/>
      <c r="P28" s="252">
        <f>P27</f>
        <v>1.7995000000000001</v>
      </c>
      <c r="Q28" s="14"/>
      <c r="R28" s="12"/>
      <c r="S28" s="239">
        <f>SUM(S21:S27)</f>
        <v>3.1100000000000003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0.35990000000000005</v>
      </c>
      <c r="Q29" s="39" t="s">
        <v>129</v>
      </c>
      <c r="R29" s="42"/>
      <c r="S29" s="240">
        <f>S28+T26</f>
        <v>5.51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2.1594000000000002</v>
      </c>
      <c r="Q30" s="14"/>
      <c r="R30" s="14"/>
      <c r="S30" s="238">
        <f>S29*20%</f>
        <v>1.1020000000000001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6.6120000000000001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2.1594000000000002</v>
      </c>
      <c r="N32" s="12">
        <v>2500</v>
      </c>
      <c r="O32" s="12">
        <f t="shared" ref="O32:O37" si="8">M32*N32</f>
        <v>5398.5000000000009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23500</v>
      </c>
      <c r="O33" s="12">
        <f t="shared" si="8"/>
        <v>23500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8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20000</v>
      </c>
      <c r="O35" s="12">
        <f t="shared" si="8"/>
        <v>20000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8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1.8</v>
      </c>
      <c r="N37" s="12">
        <v>1500</v>
      </c>
      <c r="O37" s="12">
        <f t="shared" si="8"/>
        <v>2700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51598.5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113516.70000000001</v>
      </c>
      <c r="P39" s="14" t="s">
        <v>138</v>
      </c>
      <c r="Q39" s="14"/>
      <c r="R39" s="40">
        <f>P30/R38</f>
        <v>0.58223684210526316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63082.356210058351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46066</v>
      </c>
    </row>
    <row r="6" spans="2:31" ht="16.2" thickBot="1" x14ac:dyDescent="0.35">
      <c r="B6" s="140" t="s">
        <v>2</v>
      </c>
      <c r="C6" s="139" t="str">
        <f>'2229'!C10</f>
        <v>NIBALDO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-2767.9875334541089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113516.70000000001</v>
      </c>
      <c r="E11" s="132">
        <f>D11*0.19</f>
        <v>21568.173000000003</v>
      </c>
      <c r="F11" s="131">
        <f>E11+D11</f>
        <v>135084.87300000002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103222.01246654589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58732.590787439614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85222.012466545886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54784.109212560397</v>
      </c>
      <c r="E13" s="221">
        <f>(D11/D12)-1</f>
        <v>0.93277188147260093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76222.012466545886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37222.012466545893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96908.774799275358</v>
      </c>
      <c r="F15" s="216">
        <f>E15-D12</f>
        <v>38176.184011835743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37222.012466545893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77222.012466545886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5398.5000000000009</v>
      </c>
      <c r="E20" s="121">
        <f>D20*0.19</f>
        <v>1025.7150000000001</v>
      </c>
      <c r="F20" s="120">
        <f>SUM(D20:E20)</f>
        <v>6424.2150000000011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28898.5</v>
      </c>
      <c r="E21" s="116">
        <f>SUM(E18:E20)</f>
        <v>5490.7150000000001</v>
      </c>
      <c r="F21" s="115">
        <f>SUM(F18:F20)</f>
        <v>34389.215000000004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16077.458000000002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113516.70000000001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28898.5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54784.109212560397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54784.109212560397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NIBALDO</v>
      </c>
      <c r="D10" s="350"/>
      <c r="E10" s="350"/>
      <c r="F10" s="351" t="s">
        <v>167</v>
      </c>
      <c r="G10" s="352">
        <f>'2229'!G10</f>
        <v>46066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+569 8958 4423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1700</v>
      </c>
      <c r="E22" s="321">
        <f>'2229'!E21*1000</f>
        <v>600</v>
      </c>
      <c r="F22" s="322" t="str">
        <f>'2229'!F21</f>
        <v>NEW BLACK GRANITE</v>
      </c>
      <c r="G22" s="314">
        <f>'2229'!G21</f>
        <v>67371.956432342326</v>
      </c>
      <c r="H22" s="323">
        <f>G22*B22</f>
        <v>67371.956432342326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67371.956432342326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12800.671722145042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80172.628154487364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NIBALDO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46066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NEW BLACK GRANITE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NEW BLACK GRANITE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11888</v>
      </c>
      <c r="C2" s="1">
        <f>'NOTA DE VENTA'!$G$10</f>
        <v>46066</v>
      </c>
      <c r="D2" s="1">
        <f>'NOTA DE VENTA'!$G$11</f>
        <v>46073</v>
      </c>
      <c r="E2" t="str">
        <f>'NOTA DE VENTA'!$C$10</f>
        <v>NIBALDO</v>
      </c>
      <c r="F2" t="str">
        <f>'NOTA DE VENTA'!$C$22</f>
        <v>CUB C/R R8</v>
      </c>
      <c r="G2" t="str">
        <f>'NOTA DE VENTA'!$F$22</f>
        <v>NEW BLACK GRANITE</v>
      </c>
      <c r="H2" s="415">
        <f>'NOTA DE VENTA'!$H$25</f>
        <v>67371.956432342326</v>
      </c>
      <c r="I2" s="415">
        <f>H2*0.19</f>
        <v>12800.671722145042</v>
      </c>
      <c r="J2" s="415">
        <f>I2+H2</f>
        <v>80172.628154487364</v>
      </c>
      <c r="L2" s="61">
        <f>J2-K2</f>
        <v>80172.628154487364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2026-02-13T15:27:35Z</cp:lastPrinted>
  <dcterms:created xsi:type="dcterms:W3CDTF">2013-03-18T13:35:42Z</dcterms:created>
  <dcterms:modified xsi:type="dcterms:W3CDTF">2026-02-13T15:28:06Z</dcterms:modified>
</cp:coreProperties>
</file>