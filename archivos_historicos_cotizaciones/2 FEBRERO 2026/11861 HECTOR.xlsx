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A93BDBD7-D426-452B-9A3B-CFCE5A26E9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O40" i="1"/>
  <c r="M28" i="1" l="1"/>
  <c r="P28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9" i="1" s="1"/>
  <c r="T21" i="1"/>
  <c r="T27" i="1" s="1"/>
  <c r="O21" i="1"/>
  <c r="P21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4" i="1" l="1"/>
  <c r="R24" i="1" s="1"/>
  <c r="Q22" i="1"/>
  <c r="R22" i="1" s="1"/>
  <c r="Q23" i="1"/>
  <c r="R23" i="1" s="1"/>
  <c r="O42" i="1"/>
  <c r="E15" i="3"/>
  <c r="Q21" i="1" l="1"/>
  <c r="F15" i="3"/>
  <c r="R21" i="1" l="1"/>
  <c r="H21" i="1" l="1"/>
  <c r="H27" i="1" s="1"/>
  <c r="H28" i="1" s="1"/>
  <c r="G22" i="4" l="1"/>
  <c r="H22" i="4" s="1"/>
  <c r="H25" i="4" s="1"/>
  <c r="H29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<sst xmlns="http://schemas.openxmlformats.org/spreadsheetml/2006/main" count="492" uniqueCount="296">
  <si>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</si>
  <si>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</si>
  <si>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</si>
  <si>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</si>
  <si>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</si>
  <si>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</si>
  <si>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</si>
  <si>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</si>
  <si>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</si>
  <si>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</si>
  <si>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</si>
  <si>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</si>
  <si>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</si>
  <si>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</si>
  <si>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</si>
  <si>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</si>
  <si>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</si>
  <si>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</si>
  <si>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</si>
  <si>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</si>
  <si>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</si>
  <si>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</si>
  <si>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</si>
  <si>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</si>
  <si>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</si>
  <si>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</si>
  <si>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</si>
  <si>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</si>
  <si>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</si>
  <si>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</si>
  <si>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</si>
  <si>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</si>
  <si>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</si>
  <si>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</si>
  <si>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</si>
  <si>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</si>
  <si>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</si>
  <si>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</si>
  <si>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</si>
  <si>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</si>
  <si>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</si>
  <si>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</si>
  <si>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</si>
  <si>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</si>
  <si>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</si>
  <si>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</si>
  <si>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</si>
  <si>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</si>
  <si>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</si>
  <si>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</si>
  <si>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</si>
  <si>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</si>
  <si>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</si>
  <si>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</si>
  <si>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</si>
  <si>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</si>
  <si>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</si>
  <si>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</si>
  <si>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</si>
  <si>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</si>
  <si>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</si>
  <si>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</si>
  <si>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</si>
  <si>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</si>
  <si>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</si>
  <si>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</si>
  <si>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</si>
  <si>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</si>
  <si>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</si>
  <si>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</si>
  <si>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</si>
  <si>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</si>
  <si>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</si>
  <si>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</si>
  <si>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</si>
  <si>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</si>
  <si>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</si>
  <si>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</si>
  <si>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</si>
  <si>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</si>
  <si>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</si>
  <si>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</si>
  <si>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</si>
  <si>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</si>
  <si>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</si>
  <si>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</si>
  <si>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</si>
  <si>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</si>
  <si>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</si>
  <si>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</si>
  <si>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</si>
  <si>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</si>
  <si>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</si>
  <si>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</si>
  <si>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</si>
  <si>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</si>
  <si>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</si>
  <si>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</si>
  <si>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</si>
  <si>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</si>
  <si>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</si>
  <si>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</si>
  <si>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</si>
  <si>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</si>
  <si>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</si>
  <si>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</si>
  <si>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</si>
  <si>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</si>
  <si>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</si>
  <si>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</si>
  <si>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</si>
  <si>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</si>
  <si>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</si>
  <si>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</si>
  <si>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</si>
  <si>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</si>
  <si>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</si>
  <si>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</si>
  <si>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</si>
  <si>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</si>
  <si>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</si>
  <si>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</si>
  <si>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</si>
  <si>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</si>
  <si>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</si>
  <si>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</si>
  <si>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</si>
  <si>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</si>
  <si>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</si>
  <si>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</si>
  <si>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</si>
  <si>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</si>
  <si>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</si>
  <si>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</si>
  <si>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</si>
  <si>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</si>
  <si>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</si>
  <si>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</si>
  <si>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</si>
  <si>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</si>
  <si>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</si>
  <si>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</si>
  <si>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</si>
  <si>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</si>
  <si>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</si>
  <si>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</si>
  <si>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</si>
  <si>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</si>
  <si>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</si>
  <si>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</si>
  <si>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</si>
  <si>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</si>
  <si>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</si>
  <si>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</si>
  <si>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</si>
  <si>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</si>
  <si>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</si>
  <si>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</si>
  <si>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</si>
  <si>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</si>
  <si>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</si>
  <si>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</si>
  <si>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</si>
  <si>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</si>
  <si>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</si>
  <si>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</si>
  <si>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</si>
  <si>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</si>
  <si>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</si>
  <si>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</si>
  <si>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</si>
  <si>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</si>
  <si>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</si>
  <si>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</si>
  <si>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</si>
  <si>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</si>
  <si>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</si>
  <si>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</si>
  <si>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</si>
  <si>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</si>
  <si>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</si>
  <si>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</si>
  <si>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</si>
  <si>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</si>
  <si>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</si>
  <si>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</si>
  <si>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</si>
  <si>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</si>
  <si>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</si>
  <si>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</si>
  <si>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</si>
  <si>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</si>
  <si>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</si>
  <si>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</si>
  <si>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</si>
  <si>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</si>
  <si>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</si>
  <si>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</si>
  <si>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</si>
  <si>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</si>
  <si>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</si>
  <si>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</si>
  <si>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</si>
  <si>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</si>
  <si>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</si>
  <si>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</si>
  <si>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</si>
  <si>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</si>
  <si>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</si>
  <si>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</si>
  <si>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</si>
  <si>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</si>
  <si>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</si>
  <si>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</si>
  <si>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</si>
  <si>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</si>
  <si>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</si>
  <si>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</si>
  <si>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</si>
  <si>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</si>
  <si>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</si>
  <si>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</si>
  <si>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</si>
  <si>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</si>
  <si>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</si>
  <si>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</si>
  <si>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</si>
  <si>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</si>
  <si>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</si>
  <si>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</si>
  <si>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</si>
  <si>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</si>
  <si>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</si>
  <si>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</si>
  <si>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</si>
  <si>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</si>
  <si>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</si>
  <si>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</si>
  <si>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</si>
  <si>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</si>
  <si>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</si>
  <si>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</si>
  <si>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</si>
  <si>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</si>
  <si>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</si>
  <si>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</si>
  <si>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</si>
  <si>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</si>
  <si>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</si>
  <si>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</si>
  <si>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</si>
  <si>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</si>
  <si>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</si>
  <si>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</si>
  <si>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</si>
  <si>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</si>
  <si>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</si>
  <si>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</si>
  <si>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</si>
  <si>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</si>
  <si>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</si>
  <si>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</si>
  <si>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</si>
  <si>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</si>
  <si>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</si>
  <si>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</si>
  <si>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</si>
  <si>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</si>
  <si>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</si>
  <si>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</si>
  <si>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</si>
  <si>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</si>
  <si>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</si>
  <si>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</si>
  <si>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</si>
  <si>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</si>
  <si>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</si>
  <si>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</si>
  <si>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</si>
  <si>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</si>
  <si>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</si>
  <si>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</si>
  <si>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</si>
  <si>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</si>
  <si>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</si>
  <si>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</si>
  <si>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</si>
  <si>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</si>
  <si>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MESA 90° R8 2L</t>
  </si>
  <si>
    <t>GRANITO 3012 BR F6</t>
  </si>
  <si>
    <t>CUB C/R 90° R8</t>
  </si>
  <si>
    <t>HECTOR</t>
  </si>
  <si>
    <t xml:space="preserve">+569 </t>
  </si>
  <si>
    <t>5 DIAS HABILES</t>
  </si>
  <si>
    <t>SI</t>
  </si>
  <si>
    <t>N° 11861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</si>
</sst>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ENCHAPE TAPACANTO MISMA LAMINA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291</v>
      </c>
      <c r="D10" s="243"/>
      <c r="E10" s="243"/>
      <c r="F10" s="418" t="s">
        <v>277</v>
      </c>
      <c r="G10" s="275">
        <v>46052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293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294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0.3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41937.602996254682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1</v>
      </c>
      <c r="C21" s="430" t="s">
        <v>288</v>
      </c>
      <c r="D21" s="431">
        <v>1.2050000000000001</v>
      </c>
      <c r="E21" s="431">
        <v>0.46</v>
      </c>
      <c r="F21" s="430" t="s">
        <v>289</v>
      </c>
      <c r="G21" s="432">
        <v>43956</v>
      </c>
      <c r="H21" s="432">
        <f>G21*B21</f>
        <v>43956</v>
      </c>
      <c r="I21" s="306"/>
      <c r="J21" s="264"/>
      <c r="K21" s="47"/>
      <c r="L21" s="47">
        <f>B21</f>
        <v>1</v>
      </c>
      <c r="M21" s="39">
        <f>D21+M$19</f>
        <v>1.2850000000000001</v>
      </c>
      <c r="N21" s="39">
        <f>E21+$N$19</f>
        <v>0.76</v>
      </c>
      <c r="O21" s="260">
        <f t="shared" ref="O21" si="0">M21*N21</f>
        <v>0.97660000000000013</v>
      </c>
      <c r="P21" s="258">
        <f t="shared" ref="P21" si="1">O21*L21</f>
        <v>0.97660000000000013</v>
      </c>
      <c r="Q21" s="251">
        <f t="shared" ref="Q21" si="2">Q$20*O21</f>
        <v>40956.263086142331</v>
      </c>
      <c r="R21" s="305">
        <f t="shared" ref="R21" si="3">Q21+R$20</f>
        <v>43956.263086142331</v>
      </c>
      <c r="S21" s="290">
        <f>M21*L21</f>
        <v>1.2850000000000001</v>
      </c>
      <c r="T21" s="46">
        <f>N21*2*L21*2</f>
        <v>3.04</v>
      </c>
      <c r="U21" s="9"/>
      <c r="X21" s="4"/>
    </row>
    <row r="22" spans="2:25" ht="17.399999999999999" x14ac:dyDescent="0.3">
      <c r="B22" s="430">
        <v>1</v>
      </c>
      <c r="C22" s="430" t="s">
        <v>290</v>
      </c>
      <c r="D22" s="431">
        <v>0.5</v>
      </c>
      <c r="E22" s="431">
        <v>0.5</v>
      </c>
      <c r="F22" s="430" t="s">
        <v>289</v>
      </c>
      <c r="G22" s="432">
        <v>22459</v>
      </c>
      <c r="H22" s="432">
        <f t="shared" ref="H22:H24" si="4">G22*B22</f>
        <v>22459</v>
      </c>
      <c r="I22" s="306"/>
      <c r="J22" s="264"/>
      <c r="K22" s="47"/>
      <c r="L22" s="47">
        <f t="shared" ref="L22:L24" si="5">B22</f>
        <v>1</v>
      </c>
      <c r="M22" s="39">
        <f t="shared" ref="M22:M24" si="6">D22+M$19</f>
        <v>0.57999999999999996</v>
      </c>
      <c r="N22" s="39">
        <f t="shared" ref="N22:N24" si="7">E22+$N$19</f>
        <v>0.8</v>
      </c>
      <c r="O22" s="260">
        <f t="shared" ref="O22:O24" si="8">M22*N22</f>
        <v>0.46399999999999997</v>
      </c>
      <c r="P22" s="258">
        <f t="shared" ref="P22:P24" si="9">O22*L22</f>
        <v>0.46399999999999997</v>
      </c>
      <c r="Q22" s="251">
        <f t="shared" ref="Q22:Q24" si="10">Q$20*O22</f>
        <v>19459.047790262171</v>
      </c>
      <c r="R22" s="305">
        <f t="shared" ref="R22:R24" si="11">Q22+R$20</f>
        <v>22459.047790262171</v>
      </c>
      <c r="S22" s="290">
        <f t="shared" ref="S22:S24" si="12">M22*L22</f>
        <v>0.57999999999999996</v>
      </c>
      <c r="T22" s="46"/>
      <c r="U22" s="9"/>
      <c r="X22" s="4"/>
    </row>
    <row r="23" spans="2:25" ht="17.399999999999999" x14ac:dyDescent="0.3">
      <c r="B23" s="430">
        <v>1</v>
      </c>
      <c r="C23" s="430" t="s">
        <v>290</v>
      </c>
      <c r="D23" s="431">
        <v>1.585</v>
      </c>
      <c r="E23" s="431">
        <v>0.5</v>
      </c>
      <c r="F23" s="430" t="s">
        <v>289</v>
      </c>
      <c r="G23" s="432">
        <v>58861</v>
      </c>
      <c r="H23" s="432">
        <f t="shared" si="4"/>
        <v>58861</v>
      </c>
      <c r="I23" s="306"/>
      <c r="J23" s="264"/>
      <c r="K23" s="47"/>
      <c r="L23" s="47">
        <f t="shared" si="5"/>
        <v>1</v>
      </c>
      <c r="M23" s="39">
        <f t="shared" si="6"/>
        <v>1.665</v>
      </c>
      <c r="N23" s="39">
        <f t="shared" si="7"/>
        <v>0.8</v>
      </c>
      <c r="O23" s="260">
        <f t="shared" si="8"/>
        <v>1.3320000000000001</v>
      </c>
      <c r="P23" s="258">
        <f t="shared" si="9"/>
        <v>1.3320000000000001</v>
      </c>
      <c r="Q23" s="251">
        <f t="shared" si="10"/>
        <v>55860.887191011236</v>
      </c>
      <c r="R23" s="305">
        <f t="shared" si="11"/>
        <v>58860.887191011236</v>
      </c>
      <c r="S23" s="290">
        <f t="shared" si="12"/>
        <v>1.665</v>
      </c>
      <c r="T23" s="46"/>
      <c r="U23" s="9"/>
      <c r="X23" s="4"/>
    </row>
    <row r="24" spans="2:25" ht="17.399999999999999" x14ac:dyDescent="0.3">
      <c r="B24" s="430">
        <v>1</v>
      </c>
      <c r="C24" s="430" t="s">
        <v>290</v>
      </c>
      <c r="D24" s="431">
        <v>0.255</v>
      </c>
      <c r="E24" s="431">
        <v>0.39</v>
      </c>
      <c r="F24" s="430" t="s">
        <v>289</v>
      </c>
      <c r="G24" s="432">
        <v>12694</v>
      </c>
      <c r="H24" s="432">
        <f t="shared" si="4"/>
        <v>12694</v>
      </c>
      <c r="I24" s="306"/>
      <c r="J24" s="264"/>
      <c r="K24" s="47"/>
      <c r="L24" s="47">
        <f t="shared" si="5"/>
        <v>1</v>
      </c>
      <c r="M24" s="39">
        <f t="shared" si="6"/>
        <v>0.33500000000000002</v>
      </c>
      <c r="N24" s="39">
        <f t="shared" si="7"/>
        <v>0.69</v>
      </c>
      <c r="O24" s="260">
        <f t="shared" si="8"/>
        <v>0.23114999999999999</v>
      </c>
      <c r="P24" s="258">
        <f t="shared" si="9"/>
        <v>0.23114999999999999</v>
      </c>
      <c r="Q24" s="251">
        <f t="shared" si="10"/>
        <v>9693.8769325842695</v>
      </c>
      <c r="R24" s="305">
        <f t="shared" si="11"/>
        <v>12693.87693258427</v>
      </c>
      <c r="S24" s="290">
        <f t="shared" si="12"/>
        <v>0.33500000000000002</v>
      </c>
      <c r="T24" s="46"/>
      <c r="U24" s="9"/>
      <c r="X24" s="4"/>
    </row>
    <row r="25" spans="2:25" ht="17.399999999999999" x14ac:dyDescent="0.3">
      <c r="B25" s="457"/>
      <c r="C25" s="457"/>
      <c r="D25" s="458"/>
      <c r="E25" s="458"/>
      <c r="F25" s="457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8" thickBot="1" x14ac:dyDescent="0.35">
      <c r="B26" s="283"/>
      <c r="C26" s="283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SUM(H21:H26)</f>
        <v>137970</v>
      </c>
      <c r="I27" s="308"/>
      <c r="J27" s="264"/>
      <c r="K27" s="47">
        <v>2600000</v>
      </c>
      <c r="L27" s="47"/>
      <c r="M27" s="39"/>
      <c r="N27" s="39"/>
      <c r="O27" s="260"/>
      <c r="P27" s="258"/>
      <c r="Q27" s="251"/>
      <c r="R27" s="257"/>
      <c r="S27" s="290"/>
      <c r="T27" s="46">
        <f>SUM(T21:T26)</f>
        <v>3.04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26214.3</v>
      </c>
      <c r="I28" s="308"/>
      <c r="J28" s="264"/>
      <c r="K28" s="47"/>
      <c r="L28" s="47"/>
      <c r="M28" s="39">
        <f>SUM(M22:M27)</f>
        <v>2.58</v>
      </c>
      <c r="N28" s="12"/>
      <c r="O28" s="12"/>
      <c r="P28" s="252">
        <f>SUM(P21:P24)</f>
        <v>3.0037500000000001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164184.29999999999</v>
      </c>
      <c r="I29" s="308"/>
      <c r="J29" s="264"/>
      <c r="K29" s="47"/>
      <c r="L29" s="47"/>
      <c r="M29" s="39"/>
      <c r="N29" s="12"/>
      <c r="O29" s="12"/>
      <c r="P29" s="252">
        <f>P28</f>
        <v>3.0037500000000001</v>
      </c>
      <c r="Q29" s="14"/>
      <c r="R29" s="12"/>
      <c r="S29" s="239">
        <f>SUM(S21:S28)</f>
        <v>3.8650000000000002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0.60075000000000012</v>
      </c>
      <c r="Q30" s="39" t="s">
        <v>129</v>
      </c>
      <c r="R30" s="42"/>
      <c r="S30" s="240">
        <f>S29+T27</f>
        <v>6.9050000000000002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3.6045000000000003</v>
      </c>
      <c r="Q31" s="14"/>
      <c r="R31" s="14"/>
      <c r="S31" s="238">
        <f>S30*20%</f>
        <v>1.3810000000000002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8.2860000000000014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3.6045000000000003</v>
      </c>
      <c r="N33" s="12">
        <v>3500</v>
      </c>
      <c r="O33" s="12">
        <f t="shared" ref="O33:O38" si="13">M33*N33</f>
        <v>12615.75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1</v>
      </c>
      <c r="N34" s="12">
        <v>23500</v>
      </c>
      <c r="O34" s="12">
        <f t="shared" si="13"/>
        <v>23500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13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1</v>
      </c>
      <c r="N36" s="249">
        <v>20000</v>
      </c>
      <c r="O36" s="12">
        <f t="shared" si="13"/>
        <v>20000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13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>
        <v>2.58</v>
      </c>
      <c r="N38" s="12">
        <v>1500</v>
      </c>
      <c r="O38" s="12">
        <f t="shared" si="13"/>
        <v>3870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59985.75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O39*2.1</f>
        <v>125970.07500000001</v>
      </c>
      <c r="P40" s="14" t="s">
        <v>138</v>
      </c>
      <c r="Q40" s="14"/>
      <c r="R40" s="40">
        <f>P31/R39</f>
        <v>0.97187769628990517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70970</v>
      </c>
      <c r="L41" s="249"/>
      <c r="M41" s="14"/>
      <c r="N41" s="12"/>
      <c r="O41" s="12">
        <f>O40/P29</f>
        <v>41937.602996254682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59638.655462184877</v>
      </c>
      <c r="L42" s="249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46052</v>
      </c>
    </row>
    <row r="6" spans="2:31" ht="16.2" thickBot="1" x14ac:dyDescent="0.35">
      <c r="B6" s="140" t="s">
        <v>2</v>
      </c>
      <c r="C6" s="139" t="str">
        <f>'2229'!C10</f>
        <v>HECTOR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11861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-4858.7937834541081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137970</v>
      </c>
      <c r="E11" s="132">
        <f>D11*0.19</f>
        <v>26214.3</v>
      </c>
      <c r="F11" s="131">
        <f>E11+D11</f>
        <v>164184.29999999999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101131.20621654589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65949.840787439607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83131.206216545892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72020.159212560393</v>
      </c>
      <c r="E13" s="221">
        <f>(D11/D12)-1</f>
        <v>1.0920444742950295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74131.206216545892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35131.206216545892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108817.23729927535</v>
      </c>
      <c r="F15" s="216">
        <f>E15-D12</f>
        <v>42867.396511835745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35131.206216545892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75131.206216545892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12615.75</v>
      </c>
      <c r="E20" s="121">
        <f>D20*0.19</f>
        <v>2396.9924999999998</v>
      </c>
      <c r="F20" s="120">
        <f>SUM(D20:E20)</f>
        <v>15012.7425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36115.75</v>
      </c>
      <c r="E21" s="116">
        <f>SUM(E18:E20)</f>
        <v>6861.9925000000003</v>
      </c>
      <c r="F21" s="115">
        <f>SUM(F18:F20)</f>
        <v>42977.7425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19352.307499999999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137970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36115.75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72020.159212560393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72020.159212560393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11861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HECTOR</v>
      </c>
      <c r="D10" s="350"/>
      <c r="E10" s="350"/>
      <c r="F10" s="351" t="s">
        <v>167</v>
      </c>
      <c r="G10" s="352">
        <f>'2229'!G10</f>
        <v>46052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46059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 xml:space="preserve">+569 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MESA 90° R8 2L</v>
      </c>
      <c r="D22" s="321">
        <f>'2229'!D21*1000</f>
        <v>1205</v>
      </c>
      <c r="E22" s="321">
        <f>'2229'!E21*1000</f>
        <v>460</v>
      </c>
      <c r="F22" s="322" t="str">
        <f>'2229'!F21</f>
        <v>GRANITO 3012 BR F6</v>
      </c>
      <c r="G22" s="314">
        <f>'2229'!G21</f>
        <v>43956</v>
      </c>
      <c r="H22" s="323">
        <f>G22*B22</f>
        <v>43956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43956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8351.64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52307.64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HECTOR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46059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11861</v>
      </c>
      <c r="C2" s="1">
        <f>'NOTA DE VENTA'!$G$10</f>
        <v>46052</v>
      </c>
      <c r="D2" s="1">
        <f>'NOTA DE VENTA'!$G$11</f>
        <v>46059</v>
      </c>
      <c r="E2" t="str">
        <f>'NOTA DE VENTA'!$C$10</f>
        <v>HECTOR</v>
      </c>
      <c r="F2" t="str">
        <f>'NOTA DE VENTA'!$C$22</f>
        <v>CUB MESA 90° R8 2L</v>
      </c>
      <c r="G2" t="str">
        <f>'NOTA DE VENTA'!$F$22</f>
        <v>GRANITO 3012 BR F6</v>
      </c>
      <c r="H2" s="416">
        <f>'NOTA DE VENTA'!$H$25</f>
        <v>43956</v>
      </c>
      <c r="I2" s="416">
        <f>H2*0.19</f>
        <v>8351.64</v>
      </c>
      <c r="J2" s="416">
        <f>I2+H2</f>
        <v>52307.64</v>
      </c>
      <c r="L2" s="61">
        <f>J2-K2</f>
        <v>52307.64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2026-02-01T14:38:52Z</dcterms:modified>
</cp:coreProperties>
</file>