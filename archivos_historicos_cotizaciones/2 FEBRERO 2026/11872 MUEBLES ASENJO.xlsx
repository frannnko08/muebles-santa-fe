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56DC23C2-D978-4B07-9764-CD2EDD921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L32" i="1"/>
  <c r="I25" i="1"/>
  <c r="K23" i="1"/>
  <c r="K24" i="1"/>
  <c r="K22" i="1"/>
  <c r="K25" i="1" l="1"/>
  <c r="K27" i="1" s="1"/>
  <c r="M23" i="1"/>
  <c r="N23" i="1"/>
  <c r="M24" i="1"/>
  <c r="N24" i="1"/>
  <c r="M25" i="1"/>
  <c r="N25" i="1"/>
  <c r="M22" i="1"/>
  <c r="N22" i="1"/>
  <c r="O23" i="1" l="1"/>
  <c r="S24" i="1"/>
  <c r="S22" i="1"/>
  <c r="O25" i="1"/>
  <c r="S23" i="1"/>
  <c r="O22" i="1"/>
  <c r="P22" i="1" s="1"/>
  <c r="S25" i="1"/>
  <c r="O24" i="1"/>
  <c r="P24" i="1" s="1"/>
  <c r="P25" i="1"/>
  <c r="P23" i="1"/>
  <c r="M21" i="1"/>
  <c r="N21" i="1"/>
  <c r="O21" i="1" l="1"/>
  <c r="P21" i="1" s="1"/>
  <c r="P28" i="1" s="1"/>
  <c r="S29" i="1"/>
  <c r="M28" i="1"/>
  <c r="T27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4" i="1"/>
  <c r="Q23" i="1"/>
  <c r="Q25" i="1"/>
  <c r="Q21" i="1"/>
  <c r="O42" i="1"/>
  <c r="E15" i="3"/>
  <c r="H22" i="1" l="1"/>
  <c r="H23" i="1"/>
  <c r="R23" i="1"/>
  <c r="R24" i="1"/>
  <c r="H24" i="1"/>
  <c r="R25" i="1"/>
  <c r="H25" i="1"/>
  <c r="R21" i="1"/>
  <c r="H21" i="1"/>
  <c r="F15" i="3"/>
  <c r="H27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<sst xmlns="http://schemas.openxmlformats.org/spreadsheetml/2006/main" count="238" uniqueCount="177">
  <si>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</si>
  <si>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</si>
  <si>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</si>
  <si>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</si>
  <si>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</si>
  <si>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</si>
  <si>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</si>
  <si>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</si>
  <si>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</si>
  <si>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</si>
  <si>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</si>
  <si>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</si>
  <si>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</si>
  <si>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</si>
  <si>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</si>
  <si>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</si>
  <si>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</si>
  <si>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</si>
  <si>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</si>
  <si>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</si>
  <si>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</si>
  <si>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</si>
  <si>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</si>
  <si>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</si>
  <si>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</si>
  <si>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</si>
  <si>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</si>
  <si>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</si>
  <si>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</si>
  <si>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</si>
  <si>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</si>
  <si>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</si>
  <si>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</si>
  <si>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</si>
  <si>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</si>
  <si>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</si>
  <si>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</si>
  <si>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</si>
  <si>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</si>
  <si>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</si>
  <si>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</si>
  <si>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</si>
  <si>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</si>
  <si>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</si>
  <si>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</si>
  <si>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</si>
  <si>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</si>
  <si>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</si>
  <si>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</si>
  <si>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</si>
  <si>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</si>
  <si>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</si>
  <si>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</si>
  <si>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</si>
  <si>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</si>
  <si>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</si>
  <si>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</si>
  <si>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</si>
  <si>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</si>
  <si>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</si>
  <si>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</si>
  <si>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</si>
  <si>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</si>
  <si>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</si>
  <si>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</si>
  <si>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</si>
  <si>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</si>
  <si>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</si>
  <si>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</si>
  <si>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</si>
  <si>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</si>
  <si>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</si>
  <si>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</si>
  <si>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</si>
  <si>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</si>
  <si>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</si>
  <si>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</si>
  <si>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</si>
  <si>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</si>
  <si>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</si>
  <si>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</si>
  <si>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</si>
  <si>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</si>
  <si>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</si>
  <si>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</si>
  <si>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</si>
  <si>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</si>
  <si>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</si>
  <si>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</si>
  <si>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</si>
  <si>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</si>
  <si>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</si>
  <si>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</si>
  <si>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</si>
  <si>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</si>
  <si>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</si>
  <si>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</si>
  <si>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</si>
  <si>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</si>
  <si>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</si>
  <si>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</si>
  <si>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</si>
  <si>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</si>
  <si>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</si>
  <si>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</si>
  <si>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</si>
  <si>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</si>
  <si>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</si>
  <si>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</si>
  <si>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</si>
  <si>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</si>
  <si>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</si>
  <si>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</si>
  <si>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</si>
  <si>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</si>
  <si>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</si>
  <si>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</si>
  <si>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</si>
  <si>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</si>
  <si>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</si>
  <si>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</si>
  <si>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</si>
  <si>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</si>
  <si>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</si>
  <si>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</si>
  <si>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</si>
  <si>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</si>
  <si>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</si>
  <si>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</si>
  <si>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</si>
  <si>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</si>
  <si>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</si>
  <si>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</si>
  <si>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</si>
  <si>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</si>
  <si>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</si>
  <si>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</si>
  <si>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</si>
  <si>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</si>
  <si>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</si>
  <si>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</si>
  <si>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</si>
  <si>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</si>
  <si>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</si>
  <si>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</si>
  <si>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</si>
  <si>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</si>
  <si>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</si>
  <si>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</si>
  <si>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</si>
  <si>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</si>
  <si>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</si>
  <si>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</si>
  <si>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</si>
  <si>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</si>
  <si>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</si>
  <si>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</si>
  <si>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</si>
  <si>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</si>
  <si>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</si>
  <si>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</si>
  <si>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</si>
  <si>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</si>
  <si>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</si>
  <si>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</si>
  <si>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</si>
  <si>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</si>
  <si>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</si>
  <si>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</si>
  <si>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</si>
  <si>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</si>
  <si>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</si>
  <si>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</si>
  <si>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GLACIAL WHITE 22191 SF</t>
  </si>
  <si>
    <t>CUB MESA 90° R8 2 LADOS</t>
  </si>
  <si>
    <t>N° 11872</t>
  </si>
  <si>
    <t>WHITE ASHWOOD 10159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</si>
</sst>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167" fontId="0" fillId="22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25913</xdr:rowOff>
    </xdr:from>
    <xdr:to>
      <xdr:col>5</xdr:col>
      <xdr:colOff>1728839</xdr:colOff>
      <xdr:row>29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CLIENTE APORTA LAMINAS WHITE ASHWOOD</a:t>
          </a:r>
          <a:r>
            <a:rPr lang="es-CL" sz="1200" b="1" baseline="0"/>
            <a:t> 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8" zoomScale="93" zoomScaleNormal="93" workbookViewId="0">
      <selection activeCell="G37" sqref="G3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46058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5" t="s">
        <v>164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31229.983525535419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4</v>
      </c>
      <c r="C21" s="330" t="s">
        <v>174</v>
      </c>
      <c r="D21" s="333">
        <v>2.0499999999999998</v>
      </c>
      <c r="E21" s="333">
        <v>0.5</v>
      </c>
      <c r="F21" s="330" t="s">
        <v>173</v>
      </c>
      <c r="G21" s="331">
        <v>52480</v>
      </c>
      <c r="H21" s="331">
        <f t="shared" ref="H21" si="1">G21*B21</f>
        <v>209920</v>
      </c>
      <c r="I21" s="320"/>
      <c r="J21" s="265"/>
      <c r="K21" s="47"/>
      <c r="L21" s="334"/>
      <c r="M21" s="39">
        <f t="shared" ref="M21" si="2">D21+M$19</f>
        <v>2.13</v>
      </c>
      <c r="N21" s="39">
        <f t="shared" ref="N21" si="3">E21+$N$19</f>
        <v>0.5</v>
      </c>
      <c r="O21" s="261">
        <f t="shared" ref="O21" si="4">M21*N21</f>
        <v>1.0649999999999999</v>
      </c>
      <c r="P21" s="259">
        <f t="shared" ref="P21" si="5">O21*L21</f>
        <v>0</v>
      </c>
      <c r="Q21" s="252">
        <f t="shared" ref="Q21" si="6">Q$20*O21</f>
        <v>33259.932454695219</v>
      </c>
      <c r="R21" s="319">
        <f t="shared" ref="R21" si="7">Q21+R$20</f>
        <v>36259.932454695219</v>
      </c>
      <c r="S21" s="297"/>
      <c r="T21" s="46"/>
      <c r="U21" s="9"/>
      <c r="X21" s="4"/>
    </row>
    <row r="22" spans="2:25" ht="17.399999999999999" x14ac:dyDescent="0.3">
      <c r="B22" s="330">
        <v>2</v>
      </c>
      <c r="C22" s="330" t="s">
        <v>172</v>
      </c>
      <c r="D22" s="333">
        <v>2.11</v>
      </c>
      <c r="E22" s="333">
        <v>0.7</v>
      </c>
      <c r="F22" s="330" t="s">
        <v>176</v>
      </c>
      <c r="G22" s="331">
        <v>47876</v>
      </c>
      <c r="H22" s="331">
        <f t="shared" ref="H22" si="8">G22*B22</f>
        <v>95752</v>
      </c>
      <c r="I22" s="320">
        <v>190640</v>
      </c>
      <c r="J22" s="265">
        <v>47876</v>
      </c>
      <c r="K22" s="47">
        <f>J22*L22</f>
        <v>95752</v>
      </c>
      <c r="L22" s="334">
        <v>2</v>
      </c>
      <c r="M22" s="39">
        <f t="shared" ref="M22" si="9">D22+M$19</f>
        <v>2.19</v>
      </c>
      <c r="N22" s="39">
        <f t="shared" ref="N22" si="10">E22+$N$19</f>
        <v>0.7</v>
      </c>
      <c r="O22" s="261">
        <f t="shared" ref="O22" si="11">M22*N22</f>
        <v>1.5329999999999999</v>
      </c>
      <c r="P22" s="259">
        <f t="shared" ref="P22" si="12">O22*L22</f>
        <v>3.0659999999999998</v>
      </c>
      <c r="Q22" s="252">
        <f t="shared" ref="Q22" si="13">Q$20*O22</f>
        <v>47875.564744645795</v>
      </c>
      <c r="R22" s="319">
        <f t="shared" ref="R22" si="14">Q22+R$20</f>
        <v>50875.564744645795</v>
      </c>
      <c r="S22" s="297">
        <f t="shared" ref="S22:S25" si="15">L22*M22</f>
        <v>4.38</v>
      </c>
      <c r="T22" s="46"/>
      <c r="U22" s="9"/>
      <c r="X22" s="4"/>
    </row>
    <row r="23" spans="2:25" ht="17.399999999999999" x14ac:dyDescent="0.3">
      <c r="B23" s="330">
        <v>2</v>
      </c>
      <c r="C23" s="330" t="s">
        <v>172</v>
      </c>
      <c r="D23" s="333">
        <v>2.2599999999999998</v>
      </c>
      <c r="E23" s="333">
        <v>0.7</v>
      </c>
      <c r="F23" s="330" t="s">
        <v>176</v>
      </c>
      <c r="G23" s="331">
        <v>51155</v>
      </c>
      <c r="H23" s="331">
        <f t="shared" ref="H23:H25" si="16">G23*B23</f>
        <v>102310</v>
      </c>
      <c r="I23" s="320">
        <v>203698</v>
      </c>
      <c r="J23" s="265">
        <v>51155</v>
      </c>
      <c r="K23" s="47">
        <f t="shared" ref="K23:K24" si="17">J23*L23</f>
        <v>102310</v>
      </c>
      <c r="L23" s="334">
        <v>2</v>
      </c>
      <c r="M23" s="39">
        <f t="shared" ref="M23:M25" si="18">D23+M$19</f>
        <v>2.34</v>
      </c>
      <c r="N23" s="39">
        <f t="shared" ref="N23:N25" si="19">E23+$N$19</f>
        <v>0.7</v>
      </c>
      <c r="O23" s="261">
        <f t="shared" ref="O23:O25" si="20">M23*N23</f>
        <v>1.6379999999999999</v>
      </c>
      <c r="P23" s="259">
        <f t="shared" ref="P23:P25" si="21">O23*L23</f>
        <v>3.2759999999999998</v>
      </c>
      <c r="Q23" s="252">
        <f t="shared" ref="Q23:Q25" si="22">Q$20*O23</f>
        <v>51154.713014827015</v>
      </c>
      <c r="R23" s="319">
        <f t="shared" ref="R23:R25" si="23">Q23+R$20</f>
        <v>54154.713014827015</v>
      </c>
      <c r="S23" s="297">
        <f t="shared" si="15"/>
        <v>4.68</v>
      </c>
      <c r="T23" s="46"/>
      <c r="U23" s="9"/>
      <c r="X23" s="4"/>
    </row>
    <row r="24" spans="2:25" ht="17.399999999999999" x14ac:dyDescent="0.3">
      <c r="B24" s="330">
        <v>1</v>
      </c>
      <c r="C24" s="330" t="s">
        <v>172</v>
      </c>
      <c r="D24" s="333">
        <v>3</v>
      </c>
      <c r="E24" s="333">
        <v>0.7</v>
      </c>
      <c r="F24" s="330" t="s">
        <v>176</v>
      </c>
      <c r="G24" s="331">
        <v>67332</v>
      </c>
      <c r="H24" s="331">
        <f t="shared" si="16"/>
        <v>67332</v>
      </c>
      <c r="I24" s="320">
        <v>134057</v>
      </c>
      <c r="J24" s="265">
        <v>67332</v>
      </c>
      <c r="K24" s="47">
        <f t="shared" si="17"/>
        <v>67332</v>
      </c>
      <c r="L24" s="334">
        <v>1</v>
      </c>
      <c r="M24" s="39">
        <f t="shared" si="18"/>
        <v>3.08</v>
      </c>
      <c r="N24" s="39">
        <f t="shared" si="19"/>
        <v>0.7</v>
      </c>
      <c r="O24" s="261">
        <f t="shared" si="20"/>
        <v>2.1559999999999997</v>
      </c>
      <c r="P24" s="259">
        <f t="shared" si="21"/>
        <v>2.1559999999999997</v>
      </c>
      <c r="Q24" s="252">
        <f t="shared" si="22"/>
        <v>67331.844481054359</v>
      </c>
      <c r="R24" s="319">
        <f t="shared" si="23"/>
        <v>70331.844481054359</v>
      </c>
      <c r="S24" s="297">
        <f t="shared" si="15"/>
        <v>3.08</v>
      </c>
      <c r="T24" s="46"/>
      <c r="U24" s="9"/>
      <c r="X24" s="4"/>
    </row>
    <row r="25" spans="2:25" ht="17.399999999999999" x14ac:dyDescent="0.3">
      <c r="B25" s="330">
        <v>2</v>
      </c>
      <c r="C25" s="330" t="s">
        <v>172</v>
      </c>
      <c r="D25" s="333">
        <v>1.7</v>
      </c>
      <c r="E25" s="333">
        <v>0.6</v>
      </c>
      <c r="F25" s="330" t="s">
        <v>173</v>
      </c>
      <c r="G25" s="331">
        <v>52628</v>
      </c>
      <c r="H25" s="331">
        <f t="shared" si="16"/>
        <v>105256</v>
      </c>
      <c r="I25" s="320">
        <f>SUM(I22:I24)</f>
        <v>528395</v>
      </c>
      <c r="J25" s="265"/>
      <c r="K25" s="47">
        <f>SUM(K22:K24)</f>
        <v>265394</v>
      </c>
      <c r="L25" s="332"/>
      <c r="M25" s="39">
        <f t="shared" si="18"/>
        <v>1.78</v>
      </c>
      <c r="N25" s="39">
        <f t="shared" si="19"/>
        <v>0.6</v>
      </c>
      <c r="O25" s="261">
        <f t="shared" si="20"/>
        <v>1.0680000000000001</v>
      </c>
      <c r="P25" s="259">
        <f t="shared" si="21"/>
        <v>0</v>
      </c>
      <c r="Q25" s="252">
        <f t="shared" si="22"/>
        <v>33353.622405271832</v>
      </c>
      <c r="R25" s="319">
        <f t="shared" si="23"/>
        <v>36353.622405271832</v>
      </c>
      <c r="S25" s="297">
        <f t="shared" si="15"/>
        <v>0</v>
      </c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>
        <v>171175</v>
      </c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580570</v>
      </c>
      <c r="I27" s="322"/>
      <c r="J27" s="265"/>
      <c r="K27" s="47">
        <f>K25+K26</f>
        <v>436569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110308.3</v>
      </c>
      <c r="I28" s="322"/>
      <c r="J28" s="265"/>
      <c r="K28" s="47"/>
      <c r="L28" s="47"/>
      <c r="M28" s="39">
        <f>SUM(M21:M27)</f>
        <v>11.52</v>
      </c>
      <c r="N28" s="12"/>
      <c r="O28" s="12"/>
      <c r="P28" s="253">
        <f>SUM(P21:P26)</f>
        <v>8.4979999999999993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690878.3</v>
      </c>
      <c r="I29" s="322"/>
      <c r="J29" s="265"/>
      <c r="K29" s="47"/>
      <c r="L29" s="47"/>
      <c r="M29" s="39"/>
      <c r="N29" s="12"/>
      <c r="O29" s="12"/>
      <c r="P29" s="253">
        <f>P28</f>
        <v>8.4979999999999993</v>
      </c>
      <c r="Q29" s="14"/>
      <c r="R29" s="12"/>
      <c r="S29" s="239">
        <f>SUM(S21:S28)</f>
        <v>12.139999999999999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1.6996</v>
      </c>
      <c r="Q30" s="39" t="s">
        <v>130</v>
      </c>
      <c r="R30" s="42"/>
      <c r="S30" s="240">
        <f>S29+T27</f>
        <v>12.139999999999999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>
        <v>34235</v>
      </c>
      <c r="M31" s="14"/>
      <c r="N31" s="12"/>
      <c r="O31" s="12"/>
      <c r="P31" s="46">
        <f>P29+P30</f>
        <v>10.1976</v>
      </c>
      <c r="Q31" s="14"/>
      <c r="R31" s="14"/>
      <c r="S31" s="238">
        <f>S30*20%</f>
        <v>2.4279999999999999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>
        <f>L31*5</f>
        <v>171175</v>
      </c>
      <c r="M32" s="14"/>
      <c r="N32" s="14"/>
      <c r="O32" s="14"/>
      <c r="P32" s="14"/>
      <c r="Q32" s="14"/>
      <c r="R32" s="14"/>
      <c r="S32" s="240">
        <f>S30+S31</f>
        <v>14.567999999999998</v>
      </c>
      <c r="T32" s="14"/>
      <c r="U32" s="302" t="s">
        <v>21</v>
      </c>
      <c r="V32" s="299" t="s">
        <v>151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10.1976</v>
      </c>
      <c r="N33" s="12">
        <v>1500</v>
      </c>
      <c r="O33" s="12">
        <f t="shared" ref="O33:O38" si="24">M33*N33</f>
        <v>15296.4</v>
      </c>
      <c r="P33" s="14" t="s">
        <v>21</v>
      </c>
      <c r="Q33" s="14"/>
      <c r="R33" s="14"/>
      <c r="S33" s="241"/>
      <c r="T33" s="14"/>
      <c r="U33" s="302" t="s">
        <v>152</v>
      </c>
      <c r="V33" s="299">
        <v>3625</v>
      </c>
      <c r="W33" s="59" t="s">
        <v>153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2.5</v>
      </c>
      <c r="N34" s="12">
        <v>23500</v>
      </c>
      <c r="O34" s="12">
        <f t="shared" si="24"/>
        <v>58750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154</v>
      </c>
      <c r="X34" s="304"/>
    </row>
    <row r="35" spans="1:24" s="230" customFormat="1" ht="17.399999999999999" x14ac:dyDescent="0.35">
      <c r="B35" s="24" t="s">
        <v>150</v>
      </c>
      <c r="J35" s="262"/>
      <c r="K35" s="232"/>
      <c r="L35" s="250"/>
      <c r="M35" s="14"/>
      <c r="N35" s="250">
        <v>23500</v>
      </c>
      <c r="O35" s="12">
        <f t="shared" si="24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155</v>
      </c>
      <c r="X35" s="59"/>
    </row>
    <row r="36" spans="1:24" s="230" customFormat="1" ht="17.399999999999999" x14ac:dyDescent="0.35">
      <c r="B36" s="24" t="s">
        <v>143</v>
      </c>
      <c r="C36"/>
      <c r="D36"/>
      <c r="E36"/>
      <c r="F36"/>
      <c r="J36" s="262"/>
      <c r="K36" s="232"/>
      <c r="L36" s="250"/>
      <c r="M36" s="14"/>
      <c r="N36" s="250">
        <v>19510</v>
      </c>
      <c r="O36" s="12">
        <f t="shared" si="24"/>
        <v>0</v>
      </c>
      <c r="P36" s="14" t="s">
        <v>170</v>
      </c>
      <c r="Q36" s="17"/>
      <c r="S36" s="238"/>
      <c r="T36" s="256"/>
      <c r="U36" s="59"/>
      <c r="V36" s="59">
        <f>V34+V35</f>
        <v>1087.5</v>
      </c>
      <c r="W36" s="304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15700</v>
      </c>
      <c r="O37" s="12">
        <f t="shared" si="24"/>
        <v>0</v>
      </c>
      <c r="P37" s="14" t="s">
        <v>32</v>
      </c>
      <c r="Q37" s="14"/>
      <c r="R37" s="230">
        <v>1.83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>
        <v>3.56</v>
      </c>
      <c r="N38" s="12">
        <v>500</v>
      </c>
      <c r="O38" s="12">
        <f t="shared" si="24"/>
        <v>1780</v>
      </c>
      <c r="P38" s="14" t="s">
        <v>22</v>
      </c>
      <c r="Q38" s="14"/>
      <c r="R38">
        <v>2.5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75826.399999999994</v>
      </c>
      <c r="P39" s="39" t="s">
        <v>23</v>
      </c>
      <c r="Q39" s="14"/>
      <c r="R39">
        <f>R37*R38</f>
        <v>4.5750000000000002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O39*3.5</f>
        <v>265392.39999999997</v>
      </c>
      <c r="P40" s="14" t="s">
        <v>140</v>
      </c>
      <c r="Q40" s="14"/>
      <c r="R40" s="40">
        <f>P31/R39</f>
        <v>2.2289836065573767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L41" s="250"/>
      <c r="M41" s="14"/>
      <c r="N41" s="12"/>
      <c r="O41" s="12">
        <f>O40/P29</f>
        <v>31229.983525535419</v>
      </c>
      <c r="P41" s="45" t="s">
        <v>24</v>
      </c>
      <c r="Q41" s="14"/>
      <c r="R41" s="14"/>
      <c r="S41"/>
      <c r="T41" s="238"/>
      <c r="U41" s="59" t="s">
        <v>157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3.5</v>
      </c>
      <c r="P42" s="15"/>
      <c r="Q42"/>
      <c r="R42"/>
      <c r="S42"/>
      <c r="T42" s="238"/>
      <c r="U42" s="59" t="s">
        <v>159</v>
      </c>
      <c r="V42" s="300" t="s">
        <v>158</v>
      </c>
      <c r="W42" s="59">
        <v>2.4</v>
      </c>
    </row>
    <row r="43" spans="1:24" s="230" customFormat="1" ht="17.399999999999999" x14ac:dyDescent="0.35">
      <c r="G43" s="23"/>
      <c r="J43" s="260"/>
      <c r="L43" s="12"/>
      <c r="T43" s="238"/>
      <c r="U43" s="59" t="s">
        <v>160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-68194.531700120773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580570</v>
      </c>
      <c r="E11" s="132">
        <f>D11*0.19</f>
        <v>110308.3</v>
      </c>
      <c r="F11" s="131">
        <f>E11+D11</f>
        <v>690878.3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37795.468299879227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103880.4907874396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19795.468299879227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476689.50921256037</v>
      </c>
      <c r="E13" s="221">
        <f>(D11/D12)-1</f>
        <v>4.588826117388713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10795.468299879227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-28204.531700120773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171402.80979927533</v>
      </c>
      <c r="F15" s="216">
        <f>E15-D12</f>
        <v>67522.319011835731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-28204.531700120773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11795.468299879227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58750</v>
      </c>
      <c r="E19" s="123">
        <f>D19*0.19</f>
        <v>11162.5</v>
      </c>
      <c r="F19" s="120">
        <f>SUM(D19:E19)</f>
        <v>69912.5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15296.4</v>
      </c>
      <c r="E20" s="121">
        <f>D20*0.19</f>
        <v>2906.3159999999998</v>
      </c>
      <c r="F20" s="120">
        <f>SUM(D20:E20)</f>
        <v>18202.716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74046.399999999994</v>
      </c>
      <c r="E21" s="116">
        <f>SUM(E18:E20)</f>
        <v>14068.815999999999</v>
      </c>
      <c r="F21" s="115">
        <f>SUM(F18:F20)</f>
        <v>88115.216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96239.483999999997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580570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74046.399999999994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476689.50921256037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476689.50921256037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2026-02-05T15:57:32Z</cp:lastPrinted>
  <dcterms:created xsi:type="dcterms:W3CDTF">2013-03-18T13:35:42Z</dcterms:created>
  <dcterms:modified xsi:type="dcterms:W3CDTF">2026-02-05T17:07:08Z</dcterms:modified>
</cp:coreProperties>
</file>