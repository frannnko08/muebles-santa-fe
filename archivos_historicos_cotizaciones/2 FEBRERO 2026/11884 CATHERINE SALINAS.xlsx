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80567125-BB2F-4C7B-8821-40750CB30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L21" i="1"/>
  <c r="N5" i="6"/>
  <c r="A2" i="7"/>
  <c r="M28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9" i="1" s="1"/>
  <c r="T21" i="1"/>
  <c r="T27" i="1" s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8" i="1"/>
  <c r="O37" i="1"/>
  <c r="F18" i="3" l="1"/>
  <c r="O33" i="1" l="1"/>
  <c r="O39" i="1" s="1"/>
  <c r="O40" i="1" s="1"/>
  <c r="D21" i="3" l="1"/>
  <c r="E21" i="3" s="1"/>
  <c r="E22" i="3" s="1"/>
  <c r="O41" i="1" l="1"/>
  <c r="Q20" i="1" s="1"/>
  <c r="D22" i="3"/>
  <c r="M44" i="3" s="1"/>
  <c r="D12" i="3" s="1"/>
  <c r="F21" i="3"/>
  <c r="F22" i="3" s="1"/>
  <c r="O42" i="1" l="1"/>
  <c r="E15" i="3"/>
  <c r="Q21" i="1" l="1"/>
  <c r="F15" i="3"/>
  <c r="R21" i="1" l="1"/>
  <c r="H21" i="1" l="1"/>
  <c r="H27" i="1" s="1"/>
  <c r="H29" i="1" l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E11" i="3"/>
  <c r="D41" i="3" s="1"/>
  <c r="X11" i="3" l="1"/>
  <c r="X12" i="3"/>
  <c r="X16" i="3"/>
  <c r="X13" i="3"/>
  <c r="E13" i="3"/>
  <c r="M43" i="3"/>
  <c r="M47" i="3" s="1"/>
  <c r="M50" i="3" s="1"/>
  <c r="X14" i="3"/>
  <c r="D13" i="3"/>
  <c r="F11" i="3"/>
</calcChain>
</file>

<file path=xl/sharedStrings.xml><?xml version="1.0" encoding="utf-8"?>
<sst xmlns="http://schemas.openxmlformats.org/spreadsheetml/2006/main" count="493" uniqueCount="300">
  <si>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</si>
  <si>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</si>
  <si>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</si>
  <si>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</si>
  <si>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</si>
  <si>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</si>
  <si>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</si>
  <si>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</si>
  <si>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</si>
  <si>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</si>
  <si>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</si>
  <si>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</si>
  <si>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</si>
  <si>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</si>
  <si>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</si>
  <si>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</si>
  <si>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</si>
  <si>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</si>
  <si>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</si>
  <si>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</si>
  <si>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</si>
  <si>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</si>
  <si>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</si>
  <si>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</si>
  <si>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</si>
  <si>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</si>
  <si>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</si>
  <si>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</si>
  <si>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</si>
  <si>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</si>
  <si>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</si>
  <si>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</si>
  <si>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</si>
  <si>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</si>
  <si>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</si>
  <si>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</si>
  <si>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</si>
  <si>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</si>
  <si>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</si>
  <si>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</si>
  <si>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</si>
  <si>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</si>
  <si>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</si>
  <si>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</si>
  <si>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</si>
  <si>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</si>
  <si>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</si>
  <si>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</si>
  <si>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</si>
  <si>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</si>
  <si>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</si>
  <si>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</si>
  <si>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</si>
  <si>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</si>
  <si>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</si>
  <si>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</si>
  <si>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</si>
  <si>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</si>
  <si>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</si>
  <si>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</si>
  <si>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</si>
  <si>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</si>
  <si>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</si>
  <si>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</si>
  <si>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</si>
  <si>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</si>
  <si>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</si>
  <si>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</si>
  <si>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</si>
  <si>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</si>
  <si>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</si>
  <si>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</si>
  <si>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</si>
  <si>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</si>
  <si>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</si>
  <si>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</si>
  <si>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</si>
  <si>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</si>
  <si>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</si>
  <si>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</si>
  <si>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</si>
  <si>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</si>
  <si>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</si>
  <si>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</si>
  <si>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</si>
  <si>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</si>
  <si>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</si>
  <si>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</si>
  <si>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</si>
  <si>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</si>
  <si>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</si>
  <si>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</si>
  <si>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</si>
  <si>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</si>
  <si>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</si>
  <si>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</si>
  <si>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</si>
  <si>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</si>
  <si>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</si>
  <si>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</si>
  <si>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</si>
  <si>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</si>
  <si>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</si>
  <si>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</si>
  <si>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</si>
  <si>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</si>
  <si>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</si>
  <si>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</si>
  <si>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</si>
  <si>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</si>
  <si>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</si>
  <si>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</si>
  <si>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</si>
  <si>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</si>
  <si>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</si>
  <si>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</si>
  <si>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</si>
  <si>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</si>
  <si>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</si>
  <si>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</si>
  <si>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</si>
  <si>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</si>
  <si>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</si>
  <si>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</si>
  <si>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</si>
  <si>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</si>
  <si>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</si>
  <si>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</si>
  <si>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</si>
  <si>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</si>
  <si>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</si>
  <si>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</si>
  <si>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</si>
  <si>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</si>
  <si>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</si>
  <si>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</si>
  <si>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</si>
  <si>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</si>
  <si>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</si>
  <si>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</si>
  <si>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</si>
  <si>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</si>
  <si>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</si>
  <si>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</si>
  <si>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</si>
  <si>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</si>
  <si>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</si>
  <si>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</si>
  <si>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</si>
  <si>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</si>
  <si>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</si>
  <si>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</si>
  <si>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</si>
  <si>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</si>
  <si>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</si>
  <si>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</si>
  <si>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</si>
  <si>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</si>
  <si>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</si>
  <si>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</si>
  <si>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</si>
  <si>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</si>
  <si>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</si>
  <si>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</si>
  <si>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</si>
  <si>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</si>
  <si>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</si>
  <si>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</si>
  <si>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</si>
  <si>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</si>
  <si>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</si>
  <si>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</si>
  <si>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</si>
  <si>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</si>
  <si>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</si>
  <si>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</si>
  <si>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</si>
  <si>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</si>
  <si>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</si>
  <si>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</si>
  <si>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</si>
  <si>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</si>
  <si>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</si>
  <si>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</si>
  <si>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</si>
  <si>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</si>
  <si>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</si>
  <si>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</si>
  <si>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</si>
  <si>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</si>
  <si>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</si>
  <si>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</si>
  <si>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</si>
  <si>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</si>
  <si>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</si>
  <si>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</si>
  <si>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</si>
  <si>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</si>
  <si>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</si>
  <si>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</si>
  <si>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</si>
  <si>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</si>
  <si>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</si>
  <si>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</si>
  <si>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</si>
  <si>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</si>
  <si>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</si>
  <si>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</si>
  <si>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</si>
  <si>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</si>
  <si>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</si>
  <si>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</si>
  <si>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</si>
  <si>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</si>
  <si>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</si>
  <si>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</si>
  <si>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</si>
  <si>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</si>
  <si>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</si>
  <si>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</si>
  <si>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</si>
  <si>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</si>
  <si>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</si>
  <si>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</si>
  <si>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</si>
  <si>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</si>
  <si>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</si>
  <si>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</si>
  <si>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</si>
  <si>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</si>
  <si>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</si>
  <si>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</si>
  <si>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</si>
  <si>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</si>
  <si>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</si>
  <si>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</si>
  <si>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</si>
  <si>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</si>
  <si>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</si>
  <si>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</si>
  <si>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</si>
  <si>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</si>
  <si>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</si>
  <si>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</si>
  <si>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</si>
  <si>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</si>
  <si>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</si>
  <si>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</si>
  <si>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</si>
  <si>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</si>
  <si>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</si>
  <si>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</si>
  <si>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</si>
  <si>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</si>
  <si>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</si>
  <si>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</si>
  <si>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</si>
  <si>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</si>
  <si>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</si>
  <si>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</si>
  <si>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</si>
  <si>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</si>
  <si>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</si>
  <si>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</si>
  <si>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</si>
  <si>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</si>
  <si>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</si>
  <si>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</si>
  <si>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</si>
  <si>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</si>
  <si>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</si>
  <si>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</si>
  <si>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</si>
  <si>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</si>
  <si>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</si>
  <si>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</si>
  <si>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</si>
  <si>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</si>
  <si>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</si>
  <si>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</si>
  <si>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</si>
  <si>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</si>
  <si>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</si>
  <si>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</si>
  <si>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</si>
  <si>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</si>
  <si>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</si>
  <si>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</si>
  <si>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</si>
  <si>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LAMINA CHICA</t>
  </si>
  <si>
    <t>N° 11884</t>
  </si>
  <si>
    <t>CATHERINE SALINAS</t>
  </si>
  <si>
    <t>+569 9449 0390</t>
  </si>
  <si>
    <t>E/R 1 CARA</t>
  </si>
  <si>
    <t>CLASSIC 3111 BR</t>
  </si>
  <si>
    <t>E/R 1 CARA (RESPALDO)</t>
  </si>
  <si>
    <t>HUINCHAS DE ZOCALO</t>
  </si>
  <si>
    <t>TROZOS DE LAMINAS</t>
  </si>
  <si>
    <t>NEGRO OPACO</t>
  </si>
  <si>
    <t>BLANCO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</si>
</sst>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167" fontId="11" fillId="0" borderId="27" xfId="2" applyNumberFormat="1" applyFont="1" applyFill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0" t="s">
        <v>291</v>
      </c>
      <c r="D10" s="243"/>
      <c r="E10" s="243"/>
      <c r="F10" s="418" t="s">
        <v>277</v>
      </c>
      <c r="G10" s="275">
        <v>46071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126831.66943613604</v>
      </c>
      <c r="R20" s="257">
        <v>3000</v>
      </c>
      <c r="S20" s="38"/>
      <c r="T20" s="14" t="s">
        <v>127</v>
      </c>
      <c r="U20" s="9"/>
      <c r="X20" s="4"/>
    </row>
    <row r="21" spans="2:25" ht="18" thickBot="1" x14ac:dyDescent="0.35">
      <c r="B21" s="433">
        <v>1</v>
      </c>
      <c r="C21" s="434" t="s">
        <v>293</v>
      </c>
      <c r="D21" s="435">
        <v>0.56200000000000006</v>
      </c>
      <c r="E21" s="435">
        <v>0.59</v>
      </c>
      <c r="F21" s="434" t="s">
        <v>294</v>
      </c>
      <c r="G21" s="436">
        <v>21990</v>
      </c>
      <c r="H21" s="431">
        <f>G21*B21</f>
        <v>21990</v>
      </c>
      <c r="I21" s="306"/>
      <c r="J21" s="264"/>
      <c r="K21" s="47"/>
      <c r="L21" s="47">
        <f>B21</f>
        <v>1</v>
      </c>
      <c r="M21" s="39">
        <f>D21+M$19</f>
        <v>0.6120000000000001</v>
      </c>
      <c r="N21" s="39">
        <f>E21+$N$19</f>
        <v>0.59</v>
      </c>
      <c r="O21" s="260">
        <f t="shared" ref="O21" si="0">M21*N21</f>
        <v>0.36108000000000001</v>
      </c>
      <c r="P21" s="258">
        <f t="shared" ref="P21" si="1">O21*L21</f>
        <v>0.36108000000000001</v>
      </c>
      <c r="Q21" s="251">
        <f t="shared" ref="Q21" si="2">Q$20*O21</f>
        <v>45796.379200000003</v>
      </c>
      <c r="R21" s="305">
        <f t="shared" ref="R21" si="3">Q21+R$20</f>
        <v>48796.379200000003</v>
      </c>
      <c r="S21" s="290">
        <f>M21*L21</f>
        <v>0.6120000000000001</v>
      </c>
      <c r="T21" s="46">
        <f>N21*2*L21*2</f>
        <v>2.36</v>
      </c>
      <c r="U21" s="9"/>
      <c r="X21" s="4"/>
    </row>
    <row r="22" spans="2:25" ht="18" thickBot="1" x14ac:dyDescent="0.35">
      <c r="B22" s="437">
        <v>1</v>
      </c>
      <c r="C22" s="437" t="s">
        <v>295</v>
      </c>
      <c r="D22" s="438">
        <v>0.56200000000000006</v>
      </c>
      <c r="E22" s="438">
        <v>6.5000000000000002E-2</v>
      </c>
      <c r="F22" s="437" t="s">
        <v>294</v>
      </c>
      <c r="G22" s="439">
        <v>9590</v>
      </c>
      <c r="H22" s="431">
        <f t="shared" ref="H22:H24" si="4">G22*B22</f>
        <v>9590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2:25" ht="18" thickBot="1" x14ac:dyDescent="0.35">
      <c r="B23" s="437">
        <v>3</v>
      </c>
      <c r="C23" s="437" t="s">
        <v>296</v>
      </c>
      <c r="D23" s="438">
        <v>3.08</v>
      </c>
      <c r="E23" s="438">
        <v>0.1</v>
      </c>
      <c r="F23" s="437" t="s">
        <v>298</v>
      </c>
      <c r="G23" s="439">
        <v>6510</v>
      </c>
      <c r="H23" s="431">
        <f t="shared" si="4"/>
        <v>19530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2:25" ht="17.399999999999999" x14ac:dyDescent="0.3">
      <c r="B24" s="437">
        <v>2</v>
      </c>
      <c r="C24" s="437" t="s">
        <v>297</v>
      </c>
      <c r="D24" s="438">
        <v>0.745</v>
      </c>
      <c r="E24" s="438">
        <v>0.35499999999999998</v>
      </c>
      <c r="F24" s="437" t="s">
        <v>299</v>
      </c>
      <c r="G24" s="439">
        <v>8500</v>
      </c>
      <c r="H24" s="431">
        <f t="shared" si="4"/>
        <v>17000</v>
      </c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7.399999999999999" x14ac:dyDescent="0.3">
      <c r="B25" s="283"/>
      <c r="C25" s="283"/>
      <c r="D25" s="284"/>
      <c r="E25" s="284"/>
      <c r="F25" s="283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283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SUM(H21:H24)</f>
        <v>68110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SUM(T21:T26)</f>
        <v>2.36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/>
      <c r="I28" s="308"/>
      <c r="J28" s="264"/>
      <c r="K28" s="47"/>
      <c r="L28" s="47"/>
      <c r="M28" s="39">
        <f>SUM(M26:M27)</f>
        <v>0</v>
      </c>
      <c r="N28" s="12"/>
      <c r="O28" s="12"/>
      <c r="P28" s="252">
        <f>SUM(P21:P21)</f>
        <v>0.36108000000000001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H28+H27</f>
        <v>68110</v>
      </c>
      <c r="I29" s="308"/>
      <c r="J29" s="264"/>
      <c r="K29" s="47"/>
      <c r="L29" s="47"/>
      <c r="M29" s="39"/>
      <c r="N29" s="12"/>
      <c r="O29" s="12"/>
      <c r="P29" s="252">
        <f>P28</f>
        <v>0.36108000000000001</v>
      </c>
      <c r="Q29" s="14"/>
      <c r="R29" s="12"/>
      <c r="S29" s="239">
        <f>SUM(S21:S28)</f>
        <v>0.6120000000000001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7.2216000000000002E-2</v>
      </c>
      <c r="Q30" s="39" t="s">
        <v>129</v>
      </c>
      <c r="R30" s="42"/>
      <c r="S30" s="240">
        <f>S29+T27</f>
        <v>2.972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0.43329600000000001</v>
      </c>
      <c r="Q31" s="14"/>
      <c r="R31" s="14"/>
      <c r="S31" s="238">
        <f>S30*20%</f>
        <v>0.59440000000000004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3.5663999999999998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0.43329600000000001</v>
      </c>
      <c r="N33" s="12">
        <v>3500</v>
      </c>
      <c r="O33" s="12">
        <f t="shared" ref="O33:O38" si="5">M33*N33</f>
        <v>1516.5360000000001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0.3</v>
      </c>
      <c r="N34" s="12">
        <v>23500</v>
      </c>
      <c r="O34" s="12">
        <f t="shared" si="5"/>
        <v>7050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5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0.5</v>
      </c>
      <c r="N36" s="249">
        <v>20000</v>
      </c>
      <c r="O36" s="12">
        <f t="shared" si="5"/>
        <v>10000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5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>
        <v>1.5</v>
      </c>
      <c r="N38" s="12">
        <v>1500</v>
      </c>
      <c r="O38" s="12">
        <f t="shared" si="5"/>
        <v>2250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20816.536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O39*2.2</f>
        <v>45796.379200000003</v>
      </c>
      <c r="P40" s="14" t="s">
        <v>138</v>
      </c>
      <c r="Q40" s="14"/>
      <c r="R40" s="40">
        <f>P31/R39</f>
        <v>0.11682916307161346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70970</v>
      </c>
      <c r="L41" s="249"/>
      <c r="M41" s="14"/>
      <c r="N41" s="12"/>
      <c r="O41" s="12">
        <f>O40/P29</f>
        <v>126831.66943613604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59638.655462184877</v>
      </c>
      <c r="L42" s="249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46071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1958.5056998792254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68110</v>
      </c>
      <c r="E11" s="132">
        <f>D11*0.19</f>
        <v>12940.9</v>
      </c>
      <c r="F11" s="131">
        <f>E11+D11</f>
        <v>81050.899999999994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107948.50569987923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48400.626787439614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89948.505699879228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19709.373212560386</v>
      </c>
      <c r="E13" s="221">
        <f>(D11/D12)-1</f>
        <v>0.40721318133167528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80948.505699879228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41948.505699879228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79861.034199275353</v>
      </c>
      <c r="F15" s="216">
        <f>E15-D12</f>
        <v>31460.407411835738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41948.505699879228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81948.505699879228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289</v>
      </c>
      <c r="D19" s="122">
        <f>'2229'!O36</f>
        <v>10000</v>
      </c>
      <c r="E19" s="123">
        <f>D19*0.19</f>
        <v>1900</v>
      </c>
      <c r="F19" s="120">
        <f>SUM(D19:E19)</f>
        <v>11900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32"/>
      <c r="W19" s="432"/>
      <c r="X19" s="106"/>
    </row>
    <row r="20" spans="1:31" x14ac:dyDescent="0.3">
      <c r="C20" s="79" t="s">
        <v>31</v>
      </c>
      <c r="D20" s="122">
        <f>'2229'!O34</f>
        <v>7050</v>
      </c>
      <c r="E20" s="123">
        <f>D20*0.19</f>
        <v>1339.5</v>
      </c>
      <c r="F20" s="120">
        <f>SUM(D20:E20)</f>
        <v>8389.5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'2229'!O33</f>
        <v>1516.5360000000001</v>
      </c>
      <c r="E21" s="121">
        <f>D21*0.19</f>
        <v>288.14184</v>
      </c>
      <c r="F21" s="120">
        <f>SUM(D21:E21)</f>
        <v>1804.6778400000001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18566.536</v>
      </c>
      <c r="E22" s="116">
        <f>SUM(E18:E21)</f>
        <v>3527.6418400000002</v>
      </c>
      <c r="F22" s="115">
        <f>SUM(F18:F21)</f>
        <v>22094.17784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9413.2581599999994</v>
      </c>
    </row>
    <row r="42" spans="1:16" ht="15" thickBot="1" x14ac:dyDescent="0.35">
      <c r="H42" s="447" t="s">
        <v>60</v>
      </c>
      <c r="I42" s="448"/>
      <c r="J42" s="448"/>
      <c r="K42" s="448"/>
      <c r="L42" s="448"/>
      <c r="M42" s="449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68110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18566.536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19709.373212560386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19709.373212560386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11884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CATHERINE SALINAS</v>
      </c>
      <c r="D10" s="350"/>
      <c r="E10" s="350"/>
      <c r="F10" s="351" t="s">
        <v>167</v>
      </c>
      <c r="G10" s="352">
        <f>'2229'!G10</f>
        <v>46071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+569 9449 0390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E/R 1 CARA</v>
      </c>
      <c r="D22" s="321">
        <f>'2229'!D21*1000</f>
        <v>562</v>
      </c>
      <c r="E22" s="321">
        <f>'2229'!E21*1000</f>
        <v>590</v>
      </c>
      <c r="F22" s="322" t="str">
        <f>'2229'!F21</f>
        <v>CLASSIC 3111 BR</v>
      </c>
      <c r="G22" s="314">
        <f>'2229'!G21</f>
        <v>21990</v>
      </c>
      <c r="H22" s="323">
        <f>G22*B22</f>
        <v>21990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21990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4178.1000000000004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26168.1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1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CATHERINE SALINAS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46071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46078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11884</v>
      </c>
      <c r="C2" s="1">
        <f>'NOTA DE VENTA'!$G$10</f>
        <v>46071</v>
      </c>
      <c r="D2" s="1">
        <f>'NOTA DE VENTA'!$G$11</f>
        <v>46078</v>
      </c>
      <c r="E2" t="str">
        <f>'NOTA DE VENTA'!$C$10</f>
        <v>CATHERINE SALINAS</v>
      </c>
      <c r="F2" t="str">
        <f>'NOTA DE VENTA'!$C$22</f>
        <v>E/R 1 CARA</v>
      </c>
      <c r="G2" t="str">
        <f>'NOTA DE VENTA'!$F$22</f>
        <v>CLASSIC 3111 BR</v>
      </c>
      <c r="H2" s="416">
        <f>'NOTA DE VENTA'!$H$25</f>
        <v>21990</v>
      </c>
      <c r="I2" s="416">
        <f>H2*0.19</f>
        <v>4178.1000000000004</v>
      </c>
      <c r="J2" s="416">
        <f>I2+H2</f>
        <v>26168.1</v>
      </c>
      <c r="L2" s="61">
        <f>J2-K2</f>
        <v>26168.1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2026-02-05T11:52:42Z</cp:lastPrinted>
  <dcterms:created xsi:type="dcterms:W3CDTF">2013-03-18T13:35:42Z</dcterms:created>
  <dcterms:modified xsi:type="dcterms:W3CDTF">2026-02-18T21:41:39Z</dcterms:modified>
</cp:coreProperties>
</file>