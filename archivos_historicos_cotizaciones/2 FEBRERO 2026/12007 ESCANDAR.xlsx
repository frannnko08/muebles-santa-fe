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6\"/>
    </mc:Choice>
  </mc:AlternateContent>
  <xr:revisionPtr revIDLastSave="0" documentId="13_ncr:1_{52DD2F95-4D5C-4B0E-8A9C-B63CB24278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T21" i="1" s="1"/>
  <c r="K5" i="6" l="1"/>
  <c r="D14" i="6"/>
  <c r="E14" i="6"/>
  <c r="E21" i="6"/>
  <c r="D21" i="6"/>
  <c r="L5" i="6"/>
  <c r="M5" i="6"/>
  <c r="D2" i="7"/>
  <c r="D8" i="6"/>
  <c r="M21" i="1"/>
  <c r="S21" i="1" s="1"/>
  <c r="M25" i="1" l="1"/>
  <c r="S26" i="1"/>
  <c r="T24" i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<sst xmlns="http://schemas.openxmlformats.org/spreadsheetml/2006/main" count="487" uniqueCount="295">
  <si>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</si>
  <si>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</si>
  <si>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</si>
  <si>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</si>
  <si>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</si>
  <si>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</si>
  <si>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</si>
  <si>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</si>
  <si>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</si>
  <si>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</si>
  <si>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</si>
  <si>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</si>
  <si>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</si>
  <si>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</si>
  <si>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</si>
  <si>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</si>
  <si>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</si>
  <si>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</si>
  <si>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</si>
  <si>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</si>
  <si>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</si>
  <si>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</si>
  <si>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</si>
  <si>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</si>
  <si>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</si>
  <si>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</si>
  <si>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</si>
  <si>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</si>
  <si>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</si>
  <si>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</si>
  <si>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</si>
  <si>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</si>
  <si>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</si>
  <si>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</si>
  <si>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</si>
  <si>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</si>
  <si>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</si>
  <si>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</si>
  <si>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</si>
  <si>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</si>
  <si>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</si>
  <si>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</si>
  <si>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</si>
  <si>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</si>
  <si>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</si>
  <si>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</si>
  <si>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</si>
  <si>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</si>
  <si>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</si>
  <si>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</si>
  <si>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</si>
  <si>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</si>
  <si>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</si>
  <si>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</si>
  <si>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</si>
  <si>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</si>
  <si>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</si>
  <si>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</si>
  <si>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</si>
  <si>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</si>
  <si>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</si>
  <si>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</si>
  <si>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</si>
  <si>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</si>
  <si>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</si>
  <si>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</si>
  <si>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</si>
  <si>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</si>
  <si>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</si>
  <si>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</si>
  <si>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</si>
  <si>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</si>
  <si>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</si>
  <si>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</si>
  <si>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</si>
  <si>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</si>
  <si>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</si>
  <si>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</si>
  <si>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</si>
  <si>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</si>
  <si>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</si>
  <si>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</si>
  <si>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</si>
  <si>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</si>
  <si>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</si>
  <si>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</si>
  <si>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</si>
  <si>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</si>
  <si>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</si>
  <si>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</si>
  <si>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</si>
  <si>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</si>
  <si>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</si>
  <si>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</si>
  <si>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</si>
  <si>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</si>
  <si>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</si>
  <si>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</si>
  <si>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</si>
  <si>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</si>
  <si>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</si>
  <si>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</si>
  <si>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</si>
  <si>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</si>
  <si>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</si>
  <si>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</si>
  <si>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</si>
  <si>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</si>
  <si>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</si>
  <si>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</si>
  <si>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</si>
  <si>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</si>
  <si>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</si>
  <si>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</si>
  <si>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</si>
  <si>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</si>
  <si>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</si>
  <si>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</si>
  <si>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</si>
  <si>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</si>
  <si>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</si>
  <si>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</si>
  <si>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</si>
  <si>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</si>
  <si>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</si>
  <si>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</si>
  <si>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</si>
  <si>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</si>
  <si>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</si>
  <si>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</si>
  <si>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</si>
  <si>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</si>
  <si>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</si>
  <si>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</si>
  <si>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</si>
  <si>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</si>
  <si>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</si>
  <si>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</si>
  <si>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</si>
  <si>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</si>
  <si>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</si>
  <si>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</si>
  <si>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</si>
  <si>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</si>
  <si>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</si>
  <si>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</si>
  <si>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</si>
  <si>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</si>
  <si>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</si>
  <si>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</si>
  <si>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</si>
  <si>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</si>
  <si>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</si>
  <si>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</si>
  <si>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</si>
  <si>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</si>
  <si>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</si>
  <si>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</si>
  <si>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</si>
  <si>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</si>
  <si>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</si>
  <si>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</si>
  <si>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</si>
  <si>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</si>
  <si>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</si>
  <si>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</si>
  <si>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</si>
  <si>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</si>
  <si>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</si>
  <si>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</si>
  <si>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</si>
  <si>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</si>
  <si>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</si>
  <si>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</si>
  <si>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</si>
  <si>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</si>
  <si>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</si>
  <si>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</si>
  <si>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</si>
  <si>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</si>
  <si>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</si>
  <si>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</si>
  <si>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</si>
  <si>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</si>
  <si>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</si>
  <si>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</si>
  <si>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</si>
  <si>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</si>
  <si>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</si>
  <si>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</si>
  <si>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</si>
  <si>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</si>
  <si>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</si>
  <si>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</si>
  <si>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</si>
  <si>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</si>
  <si>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</si>
  <si>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</si>
  <si>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</si>
  <si>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</si>
  <si>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</si>
  <si>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</si>
  <si>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</si>
  <si>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</si>
  <si>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</si>
  <si>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</si>
  <si>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</si>
  <si>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</si>
  <si>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</si>
  <si>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</si>
  <si>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</si>
  <si>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</si>
  <si>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</si>
  <si>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</si>
  <si>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</si>
  <si>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</si>
  <si>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</si>
  <si>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</si>
  <si>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</si>
  <si>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</si>
  <si>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</si>
  <si>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</si>
  <si>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</si>
  <si>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</si>
  <si>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</si>
  <si>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</si>
  <si>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</si>
  <si>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</si>
  <si>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</si>
  <si>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</si>
  <si>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</si>
  <si>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</si>
  <si>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</si>
  <si>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</si>
  <si>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</si>
  <si>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</si>
  <si>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</si>
  <si>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</si>
  <si>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</si>
  <si>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</si>
  <si>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</si>
  <si>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</si>
  <si>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</si>
  <si>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</si>
  <si>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</si>
  <si>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</si>
  <si>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</si>
  <si>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</si>
  <si>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</si>
  <si>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</si>
  <si>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</si>
  <si>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</si>
  <si>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</si>
  <si>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</si>
  <si>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</si>
  <si>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</si>
  <si>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</si>
  <si>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</si>
  <si>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</si>
  <si>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</si>
  <si>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</si>
  <si>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</si>
  <si>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</si>
  <si>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</si>
  <si>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</si>
  <si>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</si>
  <si>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</si>
  <si>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</si>
  <si>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</si>
  <si>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</si>
  <si>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</si>
  <si>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</si>
  <si>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</si>
  <si>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</si>
  <si>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</si>
  <si>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</si>
  <si>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</si>
  <si>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</si>
  <si>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</si>
  <si>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</si>
  <si>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</si>
  <si>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</si>
  <si>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</si>
  <si>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</si>
  <si>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</si>
  <si>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</si>
  <si>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</si>
  <si>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</si>
  <si>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12007</t>
  </si>
  <si>
    <t>ESCANDAR</t>
  </si>
  <si>
    <t>J.GONZALEZ</t>
  </si>
  <si>
    <t>+56 9 6849 1403</t>
  </si>
  <si>
    <t>10 DIAS HABILES</t>
  </si>
  <si>
    <t>CUB S/R FRENTE 180°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</si>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</sst>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</a:t>
          </a:r>
          <a:r>
            <a:rPr lang="es-CL" sz="1200" b="1" baseline="0"/>
            <a:t> CORTADAS A LA MEDIDA Y ENCHAPADAS CON LA MISMA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8" t="s">
        <v>277</v>
      </c>
      <c r="G10" s="275">
        <v>46078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290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43570.256410256407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16</v>
      </c>
      <c r="C21" s="431" t="s">
        <v>293</v>
      </c>
      <c r="D21" s="432">
        <v>0.7</v>
      </c>
      <c r="E21" s="432">
        <v>0.5</v>
      </c>
      <c r="F21" s="313" t="s">
        <v>294</v>
      </c>
      <c r="G21" s="314">
        <v>21992</v>
      </c>
      <c r="H21" s="433">
        <f>G21*B21</f>
        <v>351872</v>
      </c>
      <c r="I21" s="306"/>
      <c r="J21" s="264"/>
      <c r="K21" s="47"/>
      <c r="L21" s="47">
        <f>B21</f>
        <v>16</v>
      </c>
      <c r="M21" s="39">
        <f>D21+M$19</f>
        <v>0.77999999999999992</v>
      </c>
      <c r="N21" s="39">
        <f>E21+$N$19</f>
        <v>0.5</v>
      </c>
      <c r="O21" s="260">
        <f t="shared" ref="O21" si="0">M21*N21</f>
        <v>0.38999999999999996</v>
      </c>
      <c r="P21" s="258">
        <f t="shared" ref="P21" si="1">O21*L21</f>
        <v>6.2399999999999993</v>
      </c>
      <c r="Q21" s="251">
        <f t="shared" ref="Q21" si="2">Q$20*O21</f>
        <v>16992.399999999998</v>
      </c>
      <c r="R21" s="305">
        <f t="shared" ref="R21" si="3">Q21+R$20</f>
        <v>21992.399999999998</v>
      </c>
      <c r="S21" s="290">
        <f>M21*L21*2</f>
        <v>24.959999999999997</v>
      </c>
      <c r="T21" s="46">
        <f>N21*2*L21*2</f>
        <v>32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351872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32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66855.680000000008</v>
      </c>
      <c r="I25" s="308"/>
      <c r="J25" s="264"/>
      <c r="K25" s="47"/>
      <c r="L25" s="47"/>
      <c r="M25" s="39">
        <f>SUM(M21:M24)</f>
        <v>0.77999999999999992</v>
      </c>
      <c r="N25" s="12"/>
      <c r="O25" s="12"/>
      <c r="P25" s="252">
        <f>SUM(P21:P22)</f>
        <v>6.2399999999999993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418727.67999999999</v>
      </c>
      <c r="I26" s="308"/>
      <c r="J26" s="264"/>
      <c r="K26" s="47"/>
      <c r="L26" s="47"/>
      <c r="M26" s="39"/>
      <c r="N26" s="12"/>
      <c r="O26" s="12"/>
      <c r="P26" s="252">
        <f>P25</f>
        <v>6.2399999999999993</v>
      </c>
      <c r="Q26" s="14"/>
      <c r="R26" s="12"/>
      <c r="S26" s="239">
        <f>SUM(S21:S25)</f>
        <v>24.959999999999997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1.248</v>
      </c>
      <c r="Q27" s="39" t="s">
        <v>129</v>
      </c>
      <c r="R27" s="42"/>
      <c r="S27" s="240">
        <f>S26+T24</f>
        <v>56.959999999999994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7.4879999999999995</v>
      </c>
      <c r="Q28" s="14"/>
      <c r="R28" s="14"/>
      <c r="S28" s="238">
        <f>S27*20%</f>
        <v>11.391999999999999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68.35199999999999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7.4879999999999995</v>
      </c>
      <c r="N30" s="12">
        <v>3500</v>
      </c>
      <c r="O30" s="12">
        <f t="shared" ref="O30:O35" si="4">M30*N30</f>
        <v>26208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2</v>
      </c>
      <c r="N31" s="12">
        <v>23500</v>
      </c>
      <c r="O31" s="12">
        <f t="shared" si="4"/>
        <v>47000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2</v>
      </c>
      <c r="N33" s="249">
        <v>22500</v>
      </c>
      <c r="O33" s="12">
        <f t="shared" si="4"/>
        <v>45000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118208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O36*2.3</f>
        <v>271878.39999999997</v>
      </c>
      <c r="P37" s="14" t="s">
        <v>138</v>
      </c>
      <c r="Q37" s="14"/>
      <c r="R37" s="40">
        <f>P28/R36</f>
        <v>2.0189818809318378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43570.256410256407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46078</v>
      </c>
    </row>
    <row r="6" spans="2:31" ht="16.2" thickBot="1" x14ac:dyDescent="0.35">
      <c r="B6" s="140" t="s">
        <v>2</v>
      </c>
      <c r="C6" s="139" t="str">
        <f>'2229'!C10</f>
        <v>ESCANDAR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-30308.758366787442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351872</v>
      </c>
      <c r="E11" s="132">
        <f>D11*0.19</f>
        <v>66855.680000000008</v>
      </c>
      <c r="F11" s="131">
        <f>E11+D11</f>
        <v>418727.67999999999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75681.241633212558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103042.09078743961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57681.241633212558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248829.90921256039</v>
      </c>
      <c r="E13" s="221">
        <f>(D11/D12)-1</f>
        <v>2.4148375417367958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48681.241633212558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9681.2416332125576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170019.44979927535</v>
      </c>
      <c r="F15" s="216">
        <f>E15-D12</f>
        <v>66977.359011835739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9681.2416332125576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49681.241633212558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26208</v>
      </c>
      <c r="E20" s="121">
        <f>D20*0.19</f>
        <v>4979.5200000000004</v>
      </c>
      <c r="F20" s="120">
        <f>SUM(D20:E20)</f>
        <v>31187.52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73208</v>
      </c>
      <c r="E21" s="116">
        <f>SUM(E18:E20)</f>
        <v>13909.52</v>
      </c>
      <c r="F21" s="115">
        <f>SUM(F18:F20)</f>
        <v>87117.52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52946.16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351872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73208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248829.90921256039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248829.90921256039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12007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ESCANDAR</v>
      </c>
      <c r="D10" s="350"/>
      <c r="E10" s="350"/>
      <c r="F10" s="351" t="s">
        <v>167</v>
      </c>
      <c r="G10" s="352">
        <f>'2229'!G10</f>
        <v>46078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46085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J.GONZALEZ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+56 9 6849 1403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16</v>
      </c>
      <c r="C22" s="313" t="str">
        <f>'2229'!C21</f>
        <v>CUB S/R FRENTE 180°</v>
      </c>
      <c r="D22" s="321">
        <f>'2229'!D21*1000</f>
        <v>700</v>
      </c>
      <c r="E22" s="321">
        <f>'2229'!E21*1000</f>
        <v>500</v>
      </c>
      <c r="F22" s="322" t="str">
        <f>'2229'!F21</f>
        <v>BLANCO 2114 MT</v>
      </c>
      <c r="G22" s="314">
        <f>'2229'!G21</f>
        <v>21992</v>
      </c>
      <c r="H22" s="323">
        <f>G22*B22</f>
        <v>351872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351872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66855.680000000008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418727.67999999999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ESCANDAR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46078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46085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12007</v>
      </c>
      <c r="C2" s="1">
        <f>'NOTA DE VENTA'!$G$10</f>
        <v>46078</v>
      </c>
      <c r="D2" s="1">
        <f>'NOTA DE VENTA'!$G$11</f>
        <v>46085</v>
      </c>
      <c r="E2" t="str">
        <f>'NOTA DE VENTA'!$C$10</f>
        <v>ESCANDAR</v>
      </c>
      <c r="F2" t="str">
        <f>'NOTA DE VENTA'!$C$22</f>
        <v>CUB S/R FRENTE 180°</v>
      </c>
      <c r="G2" t="str">
        <f>'NOTA DE VENTA'!$F$22</f>
        <v>BLANCO 2114 MT</v>
      </c>
      <c r="H2" s="416">
        <f>'NOTA DE VENTA'!$H$25</f>
        <v>351872</v>
      </c>
      <c r="I2" s="416">
        <f>H2*0.19</f>
        <v>66855.680000000008</v>
      </c>
      <c r="J2" s="416">
        <f>I2+H2</f>
        <v>418727.67999999999</v>
      </c>
      <c r="L2" s="61">
        <f>J2-K2</f>
        <v>418727.67999999999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2026-02-06T18:54:57Z</cp:lastPrinted>
  <dcterms:created xsi:type="dcterms:W3CDTF">2013-03-18T13:35:42Z</dcterms:created>
  <dcterms:modified xsi:type="dcterms:W3CDTF">2026-02-25T20:18:13Z</dcterms:modified>
</cp:coreProperties>
</file>