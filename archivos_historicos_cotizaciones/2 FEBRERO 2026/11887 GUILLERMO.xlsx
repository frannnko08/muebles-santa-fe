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757FEE91-DA84-4BEC-8E15-AE9BDA17E9B0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/>
  <c r="L23" i="1"/>
  <c r="M23" i="1"/>
  <c r="N23" i="1"/>
  <c r="S23" i="1"/>
  <c r="L24" i="1"/>
  <c r="M24" i="1"/>
  <c r="N24" i="1"/>
  <c r="O24" i="1" s="1"/>
  <c r="P24" i="1" s="1"/>
  <c r="S24" i="1"/>
  <c r="L25" i="1"/>
  <c r="M25" i="1"/>
  <c r="N25" i="1"/>
  <c r="O25" i="1" s="1"/>
  <c r="P25" i="1" s="1"/>
  <c r="S25" i="1"/>
  <c r="L26" i="1"/>
  <c r="M26" i="1"/>
  <c r="N26" i="1"/>
  <c r="O26" i="1" s="1"/>
  <c r="P26" i="1" s="1"/>
  <c r="S26" i="1"/>
  <c r="L27" i="1"/>
  <c r="M27" i="1"/>
  <c r="N27" i="1"/>
  <c r="O27" i="1" s="1"/>
  <c r="P27" i="1" s="1"/>
  <c r="S27" i="1"/>
  <c r="L21" i="1"/>
  <c r="N5" i="6"/>
  <c r="A2" i="7"/>
  <c r="O23" i="1" l="1"/>
  <c r="P23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30" i="1" l="1"/>
  <c r="S31" i="1"/>
  <c r="T29" i="1"/>
  <c r="O21" i="1"/>
  <c r="P21" i="1" s="1"/>
  <c r="P30" i="1" s="1"/>
  <c r="K44" i="1"/>
  <c r="S32" i="1" l="1"/>
  <c r="S33" i="1" s="1"/>
  <c r="S34" i="1" s="1"/>
  <c r="V37" i="1"/>
  <c r="V38" i="1" s="1"/>
  <c r="P31" i="1" l="1"/>
  <c r="N20" i="1"/>
  <c r="L20" i="1"/>
  <c r="P32" i="1" l="1"/>
  <c r="P33" i="1" s="1"/>
  <c r="M35" i="1" s="1"/>
  <c r="O37" i="1"/>
  <c r="R41" i="1"/>
  <c r="R42" i="1" l="1"/>
  <c r="O36" i="1" s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D20" i="3" l="1"/>
  <c r="E20" i="3" s="1"/>
  <c r="E21" i="3" s="1"/>
  <c r="O43" i="1" l="1"/>
  <c r="Q20" i="1" s="1"/>
  <c r="D21" i="3"/>
  <c r="M43" i="3" s="1"/>
  <c r="D12" i="3" s="1"/>
  <c r="F20" i="3"/>
  <c r="F21" i="3" s="1"/>
  <c r="Q23" i="1" l="1"/>
  <c r="R23" i="1" s="1"/>
  <c r="H23" i="1" s="1"/>
  <c r="Q24" i="1"/>
  <c r="Q25" i="1"/>
  <c r="Q26" i="1"/>
  <c r="Q27" i="1"/>
  <c r="Q22" i="1"/>
  <c r="O44" i="1"/>
  <c r="E15" i="3"/>
  <c r="R27" i="1" l="1"/>
  <c r="G27" i="1" s="1"/>
  <c r="H27" i="1" s="1"/>
  <c r="R26" i="1"/>
  <c r="G26" i="1" s="1"/>
  <c r="H26" i="1" s="1"/>
  <c r="R25" i="1"/>
  <c r="G25" i="1" s="1"/>
  <c r="H25" i="1" s="1"/>
  <c r="R22" i="1"/>
  <c r="G22" i="1" s="1"/>
  <c r="H22" i="1" s="1"/>
  <c r="R24" i="1"/>
  <c r="G24" i="1" s="1"/>
  <c r="H24" i="1" s="1"/>
  <c r="Q21" i="1"/>
  <c r="F15" i="3"/>
  <c r="R21" i="1" l="1"/>
  <c r="G21" i="1" s="1"/>
  <c r="H21" i="1" l="1"/>
  <c r="H29" i="1" s="1"/>
  <c r="H30" i="1" l="1"/>
  <c r="H31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<sst xmlns="http://schemas.openxmlformats.org/spreadsheetml/2006/main" count="498" uniqueCount="296">
  <si>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</si>
  <si>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</si>
  <si>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</si>
  <si>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</si>
  <si>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</si>
  <si>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</si>
  <si>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</si>
  <si>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</si>
  <si>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</si>
  <si>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</si>
  <si>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</si>
  <si>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</si>
  <si>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</si>
  <si>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</si>
  <si>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</si>
  <si>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</si>
  <si>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</si>
  <si>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</si>
  <si>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</si>
  <si>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</si>
  <si>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</si>
  <si>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</si>
  <si>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</si>
  <si>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</si>
  <si>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</si>
  <si>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</si>
  <si>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</si>
  <si>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</si>
  <si>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</si>
  <si>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</si>
  <si>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</si>
  <si>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</si>
  <si>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</si>
  <si>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</si>
  <si>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</si>
  <si>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</si>
  <si>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</si>
  <si>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</si>
  <si>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</si>
  <si>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</si>
  <si>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</si>
  <si>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</si>
  <si>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</si>
  <si>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</si>
  <si>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</si>
  <si>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</si>
  <si>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</si>
  <si>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</si>
  <si>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</si>
  <si>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</si>
  <si>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</si>
  <si>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</si>
  <si>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</si>
  <si>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</si>
  <si>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</si>
  <si>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</si>
  <si>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</si>
  <si>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</si>
  <si>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</si>
  <si>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</si>
  <si>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</si>
  <si>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</si>
  <si>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</si>
  <si>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</si>
  <si>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</si>
  <si>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</si>
  <si>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</si>
  <si>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</si>
  <si>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</si>
  <si>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</si>
  <si>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</si>
  <si>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</si>
  <si>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</si>
  <si>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</si>
  <si>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</si>
  <si>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</si>
  <si>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</si>
  <si>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</si>
  <si>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</si>
  <si>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</si>
  <si>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</si>
  <si>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</si>
  <si>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</si>
  <si>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</si>
  <si>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</si>
  <si>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</si>
  <si>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</si>
  <si>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</si>
  <si>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</si>
  <si>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</si>
  <si>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</si>
  <si>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</si>
  <si>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</si>
  <si>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</si>
  <si>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</si>
  <si>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</si>
  <si>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</si>
  <si>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</si>
  <si>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</si>
  <si>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</si>
  <si>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</si>
  <si>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</si>
  <si>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</si>
  <si>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</si>
  <si>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</si>
  <si>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</si>
  <si>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</si>
  <si>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</si>
  <si>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</si>
  <si>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</si>
  <si>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</si>
  <si>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</si>
  <si>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</si>
  <si>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</si>
  <si>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</si>
  <si>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</si>
  <si>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</si>
  <si>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</si>
  <si>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</si>
  <si>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</si>
  <si>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</si>
  <si>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</si>
  <si>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</si>
  <si>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</si>
  <si>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</si>
  <si>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</si>
  <si>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</si>
  <si>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</si>
  <si>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</si>
  <si>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</si>
  <si>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</si>
  <si>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</si>
  <si>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</si>
  <si>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</si>
  <si>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</si>
  <si>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</si>
  <si>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</si>
  <si>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</si>
  <si>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</si>
  <si>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</si>
  <si>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</si>
  <si>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</si>
  <si>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</si>
  <si>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</si>
  <si>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</si>
  <si>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</si>
  <si>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</si>
  <si>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</si>
  <si>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</si>
  <si>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</si>
  <si>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</si>
  <si>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</si>
  <si>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</si>
  <si>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</si>
  <si>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</si>
  <si>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</si>
  <si>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</si>
  <si>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</si>
  <si>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</si>
  <si>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</si>
  <si>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</si>
  <si>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</si>
  <si>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</si>
  <si>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</si>
  <si>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</si>
  <si>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</si>
  <si>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</si>
  <si>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</si>
  <si>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</si>
  <si>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</si>
  <si>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</si>
  <si>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</si>
  <si>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</si>
  <si>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</si>
  <si>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</si>
  <si>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</si>
  <si>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</si>
  <si>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</si>
  <si>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</si>
  <si>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</si>
  <si>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</si>
  <si>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</si>
  <si>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</si>
  <si>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</si>
  <si>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</si>
  <si>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</si>
  <si>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</si>
  <si>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</si>
  <si>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</si>
  <si>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</si>
  <si>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</si>
  <si>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</si>
  <si>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</si>
  <si>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</si>
  <si>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</si>
  <si>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</si>
  <si>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</si>
  <si>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</si>
  <si>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</si>
  <si>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</si>
  <si>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</si>
  <si>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</si>
  <si>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</si>
  <si>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</si>
  <si>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</si>
  <si>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</si>
  <si>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</si>
  <si>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</si>
  <si>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</si>
  <si>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</si>
  <si>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</si>
  <si>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</si>
  <si>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</si>
  <si>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</si>
  <si>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</si>
  <si>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</si>
  <si>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</si>
  <si>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</si>
  <si>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</si>
  <si>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</si>
  <si>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</si>
  <si>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</si>
  <si>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</si>
  <si>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</si>
  <si>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</si>
  <si>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</si>
  <si>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</si>
  <si>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</si>
  <si>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</si>
  <si>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</si>
  <si>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</si>
  <si>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</si>
  <si>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</si>
  <si>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</si>
  <si>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</si>
  <si>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</si>
  <si>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</si>
  <si>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</si>
  <si>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</si>
  <si>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</si>
  <si>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</si>
  <si>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</si>
  <si>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</si>
  <si>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</si>
  <si>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</si>
  <si>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</si>
  <si>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</si>
  <si>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</si>
  <si>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</si>
  <si>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</si>
  <si>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</si>
  <si>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</si>
  <si>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</si>
  <si>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</si>
  <si>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</si>
  <si>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</si>
  <si>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</si>
  <si>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</si>
  <si>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</si>
  <si>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</si>
  <si>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</si>
  <si>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</si>
  <si>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</si>
  <si>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</si>
  <si>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</si>
  <si>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</si>
  <si>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</si>
  <si>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</si>
  <si>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</si>
  <si>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</si>
  <si>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</si>
  <si>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</si>
  <si>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</si>
  <si>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</si>
  <si>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</si>
  <si>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</si>
  <si>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</si>
  <si>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</si>
  <si>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</si>
  <si>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</si>
  <si>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</si>
  <si>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</si>
  <si>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</si>
  <si>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</si>
  <si>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</si>
  <si>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</si>
  <si>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</si>
  <si>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</si>
  <si>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</si>
  <si>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+569 7796 8431</t>
  </si>
  <si>
    <t>N° 11886</t>
  </si>
  <si>
    <t>GUILLERMO</t>
  </si>
  <si>
    <t>CUB SIN RESPALDO ENCHAPE RECTO</t>
  </si>
  <si>
    <t>CUB MESA 3 LADOS ENCHAPE RECTO</t>
  </si>
  <si>
    <t>RESPALDO ENCHAPE RECTO</t>
  </si>
  <si>
    <t>BLANCO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</si>
</sst>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214364</xdr:rowOff>
    </xdr:from>
    <xdr:to>
      <xdr:col>5</xdr:col>
      <xdr:colOff>1728839</xdr:colOff>
      <xdr:row>30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16" zoomScale="93" zoomScaleNormal="93" workbookViewId="0">
      <selection activeCell="A16" sqref="A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8" t="s">
        <v>277</v>
      </c>
      <c r="G10" s="275">
        <v>46065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289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O43</f>
        <v>46524.545454545449</v>
      </c>
      <c r="R20" s="257">
        <v>5000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58" t="s">
        <v>292</v>
      </c>
      <c r="D21" s="459">
        <v>1.25</v>
      </c>
      <c r="E21" s="459">
        <v>0.6</v>
      </c>
      <c r="F21" s="313" t="s">
        <v>295</v>
      </c>
      <c r="G21" s="314">
        <f>R21</f>
        <v>42126.587272727273</v>
      </c>
      <c r="H21" s="460">
        <f>G21*B21</f>
        <v>42126.587272727273</v>
      </c>
      <c r="I21" s="306"/>
      <c r="J21" s="264"/>
      <c r="K21" s="47"/>
      <c r="L21" s="47">
        <f>B21</f>
        <v>1</v>
      </c>
      <c r="M21" s="39">
        <f>D21+M$19</f>
        <v>1.33</v>
      </c>
      <c r="N21" s="39">
        <f>E21+$N$19</f>
        <v>0.6</v>
      </c>
      <c r="O21" s="260">
        <f t="shared" ref="O21" si="0">M21*N21</f>
        <v>0.79800000000000004</v>
      </c>
      <c r="P21" s="258">
        <f t="shared" ref="P21" si="1">O21*L21</f>
        <v>0.79800000000000004</v>
      </c>
      <c r="Q21" s="251">
        <f t="shared" ref="Q21" si="2">Q$20*O21</f>
        <v>37126.587272727273</v>
      </c>
      <c r="R21" s="305">
        <f t="shared" ref="R21" si="3">Q21+R$20</f>
        <v>42126.587272727273</v>
      </c>
      <c r="S21" s="290">
        <f>M21*L21*2</f>
        <v>2.66</v>
      </c>
      <c r="T21" s="46">
        <f>N21*2*L21*2</f>
        <v>2.4</v>
      </c>
      <c r="U21" s="9"/>
      <c r="X21" s="4"/>
    </row>
    <row r="22" spans="2:25" ht="17.399999999999999" x14ac:dyDescent="0.3">
      <c r="B22" s="461">
        <v>1</v>
      </c>
      <c r="C22" s="455" t="s">
        <v>292</v>
      </c>
      <c r="D22" s="456">
        <v>2.9</v>
      </c>
      <c r="E22" s="456">
        <v>0.6</v>
      </c>
      <c r="F22" s="454" t="s">
        <v>295</v>
      </c>
      <c r="G22" s="457">
        <f>R22</f>
        <v>88185.887272727268</v>
      </c>
      <c r="H22" s="462">
        <f>G22*B22</f>
        <v>88185.887272727268</v>
      </c>
      <c r="I22" s="306"/>
      <c r="J22" s="264"/>
      <c r="K22" s="47"/>
      <c r="L22" s="47">
        <f t="shared" ref="L22:L27" si="4">B22</f>
        <v>1</v>
      </c>
      <c r="M22" s="39">
        <f t="shared" ref="M22:M27" si="5">D22+M$19</f>
        <v>2.98</v>
      </c>
      <c r="N22" s="39">
        <f t="shared" ref="N22:N27" si="6">E22+$N$19</f>
        <v>0.6</v>
      </c>
      <c r="O22" s="260">
        <f t="shared" ref="O22:O27" si="7">M22*N22</f>
        <v>1.788</v>
      </c>
      <c r="P22" s="258">
        <f t="shared" ref="P22:P27" si="8">O22*L22</f>
        <v>1.788</v>
      </c>
      <c r="Q22" s="251">
        <f t="shared" ref="Q22:Q27" si="9">Q$20*O22</f>
        <v>83185.887272727268</v>
      </c>
      <c r="R22" s="305">
        <f t="shared" ref="R22:R27" si="10">Q22+R$20</f>
        <v>88185.887272727268</v>
      </c>
      <c r="S22" s="290">
        <f t="shared" ref="S22:S27" si="11">M22*L22*2</f>
        <v>5.96</v>
      </c>
      <c r="T22" s="46"/>
      <c r="U22" s="9"/>
      <c r="X22" s="4"/>
    </row>
    <row r="23" spans="2:25" ht="17.399999999999999" x14ac:dyDescent="0.3">
      <c r="B23" s="461">
        <v>1</v>
      </c>
      <c r="C23" s="455" t="s">
        <v>293</v>
      </c>
      <c r="D23" s="456">
        <v>1.45</v>
      </c>
      <c r="E23" s="456">
        <v>0.5</v>
      </c>
      <c r="F23" s="454" t="s">
        <v>295</v>
      </c>
      <c r="G23" s="457">
        <v>52163</v>
      </c>
      <c r="H23" s="462">
        <f>G23*B23</f>
        <v>52163</v>
      </c>
      <c r="I23" s="306"/>
      <c r="J23" s="264"/>
      <c r="K23" s="47"/>
      <c r="L23" s="47">
        <f t="shared" si="4"/>
        <v>1</v>
      </c>
      <c r="M23" s="39">
        <f t="shared" si="5"/>
        <v>1.53</v>
      </c>
      <c r="N23" s="39">
        <f t="shared" si="6"/>
        <v>0.5</v>
      </c>
      <c r="O23" s="260">
        <f t="shared" si="7"/>
        <v>0.76500000000000001</v>
      </c>
      <c r="P23" s="258">
        <f t="shared" si="8"/>
        <v>0.76500000000000001</v>
      </c>
      <c r="Q23" s="251">
        <f t="shared" si="9"/>
        <v>35591.277272727268</v>
      </c>
      <c r="R23" s="305">
        <f t="shared" si="10"/>
        <v>40591.277272727268</v>
      </c>
      <c r="S23" s="290">
        <f t="shared" si="11"/>
        <v>3.06</v>
      </c>
      <c r="T23" s="46"/>
      <c r="U23" s="9"/>
      <c r="X23" s="4"/>
    </row>
    <row r="24" spans="2:25" ht="17.399999999999999" x14ac:dyDescent="0.3">
      <c r="B24" s="461">
        <v>1</v>
      </c>
      <c r="C24" s="455" t="s">
        <v>292</v>
      </c>
      <c r="D24" s="456">
        <v>0.93</v>
      </c>
      <c r="E24" s="456">
        <v>0.5</v>
      </c>
      <c r="F24" s="454" t="s">
        <v>295</v>
      </c>
      <c r="G24" s="457">
        <f>R24</f>
        <v>28494.895454545451</v>
      </c>
      <c r="H24" s="462">
        <f>G24*B24</f>
        <v>28494.895454545451</v>
      </c>
      <c r="I24" s="306"/>
      <c r="J24" s="264"/>
      <c r="K24" s="47"/>
      <c r="L24" s="47">
        <f t="shared" si="4"/>
        <v>1</v>
      </c>
      <c r="M24" s="39">
        <f t="shared" si="5"/>
        <v>1.01</v>
      </c>
      <c r="N24" s="39">
        <f t="shared" si="6"/>
        <v>0.5</v>
      </c>
      <c r="O24" s="260">
        <f t="shared" si="7"/>
        <v>0.505</v>
      </c>
      <c r="P24" s="258">
        <f t="shared" si="8"/>
        <v>0.505</v>
      </c>
      <c r="Q24" s="251">
        <f t="shared" si="9"/>
        <v>23494.895454545451</v>
      </c>
      <c r="R24" s="305">
        <f t="shared" si="10"/>
        <v>28494.895454545451</v>
      </c>
      <c r="S24" s="290">
        <f t="shared" si="11"/>
        <v>2.02</v>
      </c>
      <c r="T24" s="46"/>
      <c r="U24" s="9"/>
      <c r="X24" s="4"/>
    </row>
    <row r="25" spans="2:25" ht="17.399999999999999" x14ac:dyDescent="0.3">
      <c r="B25" s="461">
        <v>1</v>
      </c>
      <c r="C25" s="455" t="s">
        <v>294</v>
      </c>
      <c r="D25" s="456">
        <v>1.2</v>
      </c>
      <c r="E25" s="456">
        <v>0.1</v>
      </c>
      <c r="F25" s="454" t="s">
        <v>295</v>
      </c>
      <c r="G25" s="457">
        <f>R25</f>
        <v>10955.141818181817</v>
      </c>
      <c r="H25" s="462">
        <f>G25*B25</f>
        <v>10955.141818181817</v>
      </c>
      <c r="I25" s="306"/>
      <c r="J25" s="264"/>
      <c r="K25" s="47"/>
      <c r="L25" s="47">
        <f t="shared" si="4"/>
        <v>1</v>
      </c>
      <c r="M25" s="39">
        <f t="shared" si="5"/>
        <v>1.28</v>
      </c>
      <c r="N25" s="39">
        <f t="shared" si="6"/>
        <v>0.1</v>
      </c>
      <c r="O25" s="260">
        <f t="shared" si="7"/>
        <v>0.128</v>
      </c>
      <c r="P25" s="258">
        <f t="shared" si="8"/>
        <v>0.128</v>
      </c>
      <c r="Q25" s="251">
        <f t="shared" si="9"/>
        <v>5955.1418181818171</v>
      </c>
      <c r="R25" s="305">
        <f t="shared" si="10"/>
        <v>10955.141818181817</v>
      </c>
      <c r="S25" s="290">
        <f t="shared" si="11"/>
        <v>2.56</v>
      </c>
      <c r="T25" s="46"/>
      <c r="U25" s="9"/>
      <c r="X25" s="4"/>
    </row>
    <row r="26" spans="2:25" ht="17.399999999999999" x14ac:dyDescent="0.3">
      <c r="B26" s="461">
        <v>1</v>
      </c>
      <c r="C26" s="455" t="s">
        <v>294</v>
      </c>
      <c r="D26" s="456">
        <v>2</v>
      </c>
      <c r="E26" s="456">
        <v>0.1</v>
      </c>
      <c r="F26" s="454" t="s">
        <v>295</v>
      </c>
      <c r="G26" s="457">
        <f>R26</f>
        <v>14677.105454545454</v>
      </c>
      <c r="H26" s="462">
        <f>G26*B26</f>
        <v>14677.105454545454</v>
      </c>
      <c r="I26" s="306"/>
      <c r="J26" s="264"/>
      <c r="K26" s="47"/>
      <c r="L26" s="47">
        <f t="shared" si="4"/>
        <v>1</v>
      </c>
      <c r="M26" s="39">
        <f t="shared" si="5"/>
        <v>2.08</v>
      </c>
      <c r="N26" s="39">
        <f t="shared" si="6"/>
        <v>0.1</v>
      </c>
      <c r="O26" s="260">
        <f t="shared" si="7"/>
        <v>0.20800000000000002</v>
      </c>
      <c r="P26" s="258">
        <f t="shared" si="8"/>
        <v>0.20800000000000002</v>
      </c>
      <c r="Q26" s="251">
        <f t="shared" si="9"/>
        <v>9677.1054545454535</v>
      </c>
      <c r="R26" s="305">
        <f t="shared" si="10"/>
        <v>14677.105454545454</v>
      </c>
      <c r="S26" s="290">
        <f t="shared" si="11"/>
        <v>4.16</v>
      </c>
      <c r="T26" s="46"/>
      <c r="U26" s="9"/>
      <c r="X26" s="4"/>
    </row>
    <row r="27" spans="2:25" ht="18" thickBot="1" x14ac:dyDescent="0.35">
      <c r="B27" s="463">
        <v>1</v>
      </c>
      <c r="C27" s="464" t="s">
        <v>294</v>
      </c>
      <c r="D27" s="465">
        <v>2</v>
      </c>
      <c r="E27" s="465">
        <v>0.1</v>
      </c>
      <c r="F27" s="466" t="s">
        <v>295</v>
      </c>
      <c r="G27" s="467">
        <f>R27</f>
        <v>14677.105454545454</v>
      </c>
      <c r="H27" s="468">
        <f>G27*B27</f>
        <v>14677.105454545454</v>
      </c>
      <c r="I27" s="306"/>
      <c r="J27" s="264"/>
      <c r="K27" s="47"/>
      <c r="L27" s="47">
        <f t="shared" si="4"/>
        <v>1</v>
      </c>
      <c r="M27" s="39">
        <f t="shared" si="5"/>
        <v>2.08</v>
      </c>
      <c r="N27" s="39">
        <f t="shared" si="6"/>
        <v>0.1</v>
      </c>
      <c r="O27" s="260">
        <f t="shared" si="7"/>
        <v>0.20800000000000002</v>
      </c>
      <c r="P27" s="258">
        <f t="shared" si="8"/>
        <v>0.20800000000000002</v>
      </c>
      <c r="Q27" s="251">
        <f t="shared" si="9"/>
        <v>9677.1054545454535</v>
      </c>
      <c r="R27" s="305">
        <f t="shared" si="10"/>
        <v>14677.105454545454</v>
      </c>
      <c r="S27" s="290">
        <f t="shared" si="11"/>
        <v>4.16</v>
      </c>
      <c r="T27" s="46"/>
      <c r="U27" s="9"/>
      <c r="X27" s="4"/>
    </row>
    <row r="28" spans="2:25" ht="18" thickBot="1" x14ac:dyDescent="0.35">
      <c r="B28" s="283"/>
      <c r="C28" s="283"/>
      <c r="D28" s="284"/>
      <c r="E28" s="284"/>
      <c r="F28" s="283"/>
      <c r="G28" s="264"/>
      <c r="H28" s="307"/>
      <c r="I28" s="309"/>
      <c r="J28" s="233"/>
      <c r="K28" s="47"/>
      <c r="L28" s="47"/>
      <c r="M28" s="39"/>
      <c r="N28" s="39"/>
      <c r="O28" s="260"/>
      <c r="P28" s="258"/>
      <c r="Q28" s="251"/>
      <c r="R28" s="257"/>
      <c r="S28" s="290"/>
      <c r="T28" s="14"/>
      <c r="U28" s="9"/>
      <c r="X28" s="4"/>
    </row>
    <row r="29" spans="2:25" ht="17.399999999999999" x14ac:dyDescent="0.3">
      <c r="B29" s="283"/>
      <c r="C29" s="283"/>
      <c r="D29" s="284"/>
      <c r="E29" s="284"/>
      <c r="F29" s="283"/>
      <c r="G29" s="310" t="s">
        <v>28</v>
      </c>
      <c r="H29" s="311">
        <f>SUM(H21:H28)</f>
        <v>251279.72272727272</v>
      </c>
      <c r="I29" s="308"/>
      <c r="J29" s="264"/>
      <c r="K29" s="47">
        <v>2600000</v>
      </c>
      <c r="L29" s="47"/>
      <c r="M29" s="39"/>
      <c r="N29" s="39"/>
      <c r="O29" s="260"/>
      <c r="P29" s="258"/>
      <c r="Q29" s="251"/>
      <c r="R29" s="257"/>
      <c r="S29" s="290"/>
      <c r="T29" s="46">
        <f>SUM(T21:T28)</f>
        <v>2.4</v>
      </c>
      <c r="U29" s="9"/>
      <c r="X29" s="4"/>
    </row>
    <row r="30" spans="2:25" ht="17.399999999999999" x14ac:dyDescent="0.3">
      <c r="B30" s="277"/>
      <c r="C30" s="280"/>
      <c r="D30" s="281"/>
      <c r="E30" s="281"/>
      <c r="F30" s="282"/>
      <c r="G30" s="289" t="s">
        <v>51</v>
      </c>
      <c r="H30" s="287">
        <f>H29*19%</f>
        <v>47743.147318181815</v>
      </c>
      <c r="I30" s="308"/>
      <c r="J30" s="264"/>
      <c r="K30" s="47"/>
      <c r="L30" s="47"/>
      <c r="M30" s="39">
        <f>SUM(M21:M29)</f>
        <v>12.290000000000001</v>
      </c>
      <c r="N30" s="12"/>
      <c r="O30" s="12"/>
      <c r="P30" s="252">
        <f>SUM(P21:P27)</f>
        <v>4.4000000000000004</v>
      </c>
      <c r="Q30" s="14"/>
      <c r="R30" s="12"/>
      <c r="S30" s="239"/>
      <c r="T30" s="46"/>
      <c r="U30" s="9"/>
      <c r="X30" s="4"/>
    </row>
    <row r="31" spans="2:25" ht="18" thickBot="1" x14ac:dyDescent="0.35">
      <c r="B31" s="274"/>
      <c r="C31" s="279"/>
      <c r="D31" s="271"/>
      <c r="E31" s="271"/>
      <c r="F31" s="272"/>
      <c r="G31" s="278" t="s">
        <v>6</v>
      </c>
      <c r="H31" s="288">
        <f>H29+H30</f>
        <v>299022.87004545453</v>
      </c>
      <c r="I31" s="308"/>
      <c r="J31" s="264"/>
      <c r="K31" s="47"/>
      <c r="L31" s="47"/>
      <c r="M31" s="39"/>
      <c r="N31" s="12"/>
      <c r="O31" s="12"/>
      <c r="P31" s="252">
        <f>P30</f>
        <v>4.4000000000000004</v>
      </c>
      <c r="Q31" s="14"/>
      <c r="R31" s="12"/>
      <c r="S31" s="239">
        <f>SUM(S21:S30)</f>
        <v>24.580000000000002</v>
      </c>
      <c r="T31" s="46"/>
      <c r="U31" s="9"/>
      <c r="X31" s="4"/>
    </row>
    <row r="32" spans="2:25" ht="17.399999999999999" x14ac:dyDescent="0.3">
      <c r="B32" s="274"/>
      <c r="C32" s="270"/>
      <c r="D32" s="271"/>
      <c r="E32" s="271"/>
      <c r="F32" s="272"/>
      <c r="J32" s="264"/>
      <c r="K32" s="47"/>
      <c r="L32" s="47"/>
      <c r="M32" s="14"/>
      <c r="N32" s="12"/>
      <c r="O32" s="12"/>
      <c r="P32" s="39">
        <f>P31*20%</f>
        <v>0.88000000000000012</v>
      </c>
      <c r="Q32" s="39" t="s">
        <v>129</v>
      </c>
      <c r="R32" s="42"/>
      <c r="S32" s="240">
        <f>S31+T29</f>
        <v>26.98</v>
      </c>
      <c r="T32" s="14"/>
      <c r="U32" s="9"/>
      <c r="X32" s="4"/>
    </row>
    <row r="33" spans="1:24" ht="17.399999999999999" x14ac:dyDescent="0.35">
      <c r="B33" s="268"/>
      <c r="C33" s="230"/>
      <c r="D33" s="230"/>
      <c r="E33" s="233"/>
      <c r="F33" s="234"/>
      <c r="G33" s="230"/>
      <c r="H33" s="273"/>
      <c r="I33" s="273"/>
      <c r="J33" s="264"/>
      <c r="K33" s="47"/>
      <c r="L33" s="47"/>
      <c r="M33" s="14"/>
      <c r="N33" s="12"/>
      <c r="O33" s="12"/>
      <c r="P33" s="46">
        <f>P31+P32</f>
        <v>5.28</v>
      </c>
      <c r="Q33" s="14"/>
      <c r="R33" s="14"/>
      <c r="S33" s="238">
        <f>S32*20%</f>
        <v>5.3960000000000008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3"/>
      <c r="J34" s="264"/>
      <c r="K34" s="47"/>
      <c r="L34" s="47"/>
      <c r="M34" s="14"/>
      <c r="N34" s="14"/>
      <c r="O34" s="14"/>
      <c r="P34" s="14"/>
      <c r="Q34" s="14"/>
      <c r="R34" s="14"/>
      <c r="S34" s="240">
        <f>S32+S33</f>
        <v>32.376000000000005</v>
      </c>
      <c r="T34" s="14"/>
      <c r="U34" s="294" t="s">
        <v>21</v>
      </c>
      <c r="V34" s="291" t="s">
        <v>149</v>
      </c>
      <c r="W34" s="295">
        <v>44971</v>
      </c>
      <c r="X34" s="296"/>
    </row>
    <row r="35" spans="1:24" ht="17.399999999999999" x14ac:dyDescent="0.35">
      <c r="B35" s="230"/>
      <c r="C35" s="230"/>
      <c r="D35" s="230"/>
      <c r="E35" s="230"/>
      <c r="F35" s="230"/>
      <c r="G35" s="230"/>
      <c r="J35" s="264"/>
      <c r="K35" s="47"/>
      <c r="L35" s="47"/>
      <c r="M35" s="39">
        <f>P33</f>
        <v>5.28</v>
      </c>
      <c r="N35" s="12">
        <v>3500</v>
      </c>
      <c r="O35" s="12">
        <f t="shared" ref="O35:O40" si="12">M35*N35</f>
        <v>18480</v>
      </c>
      <c r="P35" s="14" t="s">
        <v>21</v>
      </c>
      <c r="Q35" s="14"/>
      <c r="R35" s="14"/>
      <c r="S35" s="241"/>
      <c r="T35" s="14"/>
      <c r="U35" s="294" t="s">
        <v>150</v>
      </c>
      <c r="V35" s="291">
        <v>3625</v>
      </c>
      <c r="W35" s="59" t="s">
        <v>151</v>
      </c>
      <c r="X35" s="296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4"/>
      <c r="K36" s="47"/>
      <c r="L36" s="47"/>
      <c r="M36" s="248">
        <v>2</v>
      </c>
      <c r="N36" s="12">
        <v>23500</v>
      </c>
      <c r="O36" s="12">
        <f t="shared" si="12"/>
        <v>47000</v>
      </c>
      <c r="P36" s="39" t="s">
        <v>31</v>
      </c>
      <c r="Q36" s="42"/>
      <c r="R36" s="14"/>
      <c r="S36" s="240"/>
      <c r="T36" s="14"/>
      <c r="U36" s="294"/>
      <c r="V36" s="59">
        <v>906.25</v>
      </c>
      <c r="W36" s="59" t="s">
        <v>152</v>
      </c>
      <c r="X36" s="296"/>
    </row>
    <row r="37" spans="1:24" s="230" customFormat="1" ht="17.399999999999999" x14ac:dyDescent="0.35">
      <c r="B37" s="24" t="s">
        <v>148</v>
      </c>
      <c r="J37" s="261"/>
      <c r="K37" s="232"/>
      <c r="L37" s="249"/>
      <c r="M37" s="14"/>
      <c r="N37" s="249">
        <v>58860</v>
      </c>
      <c r="O37" s="12">
        <f t="shared" si="12"/>
        <v>0</v>
      </c>
      <c r="P37" s="39" t="s">
        <v>30</v>
      </c>
      <c r="Q37" s="42"/>
      <c r="S37" s="240"/>
      <c r="T37" s="255"/>
      <c r="U37" s="59"/>
      <c r="V37" s="59">
        <f>V36*20%</f>
        <v>181.25</v>
      </c>
      <c r="W37" s="296" t="s">
        <v>153</v>
      </c>
      <c r="X37" s="59"/>
    </row>
    <row r="38" spans="1:24" s="230" customFormat="1" ht="17.399999999999999" x14ac:dyDescent="0.35">
      <c r="B38" s="24" t="s">
        <v>162</v>
      </c>
      <c r="C38"/>
      <c r="D38"/>
      <c r="E38"/>
      <c r="F38"/>
      <c r="J38" s="261"/>
      <c r="K38" s="232"/>
      <c r="L38" s="249"/>
      <c r="M38" s="14">
        <v>2</v>
      </c>
      <c r="N38" s="249">
        <v>16000</v>
      </c>
      <c r="O38" s="12">
        <f t="shared" si="12"/>
        <v>32000</v>
      </c>
      <c r="P38" s="14" t="s">
        <v>139</v>
      </c>
      <c r="Q38" s="17"/>
      <c r="S38" s="238"/>
      <c r="T38" s="255"/>
      <c r="U38" s="59"/>
      <c r="V38" s="59">
        <f>V36+V37</f>
        <v>1087.5</v>
      </c>
      <c r="W38" s="296" t="s">
        <v>154</v>
      </c>
      <c r="X38" s="59"/>
    </row>
    <row r="39" spans="1:24" s="230" customFormat="1" ht="17.399999999999999" x14ac:dyDescent="0.35">
      <c r="A39" s="230" t="s">
        <v>283</v>
      </c>
      <c r="B39" s="29" t="s">
        <v>124</v>
      </c>
      <c r="C39"/>
      <c r="D39"/>
      <c r="E39"/>
      <c r="F39" s="229" t="s">
        <v>15</v>
      </c>
      <c r="J39" s="261"/>
      <c r="K39" s="259"/>
      <c r="L39" s="249"/>
      <c r="M39" s="248"/>
      <c r="N39" s="249">
        <v>900</v>
      </c>
      <c r="O39" s="12">
        <f t="shared" si="12"/>
        <v>0</v>
      </c>
      <c r="P39" s="14" t="s">
        <v>32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86"/>
      <c r="K40" s="259"/>
      <c r="L40" s="249"/>
      <c r="M40" s="265"/>
      <c r="N40" s="12">
        <v>1500</v>
      </c>
      <c r="O40" s="12">
        <f t="shared" si="12"/>
        <v>0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K41" s="259"/>
      <c r="L41" s="249"/>
      <c r="M41" s="14"/>
      <c r="N41" s="12"/>
      <c r="O41" s="12">
        <f>SUM(O35:O40)</f>
        <v>97480</v>
      </c>
      <c r="P41" s="39" t="s">
        <v>23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L42" s="249"/>
      <c r="M42" s="253" t="s">
        <v>33</v>
      </c>
      <c r="N42" s="12"/>
      <c r="O42" s="254">
        <f>O41*2.1</f>
        <v>204708</v>
      </c>
      <c r="P42" s="14" t="s">
        <v>138</v>
      </c>
      <c r="Q42" s="14"/>
      <c r="R42" s="40">
        <f>P33/R41</f>
        <v>1.4236410698878343</v>
      </c>
      <c r="S42"/>
      <c r="T42" s="256"/>
    </row>
    <row r="43" spans="1:24" s="230" customFormat="1" ht="17.399999999999999" x14ac:dyDescent="0.35">
      <c r="G43"/>
      <c r="H43" s="259"/>
      <c r="I43" s="259"/>
      <c r="J43" s="259"/>
      <c r="K43" s="230">
        <v>42800</v>
      </c>
      <c r="L43" s="249"/>
      <c r="M43" s="14"/>
      <c r="N43" s="12"/>
      <c r="O43" s="12">
        <f>O42/P31</f>
        <v>46524.545454545449</v>
      </c>
      <c r="P43" s="45" t="s">
        <v>24</v>
      </c>
      <c r="Q43" s="14"/>
      <c r="R43" s="14"/>
      <c r="S43"/>
      <c r="T43" s="238"/>
      <c r="U43" s="59" t="s">
        <v>155</v>
      </c>
      <c r="V43" s="291">
        <v>43650</v>
      </c>
    </row>
    <row r="44" spans="1:24" s="230" customFormat="1" ht="17.399999999999999" x14ac:dyDescent="0.35">
      <c r="G44"/>
      <c r="K44" s="230">
        <f>K43/1.19</f>
        <v>35966.386554621851</v>
      </c>
      <c r="L44" s="249"/>
      <c r="M44" s="13"/>
      <c r="N44" s="14"/>
      <c r="O44" s="17">
        <f>O42/O41</f>
        <v>2.1</v>
      </c>
      <c r="P44" s="15"/>
      <c r="Q44"/>
      <c r="R44"/>
      <c r="S44"/>
      <c r="T44" s="238"/>
      <c r="U44" s="59" t="s">
        <v>157</v>
      </c>
      <c r="V44" s="292" t="s">
        <v>156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158</v>
      </c>
      <c r="V45" s="293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153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49"/>
    </row>
    <row r="49" spans="12:20" x14ac:dyDescent="0.3">
      <c r="L49" s="249"/>
      <c r="T49" s="269"/>
    </row>
    <row r="50" spans="12:20" x14ac:dyDescent="0.3">
      <c r="L50" s="249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145</v>
      </c>
    </row>
    <row r="79" spans="3:15" x14ac:dyDescent="0.3">
      <c r="C79" t="s">
        <v>144</v>
      </c>
    </row>
    <row r="82" spans="3:3" x14ac:dyDescent="0.3">
      <c r="C82" t="s">
        <v>144</v>
      </c>
    </row>
    <row r="159" spans="3:3" x14ac:dyDescent="0.3">
      <c r="C159" t="s">
        <v>144</v>
      </c>
    </row>
    <row r="160" spans="3:3" x14ac:dyDescent="0.3">
      <c r="C160" t="s">
        <v>146</v>
      </c>
    </row>
    <row r="161" spans="3:3" x14ac:dyDescent="0.3">
      <c r="C161" t="s">
        <v>147</v>
      </c>
    </row>
    <row r="586" spans="3:3" x14ac:dyDescent="0.3">
      <c r="C586" t="s">
        <v>144</v>
      </c>
    </row>
  </sheetData>
  <mergeCells count="1">
    <mergeCell ref="B19:H19"/>
  </mergeCells>
  <phoneticPr fontId="32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46065</v>
      </c>
    </row>
    <row r="6" spans="2:31" ht="16.2" thickBot="1" x14ac:dyDescent="0.35">
      <c r="B6" s="140" t="s">
        <v>2</v>
      </c>
      <c r="C6" s="139" t="str">
        <f>'2229'!C10</f>
        <v>GUILLERMO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11886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-15668.578821332898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'2229'!H29</f>
        <v>251279.72272727272</v>
      </c>
      <c r="E11" s="132">
        <f>D11*0.19</f>
        <v>47743.147318181815</v>
      </c>
      <c r="F11" s="131">
        <f>E11+D11</f>
        <v>299022.87004545453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90321.421178667108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95314.090787439607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72321.421178667108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155965.63193983311</v>
      </c>
      <c r="E13" s="221">
        <f>(D11/D12)-1</f>
        <v>1.6363334177698112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63321.4211786671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24321.4211786671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157268.24979927533</v>
      </c>
      <c r="F15" s="216">
        <f>E15-D12</f>
        <v>61954.159011835727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24321.4211786671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64321.4211786671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'2229'!O36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18480</v>
      </c>
      <c r="E20" s="121">
        <f>D20*0.19</f>
        <v>3511.2</v>
      </c>
      <c r="F20" s="120">
        <f>SUM(D20:E20)</f>
        <v>21991.200000000001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65480</v>
      </c>
      <c r="E21" s="116">
        <f>SUM(E18:E20)</f>
        <v>12441.2</v>
      </c>
      <c r="F21" s="115">
        <f>SUM(F18:F20)</f>
        <v>77921.2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35301.947318181818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251279.72272727272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65480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155965.63193983311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155965.63193983311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11886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GUILLERMO</v>
      </c>
      <c r="D10" s="350"/>
      <c r="E10" s="350"/>
      <c r="F10" s="351" t="s">
        <v>167</v>
      </c>
      <c r="G10" s="352">
        <f>'2229'!G10</f>
        <v>46065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+569 7796 8431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SIN RESPALDO ENCHAPE RECTO</v>
      </c>
      <c r="D22" s="321">
        <f>'2229'!D21*1000</f>
        <v>1250</v>
      </c>
      <c r="E22" s="321">
        <f>'2229'!E21*1000</f>
        <v>600</v>
      </c>
      <c r="F22" s="322" t="str">
        <f>'2229'!F21</f>
        <v>BLANCO BR</v>
      </c>
      <c r="G22" s="314">
        <f>'2229'!G21</f>
        <v>42126.587272727273</v>
      </c>
      <c r="H22" s="323">
        <f>G22*B22</f>
        <v>42126.587272727273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42126.587272727273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8004.0515818181821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50130.638854545454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1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GUILLERMO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46065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46072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11886</v>
      </c>
      <c r="C2" s="1">
        <f>'NOTA DE VENTA'!$G$10</f>
        <v>46065</v>
      </c>
      <c r="D2" s="1">
        <f>'NOTA DE VENTA'!$G$11</f>
        <v>46072</v>
      </c>
      <c r="E2" t="str">
        <f>'NOTA DE VENTA'!$C$10</f>
        <v>GUILLERMO</v>
      </c>
      <c r="F2" t="str">
        <f>'NOTA DE VENTA'!$C$22</f>
        <v>CUB SIN RESPALDO ENCHAPE RECTO</v>
      </c>
      <c r="G2" t="str">
        <f>'NOTA DE VENTA'!$F$22</f>
        <v>BLANCO BR</v>
      </c>
      <c r="H2" s="416">
        <f>'NOTA DE VENTA'!$H$25</f>
        <v>42126.587272727273</v>
      </c>
      <c r="I2" s="416">
        <f>H2*0.19</f>
        <v>8004.0515818181821</v>
      </c>
      <c r="J2" s="416">
        <f>I2+H2</f>
        <v>50130.638854545454</v>
      </c>
      <c r="L2" s="61">
        <f>J2-K2</f>
        <v>50130.638854545454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2026-02-12T20:10:32Z</cp:lastPrinted>
  <dcterms:created xsi:type="dcterms:W3CDTF">2013-03-18T13:35:42Z</dcterms:created>
  <dcterms:modified xsi:type="dcterms:W3CDTF">2026-02-12T20:20:34Z</dcterms:modified>
</cp:coreProperties>
</file>