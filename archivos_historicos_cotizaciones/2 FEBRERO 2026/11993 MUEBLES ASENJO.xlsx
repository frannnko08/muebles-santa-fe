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8BD7ED89-D982-4219-BCCF-3568BA12F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2" i="1"/>
  <c r="L21" i="1"/>
  <c r="L29" i="1"/>
  <c r="M22" i="1" l="1"/>
  <c r="N22" i="1"/>
  <c r="S22" i="1" l="1"/>
  <c r="O22" i="1"/>
  <c r="P22" i="1" s="1"/>
  <c r="N21" i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R22" i="1" s="1"/>
  <c r="Q21" i="1"/>
  <c r="O39" i="1"/>
  <c r="E15" i="3"/>
  <c r="H22" i="1" l="1"/>
  <c r="R21" i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<sst xmlns="http://schemas.openxmlformats.org/spreadsheetml/2006/main" count="232" uniqueCount="175">
  <si>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</si>
  <si>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</si>
  <si>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</si>
  <si>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</si>
  <si>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</si>
  <si>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</si>
  <si>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</si>
  <si>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</si>
  <si>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</si>
  <si>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</si>
  <si>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</si>
  <si>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</si>
  <si>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</si>
  <si>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</si>
  <si>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</si>
  <si>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</si>
  <si>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</si>
  <si>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</si>
  <si>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</si>
  <si>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</si>
  <si>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</si>
  <si>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</si>
  <si>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</si>
  <si>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</si>
  <si>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</si>
  <si>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</si>
  <si>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</si>
  <si>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</si>
  <si>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</si>
  <si>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</si>
  <si>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</si>
  <si>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</si>
  <si>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</si>
  <si>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</si>
  <si>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</si>
  <si>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</si>
  <si>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</si>
  <si>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</si>
  <si>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</si>
  <si>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</si>
  <si>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</si>
  <si>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</si>
  <si>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</si>
  <si>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</si>
  <si>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</si>
  <si>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</si>
  <si>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</si>
  <si>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</si>
  <si>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</si>
  <si>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</si>
  <si>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</si>
  <si>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</si>
  <si>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</si>
  <si>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</si>
  <si>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</si>
  <si>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</si>
  <si>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</si>
  <si>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</si>
  <si>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</si>
  <si>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</si>
  <si>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</si>
  <si>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</si>
  <si>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</si>
  <si>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</si>
  <si>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</si>
  <si>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</si>
  <si>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</si>
  <si>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</si>
  <si>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</si>
  <si>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</si>
  <si>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</si>
  <si>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</si>
  <si>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</si>
  <si>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</si>
  <si>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</si>
  <si>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</si>
  <si>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</si>
  <si>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</si>
  <si>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</si>
  <si>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</si>
  <si>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</si>
  <si>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</si>
  <si>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</si>
  <si>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</si>
  <si>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</si>
  <si>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</si>
  <si>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</si>
  <si>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</si>
  <si>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</si>
  <si>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</si>
  <si>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</si>
  <si>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</si>
  <si>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</si>
  <si>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</si>
  <si>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</si>
  <si>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</si>
  <si>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</si>
  <si>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</si>
  <si>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</si>
  <si>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</si>
  <si>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</si>
  <si>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</si>
  <si>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</si>
  <si>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</si>
  <si>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</si>
  <si>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</si>
  <si>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</si>
  <si>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</si>
  <si>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</si>
  <si>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</si>
  <si>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</si>
  <si>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</si>
  <si>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</si>
  <si>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</si>
  <si>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</si>
  <si>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</si>
  <si>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</si>
  <si>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</si>
  <si>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</si>
  <si>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</si>
  <si>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</si>
  <si>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</si>
  <si>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</si>
  <si>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</si>
  <si>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</si>
  <si>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</si>
  <si>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</si>
  <si>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</si>
  <si>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</si>
  <si>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</si>
  <si>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</si>
  <si>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</si>
  <si>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</si>
  <si>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</si>
  <si>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</si>
  <si>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</si>
  <si>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</si>
  <si>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</si>
  <si>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</si>
  <si>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</si>
  <si>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</si>
  <si>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</si>
  <si>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</si>
  <si>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</si>
  <si>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</si>
  <si>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</si>
  <si>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</si>
  <si>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</si>
  <si>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</si>
  <si>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</si>
  <si>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</si>
  <si>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</si>
  <si>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</si>
  <si>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</si>
  <si>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</si>
  <si>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</si>
  <si>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</si>
  <si>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</si>
  <si>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</si>
  <si>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</si>
  <si>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</si>
  <si>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</si>
  <si>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</si>
  <si>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</si>
  <si>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</si>
  <si>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</si>
  <si>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</si>
  <si>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</si>
  <si>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</si>
  <si>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</si>
  <si>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</si>
  <si>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</si>
  <si>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N° 11993</t>
  </si>
  <si>
    <t>GLACIAL WHITE 22191 SF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</si>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</sst>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50787.22150259067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1.9279999999999999</v>
      </c>
      <c r="E21" s="332">
        <v>0.5</v>
      </c>
      <c r="F21" s="330" t="s">
        <v>173</v>
      </c>
      <c r="G21" s="331">
        <v>50990</v>
      </c>
      <c r="H21" s="331">
        <f t="shared" ref="H21" si="1">G21*B21</f>
        <v>50990</v>
      </c>
      <c r="I21" s="320"/>
      <c r="J21" s="265"/>
      <c r="K21" s="47"/>
      <c r="L21" s="333">
        <f>B21</f>
        <v>1</v>
      </c>
      <c r="M21" s="39">
        <f>D21+M$19</f>
        <v>2.008</v>
      </c>
      <c r="N21" s="39">
        <f t="shared" ref="N21" si="2">E21+$N$19</f>
        <v>0.5</v>
      </c>
      <c r="O21" s="261">
        <f t="shared" ref="O21" si="3">M21*N21</f>
        <v>1.004</v>
      </c>
      <c r="P21" s="259">
        <f t="shared" ref="P21" si="4">O21*L21</f>
        <v>1.004</v>
      </c>
      <c r="Q21" s="252">
        <f t="shared" ref="Q21" si="5">Q$20*O21</f>
        <v>50990.370388601033</v>
      </c>
      <c r="R21" s="319">
        <f t="shared" ref="R21" si="6">Q21+R$20</f>
        <v>53990.370388601033</v>
      </c>
      <c r="S21" s="297"/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1</v>
      </c>
      <c r="E22" s="332">
        <v>0.5</v>
      </c>
      <c r="F22" s="330" t="s">
        <v>173</v>
      </c>
      <c r="G22" s="331">
        <v>27425</v>
      </c>
      <c r="H22" s="331">
        <f t="shared" ref="H22" si="7">G22*B22</f>
        <v>27425</v>
      </c>
      <c r="I22" s="320"/>
      <c r="J22" s="265"/>
      <c r="K22" s="47"/>
      <c r="L22" s="333">
        <f>B22</f>
        <v>1</v>
      </c>
      <c r="M22" s="39">
        <f t="shared" ref="M22" si="8">D22+M$19</f>
        <v>1.08</v>
      </c>
      <c r="N22" s="39">
        <f t="shared" ref="N22" si="9">E22+$N$19</f>
        <v>0.5</v>
      </c>
      <c r="O22" s="261">
        <f t="shared" ref="O22" si="10">M22*N22</f>
        <v>0.54</v>
      </c>
      <c r="P22" s="259">
        <f t="shared" ref="P22" si="11">O22*L22</f>
        <v>0.54</v>
      </c>
      <c r="Q22" s="252">
        <f t="shared" ref="Q22" si="12">Q$20*O22</f>
        <v>27425.099611398964</v>
      </c>
      <c r="R22" s="319">
        <f t="shared" ref="R22" si="13">Q22+R$20</f>
        <v>30425.099611398964</v>
      </c>
      <c r="S22" s="297">
        <f t="shared" ref="S22" si="14">L22*M22</f>
        <v>1.08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78415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14898.85</v>
      </c>
      <c r="I25" s="322"/>
      <c r="J25" s="265"/>
      <c r="K25" s="47"/>
      <c r="L25" s="47"/>
      <c r="M25" s="39">
        <f>SUM(M21:M24)</f>
        <v>3.0880000000000001</v>
      </c>
      <c r="N25" s="12"/>
      <c r="O25" s="12"/>
      <c r="P25" s="253">
        <f>SUM(P21:P23)</f>
        <v>1.544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93313.85</v>
      </c>
      <c r="I26" s="322"/>
      <c r="J26" s="265"/>
      <c r="K26" s="47"/>
      <c r="L26" s="47"/>
      <c r="M26" s="39"/>
      <c r="N26" s="12"/>
      <c r="O26" s="12"/>
      <c r="P26" s="253">
        <f>P25</f>
        <v>1.544</v>
      </c>
      <c r="Q26" s="14"/>
      <c r="R26" s="12"/>
      <c r="S26" s="239">
        <f>SUM(S21:S25)</f>
        <v>1.08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0.30880000000000002</v>
      </c>
      <c r="Q27" s="39" t="s">
        <v>130</v>
      </c>
      <c r="R27" s="42"/>
      <c r="S27" s="240">
        <f>S26+T24</f>
        <v>1.08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>
        <v>34235</v>
      </c>
      <c r="M28" s="14"/>
      <c r="N28" s="12"/>
      <c r="O28" s="12"/>
      <c r="P28" s="46">
        <f>P26+P27</f>
        <v>1.8528</v>
      </c>
      <c r="Q28" s="14"/>
      <c r="R28" s="14"/>
      <c r="S28" s="238">
        <f>S27*20%</f>
        <v>0.21600000000000003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>
        <f>L28*5</f>
        <v>171175</v>
      </c>
      <c r="M29" s="14"/>
      <c r="N29" s="14"/>
      <c r="O29" s="14"/>
      <c r="P29" s="14"/>
      <c r="Q29" s="14"/>
      <c r="R29" s="14"/>
      <c r="S29" s="240">
        <f>S27+S28</f>
        <v>1.296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1.8528</v>
      </c>
      <c r="N30" s="12">
        <v>1500</v>
      </c>
      <c r="O30" s="12">
        <f t="shared" ref="O30:O35" si="15">M30*N30</f>
        <v>2779.2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0.40500000000000003</v>
      </c>
      <c r="N31" s="12">
        <v>23500</v>
      </c>
      <c r="O31" s="12">
        <f t="shared" si="15"/>
        <v>9517.5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23500</v>
      </c>
      <c r="O32" s="12">
        <f t="shared" si="1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23500</v>
      </c>
      <c r="O33" s="12">
        <f t="shared" si="15"/>
        <v>23500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15700</v>
      </c>
      <c r="O34" s="12">
        <f t="shared" si="15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3.0880000000000001</v>
      </c>
      <c r="N35" s="12">
        <v>500</v>
      </c>
      <c r="O35" s="12">
        <f t="shared" si="15"/>
        <v>1544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37340.699999999997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78415.47</v>
      </c>
      <c r="P37" s="14" t="s">
        <v>140</v>
      </c>
      <c r="Q37" s="14"/>
      <c r="R37" s="40">
        <f>P28/R36</f>
        <v>0.40498360655737703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50787.22150259067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-1483.1992001207716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78415</v>
      </c>
      <c r="E11" s="132">
        <f>D11*0.19</f>
        <v>14898.85</v>
      </c>
      <c r="F11" s="131">
        <f>E11+D11</f>
        <v>93313.85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104506.80079987923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42130.790787439619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86506.800799879231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36284.209212560381</v>
      </c>
      <c r="E13" s="221">
        <f>(D11/D12)-1</f>
        <v>0.86122782255911834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77506.800799879231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38506.800799879231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69515.804799275371</v>
      </c>
      <c r="F15" s="216">
        <f>E15-D12</f>
        <v>27385.014011835752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38506.800799879231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78506.800799879231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9517.5</v>
      </c>
      <c r="E19" s="123">
        <f>D19*0.19</f>
        <v>1808.325</v>
      </c>
      <c r="F19" s="120">
        <f>SUM(D19:E19)</f>
        <v>11325.825000000001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2779.2</v>
      </c>
      <c r="E20" s="121">
        <f>D20*0.19</f>
        <v>528.048</v>
      </c>
      <c r="F20" s="120">
        <f>SUM(D20:E20)</f>
        <v>3307.2479999999996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12296.7</v>
      </c>
      <c r="E21" s="116">
        <f>SUM(E18:E20)</f>
        <v>2336.373</v>
      </c>
      <c r="F21" s="115">
        <f>SUM(F18:F20)</f>
        <v>14633.073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12562.477000000001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78415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12296.7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36284.209212560381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36284.209212560381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2026-02-09T19:06:38Z</cp:lastPrinted>
  <dcterms:created xsi:type="dcterms:W3CDTF">2013-03-18T13:35:42Z</dcterms:created>
  <dcterms:modified xsi:type="dcterms:W3CDTF">2026-02-17T19:03:22Z</dcterms:modified>
</cp:coreProperties>
</file>