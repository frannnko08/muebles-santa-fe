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6\"/>
    </mc:Choice>
  </mc:AlternateContent>
  <xr:revisionPtr revIDLastSave="0" documentId="13_ncr:1_{7F663F32-D1FB-4725-8905-3D60194772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6" l="1"/>
  <c r="C27" i="6"/>
  <c r="C49" i="6"/>
  <c r="L21" i="1" l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s="1"/>
  <c r="S21" i="1" l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G21" i="1" s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<sst xmlns="http://schemas.openxmlformats.org/spreadsheetml/2006/main" count="487" uniqueCount="294">
  <si>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</si>
  <si>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</si>
  <si>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</si>
  <si>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</si>
  <si>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</si>
  <si>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</si>
  <si>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</si>
  <si>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</si>
  <si>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</si>
  <si>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</si>
  <si>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</si>
  <si>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</si>
  <si>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</si>
  <si>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</si>
  <si>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</si>
  <si>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</si>
  <si>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</si>
  <si>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</si>
  <si>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</si>
  <si>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</si>
  <si>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</si>
  <si>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</si>
  <si>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</si>
  <si>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</si>
  <si>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</si>
  <si>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</si>
  <si>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</si>
  <si>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</si>
  <si>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</si>
  <si>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</si>
  <si>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</si>
  <si>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</si>
  <si>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</si>
  <si>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</si>
  <si>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</si>
  <si>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</si>
  <si>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</si>
  <si>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</si>
  <si>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</si>
  <si>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</si>
  <si>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</si>
  <si>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</si>
  <si>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</si>
  <si>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</si>
  <si>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</si>
  <si>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</si>
  <si>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</si>
  <si>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</si>
  <si>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</si>
  <si>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</si>
  <si>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</si>
  <si>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</si>
  <si>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</si>
  <si>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</si>
  <si>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</si>
  <si>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</si>
  <si>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</si>
  <si>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</si>
  <si>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</si>
  <si>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</si>
  <si>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</si>
  <si>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</si>
  <si>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</si>
  <si>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</si>
  <si>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</si>
  <si>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</si>
  <si>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</si>
  <si>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</si>
  <si>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</si>
  <si>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</si>
  <si>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</si>
  <si>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</si>
  <si>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</si>
  <si>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</si>
  <si>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</si>
  <si>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</si>
  <si>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</si>
  <si>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</si>
  <si>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</si>
  <si>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</si>
  <si>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</si>
  <si>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</si>
  <si>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</si>
  <si>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</si>
  <si>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</si>
  <si>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</si>
  <si>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</si>
  <si>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</si>
  <si>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</si>
  <si>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</si>
  <si>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</si>
  <si>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</si>
  <si>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</si>
  <si>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</si>
  <si>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</si>
  <si>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</si>
  <si>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</si>
  <si>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</si>
  <si>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</si>
  <si>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</si>
  <si>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</si>
  <si>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</si>
  <si>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</si>
  <si>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</si>
  <si>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</si>
  <si>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</si>
  <si>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</si>
  <si>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</si>
  <si>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</si>
  <si>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</si>
  <si>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</si>
  <si>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</si>
  <si>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</si>
  <si>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</si>
  <si>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</si>
  <si>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</si>
  <si>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</si>
  <si>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</si>
  <si>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</si>
  <si>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</si>
  <si>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</si>
  <si>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</si>
  <si>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</si>
  <si>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</si>
  <si>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</si>
  <si>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</si>
  <si>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</si>
  <si>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</si>
  <si>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</si>
  <si>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</si>
  <si>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</si>
  <si>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</si>
  <si>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</si>
  <si>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</si>
  <si>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</si>
  <si>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</si>
  <si>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</si>
  <si>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</si>
  <si>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</si>
  <si>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</si>
  <si>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</si>
  <si>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</si>
  <si>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</si>
  <si>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</si>
  <si>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</si>
  <si>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</si>
  <si>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</si>
  <si>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</si>
  <si>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</si>
  <si>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</si>
  <si>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</si>
  <si>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</si>
  <si>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</si>
  <si>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</si>
  <si>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</si>
  <si>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</si>
  <si>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</si>
  <si>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</si>
  <si>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</si>
  <si>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</si>
  <si>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</si>
  <si>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</si>
  <si>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</si>
  <si>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</si>
  <si>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</si>
  <si>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</si>
  <si>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</si>
  <si>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</si>
  <si>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</si>
  <si>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</si>
  <si>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</si>
  <si>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</si>
  <si>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</si>
  <si>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</si>
  <si>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</si>
  <si>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</si>
  <si>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</si>
  <si>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</si>
  <si>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</si>
  <si>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</si>
  <si>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</si>
  <si>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</si>
  <si>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</si>
  <si>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</si>
  <si>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</si>
  <si>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</si>
  <si>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</si>
  <si>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</si>
  <si>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</si>
  <si>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</si>
  <si>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</si>
  <si>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</si>
  <si>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</si>
  <si>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</si>
  <si>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</si>
  <si>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</si>
  <si>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</si>
  <si>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</si>
  <si>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</si>
  <si>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</si>
  <si>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</si>
  <si>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</si>
  <si>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</si>
  <si>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</si>
  <si>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</si>
  <si>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</si>
  <si>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</si>
  <si>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</si>
  <si>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</si>
  <si>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</si>
  <si>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</si>
  <si>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</si>
  <si>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</si>
  <si>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</si>
  <si>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</si>
  <si>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</si>
  <si>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</si>
  <si>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</si>
  <si>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</si>
  <si>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</si>
  <si>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</si>
  <si>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</si>
  <si>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</si>
  <si>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</si>
  <si>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</si>
  <si>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</si>
  <si>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</si>
  <si>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</si>
  <si>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</si>
  <si>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</si>
  <si>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</si>
  <si>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</si>
  <si>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</si>
  <si>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</si>
  <si>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</si>
  <si>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</si>
  <si>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</si>
  <si>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</si>
  <si>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</si>
  <si>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</si>
  <si>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</si>
  <si>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</si>
  <si>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</si>
  <si>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</si>
  <si>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</si>
  <si>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</si>
  <si>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</si>
  <si>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</si>
  <si>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</si>
  <si>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</si>
  <si>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</si>
  <si>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</si>
  <si>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</si>
  <si>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</si>
  <si>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</si>
  <si>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</si>
  <si>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</si>
  <si>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</si>
  <si>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</si>
  <si>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</si>
  <si>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</si>
  <si>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</si>
  <si>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</si>
  <si>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</si>
  <si>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</si>
  <si>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</si>
  <si>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</si>
  <si>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</si>
  <si>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</si>
  <si>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</si>
  <si>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</si>
  <si>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</si>
  <si>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</si>
  <si>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</si>
  <si>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</si>
  <si>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</si>
  <si>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</si>
  <si>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</si>
  <si>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</si>
  <si>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</si>
  <si>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</si>
  <si>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</si>
  <si>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</si>
  <si>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</si>
  <si>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</si>
  <si>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</si>
  <si>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</si>
  <si>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</si>
  <si>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GONZALO MELENDEZ</t>
  </si>
  <si>
    <t>N° 12002</t>
  </si>
  <si>
    <t>5 DIAS HABILES</t>
  </si>
  <si>
    <t>GRAFITO 2174 MT</t>
  </si>
  <si>
    <t>CUB CON RESPALDO FTE 90° R8</t>
  </si>
  <si>
    <t xml:space="preserve">+569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</si>
</sst>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215080</xdr:rowOff>
    </xdr:from>
    <xdr:to>
      <xdr:col>5</xdr:col>
      <xdr:colOff>1732649</xdr:colOff>
      <xdr:row>25</xdr:row>
      <xdr:rowOff>215511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049274"/>
          <a:ext cx="6331278" cy="65591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/>
            <a:t>FRENTE 40mm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 refreshError="1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7" zoomScale="93" zoomScaleNormal="93" workbookViewId="0">
      <selection activeCell="C13" sqref="C1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288</v>
      </c>
      <c r="D10" s="243"/>
      <c r="E10" s="243"/>
      <c r="F10" s="417" t="s">
        <v>277</v>
      </c>
      <c r="G10" s="275">
        <v>46076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290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293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88939.28571428571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292</v>
      </c>
      <c r="D21" s="432">
        <v>2.16</v>
      </c>
      <c r="E21" s="432">
        <v>0.55000000000000004</v>
      </c>
      <c r="F21" s="313" t="s">
        <v>291</v>
      </c>
      <c r="G21" s="314">
        <f>R21</f>
        <v>112573.20000000001</v>
      </c>
      <c r="H21" s="433">
        <f>G21*B21</f>
        <v>112573.20000000001</v>
      </c>
      <c r="I21" s="306"/>
      <c r="J21" s="264"/>
      <c r="K21" s="47"/>
      <c r="L21" s="47">
        <f>B21</f>
        <v>1</v>
      </c>
      <c r="M21" s="39">
        <f>D21+M$19</f>
        <v>2.2400000000000002</v>
      </c>
      <c r="N21" s="39">
        <f>E21+$N$19</f>
        <v>0.55000000000000004</v>
      </c>
      <c r="O21" s="260">
        <f t="shared" ref="O21" si="0">M21*N21</f>
        <v>1.2320000000000002</v>
      </c>
      <c r="P21" s="258">
        <f t="shared" ref="P21" si="1">O21*L21</f>
        <v>1.2320000000000002</v>
      </c>
      <c r="Q21" s="251">
        <f t="shared" ref="Q21" si="2">Q$20*O21</f>
        <v>109573.20000000001</v>
      </c>
      <c r="R21" s="305">
        <f t="shared" ref="R21" si="3">Q21+R$20</f>
        <v>112573.20000000001</v>
      </c>
      <c r="S21" s="290">
        <f>M21*L21</f>
        <v>2.2400000000000002</v>
      </c>
      <c r="T21" s="46">
        <f>N21*2*L21*2</f>
        <v>2.2000000000000002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112573.20000000001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SUM(T21:T22)</f>
        <v>2.2000000000000002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21388.908000000003</v>
      </c>
      <c r="I25" s="308"/>
      <c r="J25" s="264"/>
      <c r="K25" s="47"/>
      <c r="L25" s="47"/>
      <c r="M25" s="39">
        <f>SUM(M21:M24)</f>
        <v>2.2400000000000002</v>
      </c>
      <c r="N25" s="12"/>
      <c r="O25" s="12"/>
      <c r="P25" s="252">
        <f>SUM(P21:P22)</f>
        <v>1.2320000000000002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133962.10800000001</v>
      </c>
      <c r="I26" s="308"/>
      <c r="J26" s="264"/>
      <c r="K26" s="47"/>
      <c r="L26" s="47"/>
      <c r="M26" s="39"/>
      <c r="N26" s="12"/>
      <c r="O26" s="12"/>
      <c r="P26" s="252">
        <f>P25</f>
        <v>1.2320000000000002</v>
      </c>
      <c r="Q26" s="14"/>
      <c r="R26" s="12"/>
      <c r="S26" s="239">
        <f>SUM(S21:S25)</f>
        <v>2.2400000000000002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0.24640000000000006</v>
      </c>
      <c r="Q27" s="39" t="s">
        <v>129</v>
      </c>
      <c r="R27" s="42"/>
      <c r="S27" s="240">
        <f>S26+T24</f>
        <v>4.4400000000000004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1.4784000000000002</v>
      </c>
      <c r="Q28" s="14"/>
      <c r="R28" s="14"/>
      <c r="S28" s="238">
        <f>S27*20%</f>
        <v>0.88800000000000012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5.3280000000000003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1.4784000000000002</v>
      </c>
      <c r="N30" s="12">
        <v>2500</v>
      </c>
      <c r="O30" s="12">
        <f t="shared" ref="O30:O35" si="4">M30*N30</f>
        <v>3696.0000000000005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0.5</v>
      </c>
      <c r="N31" s="12">
        <v>23500</v>
      </c>
      <c r="O31" s="12">
        <f t="shared" si="4"/>
        <v>11750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40000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31000</v>
      </c>
      <c r="O33" s="12">
        <f t="shared" si="4"/>
        <v>31000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/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2.2400000000000002</v>
      </c>
      <c r="N35" s="12">
        <v>1500</v>
      </c>
      <c r="O35" s="12">
        <f t="shared" si="4"/>
        <v>3360.0000000000005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49806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109573.20000000001</v>
      </c>
      <c r="P37" s="14" t="s">
        <v>138</v>
      </c>
      <c r="Q37" s="14"/>
      <c r="R37" s="40">
        <f>P28/R36</f>
        <v>0.39861949956859366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88939.28571428571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46076</v>
      </c>
    </row>
    <row r="6" spans="2:31" ht="16.2" thickBot="1" x14ac:dyDescent="0.35">
      <c r="B6" s="140" t="s">
        <v>2</v>
      </c>
      <c r="C6" s="139" t="str">
        <f>'2229'!C10</f>
        <v>GONZALO MELENDEZ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12002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-6310.1750334541093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112573.20000000001</v>
      </c>
      <c r="E11" s="132">
        <f>D11*0.19</f>
        <v>21388.908000000003</v>
      </c>
      <c r="F11" s="131">
        <f>E11+D11</f>
        <v>133962.10800000001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99679.824966545886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45280.090787439614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81679.824966545886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67293.109212560405</v>
      </c>
      <c r="E13" s="221">
        <f>(D11/D12)-1</f>
        <v>1.486152259023894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72679.824966545886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33679.824966545893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74712.149799275358</v>
      </c>
      <c r="F15" s="216">
        <f>E15-D12</f>
        <v>29432.059011835743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33679.824966545893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73679.824966545886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3696.0000000000005</v>
      </c>
      <c r="E20" s="121">
        <f>D20*0.19</f>
        <v>702.24000000000012</v>
      </c>
      <c r="F20" s="120">
        <f>SUM(D20:E20)</f>
        <v>4398.2400000000007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15446</v>
      </c>
      <c r="E21" s="116">
        <f>SUM(E18:E20)</f>
        <v>2934.7400000000002</v>
      </c>
      <c r="F21" s="115">
        <f>SUM(F18:F20)</f>
        <v>18380.740000000002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18454.168000000001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112573.20000000001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15446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67293.109212560405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67293.109212560405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12002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GONZALO MELENDEZ</v>
      </c>
      <c r="D10" s="350"/>
      <c r="E10" s="350"/>
      <c r="F10" s="351" t="s">
        <v>167</v>
      </c>
      <c r="G10" s="352">
        <f>'2229'!G10</f>
        <v>46076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46083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 xml:space="preserve">+569 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2160</v>
      </c>
      <c r="E22" s="321">
        <f>'2229'!E21*1000</f>
        <v>550</v>
      </c>
      <c r="F22" s="322" t="str">
        <f>'2229'!F21</f>
        <v>GRAFITO 2174 MT</v>
      </c>
      <c r="G22" s="314">
        <f>'2229'!G21</f>
        <v>112573.20000000001</v>
      </c>
      <c r="H22" s="323">
        <f>G22*B22</f>
        <v>112573.20000000001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112573.20000000001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21388.908000000003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133962.10800000001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GONZALO MELENDEZ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520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46076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46083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520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550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680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550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550</v>
      </c>
      <c r="F27" s="383" t="str">
        <f t="shared" si="3"/>
        <v>GRAFITO 2174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550</v>
      </c>
      <c r="F49" s="430" t="str">
        <f>'NOTA DE VENTA'!F22</f>
        <v>GRAFITO 2174 MT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12002</v>
      </c>
      <c r="C2" s="1">
        <f>'NOTA DE VENTA'!$G$10</f>
        <v>46076</v>
      </c>
      <c r="D2" s="1">
        <f>'NOTA DE VENTA'!$G$11</f>
        <v>46083</v>
      </c>
      <c r="E2" t="str">
        <f>'NOTA DE VENTA'!$C$10</f>
        <v>GONZALO MELENDEZ</v>
      </c>
      <c r="F2" t="str">
        <f>'NOTA DE VENTA'!$C$22</f>
        <v>CUB C/R R8</v>
      </c>
      <c r="G2" t="str">
        <f>'NOTA DE VENTA'!$F$22</f>
        <v>GRAFITO 2174 MT</v>
      </c>
      <c r="H2" s="415">
        <f>'NOTA DE VENTA'!$H$25</f>
        <v>112573.20000000001</v>
      </c>
      <c r="I2" s="415">
        <f>H2*0.19</f>
        <v>21388.908000000003</v>
      </c>
      <c r="J2" s="415">
        <f>I2+H2</f>
        <v>133962.10800000001</v>
      </c>
      <c r="L2" s="61">
        <f>J2-K2</f>
        <v>133962.10800000001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2026-02-19T19:52:13Z</cp:lastPrinted>
  <dcterms:created xsi:type="dcterms:W3CDTF">2013-03-18T13:35:42Z</dcterms:created>
  <dcterms:modified xsi:type="dcterms:W3CDTF">2026-02-23T19:01:50Z</dcterms:modified>
</cp:coreProperties>
</file>