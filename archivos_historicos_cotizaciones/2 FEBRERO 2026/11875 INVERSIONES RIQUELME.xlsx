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8FDFBB58-CDF2-4118-A3AD-12324E89D21B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/>
  <c r="O37" i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D21" i="3" l="1"/>
  <c r="E21" i="3" s="1"/>
  <c r="E22" i="3" s="1"/>
  <c r="O38" i="1" l="1"/>
  <c r="Q20" i="1" s="1"/>
  <c r="D22" i="3"/>
  <c r="M44" i="3" s="1"/>
  <c r="D12" i="3" s="1"/>
  <c r="F21" i="3"/>
  <c r="F22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<sst xmlns="http://schemas.openxmlformats.org/spreadsheetml/2006/main" count="487" uniqueCount="294">
  <si>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</si>
  <si>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</si>
  <si>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</si>
  <si>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</si>
  <si>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</si>
  <si>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</si>
  <si>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</si>
  <si>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</si>
  <si>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</si>
  <si>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</si>
  <si>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</si>
  <si>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</si>
  <si>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</si>
  <si>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</si>
  <si>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</si>
  <si>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</si>
  <si>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</si>
  <si>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</si>
  <si>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</si>
  <si>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</si>
  <si>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</si>
  <si>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</si>
  <si>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</si>
  <si>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</si>
  <si>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</si>
  <si>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</si>
  <si>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</si>
  <si>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</si>
  <si>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</si>
  <si>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</si>
  <si>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</si>
  <si>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</si>
  <si>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</si>
  <si>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</si>
  <si>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</si>
  <si>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</si>
  <si>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</si>
  <si>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</si>
  <si>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</si>
  <si>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</si>
  <si>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</si>
  <si>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</si>
  <si>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</si>
  <si>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</si>
  <si>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</si>
  <si>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</si>
  <si>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</si>
  <si>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</si>
  <si>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</si>
  <si>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</si>
  <si>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</si>
  <si>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</si>
  <si>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</si>
  <si>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</si>
  <si>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</si>
  <si>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</si>
  <si>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</si>
  <si>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</si>
  <si>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</si>
  <si>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</si>
  <si>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</si>
  <si>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</si>
  <si>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</si>
  <si>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</si>
  <si>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</si>
  <si>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</si>
  <si>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</si>
  <si>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</si>
  <si>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</si>
  <si>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</si>
  <si>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</si>
  <si>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</si>
  <si>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</si>
  <si>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</si>
  <si>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</si>
  <si>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</si>
  <si>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</si>
  <si>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</si>
  <si>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</si>
  <si>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</si>
  <si>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</si>
  <si>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</si>
  <si>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</si>
  <si>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</si>
  <si>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</si>
  <si>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</si>
  <si>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</si>
  <si>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</si>
  <si>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</si>
  <si>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</si>
  <si>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</si>
  <si>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</si>
  <si>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</si>
  <si>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</si>
  <si>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</si>
  <si>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</si>
  <si>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</si>
  <si>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</si>
  <si>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</si>
  <si>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</si>
  <si>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</si>
  <si>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</si>
  <si>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</si>
  <si>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</si>
  <si>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</si>
  <si>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</si>
  <si>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</si>
  <si>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</si>
  <si>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</si>
  <si>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</si>
  <si>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</si>
  <si>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</si>
  <si>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</si>
  <si>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</si>
  <si>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</si>
  <si>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</si>
  <si>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</si>
  <si>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</si>
  <si>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</si>
  <si>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</si>
  <si>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</si>
  <si>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</si>
  <si>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</si>
  <si>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</si>
  <si>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</si>
  <si>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</si>
  <si>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</si>
  <si>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</si>
  <si>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</si>
  <si>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</si>
  <si>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</si>
  <si>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</si>
  <si>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</si>
  <si>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</si>
  <si>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</si>
  <si>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</si>
  <si>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</si>
  <si>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</si>
  <si>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</si>
  <si>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</si>
  <si>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</si>
  <si>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</si>
  <si>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</si>
  <si>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</si>
  <si>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</si>
  <si>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</si>
  <si>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</si>
  <si>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</si>
  <si>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</si>
  <si>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</si>
  <si>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</si>
  <si>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</si>
  <si>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</si>
  <si>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</si>
  <si>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</si>
  <si>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</si>
  <si>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</si>
  <si>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</si>
  <si>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</si>
  <si>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</si>
  <si>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</si>
  <si>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</si>
  <si>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</si>
  <si>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</si>
  <si>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</si>
  <si>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</si>
  <si>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</si>
  <si>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</si>
  <si>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</si>
  <si>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</si>
  <si>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</si>
  <si>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</si>
  <si>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</si>
  <si>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</si>
  <si>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</si>
  <si>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</si>
  <si>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</si>
  <si>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</si>
  <si>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</si>
  <si>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</si>
  <si>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</si>
  <si>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</si>
  <si>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</si>
  <si>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</si>
  <si>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</si>
  <si>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</si>
  <si>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</si>
  <si>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</si>
  <si>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</si>
  <si>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</si>
  <si>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</si>
  <si>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</si>
  <si>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</si>
  <si>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</si>
  <si>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</si>
  <si>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</si>
  <si>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</si>
  <si>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</si>
  <si>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</si>
  <si>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</si>
  <si>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</si>
  <si>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</si>
  <si>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</si>
  <si>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</si>
  <si>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</si>
  <si>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</si>
  <si>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</si>
  <si>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</si>
  <si>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</si>
  <si>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</si>
  <si>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</si>
  <si>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</si>
  <si>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</si>
  <si>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</si>
  <si>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</si>
  <si>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</si>
  <si>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</si>
  <si>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</si>
  <si>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</si>
  <si>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</si>
  <si>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</si>
  <si>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</si>
  <si>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</si>
  <si>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</si>
  <si>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</si>
  <si>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</si>
  <si>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</si>
  <si>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</si>
  <si>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</si>
  <si>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</si>
  <si>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</si>
  <si>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</si>
  <si>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</si>
  <si>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</si>
  <si>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</si>
  <si>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</si>
  <si>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</si>
  <si>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</si>
  <si>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</si>
  <si>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</si>
  <si>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</si>
  <si>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</si>
  <si>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</si>
  <si>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</si>
  <si>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</si>
  <si>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</si>
  <si>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</si>
  <si>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</si>
  <si>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</si>
  <si>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</si>
  <si>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</si>
  <si>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</si>
  <si>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</si>
  <si>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</si>
  <si>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</si>
  <si>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</si>
  <si>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</si>
  <si>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</si>
  <si>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</si>
  <si>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</si>
  <si>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</si>
  <si>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</si>
  <si>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</si>
  <si>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</si>
  <si>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</si>
  <si>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</si>
  <si>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</si>
  <si>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</si>
  <si>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</si>
  <si>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</si>
  <si>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</si>
  <si>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</si>
  <si>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</si>
  <si>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</si>
  <si>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</si>
  <si>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</si>
  <si>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</si>
  <si>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</si>
  <si>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</si>
  <si>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</si>
  <si>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</si>
  <si>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</si>
  <si>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</si>
  <si>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</si>
  <si>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</si>
  <si>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</si>
  <si>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</si>
  <si>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</si>
  <si>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INVERSIONES RIQUELME</t>
  </si>
  <si>
    <t>FELIPE RIQUELME</t>
  </si>
  <si>
    <t>CUB MESAS 3 LADOS FRENTE DE 5,5CMS</t>
  </si>
  <si>
    <t>GRAFITO MT 2174</t>
  </si>
  <si>
    <t>5 DIAS HABILES</t>
  </si>
  <si>
    <t>N° 11875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</si>
</sst>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CON</a:t>
          </a:r>
          <a:r>
            <a:rPr lang="es-CL" sz="1200" b="1" baseline="0"/>
            <a:t> UNION DE LAMINADO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opLeftCell="A7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288</v>
      </c>
      <c r="D10" s="243"/>
      <c r="E10" s="243"/>
      <c r="F10" s="418" t="s">
        <v>277</v>
      </c>
      <c r="G10" s="275">
        <v>46059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289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>
        <v>56950002778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59212.845528455277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290</v>
      </c>
      <c r="D21" s="430">
        <v>3.2</v>
      </c>
      <c r="E21" s="430">
        <v>0.7</v>
      </c>
      <c r="F21" s="429" t="s">
        <v>291</v>
      </c>
      <c r="G21" s="431">
        <f>Q21</f>
        <v>145663.59999999998</v>
      </c>
      <c r="H21" s="431">
        <f>G21*B21</f>
        <v>145663.59999999998</v>
      </c>
      <c r="I21" s="306"/>
      <c r="J21" s="264"/>
      <c r="K21" s="47"/>
      <c r="L21" s="47">
        <f>B21</f>
        <v>1</v>
      </c>
      <c r="M21" s="39">
        <f>D21+M$19</f>
        <v>3.2800000000000002</v>
      </c>
      <c r="N21" s="39">
        <f>E21+$N$19</f>
        <v>0.75</v>
      </c>
      <c r="O21" s="260">
        <f t="shared" ref="O21" si="0">M21*N21</f>
        <v>2.46</v>
      </c>
      <c r="P21" s="258">
        <f t="shared" ref="P21" si="1">O21*L21</f>
        <v>2.46</v>
      </c>
      <c r="Q21" s="251">
        <f t="shared" ref="Q21" si="2">Q$20*O21</f>
        <v>145663.59999999998</v>
      </c>
      <c r="R21" s="305">
        <f t="shared" ref="R21" si="3">Q21+R$20</f>
        <v>148663.59999999998</v>
      </c>
      <c r="S21" s="290">
        <f>M21*L21*2</f>
        <v>6.5600000000000005</v>
      </c>
      <c r="T21" s="46">
        <f>N21*2*L21*2</f>
        <v>3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145663.59999999998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3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27676.083999999995</v>
      </c>
      <c r="I25" s="308"/>
      <c r="J25" s="264"/>
      <c r="K25" s="47"/>
      <c r="L25" s="47"/>
      <c r="M25" s="39">
        <f>SUM(M21:M24)</f>
        <v>3.2800000000000002</v>
      </c>
      <c r="N25" s="12"/>
      <c r="O25" s="12"/>
      <c r="P25" s="252">
        <f>SUM(P21:P21)</f>
        <v>2.46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173339.68399999998</v>
      </c>
      <c r="I26" s="308"/>
      <c r="J26" s="264"/>
      <c r="K26" s="47"/>
      <c r="L26" s="47"/>
      <c r="M26" s="39"/>
      <c r="N26" s="12"/>
      <c r="O26" s="12"/>
      <c r="P26" s="252">
        <f>P25</f>
        <v>2.46</v>
      </c>
      <c r="Q26" s="14"/>
      <c r="R26" s="12"/>
      <c r="S26" s="239">
        <f>SUM(S21:S25)</f>
        <v>6.5600000000000005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0.49199999999999999</v>
      </c>
      <c r="Q27" s="39" t="s">
        <v>129</v>
      </c>
      <c r="R27" s="42"/>
      <c r="S27" s="240">
        <f>S26+T24</f>
        <v>9.56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2.952</v>
      </c>
      <c r="Q28" s="14"/>
      <c r="R28" s="14"/>
      <c r="S28" s="238">
        <f>S27*20%</f>
        <v>1.9120000000000001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11.472000000000001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2.952</v>
      </c>
      <c r="N30" s="12">
        <v>3500</v>
      </c>
      <c r="O30" s="12">
        <f t="shared" ref="O30:O35" si="4">M30*N30</f>
        <v>10332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</v>
      </c>
      <c r="N31" s="12">
        <v>22000</v>
      </c>
      <c r="O31" s="12">
        <f t="shared" si="4"/>
        <v>22000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31000</v>
      </c>
      <c r="O33" s="12">
        <f t="shared" si="4"/>
        <v>31000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63332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O36*2.3</f>
        <v>145663.59999999998</v>
      </c>
      <c r="P37" s="14" t="s">
        <v>138</v>
      </c>
      <c r="Q37" s="14"/>
      <c r="R37" s="40">
        <f>P28/R36</f>
        <v>0.79594477998274371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59212.845528455277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12" workbookViewId="0">
      <selection activeCell="C18" sqref="C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46059</v>
      </c>
    </row>
    <row r="6" spans="2:31" ht="16.2" thickBot="1" x14ac:dyDescent="0.35">
      <c r="B6" s="140" t="s">
        <v>2</v>
      </c>
      <c r="C6" s="139" t="str">
        <f>'2229'!C10</f>
        <v>INVERSIONES RIQUELME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1343.4082998792292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145663.59999999998</v>
      </c>
      <c r="E11" s="132">
        <f>D11*0.19</f>
        <v>27676.083999999995</v>
      </c>
      <c r="F11" s="131">
        <f>E11+D11</f>
        <v>173339.68399999998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107333.40829987923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93166.090787439607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89333.408299879229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52497.50921256037</v>
      </c>
      <c r="E13" s="221">
        <f>(D11/D12)-1</f>
        <v>0.56348300941739127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80333.408299879229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41333.408299879229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153724.04979927535</v>
      </c>
      <c r="F15" s="216">
        <f>E15-D12</f>
        <v>60557.959011835745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41333.408299879229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81333.408299879229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85</v>
      </c>
      <c r="D19" s="122">
        <f>'2229'!O33</f>
        <v>31000</v>
      </c>
      <c r="E19" s="123">
        <f>D19*0.19</f>
        <v>5890</v>
      </c>
      <c r="F19" s="120">
        <f>SUM(D19:E19)</f>
        <v>36890</v>
      </c>
      <c r="H19" s="192"/>
      <c r="I19" s="202"/>
      <c r="J19" s="184"/>
      <c r="K19" s="158"/>
      <c r="L19" s="61"/>
      <c r="Q19" s="16"/>
      <c r="R19" s="458"/>
      <c r="S19" s="459"/>
      <c r="T19" s="459"/>
      <c r="U19" s="460"/>
      <c r="V19" s="461"/>
      <c r="W19" s="461"/>
      <c r="X19" s="106"/>
    </row>
    <row r="20" spans="1:31" x14ac:dyDescent="0.3">
      <c r="C20" s="79" t="s">
        <v>31</v>
      </c>
      <c r="D20" s="122">
        <f>'2229'!O31</f>
        <v>22000</v>
      </c>
      <c r="E20" s="123">
        <f>D20*0.19</f>
        <v>4180</v>
      </c>
      <c r="F20" s="120">
        <f>SUM(D20:E20)</f>
        <v>26180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'2229'!O30</f>
        <v>10332</v>
      </c>
      <c r="E21" s="121">
        <f>D21*0.19</f>
        <v>1963.08</v>
      </c>
      <c r="F21" s="120">
        <f>SUM(D21:E21)</f>
        <v>12295.08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63332</v>
      </c>
      <c r="E22" s="116">
        <f>SUM(E18:E21)</f>
        <v>12033.08</v>
      </c>
      <c r="F22" s="115">
        <f>SUM(F18:F21)</f>
        <v>75365.08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15643.003999999995</v>
      </c>
    </row>
    <row r="42" spans="1:16" ht="15" thickBot="1" x14ac:dyDescent="0.35">
      <c r="H42" s="442" t="s">
        <v>60</v>
      </c>
      <c r="I42" s="443"/>
      <c r="J42" s="443"/>
      <c r="K42" s="443"/>
      <c r="L42" s="443"/>
      <c r="M42" s="444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145663.59999999998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63332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52497.50921256037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52497.50921256037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INVERSIONES RIQUELME</v>
      </c>
      <c r="D10" s="350"/>
      <c r="E10" s="350"/>
      <c r="F10" s="351" t="s">
        <v>167</v>
      </c>
      <c r="G10" s="352">
        <f>'2229'!G10</f>
        <v>46059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FELIPE RIQUELME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56950002778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MESAS 3 LADOS FRENTE DE 5,5CMS</v>
      </c>
      <c r="D22" s="321">
        <f>'2229'!D21*1000</f>
        <v>3200</v>
      </c>
      <c r="E22" s="321">
        <f>'2229'!E21*1000</f>
        <v>700</v>
      </c>
      <c r="F22" s="322" t="str">
        <f>'2229'!F21</f>
        <v>GRAFITO MT 2174</v>
      </c>
      <c r="G22" s="314">
        <f>'2229'!G21</f>
        <v>145663.59999999998</v>
      </c>
      <c r="H22" s="323">
        <f>G22*B22</f>
        <v>145663.59999999998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145663.59999999998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27676.083999999995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173339.68399999998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INVERSIONES RIQUELME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11875</v>
      </c>
      <c r="C2" s="1">
        <f>'NOTA DE VENTA'!$G$10</f>
        <v>46059</v>
      </c>
      <c r="D2" s="1">
        <f>'NOTA DE VENTA'!$G$11</f>
        <v>46066</v>
      </c>
      <c r="E2" t="str">
        <f>'NOTA DE VENTA'!$C$10</f>
        <v>INVERSIONES RIQUELME</v>
      </c>
      <c r="F2" t="str">
        <f>'NOTA DE VENTA'!$C$22</f>
        <v>CUB MESAS 3 LADOS FRENTE DE 5,5CMS</v>
      </c>
      <c r="G2" t="str">
        <f>'NOTA DE VENTA'!$F$22</f>
        <v>GRAFITO MT 2174</v>
      </c>
      <c r="H2" s="416">
        <f>'NOTA DE VENTA'!$H$25</f>
        <v>145663.59999999998</v>
      </c>
      <c r="I2" s="416">
        <f>H2*0.19</f>
        <v>27676.083999999995</v>
      </c>
      <c r="J2" s="416">
        <f>I2+H2</f>
        <v>173339.68399999998</v>
      </c>
      <c r="L2" s="61">
        <f>J2-K2</f>
        <v>173339.68399999998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2026-02-06T18:19:44Z</cp:lastPrinted>
  <dcterms:created xsi:type="dcterms:W3CDTF">2013-03-18T13:35:42Z</dcterms:created>
  <dcterms:modified xsi:type="dcterms:W3CDTF">2026-02-17T12:47:57Z</dcterms:modified>
</cp:coreProperties>
</file>