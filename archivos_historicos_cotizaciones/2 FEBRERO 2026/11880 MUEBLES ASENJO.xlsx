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40C49266-697A-439C-98C3-6821BACD1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K22" i="1"/>
  <c r="K24" i="1" l="1"/>
  <c r="M22" i="1"/>
  <c r="N22" i="1"/>
  <c r="S22" i="1" l="1"/>
  <c r="O22" i="1"/>
  <c r="P22" i="1" s="1"/>
  <c r="M21" i="1"/>
  <c r="N21" i="1"/>
  <c r="O21" i="1" l="1"/>
  <c r="P21" i="1" s="1"/>
  <c r="P25" i="1" s="1"/>
  <c r="S26" i="1"/>
  <c r="M25" i="1"/>
  <c r="T24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R22" i="1" s="1"/>
  <c r="Q21" i="1"/>
  <c r="O39" i="1"/>
  <c r="E15" i="3"/>
  <c r="H22" i="1" l="1"/>
  <c r="R21" i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<sst xmlns="http://schemas.openxmlformats.org/spreadsheetml/2006/main" count="232" uniqueCount="177">
  <si>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</si>
  <si>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</si>
  <si>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</si>
  <si>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</si>
  <si>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</si>
  <si>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</si>
  <si>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</si>
  <si>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</si>
  <si>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</si>
  <si>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</si>
  <si>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</si>
  <si>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</si>
  <si>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</si>
  <si>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</si>
  <si>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</si>
  <si>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</si>
  <si>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</si>
  <si>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</si>
  <si>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</si>
  <si>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</si>
  <si>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</si>
  <si>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</si>
  <si>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</si>
  <si>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</si>
  <si>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</si>
  <si>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</si>
  <si>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</si>
  <si>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</si>
  <si>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</si>
  <si>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</si>
  <si>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</si>
  <si>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</si>
  <si>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</si>
  <si>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</si>
  <si>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</si>
  <si>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</si>
  <si>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</si>
  <si>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</si>
  <si>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</si>
  <si>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</si>
  <si>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</si>
  <si>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</si>
  <si>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</si>
  <si>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</si>
  <si>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</si>
  <si>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</si>
  <si>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</si>
  <si>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</si>
  <si>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</si>
  <si>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</si>
  <si>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</si>
  <si>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</si>
  <si>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</si>
  <si>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</si>
  <si>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</si>
  <si>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</si>
  <si>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</si>
  <si>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</si>
  <si>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</si>
  <si>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</si>
  <si>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</si>
  <si>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</si>
  <si>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</si>
  <si>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</si>
  <si>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</si>
  <si>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</si>
  <si>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</si>
  <si>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</si>
  <si>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</si>
  <si>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</si>
  <si>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</si>
  <si>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</si>
  <si>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</si>
  <si>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</si>
  <si>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</si>
  <si>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</si>
  <si>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</si>
  <si>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</si>
  <si>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</si>
  <si>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</si>
  <si>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</si>
  <si>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</si>
  <si>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</si>
  <si>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</si>
  <si>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</si>
  <si>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</si>
  <si>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</si>
  <si>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</si>
  <si>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</si>
  <si>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</si>
  <si>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</si>
  <si>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</si>
  <si>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</si>
  <si>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</si>
  <si>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</si>
  <si>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</si>
  <si>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</si>
  <si>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</si>
  <si>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</si>
  <si>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</si>
  <si>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</si>
  <si>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</si>
  <si>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</si>
  <si>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</si>
  <si>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</si>
  <si>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</si>
  <si>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</si>
  <si>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</si>
  <si>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</si>
  <si>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</si>
  <si>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</si>
  <si>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</si>
  <si>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</si>
  <si>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</si>
  <si>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</si>
  <si>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</si>
  <si>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</si>
  <si>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</si>
  <si>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</si>
  <si>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</si>
  <si>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</si>
  <si>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</si>
  <si>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</si>
  <si>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</si>
  <si>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</si>
  <si>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</si>
  <si>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</si>
  <si>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</si>
  <si>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</si>
  <si>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</si>
  <si>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</si>
  <si>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</si>
  <si>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</si>
  <si>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</si>
  <si>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</si>
  <si>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</si>
  <si>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</si>
  <si>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</si>
  <si>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</si>
  <si>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</si>
  <si>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</si>
  <si>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</si>
  <si>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</si>
  <si>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</si>
  <si>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</si>
  <si>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</si>
  <si>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</si>
  <si>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</si>
  <si>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</si>
  <si>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</si>
  <si>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</si>
  <si>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</si>
  <si>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</si>
  <si>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</si>
  <si>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</si>
  <si>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</si>
  <si>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</si>
  <si>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</si>
  <si>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</si>
  <si>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</si>
  <si>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</si>
  <si>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</si>
  <si>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</si>
  <si>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</si>
  <si>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</si>
  <si>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</si>
  <si>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</si>
  <si>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</si>
  <si>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</si>
  <si>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</si>
  <si>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</si>
  <si>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</si>
  <si>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N° 11880</t>
  </si>
  <si>
    <t>1 DIAS HABILES</t>
  </si>
  <si>
    <t>CUB S/R 90° R8</t>
  </si>
  <si>
    <t>SHELL WHITE 22011 SF</t>
  </si>
  <si>
    <t>SEA WHITE 1502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</si>
</sst>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25913</xdr:rowOff>
    </xdr:from>
    <xdr:to>
      <xdr:col>5</xdr:col>
      <xdr:colOff>1728839</xdr:colOff>
      <xdr:row>26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I35" sqref="I3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46058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68941.764705882364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2.33</v>
      </c>
      <c r="E21" s="332">
        <v>0.6</v>
      </c>
      <c r="F21" s="330" t="s">
        <v>175</v>
      </c>
      <c r="G21" s="331">
        <v>65106</v>
      </c>
      <c r="H21" s="331">
        <f t="shared" ref="H21" si="1">G21*B21</f>
        <v>65106</v>
      </c>
      <c r="I21" s="320"/>
      <c r="J21" s="265"/>
      <c r="K21" s="47"/>
      <c r="L21" s="333"/>
      <c r="M21" s="39">
        <f t="shared" ref="M21" si="2">D21+M$19</f>
        <v>2.41</v>
      </c>
      <c r="N21" s="39">
        <f t="shared" ref="N21" si="3">E21+$N$19</f>
        <v>0.6</v>
      </c>
      <c r="O21" s="261">
        <f t="shared" ref="O21" si="4">M21*N21</f>
        <v>1.446</v>
      </c>
      <c r="P21" s="259">
        <f t="shared" ref="P21" si="5">O21*L21</f>
        <v>0</v>
      </c>
      <c r="Q21" s="252">
        <f t="shared" ref="Q21" si="6">Q$20*O21</f>
        <v>99689.791764705893</v>
      </c>
      <c r="R21" s="319">
        <f t="shared" ref="R21" si="7">Q21+R$20</f>
        <v>102689.79176470589</v>
      </c>
      <c r="S21" s="297"/>
      <c r="T21" s="46"/>
      <c r="U21" s="9"/>
      <c r="X21" s="4"/>
    </row>
    <row r="22" spans="1:25" ht="17.399999999999999" x14ac:dyDescent="0.3">
      <c r="B22" s="330">
        <v>2</v>
      </c>
      <c r="C22" s="330" t="s">
        <v>174</v>
      </c>
      <c r="D22" s="332">
        <v>0.6</v>
      </c>
      <c r="E22" s="332">
        <v>0.5</v>
      </c>
      <c r="F22" s="330" t="s">
        <v>176</v>
      </c>
      <c r="G22" s="331">
        <v>26440</v>
      </c>
      <c r="H22" s="331">
        <f t="shared" ref="H22" si="8">G22*B22</f>
        <v>52880</v>
      </c>
      <c r="I22" s="320">
        <v>190640</v>
      </c>
      <c r="J22" s="265">
        <v>47876</v>
      </c>
      <c r="K22" s="47">
        <f>J22*L22</f>
        <v>95752</v>
      </c>
      <c r="L22" s="333">
        <v>2</v>
      </c>
      <c r="M22" s="39">
        <f t="shared" ref="M22" si="9">D22+M$19</f>
        <v>0.67999999999999994</v>
      </c>
      <c r="N22" s="39">
        <f t="shared" ref="N22" si="10">E22+$N$19</f>
        <v>0.5</v>
      </c>
      <c r="O22" s="261">
        <f t="shared" ref="O22" si="11">M22*N22</f>
        <v>0.33999999999999997</v>
      </c>
      <c r="P22" s="259">
        <f t="shared" ref="P22" si="12">O22*L22</f>
        <v>0.67999999999999994</v>
      </c>
      <c r="Q22" s="252">
        <f t="shared" ref="Q22" si="13">Q$20*O22</f>
        <v>23440.2</v>
      </c>
      <c r="R22" s="319">
        <f t="shared" ref="R22" si="14">Q22+R$20</f>
        <v>26440.2</v>
      </c>
      <c r="S22" s="297">
        <f t="shared" ref="S22" si="15">L22*M22</f>
        <v>1.3599999999999999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>
        <v>171175</v>
      </c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117986</v>
      </c>
      <c r="I24" s="322"/>
      <c r="J24" s="265"/>
      <c r="K24" s="47" t="e">
        <f>#REF!+K23</f>
        <v>#REF!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22417.34</v>
      </c>
      <c r="I25" s="322"/>
      <c r="J25" s="265"/>
      <c r="K25" s="47"/>
      <c r="L25" s="47"/>
      <c r="M25" s="39">
        <f>SUM(M21:M24)</f>
        <v>3.09</v>
      </c>
      <c r="N25" s="12"/>
      <c r="O25" s="12"/>
      <c r="P25" s="253">
        <f>SUM(P21:P23)</f>
        <v>0.67999999999999994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140403.34</v>
      </c>
      <c r="I26" s="322"/>
      <c r="J26" s="265"/>
      <c r="K26" s="47"/>
      <c r="L26" s="47"/>
      <c r="M26" s="39"/>
      <c r="N26" s="12"/>
      <c r="O26" s="12"/>
      <c r="P26" s="253">
        <f>P25</f>
        <v>0.67999999999999994</v>
      </c>
      <c r="Q26" s="14"/>
      <c r="R26" s="12"/>
      <c r="S26" s="239">
        <f>SUM(S21:S25)</f>
        <v>1.3599999999999999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0.13599999999999998</v>
      </c>
      <c r="Q27" s="39" t="s">
        <v>130</v>
      </c>
      <c r="R27" s="42"/>
      <c r="S27" s="240">
        <f>S26+T24</f>
        <v>1.3599999999999999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>
        <v>34235</v>
      </c>
      <c r="M28" s="14"/>
      <c r="N28" s="12"/>
      <c r="O28" s="12"/>
      <c r="P28" s="46">
        <f>P26+P27</f>
        <v>0.81599999999999995</v>
      </c>
      <c r="Q28" s="14"/>
      <c r="R28" s="14"/>
      <c r="S28" s="238">
        <f>S27*20%</f>
        <v>0.27199999999999996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>
        <f>L28*5</f>
        <v>171175</v>
      </c>
      <c r="M29" s="14"/>
      <c r="N29" s="14"/>
      <c r="O29" s="14"/>
      <c r="P29" s="14"/>
      <c r="Q29" s="14"/>
      <c r="R29" s="14"/>
      <c r="S29" s="240">
        <f>S27+S28</f>
        <v>1.6319999999999999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0.81599999999999995</v>
      </c>
      <c r="N30" s="12">
        <v>1500</v>
      </c>
      <c r="O30" s="12">
        <f t="shared" ref="O30:O35" si="16">M30*N30</f>
        <v>1224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0.4</v>
      </c>
      <c r="N31" s="12">
        <v>23500</v>
      </c>
      <c r="O31" s="12">
        <f t="shared" si="16"/>
        <v>9400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23500</v>
      </c>
      <c r="O32" s="12">
        <f t="shared" si="16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0.3</v>
      </c>
      <c r="N33" s="250">
        <v>39000</v>
      </c>
      <c r="O33" s="12">
        <f t="shared" si="16"/>
        <v>11700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15700</v>
      </c>
      <c r="O34" s="12">
        <f t="shared" si="16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16"/>
        <v>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22324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46880.4</v>
      </c>
      <c r="P37" s="14" t="s">
        <v>140</v>
      </c>
      <c r="Q37" s="14"/>
      <c r="R37" s="40">
        <f>P28/R36</f>
        <v>0.1783606557377049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68941.764705882364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-8538.3583667874409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117986</v>
      </c>
      <c r="E11" s="132">
        <f>D11*0.19</f>
        <v>22417.34</v>
      </c>
      <c r="F11" s="131">
        <f>E11+D11</f>
        <v>140403.34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97451.641633212566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40458.090787439614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79451.641633212566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77527.909212560393</v>
      </c>
      <c r="E13" s="221">
        <f>(D11/D12)-1</f>
        <v>1.9162522922764622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70451.641633212566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31451.641633212559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66755.849799275355</v>
      </c>
      <c r="F15" s="216">
        <f>E15-D12</f>
        <v>26297.75901183574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31451.641633212559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71451.641633212566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1224</v>
      </c>
      <c r="E20" s="121">
        <f>D20*0.19</f>
        <v>232.56</v>
      </c>
      <c r="F20" s="120">
        <f>SUM(D20:E20)</f>
        <v>1456.56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10624</v>
      </c>
      <c r="E21" s="116">
        <f>SUM(E18:E20)</f>
        <v>2018.56</v>
      </c>
      <c r="F21" s="115">
        <f>SUM(F18:F20)</f>
        <v>12642.56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20398.78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117986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10624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77527.909212560393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77527.909212560393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2026-02-09T19:06:38Z</cp:lastPrinted>
  <dcterms:created xsi:type="dcterms:W3CDTF">2013-03-18T13:35:42Z</dcterms:created>
  <dcterms:modified xsi:type="dcterms:W3CDTF">2026-02-09T19:06:40Z</dcterms:modified>
</cp:coreProperties>
</file>