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C1DFC370-3A90-4699-B78F-BE8825C5372F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L22" i="1" l="1"/>
  <c r="M22" i="1"/>
  <c r="N22" i="1"/>
  <c r="O22" i="1" l="1"/>
  <c r="P22" i="1" s="1"/>
  <c r="S22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6" i="1" l="1"/>
  <c r="S27" i="1"/>
  <c r="T25" i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Q22" i="1" s="1"/>
  <c r="G22" i="1" s="1"/>
  <c r="D21" i="3"/>
  <c r="M43" i="3" s="1"/>
  <c r="D12" i="3" s="1"/>
  <c r="F20" i="3"/>
  <c r="F21" i="3" s="1"/>
  <c r="H22" i="1" l="1"/>
  <c r="R22" i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<sst xmlns="http://schemas.openxmlformats.org/spreadsheetml/2006/main" count="488" uniqueCount="294">
  <si>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</si>
  <si>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</si>
  <si>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</si>
  <si>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</si>
  <si>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</si>
  <si>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</si>
  <si>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</si>
  <si>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</si>
  <si>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</si>
  <si>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</si>
  <si>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</si>
  <si>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</si>
  <si>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</si>
  <si>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</si>
  <si>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</si>
  <si>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</si>
  <si>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</si>
  <si>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</si>
  <si>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</si>
  <si>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</si>
  <si>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</si>
  <si>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</si>
  <si>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</si>
  <si>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</si>
  <si>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</si>
  <si>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</si>
  <si>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</si>
  <si>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</si>
  <si>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</si>
  <si>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</si>
  <si>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</si>
  <si>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</si>
  <si>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</si>
  <si>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</si>
  <si>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</si>
  <si>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</si>
  <si>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</si>
  <si>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</si>
  <si>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</si>
  <si>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</si>
  <si>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</si>
  <si>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</si>
  <si>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</si>
  <si>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</si>
  <si>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</si>
  <si>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</si>
  <si>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</si>
  <si>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</si>
  <si>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</si>
  <si>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</si>
  <si>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</si>
  <si>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</si>
  <si>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</si>
  <si>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</si>
  <si>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</si>
  <si>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</si>
  <si>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</si>
  <si>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</si>
  <si>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</si>
  <si>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</si>
  <si>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</si>
  <si>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</si>
  <si>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</si>
  <si>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</si>
  <si>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</si>
  <si>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</si>
  <si>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</si>
  <si>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</si>
  <si>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</si>
  <si>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</si>
  <si>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</si>
  <si>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</si>
  <si>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</si>
  <si>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</si>
  <si>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</si>
  <si>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</si>
  <si>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</si>
  <si>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</si>
  <si>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</si>
  <si>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</si>
  <si>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</si>
  <si>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</si>
  <si>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</si>
  <si>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</si>
  <si>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</si>
  <si>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</si>
  <si>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</si>
  <si>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</si>
  <si>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</si>
  <si>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</si>
  <si>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</si>
  <si>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</si>
  <si>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</si>
  <si>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</si>
  <si>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</si>
  <si>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</si>
  <si>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</si>
  <si>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</si>
  <si>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</si>
  <si>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</si>
  <si>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</si>
  <si>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</si>
  <si>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</si>
  <si>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</si>
  <si>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</si>
  <si>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</si>
  <si>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</si>
  <si>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</si>
  <si>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</si>
  <si>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</si>
  <si>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</si>
  <si>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</si>
  <si>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</si>
  <si>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</si>
  <si>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</si>
  <si>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</si>
  <si>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</si>
  <si>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</si>
  <si>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</si>
  <si>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</si>
  <si>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</si>
  <si>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</si>
  <si>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</si>
  <si>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</si>
  <si>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</si>
  <si>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</si>
  <si>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</si>
  <si>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</si>
  <si>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</si>
  <si>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</si>
  <si>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</si>
  <si>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</si>
  <si>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</si>
  <si>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</si>
  <si>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</si>
  <si>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</si>
  <si>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</si>
  <si>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</si>
  <si>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</si>
  <si>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</si>
  <si>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</si>
  <si>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</si>
  <si>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</si>
  <si>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</si>
  <si>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</si>
  <si>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</si>
  <si>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</si>
  <si>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</si>
  <si>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</si>
  <si>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</si>
  <si>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</si>
  <si>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</si>
  <si>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</si>
  <si>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</si>
  <si>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</si>
  <si>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</si>
  <si>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</si>
  <si>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</si>
  <si>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</si>
  <si>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</si>
  <si>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</si>
  <si>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</si>
  <si>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</si>
  <si>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</si>
  <si>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</si>
  <si>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</si>
  <si>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</si>
  <si>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</si>
  <si>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</si>
  <si>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</si>
  <si>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</si>
  <si>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</si>
  <si>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</si>
  <si>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</si>
  <si>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</si>
  <si>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</si>
  <si>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</si>
  <si>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</si>
  <si>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</si>
  <si>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</si>
  <si>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</si>
  <si>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</si>
  <si>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</si>
  <si>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</si>
  <si>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</si>
  <si>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</si>
  <si>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</si>
  <si>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</si>
  <si>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</si>
  <si>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</si>
  <si>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</si>
  <si>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</si>
  <si>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</si>
  <si>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</si>
  <si>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</si>
  <si>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</si>
  <si>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</si>
  <si>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</si>
  <si>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</si>
  <si>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</si>
  <si>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</si>
  <si>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</si>
  <si>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</si>
  <si>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</si>
  <si>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</si>
  <si>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</si>
  <si>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</si>
  <si>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</si>
  <si>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</si>
  <si>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</si>
  <si>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</si>
  <si>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</si>
  <si>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</si>
  <si>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</si>
  <si>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</si>
  <si>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</si>
  <si>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</si>
  <si>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</si>
  <si>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</si>
  <si>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</si>
  <si>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</si>
  <si>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</si>
  <si>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</si>
  <si>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</si>
  <si>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</si>
  <si>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</si>
  <si>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</si>
  <si>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</si>
  <si>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</si>
  <si>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</si>
  <si>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</si>
  <si>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</si>
  <si>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</si>
  <si>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</si>
  <si>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</si>
  <si>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</si>
  <si>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</si>
  <si>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</si>
  <si>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</si>
  <si>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</si>
  <si>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</si>
  <si>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</si>
  <si>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</si>
  <si>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</si>
  <si>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</si>
  <si>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</si>
  <si>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</si>
  <si>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</si>
  <si>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</si>
  <si>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</si>
  <si>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</si>
  <si>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</si>
  <si>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</si>
  <si>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</si>
  <si>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</si>
  <si>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</si>
  <si>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</si>
  <si>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</si>
  <si>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</si>
  <si>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</si>
  <si>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</si>
  <si>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</si>
  <si>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</si>
  <si>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</si>
  <si>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</si>
  <si>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</si>
  <si>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</si>
  <si>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</si>
  <si>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</si>
  <si>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</si>
  <si>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</si>
  <si>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</si>
  <si>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</si>
  <si>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</si>
  <si>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</si>
  <si>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</si>
  <si>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</si>
  <si>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</si>
  <si>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</si>
  <si>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</si>
  <si>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</si>
  <si>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</si>
  <si>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</si>
  <si>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</si>
  <si>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</si>
  <si>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</si>
  <si>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</si>
  <si>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</si>
  <si>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</si>
  <si>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N° 11877</t>
  </si>
  <si>
    <t>CARLOS TORRES</t>
  </si>
  <si>
    <t>+569 5193 9027</t>
  </si>
  <si>
    <t>ALUMINA MT 2103</t>
  </si>
  <si>
    <t>CUB SIN RESPALDO FTE 90° 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</si>
</sst>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ENCHAPADA EN LOS COSTADOS Y LA PARTE TRASERA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A16" sqref="A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8" t="s">
        <v>277</v>
      </c>
      <c r="G10" s="275">
        <v>46062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71624.936708860754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293</v>
      </c>
      <c r="D21" s="432">
        <v>1</v>
      </c>
      <c r="E21" s="432">
        <v>0.7</v>
      </c>
      <c r="F21" s="313" t="s">
        <v>292</v>
      </c>
      <c r="G21" s="314">
        <f>Q21</f>
        <v>58016.198734177218</v>
      </c>
      <c r="H21" s="433">
        <f>G21*B21</f>
        <v>58016.198734177218</v>
      </c>
      <c r="I21" s="306"/>
      <c r="J21" s="264"/>
      <c r="K21" s="47"/>
      <c r="L21" s="47">
        <f>B21</f>
        <v>1</v>
      </c>
      <c r="M21" s="39">
        <f>D21+M$19</f>
        <v>1.08</v>
      </c>
      <c r="N21" s="39">
        <f>E21+$N$19</f>
        <v>0.75</v>
      </c>
      <c r="O21" s="260">
        <f t="shared" ref="O21" si="0">M21*N21</f>
        <v>0.81</v>
      </c>
      <c r="P21" s="258">
        <f t="shared" ref="P21" si="1">O21*L21</f>
        <v>0.81</v>
      </c>
      <c r="Q21" s="251">
        <f t="shared" ref="Q21" si="2">Q$20*O21</f>
        <v>58016.198734177218</v>
      </c>
      <c r="R21" s="305">
        <f t="shared" ref="R21" si="3">Q21+R$20</f>
        <v>61016.198734177218</v>
      </c>
      <c r="S21" s="290">
        <f>M21*L21*2</f>
        <v>2.16</v>
      </c>
      <c r="T21" s="46">
        <f>N21*2*L21*2</f>
        <v>3</v>
      </c>
      <c r="U21" s="9"/>
      <c r="X21" s="4"/>
    </row>
    <row r="22" spans="1:25" ht="18" thickBot="1" x14ac:dyDescent="0.35">
      <c r="B22" s="434">
        <v>1</v>
      </c>
      <c r="C22" s="435" t="s">
        <v>293</v>
      </c>
      <c r="D22" s="436">
        <v>2</v>
      </c>
      <c r="E22" s="436">
        <v>0.7</v>
      </c>
      <c r="F22" s="437" t="s">
        <v>292</v>
      </c>
      <c r="G22" s="438">
        <f>Q22</f>
        <v>111734.90126582279</v>
      </c>
      <c r="H22" s="439">
        <f>G22*B22</f>
        <v>111734.90126582279</v>
      </c>
      <c r="I22" s="306"/>
      <c r="J22" s="264"/>
      <c r="K22" s="47"/>
      <c r="L22" s="47">
        <f>B22</f>
        <v>1</v>
      </c>
      <c r="M22" s="39">
        <f>D22+M$19</f>
        <v>2.08</v>
      </c>
      <c r="N22" s="39">
        <f>E22+$N$19</f>
        <v>0.75</v>
      </c>
      <c r="O22" s="260">
        <f t="shared" ref="O22" si="4">M22*N22</f>
        <v>1.56</v>
      </c>
      <c r="P22" s="258">
        <f t="shared" ref="P22" si="5">O22*L22</f>
        <v>1.56</v>
      </c>
      <c r="Q22" s="251">
        <f t="shared" ref="Q22" si="6">Q$20*O22</f>
        <v>111734.90126582279</v>
      </c>
      <c r="R22" s="305">
        <f t="shared" ref="R22" si="7">Q22+R$20</f>
        <v>114734.90126582279</v>
      </c>
      <c r="S22" s="290">
        <f>M22*L22*2</f>
        <v>4.16</v>
      </c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SUM(H21:H24)</f>
        <v>169751.1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3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32252.709000000003</v>
      </c>
      <c r="I26" s="308"/>
      <c r="J26" s="264"/>
      <c r="K26" s="47"/>
      <c r="L26" s="47"/>
      <c r="M26" s="39">
        <f>SUM(M21:M25)</f>
        <v>3.16</v>
      </c>
      <c r="N26" s="12"/>
      <c r="O26" s="12"/>
      <c r="P26" s="252">
        <f>SUM(P21:P23)</f>
        <v>2.37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202003.80900000001</v>
      </c>
      <c r="I27" s="308"/>
      <c r="J27" s="264"/>
      <c r="K27" s="47"/>
      <c r="L27" s="47"/>
      <c r="M27" s="39"/>
      <c r="N27" s="12"/>
      <c r="O27" s="12"/>
      <c r="P27" s="252">
        <f>P26</f>
        <v>2.37</v>
      </c>
      <c r="Q27" s="14"/>
      <c r="R27" s="12"/>
      <c r="S27" s="239">
        <f>SUM(S21:S26)</f>
        <v>6.32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0.47400000000000003</v>
      </c>
      <c r="Q28" s="39" t="s">
        <v>129</v>
      </c>
      <c r="R28" s="42"/>
      <c r="S28" s="240">
        <f>S27+T25</f>
        <v>9.32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2.8440000000000003</v>
      </c>
      <c r="Q29" s="14"/>
      <c r="R29" s="14"/>
      <c r="S29" s="238">
        <f>S28*20%</f>
        <v>1.8640000000000001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11.184000000000001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2.8440000000000003</v>
      </c>
      <c r="N31" s="12">
        <v>3500</v>
      </c>
      <c r="O31" s="12">
        <f t="shared" ref="O31:O36" si="8">M31*N31</f>
        <v>9954.0000000000018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40000</v>
      </c>
      <c r="O32" s="12">
        <f t="shared" si="8"/>
        <v>40000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29000</v>
      </c>
      <c r="O34" s="12">
        <f t="shared" si="8"/>
        <v>29000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1500</v>
      </c>
      <c r="O36" s="12">
        <f t="shared" si="8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78954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O37*2.15</f>
        <v>169751.1</v>
      </c>
      <c r="P38" s="14" t="s">
        <v>138</v>
      </c>
      <c r="Q38" s="14"/>
      <c r="R38" s="40">
        <f>P29/R37</f>
        <v>0.76682484900776537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71624.936708860754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2.15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46062</v>
      </c>
    </row>
    <row r="6" spans="2:31" ht="16.2" thickBot="1" x14ac:dyDescent="0.35">
      <c r="B6" s="140" t="s">
        <v>2</v>
      </c>
      <c r="C6" s="139" t="str">
        <f>'2229'!C10</f>
        <v>CARLOS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-6350.125033454111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169751.1</v>
      </c>
      <c r="E11" s="132">
        <f>D11*0.19</f>
        <v>32252.709000000003</v>
      </c>
      <c r="F11" s="131">
        <f>E11+D11</f>
        <v>202003.80900000001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99639.874966545889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79788.090787439607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81639.874966545889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89963.009212560399</v>
      </c>
      <c r="E13" s="221">
        <f>(D11/D12)-1</f>
        <v>1.1275242749225245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72639.874966545889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33639.874966545889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131650.34979927534</v>
      </c>
      <c r="F15" s="216">
        <f>E15-D12</f>
        <v>51862.259011835733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33639.874966545889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73639.874966545889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9954.0000000000018</v>
      </c>
      <c r="E20" s="121">
        <f>D20*0.19</f>
        <v>1891.2600000000004</v>
      </c>
      <c r="F20" s="120">
        <f>SUM(D20:E20)</f>
        <v>11845.260000000002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49954</v>
      </c>
      <c r="E21" s="116">
        <f>SUM(E18:E20)</f>
        <v>9491.26</v>
      </c>
      <c r="F21" s="115">
        <f>SUM(F18:F20)</f>
        <v>59445.26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22761.449000000001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169751.1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49954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89963.009212560399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89963.009212560399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CARLOS TORRES</v>
      </c>
      <c r="D10" s="350"/>
      <c r="E10" s="350"/>
      <c r="F10" s="351" t="s">
        <v>167</v>
      </c>
      <c r="G10" s="352">
        <f>'2229'!G10</f>
        <v>46062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+569 5193 9027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SIN RESPALDO FTE 90° R19</v>
      </c>
      <c r="D22" s="321">
        <f>'2229'!D21*1000</f>
        <v>1000</v>
      </c>
      <c r="E22" s="321">
        <f>'2229'!E21*1000</f>
        <v>700</v>
      </c>
      <c r="F22" s="322" t="str">
        <f>'2229'!F21</f>
        <v>ALUMINA MT 2103</v>
      </c>
      <c r="G22" s="314">
        <f>'2229'!G21</f>
        <v>58016.198734177218</v>
      </c>
      <c r="H22" s="323">
        <f>G22*B22</f>
        <v>58016.198734177218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58016.198734177218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11023.077759493672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69039.276493670885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1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CARLOS TORRES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46062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11877</v>
      </c>
      <c r="C2" s="1">
        <f>'NOTA DE VENTA'!$G$10</f>
        <v>46062</v>
      </c>
      <c r="D2" s="1">
        <f>'NOTA DE VENTA'!$G$11</f>
        <v>46069</v>
      </c>
      <c r="E2" t="str">
        <f>'NOTA DE VENTA'!$C$10</f>
        <v>CARLOS TORRES</v>
      </c>
      <c r="F2" t="str">
        <f>'NOTA DE VENTA'!$C$22</f>
        <v>CUB SIN RESPALDO FTE 90° R19</v>
      </c>
      <c r="G2" t="str">
        <f>'NOTA DE VENTA'!$F$22</f>
        <v>ALUMINA MT 2103</v>
      </c>
      <c r="H2" s="416">
        <f>'NOTA DE VENTA'!$H$25</f>
        <v>58016.198734177218</v>
      </c>
      <c r="I2" s="416">
        <f>H2*0.19</f>
        <v>11023.077759493672</v>
      </c>
      <c r="J2" s="416">
        <f>I2+H2</f>
        <v>69039.276493670885</v>
      </c>
      <c r="L2" s="61">
        <f>J2-K2</f>
        <v>69039.276493670885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2026-02-09T15:06:46Z</cp:lastPrinted>
  <dcterms:created xsi:type="dcterms:W3CDTF">2013-03-18T13:35:42Z</dcterms:created>
  <dcterms:modified xsi:type="dcterms:W3CDTF">2026-02-09T15:07:09Z</dcterms:modified>
</cp:coreProperties>
</file>