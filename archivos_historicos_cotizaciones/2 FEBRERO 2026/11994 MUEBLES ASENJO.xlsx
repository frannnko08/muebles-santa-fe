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3FCDA54F-52D8-450D-B54D-CF99CEFD4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S21" i="1"/>
  <c r="P29" i="1"/>
  <c r="L23" i="1"/>
  <c r="M23" i="1"/>
  <c r="N23" i="1"/>
  <c r="O23" i="1"/>
  <c r="P23" i="1" s="1"/>
  <c r="L24" i="1"/>
  <c r="S24" i="1" s="1"/>
  <c r="M24" i="1"/>
  <c r="O24" i="1" s="1"/>
  <c r="P24" i="1" s="1"/>
  <c r="N24" i="1"/>
  <c r="L25" i="1"/>
  <c r="S25" i="1" s="1"/>
  <c r="M25" i="1"/>
  <c r="O25" i="1" s="1"/>
  <c r="P25" i="1" s="1"/>
  <c r="N25" i="1"/>
  <c r="M21" i="1"/>
  <c r="L22" i="1"/>
  <c r="L21" i="1"/>
  <c r="M22" i="1" l="1"/>
  <c r="N22" i="1"/>
  <c r="S22" i="1" l="1"/>
  <c r="O22" i="1"/>
  <c r="P22" i="1" s="1"/>
  <c r="N21" i="1"/>
  <c r="O21" i="1" l="1"/>
  <c r="P21" i="1" s="1"/>
  <c r="S30" i="1"/>
  <c r="M29" i="1"/>
  <c r="T28" i="1"/>
  <c r="S31" i="1" l="1"/>
  <c r="S32" i="1" s="1"/>
  <c r="S33" i="1" s="1"/>
  <c r="V36" i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O40" i="1" s="1"/>
  <c r="O41" i="1" s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D20" i="3" l="1"/>
  <c r="E20" i="3" s="1"/>
  <c r="E21" i="3" s="1"/>
  <c r="O42" i="1" l="1"/>
  <c r="Q20" i="1" s="1"/>
  <c r="D21" i="3"/>
  <c r="M43" i="3" s="1"/>
  <c r="D12" i="3" s="1"/>
  <c r="F20" i="3"/>
  <c r="F21" i="3" s="1"/>
  <c r="Q23" i="1" l="1"/>
  <c r="R23" i="1" s="1"/>
  <c r="Q24" i="1"/>
  <c r="R24" i="1" s="1"/>
  <c r="Q25" i="1"/>
  <c r="R25" i="1" s="1"/>
  <c r="Q22" i="1"/>
  <c r="R22" i="1" s="1"/>
  <c r="Q21" i="1"/>
  <c r="O43" i="1"/>
  <c r="E15" i="3"/>
  <c r="H22" i="1" l="1"/>
  <c r="R21" i="1"/>
  <c r="H21" i="1"/>
  <c r="F15" i="3"/>
  <c r="H28" i="1" l="1"/>
  <c r="H29" i="1" s="1"/>
  <c r="H30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<sst xmlns="http://schemas.openxmlformats.org/spreadsheetml/2006/main" count="238" uniqueCount="176">
  <si>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</si>
  <si>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</si>
  <si>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</si>
  <si>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</si>
  <si>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</si>
  <si>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</si>
  <si>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</si>
  <si>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</si>
  <si>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</si>
  <si>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</si>
  <si>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</si>
  <si>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</si>
  <si>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</si>
  <si>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</si>
  <si>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</si>
  <si>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</si>
  <si>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</si>
  <si>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</si>
  <si>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</si>
  <si>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</si>
  <si>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</si>
  <si>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</si>
  <si>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</si>
  <si>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</si>
  <si>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</si>
  <si>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</si>
  <si>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</si>
  <si>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</si>
  <si>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</si>
  <si>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</si>
  <si>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</si>
  <si>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</si>
  <si>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</si>
  <si>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</si>
  <si>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</si>
  <si>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</si>
  <si>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</si>
  <si>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</si>
  <si>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</si>
  <si>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</si>
  <si>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</si>
  <si>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</si>
  <si>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</si>
  <si>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</si>
  <si>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</si>
  <si>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</si>
  <si>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</si>
  <si>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</si>
  <si>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</si>
  <si>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</si>
  <si>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</si>
  <si>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</si>
  <si>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</si>
  <si>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</si>
  <si>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</si>
  <si>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</si>
  <si>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</si>
  <si>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</si>
  <si>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</si>
  <si>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</si>
  <si>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</si>
  <si>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</si>
  <si>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</si>
  <si>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</si>
  <si>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</si>
  <si>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</si>
  <si>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</si>
  <si>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</si>
  <si>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</si>
  <si>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</si>
  <si>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</si>
  <si>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</si>
  <si>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</si>
  <si>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</si>
  <si>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</si>
  <si>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</si>
  <si>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</si>
  <si>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</si>
  <si>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</si>
  <si>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</si>
  <si>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</si>
  <si>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</si>
  <si>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</si>
  <si>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</si>
  <si>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</si>
  <si>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</si>
  <si>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</si>
  <si>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</si>
  <si>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</si>
  <si>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</si>
  <si>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</si>
  <si>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</si>
  <si>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</si>
  <si>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</si>
  <si>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</si>
  <si>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</si>
  <si>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</si>
  <si>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</si>
  <si>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</si>
  <si>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</si>
  <si>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</si>
  <si>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</si>
  <si>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</si>
  <si>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</si>
  <si>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</si>
  <si>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</si>
  <si>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</si>
  <si>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</si>
  <si>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</si>
  <si>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</si>
  <si>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</si>
  <si>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</si>
  <si>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</si>
  <si>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</si>
  <si>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</si>
  <si>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</si>
  <si>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</si>
  <si>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</si>
  <si>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</si>
  <si>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</si>
  <si>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</si>
  <si>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</si>
  <si>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</si>
  <si>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</si>
  <si>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</si>
  <si>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</si>
  <si>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</si>
  <si>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</si>
  <si>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</si>
  <si>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</si>
  <si>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</si>
  <si>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</si>
  <si>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</si>
  <si>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</si>
  <si>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</si>
  <si>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</si>
  <si>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</si>
  <si>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</si>
  <si>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</si>
  <si>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</si>
  <si>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</si>
  <si>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</si>
  <si>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</si>
  <si>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</si>
  <si>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</si>
  <si>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</si>
  <si>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</si>
  <si>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</si>
  <si>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</si>
  <si>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</si>
  <si>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</si>
  <si>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</si>
  <si>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</si>
  <si>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</si>
  <si>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</si>
  <si>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</si>
  <si>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</si>
  <si>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</si>
  <si>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</si>
  <si>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</si>
  <si>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</si>
  <si>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</si>
  <si>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</si>
  <si>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</si>
  <si>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</si>
  <si>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</si>
  <si>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</si>
  <si>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</si>
  <si>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</si>
  <si>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</si>
  <si>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</si>
  <si>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</si>
  <si>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GLACIAL WHITE 22191 SF</t>
  </si>
  <si>
    <t>5 DIAS HABILES</t>
  </si>
  <si>
    <t>CUB MESA 90° 2 LADOS</t>
  </si>
  <si>
    <t>N° 11994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</si>
</sst>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25913</xdr:rowOff>
    </xdr:from>
    <xdr:to>
      <xdr:col>5</xdr:col>
      <xdr:colOff>1728839</xdr:colOff>
      <xdr:row>30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6" zoomScale="84" zoomScaleNormal="84" workbookViewId="0">
      <selection activeCell="D39" sqref="D3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46070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O42</f>
        <v>51941.247216035641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2">
        <v>2</v>
      </c>
      <c r="E21" s="332">
        <v>0.6</v>
      </c>
      <c r="F21" s="330" t="s">
        <v>172</v>
      </c>
      <c r="G21" s="331">
        <v>64823</v>
      </c>
      <c r="H21" s="331">
        <f t="shared" ref="H21" si="1">G21*B21</f>
        <v>64823</v>
      </c>
      <c r="I21" s="320"/>
      <c r="J21" s="265"/>
      <c r="K21" s="47"/>
      <c r="L21" s="333">
        <f>B21</f>
        <v>1</v>
      </c>
      <c r="M21" s="39">
        <f>D21+M$19</f>
        <v>2.08</v>
      </c>
      <c r="N21" s="39">
        <f t="shared" ref="N21" si="2">E21+$N$19</f>
        <v>0.6</v>
      </c>
      <c r="O21" s="261">
        <f t="shared" ref="O21" si="3">M21*N21</f>
        <v>1.248</v>
      </c>
      <c r="P21" s="259">
        <f t="shared" ref="P21" si="4">O21*L21</f>
        <v>1.248</v>
      </c>
      <c r="Q21" s="252">
        <f t="shared" ref="Q21" si="5">Q$20*O21</f>
        <v>64822.676525612478</v>
      </c>
      <c r="R21" s="319">
        <f t="shared" ref="R21" si="6">Q21+R$20</f>
        <v>67822.676525612478</v>
      </c>
      <c r="S21" s="297">
        <f t="shared" ref="S21:S22" si="7">L21*M21</f>
        <v>2.08</v>
      </c>
      <c r="T21" s="46"/>
      <c r="U21" s="9"/>
      <c r="X21" s="4"/>
    </row>
    <row r="22" spans="2:25" ht="17.399999999999999" x14ac:dyDescent="0.3">
      <c r="B22" s="348">
        <v>2</v>
      </c>
      <c r="C22" s="348" t="s">
        <v>171</v>
      </c>
      <c r="D22" s="349">
        <v>2.25</v>
      </c>
      <c r="E22" s="349">
        <v>0.6</v>
      </c>
      <c r="F22" s="330" t="s">
        <v>172</v>
      </c>
      <c r="G22" s="331">
        <v>72614</v>
      </c>
      <c r="H22" s="331">
        <f t="shared" ref="H22:H25" si="8">G22*B22</f>
        <v>145228</v>
      </c>
      <c r="I22" s="320"/>
      <c r="J22" s="265"/>
      <c r="K22" s="47"/>
      <c r="L22" s="333">
        <f>B22</f>
        <v>2</v>
      </c>
      <c r="M22" s="39">
        <f t="shared" ref="M22" si="9">D22+M$19</f>
        <v>2.33</v>
      </c>
      <c r="N22" s="39">
        <f t="shared" ref="N22" si="10">E22+$N$19</f>
        <v>0.6</v>
      </c>
      <c r="O22" s="261">
        <f t="shared" ref="O22" si="11">M22*N22</f>
        <v>1.3979999999999999</v>
      </c>
      <c r="P22" s="259">
        <f t="shared" ref="P22" si="12">O22*L22</f>
        <v>2.7959999999999998</v>
      </c>
      <c r="Q22" s="252">
        <f t="shared" ref="Q22" si="13">Q$20*O22</f>
        <v>72613.863608017826</v>
      </c>
      <c r="R22" s="319">
        <f t="shared" ref="R22" si="14">Q22+R$20</f>
        <v>75613.863608017826</v>
      </c>
      <c r="S22" s="297">
        <f t="shared" si="7"/>
        <v>4.66</v>
      </c>
      <c r="T22" s="46"/>
      <c r="U22" s="9"/>
      <c r="X22" s="4"/>
    </row>
    <row r="23" spans="2:25" ht="17.399999999999999" x14ac:dyDescent="0.3">
      <c r="B23" s="348">
        <v>2</v>
      </c>
      <c r="C23" s="348" t="s">
        <v>174</v>
      </c>
      <c r="D23" s="349">
        <v>1.9</v>
      </c>
      <c r="E23" s="349">
        <v>1.2</v>
      </c>
      <c r="F23" s="330" t="s">
        <v>172</v>
      </c>
      <c r="G23" s="331">
        <v>123412</v>
      </c>
      <c r="H23" s="331">
        <f t="shared" si="8"/>
        <v>246824</v>
      </c>
      <c r="I23" s="320"/>
      <c r="J23" s="265"/>
      <c r="K23" s="47"/>
      <c r="L23" s="333">
        <f t="shared" ref="L23:L25" si="15">B23</f>
        <v>2</v>
      </c>
      <c r="M23" s="39">
        <f t="shared" ref="M23:M25" si="16">D23+M$19</f>
        <v>1.98</v>
      </c>
      <c r="N23" s="39">
        <f t="shared" ref="N23:N25" si="17">E23+$N$19</f>
        <v>1.2</v>
      </c>
      <c r="O23" s="261">
        <f t="shared" ref="O23:O25" si="18">M23*N23</f>
        <v>2.3759999999999999</v>
      </c>
      <c r="P23" s="259">
        <f t="shared" ref="P23:P25" si="19">O23*L23</f>
        <v>4.7519999999999998</v>
      </c>
      <c r="Q23" s="252">
        <f t="shared" ref="Q23:Q25" si="20">Q$20*O23</f>
        <v>123412.40338530068</v>
      </c>
      <c r="R23" s="319">
        <f t="shared" ref="R23:R25" si="21">Q23+R$20</f>
        <v>126412.40338530068</v>
      </c>
      <c r="S23" s="297"/>
      <c r="T23" s="46"/>
      <c r="U23" s="9"/>
      <c r="X23" s="4"/>
    </row>
    <row r="24" spans="2:25" ht="17.399999999999999" x14ac:dyDescent="0.3">
      <c r="B24" s="348">
        <v>1</v>
      </c>
      <c r="C24" s="348" t="s">
        <v>171</v>
      </c>
      <c r="D24" s="349">
        <v>2.7</v>
      </c>
      <c r="E24" s="349">
        <v>0.6</v>
      </c>
      <c r="F24" s="330" t="s">
        <v>172</v>
      </c>
      <c r="G24" s="331">
        <v>86638</v>
      </c>
      <c r="H24" s="331">
        <f t="shared" si="8"/>
        <v>86638</v>
      </c>
      <c r="I24" s="320"/>
      <c r="J24" s="265"/>
      <c r="K24" s="47"/>
      <c r="L24" s="333">
        <f t="shared" si="15"/>
        <v>1</v>
      </c>
      <c r="M24" s="39">
        <f t="shared" si="16"/>
        <v>2.7800000000000002</v>
      </c>
      <c r="N24" s="39">
        <f t="shared" si="17"/>
        <v>0.6</v>
      </c>
      <c r="O24" s="261">
        <f t="shared" si="18"/>
        <v>1.6680000000000001</v>
      </c>
      <c r="P24" s="259">
        <f t="shared" si="19"/>
        <v>1.6680000000000001</v>
      </c>
      <c r="Q24" s="252">
        <f t="shared" si="20"/>
        <v>86638.00035634746</v>
      </c>
      <c r="R24" s="319">
        <f t="shared" si="21"/>
        <v>89638.00035634746</v>
      </c>
      <c r="S24" s="297">
        <f t="shared" ref="S23:S25" si="22">L24*M24</f>
        <v>2.7800000000000002</v>
      </c>
      <c r="T24" s="46"/>
      <c r="U24" s="9"/>
      <c r="X24" s="4"/>
    </row>
    <row r="25" spans="2:25" ht="17.399999999999999" x14ac:dyDescent="0.3">
      <c r="B25" s="348">
        <v>2</v>
      </c>
      <c r="C25" s="348" t="s">
        <v>171</v>
      </c>
      <c r="D25" s="349">
        <v>2.4249999999999998</v>
      </c>
      <c r="E25" s="349">
        <v>0.6</v>
      </c>
      <c r="F25" s="330" t="s">
        <v>172</v>
      </c>
      <c r="G25" s="331">
        <v>78068</v>
      </c>
      <c r="H25" s="331">
        <f t="shared" si="8"/>
        <v>156136</v>
      </c>
      <c r="I25" s="320"/>
      <c r="J25" s="265"/>
      <c r="K25" s="47"/>
      <c r="L25" s="333">
        <f t="shared" si="15"/>
        <v>2</v>
      </c>
      <c r="M25" s="39">
        <f t="shared" si="16"/>
        <v>2.5049999999999999</v>
      </c>
      <c r="N25" s="39">
        <f t="shared" si="17"/>
        <v>0.6</v>
      </c>
      <c r="O25" s="261">
        <f t="shared" si="18"/>
        <v>1.5029999999999999</v>
      </c>
      <c r="P25" s="259">
        <f t="shared" si="19"/>
        <v>3.0059999999999998</v>
      </c>
      <c r="Q25" s="252">
        <f t="shared" si="20"/>
        <v>78067.69456570156</v>
      </c>
      <c r="R25" s="319">
        <f t="shared" si="21"/>
        <v>81067.69456570156</v>
      </c>
      <c r="S25" s="297">
        <f t="shared" si="22"/>
        <v>5.01</v>
      </c>
      <c r="T25" s="46"/>
      <c r="U25" s="9"/>
      <c r="X25" s="4"/>
    </row>
    <row r="26" spans="2:25" ht="17.399999999999999" x14ac:dyDescent="0.3">
      <c r="B26" s="346"/>
      <c r="C26" s="346"/>
      <c r="D26" s="347"/>
      <c r="E26" s="347"/>
      <c r="F26" s="346"/>
      <c r="G26" s="320"/>
      <c r="H26" s="320"/>
      <c r="I26" s="320"/>
      <c r="J26" s="265"/>
      <c r="K26" s="47"/>
      <c r="L26" s="333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1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4" t="s">
        <v>28</v>
      </c>
      <c r="H28" s="325">
        <f>SUM(H21:H27)</f>
        <v>699649</v>
      </c>
      <c r="I28" s="322"/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0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132933.31</v>
      </c>
      <c r="I29" s="322"/>
      <c r="J29" s="265"/>
      <c r="K29" s="47"/>
      <c r="L29" s="47"/>
      <c r="M29" s="39">
        <f>SUM(M21:M28)</f>
        <v>11.675000000000001</v>
      </c>
      <c r="N29" s="12"/>
      <c r="O29" s="12"/>
      <c r="P29" s="253">
        <f>SUM(P21:P27)</f>
        <v>13.469999999999999</v>
      </c>
      <c r="Q29" s="14"/>
      <c r="R29" s="12"/>
      <c r="S29" s="239"/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832582.31</v>
      </c>
      <c r="I30" s="322"/>
      <c r="J30" s="265"/>
      <c r="K30" s="47"/>
      <c r="L30" s="47"/>
      <c r="M30" s="39"/>
      <c r="N30" s="12"/>
      <c r="O30" s="12"/>
      <c r="P30" s="253">
        <f>P29</f>
        <v>13.469999999999999</v>
      </c>
      <c r="Q30" s="14"/>
      <c r="R30" s="12"/>
      <c r="S30" s="239">
        <f>SUM(S21:S29)</f>
        <v>14.53</v>
      </c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2.694</v>
      </c>
      <c r="Q31" s="39" t="s">
        <v>130</v>
      </c>
      <c r="R31" s="42"/>
      <c r="S31" s="240">
        <f>S30+T28</f>
        <v>14.53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16.163999999999998</v>
      </c>
      <c r="Q32" s="14"/>
      <c r="R32" s="14"/>
      <c r="S32" s="238">
        <f>S31*20%</f>
        <v>2.9060000000000001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17.436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16.163999999999998</v>
      </c>
      <c r="N34" s="12">
        <v>1500</v>
      </c>
      <c r="O34" s="12">
        <f t="shared" ref="O34:O39" si="23">M34*N34</f>
        <v>24245.999999999996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5</v>
      </c>
      <c r="N35" s="12">
        <v>23500</v>
      </c>
      <c r="O35" s="12">
        <f t="shared" si="23"/>
        <v>117500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23500</v>
      </c>
      <c r="O36" s="12">
        <f t="shared" si="23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5</v>
      </c>
      <c r="N37" s="250">
        <v>36831</v>
      </c>
      <c r="O37" s="12">
        <f t="shared" si="23"/>
        <v>184155</v>
      </c>
      <c r="P37" s="14" t="s">
        <v>170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/>
      <c r="L38" s="250"/>
      <c r="M38" s="249"/>
      <c r="N38" s="250">
        <v>15700</v>
      </c>
      <c r="O38" s="12">
        <f t="shared" si="23"/>
        <v>0</v>
      </c>
      <c r="P38" s="14" t="s">
        <v>32</v>
      </c>
      <c r="Q38" s="14"/>
      <c r="R38" s="230">
        <v>1.83</v>
      </c>
      <c r="S38" s="238"/>
      <c r="T38" s="238"/>
    </row>
    <row r="39" spans="1:24" s="230" customFormat="1" ht="17.399999999999999" x14ac:dyDescent="0.35">
      <c r="J39" s="293"/>
      <c r="K39" s="260"/>
      <c r="L39" s="250"/>
      <c r="M39" s="266">
        <v>14.53</v>
      </c>
      <c r="N39" s="12">
        <v>500</v>
      </c>
      <c r="O39" s="12">
        <f t="shared" si="23"/>
        <v>7265</v>
      </c>
      <c r="P39" s="14" t="s">
        <v>22</v>
      </c>
      <c r="Q39" s="14"/>
      <c r="R39">
        <v>2.5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333166</v>
      </c>
      <c r="P40" s="39" t="s">
        <v>23</v>
      </c>
      <c r="Q40" s="14"/>
      <c r="R40">
        <f>R38*R39</f>
        <v>4.5750000000000002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O40*2.1</f>
        <v>699648.6</v>
      </c>
      <c r="P41" s="14" t="s">
        <v>140</v>
      </c>
      <c r="Q41" s="14"/>
      <c r="R41" s="40">
        <f>P32/R40</f>
        <v>3.5331147540983601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L42" s="250"/>
      <c r="M42" s="14"/>
      <c r="N42" s="12"/>
      <c r="O42" s="12">
        <f>O41/P30</f>
        <v>51941.247216035641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2.1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J44" s="260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11994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-69423.641700120774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699649</v>
      </c>
      <c r="E11" s="132">
        <f>D11*0.19</f>
        <v>132933.31</v>
      </c>
      <c r="F11" s="131">
        <f>E11+D11</f>
        <v>832582.31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36566.358299879226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171580.09078743961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18566.358299879226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528068.90921256039</v>
      </c>
      <c r="E13" s="221">
        <f>(D11/D12)-1</f>
        <v>3.0776817216325734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9566.3582998792263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-29433.641700120774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283107.14979927533</v>
      </c>
      <c r="F15" s="216">
        <f>E15-D12</f>
        <v>111527.05901183572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-29433.641700120774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10566.358299879226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117500</v>
      </c>
      <c r="E19" s="123">
        <f>D19*0.19</f>
        <v>22325</v>
      </c>
      <c r="F19" s="120">
        <f>SUM(D19:E19)</f>
        <v>139825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24245.999999999996</v>
      </c>
      <c r="E20" s="121">
        <f>D20*0.19</f>
        <v>4606.74</v>
      </c>
      <c r="F20" s="120">
        <f>SUM(D20:E20)</f>
        <v>28852.739999999998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141746</v>
      </c>
      <c r="E21" s="116">
        <f>SUM(E18:E20)</f>
        <v>26931.739999999998</v>
      </c>
      <c r="F21" s="115">
        <f>SUM(F18:F20)</f>
        <v>168677.74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106001.57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699649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141746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528068.90921256039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528068.90921256039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2026-02-17T19:10:22Z</cp:lastPrinted>
  <dcterms:created xsi:type="dcterms:W3CDTF">2013-03-18T13:35:42Z</dcterms:created>
  <dcterms:modified xsi:type="dcterms:W3CDTF">2026-02-17T19:12:56Z</dcterms:modified>
</cp:coreProperties>
</file>