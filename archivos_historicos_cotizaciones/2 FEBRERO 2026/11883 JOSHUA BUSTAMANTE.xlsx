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022469C1-5E38-4161-B1AB-7C7F96B8F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2" i="1"/>
  <c r="L21" i="1" l="1"/>
  <c r="N5" i="6"/>
  <c r="A2" i="7"/>
  <c r="M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S21" i="1" l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5" i="1"/>
  <c r="O34" i="1"/>
  <c r="F18" i="3" l="1"/>
  <c r="O30" i="1" l="1"/>
  <c r="O36" i="1" s="1"/>
  <c r="O37" i="1" s="1"/>
  <c r="D21" i="3" l="1"/>
  <c r="E21" i="3" s="1"/>
  <c r="E22" i="3" s="1"/>
  <c r="O38" i="1" l="1"/>
  <c r="Q20" i="1" s="1"/>
  <c r="D22" i="3"/>
  <c r="M44" i="3" s="1"/>
  <c r="D12" i="3" s="1"/>
  <c r="F21" i="3"/>
  <c r="F22" i="3" s="1"/>
  <c r="O39" i="1" l="1"/>
  <c r="E15" i="3"/>
  <c r="Q21" i="1" l="1"/>
  <c r="G21" i="1" s="1"/>
  <c r="F15" i="3"/>
  <c r="R21" i="1" l="1"/>
  <c r="H21" i="1" l="1"/>
  <c r="H26" i="1" l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1" i="3"/>
  <c r="E11" i="3"/>
  <c r="D41" i="3" s="1"/>
  <c r="X12" i="3" l="1"/>
  <c r="X16" i="3"/>
  <c r="X13" i="3"/>
  <c r="E13" i="3"/>
  <c r="M43" i="3"/>
  <c r="M47" i="3" s="1"/>
  <c r="M50" i="3" s="1"/>
  <c r="X14" i="3"/>
  <c r="D13" i="3"/>
  <c r="F11" i="3"/>
</calcChain>
</file>

<file path=xl/sharedStrings.xml><?xml version="1.0" encoding="utf-8"?>
<sst xmlns="http://schemas.openxmlformats.org/spreadsheetml/2006/main" count="488" uniqueCount="297">
  <si>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</si>
  <si>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</si>
  <si>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</si>
  <si>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</si>
  <si>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</si>
  <si>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</si>
  <si>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</si>
  <si>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</si>
  <si>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</si>
  <si>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</si>
  <si>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</si>
  <si>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</si>
  <si>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</si>
  <si>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</si>
  <si>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</si>
  <si>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</si>
  <si>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</si>
  <si>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</si>
  <si>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</si>
  <si>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</si>
  <si>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</si>
  <si>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</si>
  <si>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</si>
  <si>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</si>
  <si>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</si>
  <si>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</si>
  <si>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</si>
  <si>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</si>
  <si>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</si>
  <si>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</si>
  <si>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</si>
  <si>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</si>
  <si>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</si>
  <si>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</si>
  <si>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</si>
  <si>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</si>
  <si>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</si>
  <si>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</si>
  <si>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</si>
  <si>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</si>
  <si>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</si>
  <si>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</si>
  <si>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</si>
  <si>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</si>
  <si>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</si>
  <si>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</si>
  <si>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</si>
  <si>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</si>
  <si>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</si>
  <si>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</si>
  <si>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</si>
  <si>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</si>
  <si>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</si>
  <si>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</si>
  <si>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</si>
  <si>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</si>
  <si>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</si>
  <si>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</si>
  <si>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</si>
  <si>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</si>
  <si>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</si>
  <si>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</si>
  <si>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</si>
  <si>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</si>
  <si>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</si>
  <si>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</si>
  <si>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</si>
  <si>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</si>
  <si>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</si>
  <si>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</si>
  <si>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</si>
  <si>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</si>
  <si>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</si>
  <si>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</si>
  <si>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</si>
  <si>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</si>
  <si>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</si>
  <si>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</si>
  <si>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</si>
  <si>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</si>
  <si>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</si>
  <si>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</si>
  <si>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</si>
  <si>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</si>
  <si>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</si>
  <si>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</si>
  <si>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</si>
  <si>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</si>
  <si>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</si>
  <si>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</si>
  <si>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</si>
  <si>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</si>
  <si>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</si>
  <si>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</si>
  <si>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</si>
  <si>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</si>
  <si>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</si>
  <si>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</si>
  <si>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</si>
  <si>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</si>
  <si>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</si>
  <si>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</si>
  <si>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</si>
  <si>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</si>
  <si>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</si>
  <si>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</si>
  <si>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</si>
  <si>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</si>
  <si>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</si>
  <si>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</si>
  <si>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</si>
  <si>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</si>
  <si>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</si>
  <si>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</si>
  <si>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</si>
  <si>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</si>
  <si>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</si>
  <si>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</si>
  <si>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</si>
  <si>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</si>
  <si>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</si>
  <si>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</si>
  <si>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</si>
  <si>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</si>
  <si>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</si>
  <si>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</si>
  <si>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</si>
  <si>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</si>
  <si>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</si>
  <si>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</si>
  <si>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</si>
  <si>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</si>
  <si>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</si>
  <si>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</si>
  <si>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</si>
  <si>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</si>
  <si>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</si>
  <si>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</si>
  <si>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</si>
  <si>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</si>
  <si>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</si>
  <si>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</si>
  <si>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</si>
  <si>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</si>
  <si>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</si>
  <si>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</si>
  <si>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</si>
  <si>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</si>
  <si>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</si>
  <si>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</si>
  <si>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</si>
  <si>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</si>
  <si>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</si>
  <si>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</si>
  <si>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</si>
  <si>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</si>
  <si>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</si>
  <si>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</si>
  <si>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</si>
  <si>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</si>
  <si>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</si>
  <si>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</si>
  <si>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</si>
  <si>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</si>
  <si>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</si>
  <si>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</si>
  <si>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</si>
  <si>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</si>
  <si>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</si>
  <si>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</si>
  <si>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</si>
  <si>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</si>
  <si>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</si>
  <si>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</si>
  <si>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</si>
  <si>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</si>
  <si>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</si>
  <si>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</si>
  <si>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</si>
  <si>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</si>
  <si>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</si>
  <si>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</si>
  <si>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</si>
  <si>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</si>
  <si>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</si>
  <si>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</si>
  <si>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</si>
  <si>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</si>
  <si>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</si>
  <si>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</si>
  <si>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</si>
  <si>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</si>
  <si>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</si>
  <si>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</si>
  <si>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</si>
  <si>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</si>
  <si>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</si>
  <si>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</si>
  <si>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</si>
  <si>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</si>
  <si>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</si>
  <si>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</si>
  <si>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</si>
  <si>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</si>
  <si>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</si>
  <si>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</si>
  <si>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</si>
  <si>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</si>
  <si>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</si>
  <si>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</si>
  <si>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</si>
  <si>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</si>
  <si>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</si>
  <si>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</si>
  <si>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</si>
  <si>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</si>
  <si>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</si>
  <si>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</si>
  <si>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</si>
  <si>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</si>
  <si>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</si>
  <si>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</si>
  <si>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</si>
  <si>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</si>
  <si>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</si>
  <si>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</si>
  <si>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</si>
  <si>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</si>
  <si>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</si>
  <si>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</si>
  <si>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</si>
  <si>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</si>
  <si>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</si>
  <si>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</si>
  <si>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</si>
  <si>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</si>
  <si>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</si>
  <si>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</si>
  <si>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</si>
  <si>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</si>
  <si>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</si>
  <si>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</si>
  <si>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</si>
  <si>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</si>
  <si>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</si>
  <si>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</si>
  <si>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</si>
  <si>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</si>
  <si>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</si>
  <si>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</si>
  <si>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</si>
  <si>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</si>
  <si>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</si>
  <si>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</si>
  <si>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</si>
  <si>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</si>
  <si>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</si>
  <si>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</si>
  <si>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</si>
  <si>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</si>
  <si>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</si>
  <si>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</si>
  <si>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</si>
  <si>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</si>
  <si>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</si>
  <si>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</si>
  <si>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</si>
  <si>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</si>
  <si>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</si>
  <si>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</si>
  <si>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</si>
  <si>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</si>
  <si>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</si>
  <si>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</si>
  <si>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</si>
  <si>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</si>
  <si>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</si>
  <si>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</si>
  <si>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</si>
  <si>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</si>
  <si>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</si>
  <si>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</si>
  <si>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</si>
  <si>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</si>
  <si>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</si>
  <si>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</si>
  <si>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</si>
  <si>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</si>
  <si>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C/R 90°</t>
  </si>
  <si>
    <t>LAMINA CHICA</t>
  </si>
  <si>
    <t>GRANADILLO 1740 MT</t>
  </si>
  <si>
    <t>EMBALAJE</t>
  </si>
  <si>
    <t>N° 11883</t>
  </si>
  <si>
    <t>JOSHUA BUSTAMANTE</t>
  </si>
  <si>
    <t>+569 9572 6650</t>
  </si>
  <si>
    <t>CONCÓN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</si>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</sst>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ENVÍO ES POR PAGAR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0" t="s">
        <v>293</v>
      </c>
      <c r="D10" s="243"/>
      <c r="E10" s="243"/>
      <c r="F10" s="418" t="s">
        <v>277</v>
      </c>
      <c r="G10" s="275">
        <v>46063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296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294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295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76862.950819672144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313" t="s">
        <v>288</v>
      </c>
      <c r="D21" s="431">
        <v>3</v>
      </c>
      <c r="E21" s="431">
        <v>0.6</v>
      </c>
      <c r="F21" s="313" t="s">
        <v>290</v>
      </c>
      <c r="G21" s="314">
        <f>Q21</f>
        <v>140659.20000000001</v>
      </c>
      <c r="H21" s="432">
        <f>G21*B21</f>
        <v>140659.20000000001</v>
      </c>
      <c r="I21" s="306"/>
      <c r="J21" s="264"/>
      <c r="K21" s="47"/>
      <c r="L21" s="47">
        <f>B21</f>
        <v>1</v>
      </c>
      <c r="M21" s="39">
        <f>D21+M$19</f>
        <v>3.05</v>
      </c>
      <c r="N21" s="39">
        <f>E21+$N$19</f>
        <v>0.6</v>
      </c>
      <c r="O21" s="260">
        <f t="shared" ref="O21" si="0">M21*N21</f>
        <v>1.8299999999999998</v>
      </c>
      <c r="P21" s="258">
        <f t="shared" ref="P21" si="1">O21*L21</f>
        <v>1.8299999999999998</v>
      </c>
      <c r="Q21" s="251">
        <f t="shared" ref="Q21" si="2">Q$20*O21</f>
        <v>140659.20000000001</v>
      </c>
      <c r="R21" s="305">
        <f t="shared" ref="R21" si="3">Q21+R$20</f>
        <v>143659.20000000001</v>
      </c>
      <c r="S21" s="290">
        <f>M21*L21</f>
        <v>3.05</v>
      </c>
      <c r="T21" s="46">
        <f>N21*2*L21*2</f>
        <v>2.4</v>
      </c>
      <c r="U21" s="9"/>
      <c r="X21" s="4"/>
    </row>
    <row r="22" spans="1:25" ht="18" thickBot="1" x14ac:dyDescent="0.35">
      <c r="B22" s="457">
        <v>1</v>
      </c>
      <c r="C22" s="458" t="s">
        <v>291</v>
      </c>
      <c r="D22" s="459"/>
      <c r="E22" s="459"/>
      <c r="F22" s="458"/>
      <c r="G22" s="460">
        <v>7500</v>
      </c>
      <c r="H22" s="461">
        <f>G22*B22</f>
        <v>7500</v>
      </c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148159.20000000001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SUM(T21:T23)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H24*0.19</f>
        <v>28150.248000000003</v>
      </c>
      <c r="I25" s="308"/>
      <c r="J25" s="264"/>
      <c r="K25" s="47"/>
      <c r="L25" s="47"/>
      <c r="M25" s="39">
        <f>SUM(M23:M24)</f>
        <v>0</v>
      </c>
      <c r="N25" s="12"/>
      <c r="O25" s="12"/>
      <c r="P25" s="252">
        <f>SUM(P21:P21)</f>
        <v>1.8299999999999998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H25+H24</f>
        <v>176309.448</v>
      </c>
      <c r="I26" s="308"/>
      <c r="J26" s="264"/>
      <c r="K26" s="47"/>
      <c r="L26" s="47"/>
      <c r="M26" s="39"/>
      <c r="N26" s="12"/>
      <c r="O26" s="12"/>
      <c r="P26" s="252">
        <f>P25</f>
        <v>1.8299999999999998</v>
      </c>
      <c r="Q26" s="14"/>
      <c r="R26" s="12"/>
      <c r="S26" s="239">
        <f>SUM(S21:S25)</f>
        <v>3.05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0.36599999999999999</v>
      </c>
      <c r="Q27" s="39" t="s">
        <v>129</v>
      </c>
      <c r="R27" s="42"/>
      <c r="S27" s="240">
        <f>S26+T24</f>
        <v>5.4499999999999993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2.1959999999999997</v>
      </c>
      <c r="Q28" s="14"/>
      <c r="R28" s="14"/>
      <c r="S28" s="238">
        <f>S27*20%</f>
        <v>1.0899999999999999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6.5399999999999991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2.1959999999999997</v>
      </c>
      <c r="N30" s="12">
        <v>3500</v>
      </c>
      <c r="O30" s="12">
        <f t="shared" ref="O30:O35" si="4">M30*N30</f>
        <v>7685.9999999999991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23500</v>
      </c>
      <c r="O31" s="12">
        <f t="shared" si="4"/>
        <v>14100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37500</v>
      </c>
      <c r="O33" s="12">
        <f t="shared" si="4"/>
        <v>37500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3.1</v>
      </c>
      <c r="N35" s="12">
        <v>1500</v>
      </c>
      <c r="O35" s="12">
        <f t="shared" si="4"/>
        <v>4650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63936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140659.20000000001</v>
      </c>
      <c r="P37" s="14" t="s">
        <v>138</v>
      </c>
      <c r="Q37" s="14"/>
      <c r="R37" s="40">
        <f>P28/R36</f>
        <v>0.59210526315789469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70970</v>
      </c>
      <c r="L38" s="249"/>
      <c r="M38" s="14"/>
      <c r="N38" s="12"/>
      <c r="O38" s="12">
        <f>O37/P26</f>
        <v>76862.950819672144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59638.655462184877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opLeftCell="A31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46063</v>
      </c>
    </row>
    <row r="6" spans="2:31" ht="16.2" thickBot="1" x14ac:dyDescent="0.35">
      <c r="B6" s="140" t="s">
        <v>2</v>
      </c>
      <c r="C6" s="139" t="str">
        <f>'2229'!C10</f>
        <v>JOSHUA BUSTAMANTE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-185.17503345410901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148159.20000000001</v>
      </c>
      <c r="E11" s="132">
        <f>D11*0.19</f>
        <v>28150.248000000003</v>
      </c>
      <c r="F11" s="131">
        <f>E11+D11</f>
        <v>176309.448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105804.82496654589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89120.090787439607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87804.824966545886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59039.109212560405</v>
      </c>
      <c r="E13" s="221">
        <f>(D11/D12)-1</f>
        <v>0.66246688811588661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78804.824966545886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39804.824966545893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147048.14979927536</v>
      </c>
      <c r="F15" s="216">
        <f>E15-D12</f>
        <v>57928.05901183575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39804.824966545893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79804.824966545886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289</v>
      </c>
      <c r="D19" s="122">
        <f>'2229'!O33</f>
        <v>37500</v>
      </c>
      <c r="E19" s="123">
        <f>D19*0.19</f>
        <v>7125</v>
      </c>
      <c r="F19" s="120">
        <f>SUM(D19:E19)</f>
        <v>44625</v>
      </c>
      <c r="H19" s="192"/>
      <c r="I19" s="202"/>
      <c r="J19" s="184"/>
      <c r="K19" s="158"/>
      <c r="L19" s="61"/>
      <c r="Q19" s="16"/>
      <c r="R19" s="21"/>
      <c r="S19" s="22"/>
      <c r="T19" s="22"/>
      <c r="U19" s="5"/>
      <c r="V19" s="433"/>
      <c r="W19" s="433"/>
      <c r="X19" s="106"/>
    </row>
    <row r="20" spans="1:31" x14ac:dyDescent="0.3">
      <c r="C20" s="79" t="s">
        <v>31</v>
      </c>
      <c r="D20" s="122">
        <f>'2229'!O31</f>
        <v>14100</v>
      </c>
      <c r="E20" s="123">
        <f>D20*0.19</f>
        <v>2679</v>
      </c>
      <c r="F20" s="120">
        <f>SUM(D20:E20)</f>
        <v>16779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'2229'!O30</f>
        <v>7685.9999999999991</v>
      </c>
      <c r="E21" s="121">
        <f>D21*0.19</f>
        <v>1460.34</v>
      </c>
      <c r="F21" s="120">
        <f>SUM(D21:E21)</f>
        <v>9146.3399999999983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59286</v>
      </c>
      <c r="E22" s="116">
        <f>SUM(E18:E21)</f>
        <v>11264.34</v>
      </c>
      <c r="F22" s="115">
        <f>SUM(F18:F21)</f>
        <v>70550.34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16885.908000000003</v>
      </c>
    </row>
    <row r="42" spans="1:16" ht="15" thickBot="1" x14ac:dyDescent="0.35">
      <c r="H42" s="441" t="s">
        <v>60</v>
      </c>
      <c r="I42" s="442"/>
      <c r="J42" s="442"/>
      <c r="K42" s="442"/>
      <c r="L42" s="442"/>
      <c r="M42" s="443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148159.20000000001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59286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59039.109212560405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59039.109212560405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JOSHUA BUSTAMANTE</v>
      </c>
      <c r="D10" s="350"/>
      <c r="E10" s="350"/>
      <c r="F10" s="351" t="s">
        <v>167</v>
      </c>
      <c r="G10" s="352">
        <f>'2229'!G10</f>
        <v>46063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SI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+569 9572 6650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CONCÓN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C/R 90°</v>
      </c>
      <c r="D22" s="321">
        <f>'2229'!D21*1000</f>
        <v>3000</v>
      </c>
      <c r="E22" s="321">
        <f>'2229'!E21*1000</f>
        <v>600</v>
      </c>
      <c r="F22" s="322" t="str">
        <f>'2229'!F21</f>
        <v>GRANADILLO 1740 MT</v>
      </c>
      <c r="G22" s="314">
        <f>'2229'!G21</f>
        <v>140659.20000000001</v>
      </c>
      <c r="H22" s="323">
        <f>G22*B22</f>
        <v>140659.20000000001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140659.20000000001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26725.248000000003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167384.448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JOSHUA BUSTAMANTE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46063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46070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11883</v>
      </c>
      <c r="C2" s="1">
        <f>'NOTA DE VENTA'!$G$10</f>
        <v>46063</v>
      </c>
      <c r="D2" s="1">
        <f>'NOTA DE VENTA'!$G$11</f>
        <v>46070</v>
      </c>
      <c r="E2" t="str">
        <f>'NOTA DE VENTA'!$C$10</f>
        <v>JOSHUA BUSTAMANTE</v>
      </c>
      <c r="F2" t="str">
        <f>'NOTA DE VENTA'!$C$22</f>
        <v>CUB C/R 90°</v>
      </c>
      <c r="G2" t="str">
        <f>'NOTA DE VENTA'!$F$22</f>
        <v>GRANADILLO 1740 MT</v>
      </c>
      <c r="H2" s="416">
        <f>'NOTA DE VENTA'!$H$25</f>
        <v>140659.20000000001</v>
      </c>
      <c r="I2" s="416">
        <f>H2*0.19</f>
        <v>26725.248000000003</v>
      </c>
      <c r="J2" s="416">
        <f>I2+H2</f>
        <v>167384.448</v>
      </c>
      <c r="L2" s="61">
        <f>J2-K2</f>
        <v>167384.448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2026-02-10T17:29:31Z</cp:lastPrinted>
  <dcterms:created xsi:type="dcterms:W3CDTF">2013-03-18T13:35:42Z</dcterms:created>
  <dcterms:modified xsi:type="dcterms:W3CDTF">2026-02-10T19:09:16Z</dcterms:modified>
</cp:coreProperties>
</file>