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2 FEBRERO 2026\"/>
    </mc:Choice>
  </mc:AlternateContent>
  <xr:revisionPtr revIDLastSave="0" documentId="13_ncr:1_{522A27BD-FA78-4E9D-8CE5-0068CB0AA1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D27" i="6"/>
  <c r="C27" i="6"/>
  <c r="C49" i="6"/>
  <c r="L21" i="1" l="1"/>
  <c r="N5" i="6" l="1"/>
  <c r="A2" i="7"/>
  <c r="C7" i="6" l="1"/>
  <c r="D4" i="6"/>
  <c r="B49" i="6"/>
  <c r="D42" i="6"/>
  <c r="C42" i="6"/>
  <c r="D40" i="6"/>
  <c r="D39" i="6"/>
  <c r="F21" i="6"/>
  <c r="B27" i="6"/>
  <c r="I21" i="6" s="1"/>
  <c r="J21" i="6"/>
  <c r="J14" i="6"/>
  <c r="F22" i="4"/>
  <c r="E22" i="4"/>
  <c r="E49" i="6" s="1"/>
  <c r="E27" i="6" s="1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G2" i="7" l="1"/>
  <c r="F49" i="6"/>
  <c r="F27" i="6" s="1"/>
  <c r="K14" i="6"/>
  <c r="K21" i="6"/>
  <c r="F14" i="6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l="1"/>
  <c r="S21" i="1"/>
  <c r="S26" i="1" s="1"/>
  <c r="T21" i="1"/>
  <c r="T24" i="1" s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G21" i="1" s="1"/>
  <c r="F15" i="3"/>
  <c r="R21" i="1" l="1"/>
  <c r="H21" i="1" l="1"/>
  <c r="H24" i="1" s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<sst xmlns="http://schemas.openxmlformats.org/spreadsheetml/2006/main" count="488" uniqueCount="295">
  <si>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</si>
  <si>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</si>
  <si>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</si>
  <si>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</si>
  <si>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</si>
  <si>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</si>
  <si>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</si>
  <si>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</si>
  <si>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</si>
  <si>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</si>
  <si>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</si>
  <si>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</si>
  <si>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</si>
  <si>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</si>
  <si>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</si>
  <si>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</si>
  <si>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</si>
  <si>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</si>
  <si>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</si>
  <si>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</si>
  <si>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</si>
  <si>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</si>
  <si>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</si>
  <si>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</si>
  <si>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</si>
  <si>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</si>
  <si>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</si>
  <si>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</si>
  <si>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</si>
  <si>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</si>
  <si>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</si>
  <si>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</si>
  <si>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</si>
  <si>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</si>
  <si>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</si>
  <si>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</si>
  <si>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</si>
  <si>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</si>
  <si>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</si>
  <si>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</si>
  <si>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</si>
  <si>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</si>
  <si>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</si>
  <si>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</si>
  <si>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</si>
  <si>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</si>
  <si>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</si>
  <si>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</si>
  <si>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</si>
  <si>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</si>
  <si>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</si>
  <si>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</si>
  <si>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</si>
  <si>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</si>
  <si>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</si>
  <si>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</si>
  <si>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</si>
  <si>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</si>
  <si>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</si>
  <si>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</si>
  <si>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</si>
  <si>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</si>
  <si>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</si>
  <si>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</si>
  <si>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</si>
  <si>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</si>
  <si>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</si>
  <si>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</si>
  <si>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</si>
  <si>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</si>
  <si>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</si>
  <si>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</si>
  <si>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</si>
  <si>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</si>
  <si>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</si>
  <si>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</si>
  <si>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</si>
  <si>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</si>
  <si>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</si>
  <si>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</si>
  <si>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</si>
  <si>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</si>
  <si>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</si>
  <si>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</si>
  <si>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</si>
  <si>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</si>
  <si>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</si>
  <si>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</si>
  <si>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</si>
  <si>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</si>
  <si>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</si>
  <si>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</si>
  <si>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</si>
  <si>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</si>
  <si>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</si>
  <si>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</si>
  <si>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</si>
  <si>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</si>
  <si>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</si>
  <si>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</si>
  <si>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</si>
  <si>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</si>
  <si>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</si>
  <si>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</si>
  <si>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</si>
  <si>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</si>
  <si>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</si>
  <si>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</si>
  <si>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</si>
  <si>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</si>
  <si>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</si>
  <si>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</si>
  <si>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</si>
  <si>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</si>
  <si>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</si>
  <si>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</si>
  <si>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</si>
  <si>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</si>
  <si>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</si>
  <si>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</si>
  <si>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</si>
  <si>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</si>
  <si>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</si>
  <si>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</si>
  <si>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</si>
  <si>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</si>
  <si>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</si>
  <si>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</si>
  <si>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</si>
  <si>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</si>
  <si>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</si>
  <si>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</si>
  <si>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</si>
  <si>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</si>
  <si>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</si>
  <si>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</si>
  <si>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</si>
  <si>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</si>
  <si>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</si>
  <si>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</si>
  <si>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</si>
  <si>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</si>
  <si>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</si>
  <si>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</si>
  <si>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</si>
  <si>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</si>
  <si>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</si>
  <si>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</si>
  <si>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</si>
  <si>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</si>
  <si>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</si>
  <si>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</si>
  <si>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</si>
  <si>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</si>
  <si>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</si>
  <si>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</si>
  <si>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</si>
  <si>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</si>
  <si>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</si>
  <si>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</si>
  <si>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</si>
  <si>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</si>
  <si>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</si>
  <si>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</si>
  <si>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</si>
  <si>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</si>
  <si>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</si>
  <si>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</si>
  <si>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</si>
  <si>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</si>
  <si>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</si>
  <si>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</si>
  <si>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</si>
  <si>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</si>
  <si>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</si>
  <si>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</si>
  <si>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</si>
  <si>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</si>
  <si>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</si>
  <si>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</si>
  <si>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</si>
  <si>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</si>
  <si>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</si>
  <si>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</si>
  <si>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</si>
  <si>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</si>
  <si>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</si>
  <si>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</si>
  <si>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</si>
  <si>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</si>
  <si>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</si>
  <si>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</si>
  <si>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</si>
  <si>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</si>
  <si>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</si>
  <si>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</si>
  <si>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</si>
  <si>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</si>
  <si>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</si>
  <si>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</si>
  <si>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</si>
  <si>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</si>
  <si>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</si>
  <si>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</si>
  <si>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</si>
  <si>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</si>
  <si>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</si>
  <si>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</si>
  <si>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</si>
  <si>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</si>
  <si>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</si>
  <si>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</si>
  <si>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</si>
  <si>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</si>
  <si>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</si>
  <si>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</si>
  <si>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</si>
  <si>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</si>
  <si>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</si>
  <si>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</si>
  <si>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</si>
  <si>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</si>
  <si>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</si>
  <si>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</si>
  <si>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</si>
  <si>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</si>
  <si>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</si>
  <si>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</si>
  <si>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</si>
  <si>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</si>
  <si>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</si>
  <si>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</si>
  <si>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</si>
  <si>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</si>
  <si>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</si>
  <si>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</si>
  <si>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</si>
  <si>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</si>
  <si>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</si>
  <si>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</si>
  <si>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</si>
  <si>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</si>
  <si>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</si>
  <si>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</si>
  <si>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</si>
  <si>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</si>
  <si>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</si>
  <si>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</si>
  <si>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</si>
  <si>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</si>
  <si>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</si>
  <si>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</si>
  <si>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</si>
  <si>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</si>
  <si>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</si>
  <si>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</si>
  <si>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</si>
  <si>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</si>
  <si>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</si>
  <si>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</si>
  <si>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</si>
  <si>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</si>
  <si>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</si>
  <si>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</si>
  <si>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</si>
  <si>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</si>
  <si>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</si>
  <si>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</si>
  <si>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</si>
  <si>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</si>
  <si>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</si>
  <si>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</si>
  <si>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</si>
  <si>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</si>
  <si>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</si>
  <si>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</si>
  <si>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</si>
  <si>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</si>
  <si>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</si>
  <si>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</si>
  <si>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</si>
  <si>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</si>
  <si>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</si>
  <si>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</si>
  <si>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</si>
  <si>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</si>
  <si>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</si>
  <si>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</si>
  <si>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ALICIA VALENCIA</t>
  </si>
  <si>
    <t>N° 12010</t>
  </si>
  <si>
    <t>+569 8448 4090</t>
  </si>
  <si>
    <t>GRAFITO MT</t>
  </si>
  <si>
    <t>CUB CON RESPALDO FTE 90°</t>
  </si>
  <si>
    <t>SERVICIO CORTE DESFONDADO</t>
  </si>
  <si>
    <t>12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</si>
</sst>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" fontId="6" fillId="0" borderId="64" xfId="0" applyNumberFormat="1" applyFont="1" applyBorder="1" applyAlignment="1">
      <alignment horizontal="center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41" fontId="22" fillId="0" borderId="29" xfId="4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16388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6065" y="5458235"/>
          <a:ext cx="631722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24581</xdr:colOff>
      <xdr:row>23</xdr:row>
      <xdr:rowOff>0</xdr:rowOff>
    </xdr:from>
    <xdr:to>
      <xdr:col>5</xdr:col>
      <xdr:colOff>1728839</xdr:colOff>
      <xdr:row>25</xdr:row>
      <xdr:rowOff>221225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34258" y="4555613"/>
          <a:ext cx="6292646" cy="66367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EN EFECTIVO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5" zoomScale="93" zoomScaleNormal="93" workbookViewId="0">
      <selection activeCell="I10" sqref="I10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289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8" t="s">
        <v>288</v>
      </c>
      <c r="D10" s="243"/>
      <c r="E10" s="243"/>
      <c r="F10" s="417" t="s">
        <v>277</v>
      </c>
      <c r="G10" s="275">
        <v>46079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294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7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9" t="s">
        <v>290</v>
      </c>
      <c r="D15" s="423"/>
      <c r="F15" s="29" t="s">
        <v>284</v>
      </c>
      <c r="G15" s="75" t="s">
        <v>133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4" t="s">
        <v>13</v>
      </c>
      <c r="C17" s="299" t="s">
        <v>287</v>
      </c>
      <c r="D17" s="300"/>
      <c r="E17" s="119"/>
      <c r="F17" s="425" t="s">
        <v>179</v>
      </c>
      <c r="G17" s="425" t="s">
        <v>180</v>
      </c>
      <c r="H17" s="426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67673.451118963494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2">
        <v>1</v>
      </c>
      <c r="C21" s="431" t="s">
        <v>292</v>
      </c>
      <c r="D21" s="432">
        <v>2.75</v>
      </c>
      <c r="E21" s="432">
        <v>0.6</v>
      </c>
      <c r="F21" s="313" t="s">
        <v>291</v>
      </c>
      <c r="G21" s="314">
        <f>Q21</f>
        <v>114909.52</v>
      </c>
      <c r="H21" s="433">
        <f>G21*B21</f>
        <v>114909.52</v>
      </c>
      <c r="I21" s="306"/>
      <c r="J21" s="264"/>
      <c r="K21" s="47"/>
      <c r="L21" s="47">
        <f>B21</f>
        <v>1</v>
      </c>
      <c r="M21" s="39">
        <f>D21+M$19</f>
        <v>2.83</v>
      </c>
      <c r="N21" s="39">
        <f>E21+$N$19</f>
        <v>0.6</v>
      </c>
      <c r="O21" s="260">
        <f t="shared" ref="O21" si="0">M21*N21</f>
        <v>1.698</v>
      </c>
      <c r="P21" s="258">
        <f t="shared" ref="P21" si="1">O21*L21</f>
        <v>1.698</v>
      </c>
      <c r="Q21" s="251">
        <f t="shared" ref="Q21" si="2">Q$20*O21</f>
        <v>114909.52</v>
      </c>
      <c r="R21" s="305">
        <f t="shared" ref="R21" si="3">Q21+R$20</f>
        <v>117909.52</v>
      </c>
      <c r="S21" s="290">
        <f>M21*L21</f>
        <v>2.83</v>
      </c>
      <c r="T21" s="46">
        <f>N21*2*L21*2</f>
        <v>2.4</v>
      </c>
      <c r="U21" s="9"/>
      <c r="X21" s="4"/>
    </row>
    <row r="22" spans="1:25" ht="18" thickBot="1" x14ac:dyDescent="0.35">
      <c r="B22" s="457">
        <v>1</v>
      </c>
      <c r="C22" s="458" t="s">
        <v>293</v>
      </c>
      <c r="D22" s="459"/>
      <c r="E22" s="459"/>
      <c r="F22" s="460"/>
      <c r="G22" s="461">
        <v>20000</v>
      </c>
      <c r="H22" s="462">
        <f>G22*B22</f>
        <v>20000</v>
      </c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8" thickBot="1" x14ac:dyDescent="0.35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SUM(H21:H22)</f>
        <v>134909.52000000002</v>
      </c>
      <c r="I24" s="308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SUM(T21:T22)</f>
        <v>2.4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25632.808800000003</v>
      </c>
      <c r="I25" s="308"/>
      <c r="J25" s="264"/>
      <c r="K25" s="47"/>
      <c r="L25" s="47"/>
      <c r="M25" s="39">
        <f>SUM(M21:M24)</f>
        <v>2.83</v>
      </c>
      <c r="N25" s="12"/>
      <c r="O25" s="12"/>
      <c r="P25" s="252">
        <f>SUM(P21:P22)</f>
        <v>1.698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160542.32880000002</v>
      </c>
      <c r="I26" s="308"/>
      <c r="J26" s="264"/>
      <c r="K26" s="47"/>
      <c r="L26" s="47"/>
      <c r="M26" s="39"/>
      <c r="N26" s="12"/>
      <c r="O26" s="12"/>
      <c r="P26" s="252">
        <f>P25</f>
        <v>1.698</v>
      </c>
      <c r="Q26" s="14"/>
      <c r="R26" s="12"/>
      <c r="S26" s="239">
        <f>SUM(S21:S25)</f>
        <v>2.83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0.33960000000000001</v>
      </c>
      <c r="Q27" s="39" t="s">
        <v>129</v>
      </c>
      <c r="R27" s="42"/>
      <c r="S27" s="240">
        <f>S26+T24</f>
        <v>5.23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2.0375999999999999</v>
      </c>
      <c r="Q28" s="14"/>
      <c r="R28" s="14"/>
      <c r="S28" s="238">
        <f>S27*20%</f>
        <v>1.046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6.2760000000000007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2.0375999999999999</v>
      </c>
      <c r="N30" s="12">
        <v>3500</v>
      </c>
      <c r="O30" s="12">
        <f t="shared" ref="O30:O35" si="4">M30*N30</f>
        <v>7131.5999999999995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0.6</v>
      </c>
      <c r="N31" s="12">
        <v>23500</v>
      </c>
      <c r="O31" s="12">
        <f t="shared" si="4"/>
        <v>14100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41800</v>
      </c>
      <c r="O32" s="12">
        <f t="shared" si="4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1</v>
      </c>
      <c r="N33" s="249">
        <v>31000</v>
      </c>
      <c r="O33" s="12">
        <f t="shared" si="4"/>
        <v>31000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4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/>
      <c r="N35" s="12">
        <v>1500</v>
      </c>
      <c r="O35" s="12">
        <f t="shared" si="4"/>
        <v>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52231.6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114909.52</v>
      </c>
      <c r="P37" s="14" t="s">
        <v>138</v>
      </c>
      <c r="Q37" s="14"/>
      <c r="R37" s="40">
        <f>P28/R36</f>
        <v>0.54939603106125967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42800</v>
      </c>
      <c r="L38" s="249"/>
      <c r="M38" s="14"/>
      <c r="N38" s="12"/>
      <c r="O38" s="12">
        <f>O37/P26</f>
        <v>67673.451118963494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35966.386554621851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46079</v>
      </c>
    </row>
    <row r="6" spans="2:31" ht="16.2" thickBot="1" x14ac:dyDescent="0.35">
      <c r="B6" s="140" t="s">
        <v>2</v>
      </c>
      <c r="C6" s="139" t="str">
        <f>'2229'!C10</f>
        <v>ALICIA VALENCIA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12010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-8441.8550334541087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134909.52000000002</v>
      </c>
      <c r="E11" s="132">
        <f>D11*0.19</f>
        <v>25632.808800000003</v>
      </c>
      <c r="F11" s="131">
        <f>E11+D11</f>
        <v>160542.32880000002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97548.144966545893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51065.690787439613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79548.144966545893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83843.829212560406</v>
      </c>
      <c r="E13" s="221">
        <f>(D11/D12)-1</f>
        <v>1.6418818177073025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70548.144966545893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31548.144966545893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84258.389799275363</v>
      </c>
      <c r="F15" s="216">
        <f>E15-D12</f>
        <v>33192.69901183575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31548.144966545893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71548.144966545893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14100</v>
      </c>
      <c r="E19" s="123">
        <f>D19*0.19</f>
        <v>2679</v>
      </c>
      <c r="F19" s="120">
        <f>SUM(D19:E19)</f>
        <v>16779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7131.5999999999995</v>
      </c>
      <c r="E20" s="121">
        <f>D20*0.19</f>
        <v>1355.0039999999999</v>
      </c>
      <c r="F20" s="120">
        <f>SUM(D20:E20)</f>
        <v>8486.6039999999994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21231.599999999999</v>
      </c>
      <c r="E21" s="116">
        <f>SUM(E18:E20)</f>
        <v>4034.0039999999999</v>
      </c>
      <c r="F21" s="115">
        <f>SUM(F18:F20)</f>
        <v>25265.603999999999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21598.804800000002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134909.52000000002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21231.599999999999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83843.829212560406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83843.829212560406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12010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ALICIA VALENCIA</v>
      </c>
      <c r="D10" s="350"/>
      <c r="E10" s="350"/>
      <c r="F10" s="351" t="s">
        <v>167</v>
      </c>
      <c r="G10" s="352">
        <f>'2229'!G10</f>
        <v>46079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46086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+569 8448 4090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">
        <v>35</v>
      </c>
      <c r="D22" s="321">
        <f>'2229'!D21*1000</f>
        <v>2750</v>
      </c>
      <c r="E22" s="321">
        <f>'2229'!E21*1000</f>
        <v>600</v>
      </c>
      <c r="F22" s="322" t="str">
        <f>'2229'!F21</f>
        <v>GRAFITO MT</v>
      </c>
      <c r="G22" s="314">
        <f>'2229'!G21</f>
        <v>114909.52</v>
      </c>
      <c r="H22" s="323">
        <f>G22*B22</f>
        <v>114909.52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114909.52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21832.808800000003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136742.32880000002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9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ALICIA VALENCIA</v>
      </c>
      <c r="E5" s="320"/>
      <c r="F5" s="320"/>
      <c r="G5" s="138"/>
      <c r="K5">
        <f>LOOKUP(F14,REGLAS!$I$4:$I$37,REGLAS!$G$4:$G$37)+J14</f>
        <v>2070</v>
      </c>
      <c r="L5">
        <f>LOOKUP(F14,REGLAS!$I$4:$I$37,REGLAS!$H$4:$H$37)+K14</f>
        <v>570</v>
      </c>
      <c r="M5">
        <f>LOOKUP(F14,REGLAS!$D$4:$D$37,REGLAS!$B$4:$B$37)+J21</f>
        <v>2060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5">
        <f>'NOTA DE VENTA'!$G$10</f>
        <v>46079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4">
        <f>'NOTA DE VENTA'!$G$11</f>
        <v>46086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2070</v>
      </c>
      <c r="E14" s="382">
        <f>LOOKUP(F14,REGLAS!$I$4:$I$37,REGLAS!$H$4:$H$37)+K14</f>
        <v>570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2020</v>
      </c>
      <c r="K14" s="150">
        <f t="shared" si="1"/>
        <v>600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2060</v>
      </c>
      <c r="E21" s="389">
        <f>LOOKUP(F14,REGLAS!$D$4:$D$37,REGLAS!$C$4:$C$37)+K21</f>
        <v>730</v>
      </c>
      <c r="F21" s="390" t="str">
        <f>C27</f>
        <v>CUB C/R R8</v>
      </c>
      <c r="G21" s="138"/>
      <c r="I21" s="384">
        <f>B27</f>
        <v>1</v>
      </c>
      <c r="J21" s="150">
        <f>D27</f>
        <v>2020</v>
      </c>
      <c r="K21" s="150">
        <f>E27</f>
        <v>600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C49</f>
        <v>CUB C/R R8</v>
      </c>
      <c r="D27" s="383">
        <f t="shared" ref="D27:F27" si="3">D49</f>
        <v>2020</v>
      </c>
      <c r="E27" s="383">
        <f t="shared" si="3"/>
        <v>600</v>
      </c>
      <c r="F27" s="383" t="str">
        <f t="shared" si="3"/>
        <v>GRAFITO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'NOTA DE VENTA'!$C22</f>
        <v>CUB C/R R8</v>
      </c>
      <c r="D49" s="430">
        <v>2020</v>
      </c>
      <c r="E49" s="430">
        <f>'NOTA DE VENTA'!E22</f>
        <v>600</v>
      </c>
      <c r="F49" s="430" t="str">
        <f>'NOTA DE VENTA'!F22</f>
        <v>GRAFITO MT</v>
      </c>
      <c r="G49" s="138"/>
    </row>
    <row r="50" spans="1:7" s="59" customFormat="1" ht="15" customHeight="1" x14ac:dyDescent="0.3">
      <c r="A50" s="391"/>
      <c r="B50" s="333"/>
      <c r="C50" s="402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12010</v>
      </c>
      <c r="C2" s="1">
        <f>'NOTA DE VENTA'!$G$10</f>
        <v>46079</v>
      </c>
      <c r="D2" s="1">
        <f>'NOTA DE VENTA'!$G$11</f>
        <v>46086</v>
      </c>
      <c r="E2" t="str">
        <f>'NOTA DE VENTA'!$C$10</f>
        <v>ALICIA VALENCIA</v>
      </c>
      <c r="F2" t="str">
        <f>'NOTA DE VENTA'!$C$22</f>
        <v>CUB C/R R8</v>
      </c>
      <c r="G2" t="str">
        <f>'NOTA DE VENTA'!$F$22</f>
        <v>GRAFITO MT</v>
      </c>
      <c r="H2" s="415">
        <f>'NOTA DE VENTA'!$H$25</f>
        <v>114909.52</v>
      </c>
      <c r="I2" s="415">
        <f>H2*0.19</f>
        <v>21832.808800000003</v>
      </c>
      <c r="J2" s="415">
        <f>I2+H2</f>
        <v>136742.32880000002</v>
      </c>
      <c r="L2" s="61">
        <f>J2-K2</f>
        <v>136742.32880000002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2026-02-26T13:54:41Z</cp:lastPrinted>
  <dcterms:created xsi:type="dcterms:W3CDTF">2013-03-18T13:35:42Z</dcterms:created>
  <dcterms:modified xsi:type="dcterms:W3CDTF">2026-02-26T13:55:09Z</dcterms:modified>
</cp:coreProperties>
</file>