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5FD41B25-C8AB-4433-8BA7-D13CCA30EBD8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  <definedName name="_xlnm.Print_Area" localSheetId="4">PRODUCCION!$A$37:$G$62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E19" i="3"/>
  <c r="F19" i="3"/>
  <c r="D27" i="6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6" i="1"/>
  <c r="O35" i="1"/>
  <c r="F18" i="3" l="1"/>
  <c r="O31" i="1" l="1"/>
  <c r="O37" i="1" s="1"/>
  <c r="O38" i="1" s="1"/>
  <c r="D21" i="3" l="1"/>
  <c r="E21" i="3" s="1"/>
  <c r="E22" i="3" s="1"/>
  <c r="O39" i="1" l="1"/>
  <c r="Q20" i="1" s="1"/>
  <c r="D22" i="3"/>
  <c r="M44" i="3" s="1"/>
  <c r="D12" i="3" s="1"/>
  <c r="F21" i="3"/>
  <c r="F22" i="3" s="1"/>
  <c r="O40" i="1" l="1"/>
  <c r="E15" i="3"/>
  <c r="Q21" i="1" l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<sst xmlns="http://schemas.openxmlformats.org/spreadsheetml/2006/main" count="492" uniqueCount="298">
  <si>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</si>
  <si>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</si>
  <si>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</si>
  <si>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</si>
  <si>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</si>
  <si>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</si>
  <si>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</si>
  <si>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</si>
  <si>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</si>
  <si>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</si>
  <si>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</si>
  <si>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</si>
  <si>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</si>
  <si>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</si>
  <si>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</si>
  <si>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</si>
  <si>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</si>
  <si>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</si>
  <si>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</si>
  <si>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</si>
  <si>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</si>
  <si>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</si>
  <si>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</si>
  <si>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</si>
  <si>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</si>
  <si>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</si>
  <si>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</si>
  <si>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</si>
  <si>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</si>
  <si>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</si>
  <si>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</si>
  <si>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</si>
  <si>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</si>
  <si>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</si>
  <si>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</si>
  <si>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</si>
  <si>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</si>
  <si>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</si>
  <si>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</si>
  <si>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</si>
  <si>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</si>
  <si>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</si>
  <si>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</si>
  <si>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</si>
  <si>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</si>
  <si>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</si>
  <si>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</si>
  <si>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</si>
  <si>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</si>
  <si>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</si>
  <si>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</si>
  <si>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</si>
  <si>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</si>
  <si>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</si>
  <si>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</si>
  <si>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</si>
  <si>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</si>
  <si>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</si>
  <si>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</si>
  <si>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</si>
  <si>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</si>
  <si>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</si>
  <si>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</si>
  <si>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</si>
  <si>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</si>
  <si>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</si>
  <si>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</si>
  <si>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</si>
  <si>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</si>
  <si>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</si>
  <si>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</si>
  <si>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</si>
  <si>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</si>
  <si>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</si>
  <si>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</si>
  <si>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</si>
  <si>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</si>
  <si>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</si>
  <si>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</si>
  <si>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</si>
  <si>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</si>
  <si>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</si>
  <si>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</si>
  <si>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</si>
  <si>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</si>
  <si>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</si>
  <si>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</si>
  <si>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</si>
  <si>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</si>
  <si>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</si>
  <si>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</si>
  <si>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</si>
  <si>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</si>
  <si>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</si>
  <si>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</si>
  <si>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</si>
  <si>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</si>
  <si>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</si>
  <si>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</si>
  <si>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</si>
  <si>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</si>
  <si>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</si>
  <si>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</si>
  <si>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</si>
  <si>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</si>
  <si>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</si>
  <si>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</si>
  <si>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</si>
  <si>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</si>
  <si>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</si>
  <si>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</si>
  <si>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</si>
  <si>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</si>
  <si>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</si>
  <si>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</si>
  <si>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</si>
  <si>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</si>
  <si>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</si>
  <si>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</si>
  <si>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</si>
  <si>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</si>
  <si>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</si>
  <si>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</si>
  <si>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</si>
  <si>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</si>
  <si>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</si>
  <si>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</si>
  <si>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</si>
  <si>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</si>
  <si>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</si>
  <si>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</si>
  <si>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</si>
  <si>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</si>
  <si>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</si>
  <si>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</si>
  <si>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</si>
  <si>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</si>
  <si>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</si>
  <si>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</si>
  <si>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</si>
  <si>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</si>
  <si>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</si>
  <si>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</si>
  <si>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</si>
  <si>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</si>
  <si>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</si>
  <si>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</si>
  <si>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</si>
  <si>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</si>
  <si>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</si>
  <si>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</si>
  <si>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</si>
  <si>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</si>
  <si>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</si>
  <si>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</si>
  <si>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</si>
  <si>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</si>
  <si>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</si>
  <si>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</si>
  <si>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</si>
  <si>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</si>
  <si>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</si>
  <si>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</si>
  <si>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</si>
  <si>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</si>
  <si>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</si>
  <si>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</si>
  <si>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</si>
  <si>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</si>
  <si>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</si>
  <si>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</si>
  <si>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</si>
  <si>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</si>
  <si>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</si>
  <si>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</si>
  <si>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</si>
  <si>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</si>
  <si>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</si>
  <si>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</si>
  <si>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</si>
  <si>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</si>
  <si>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</si>
  <si>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</si>
  <si>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</si>
  <si>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</si>
  <si>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</si>
  <si>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</si>
  <si>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</si>
  <si>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</si>
  <si>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</si>
  <si>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</si>
  <si>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</si>
  <si>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</si>
  <si>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</si>
  <si>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</si>
  <si>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</si>
  <si>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</si>
  <si>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</si>
  <si>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</si>
  <si>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</si>
  <si>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</si>
  <si>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</si>
  <si>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</si>
  <si>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</si>
  <si>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</si>
  <si>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</si>
  <si>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</si>
  <si>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</si>
  <si>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</si>
  <si>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</si>
  <si>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</si>
  <si>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</si>
  <si>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</si>
  <si>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</si>
  <si>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</si>
  <si>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</si>
  <si>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</si>
  <si>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</si>
  <si>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</si>
  <si>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</si>
  <si>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</si>
  <si>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</si>
  <si>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</si>
  <si>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</si>
  <si>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</si>
  <si>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</si>
  <si>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</si>
  <si>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</si>
  <si>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</si>
  <si>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</si>
  <si>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</si>
  <si>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</si>
  <si>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</si>
  <si>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</si>
  <si>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</si>
  <si>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</si>
  <si>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</si>
  <si>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</si>
  <si>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</si>
  <si>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</si>
  <si>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</si>
  <si>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</si>
  <si>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</si>
  <si>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</si>
  <si>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</si>
  <si>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</si>
  <si>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</si>
  <si>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</si>
  <si>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</si>
  <si>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</si>
  <si>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</si>
  <si>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</si>
  <si>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</si>
  <si>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</si>
  <si>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</si>
  <si>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</si>
  <si>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</si>
  <si>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</si>
  <si>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</si>
  <si>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</si>
  <si>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</si>
  <si>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</si>
  <si>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</si>
  <si>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</si>
  <si>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</si>
  <si>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</si>
  <si>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</si>
  <si>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</si>
  <si>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</si>
  <si>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</si>
  <si>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</si>
  <si>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</si>
  <si>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</si>
  <si>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</si>
  <si>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</si>
  <si>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</si>
  <si>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</si>
  <si>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</si>
  <si>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</si>
  <si>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</si>
  <si>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</si>
  <si>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</si>
  <si>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</si>
  <si>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</si>
  <si>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</si>
  <si>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</si>
  <si>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</si>
  <si>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</si>
  <si>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CON RESPALDO FTE 90°</t>
  </si>
  <si>
    <t>N° 11990</t>
  </si>
  <si>
    <t>JAIME SEGUEL</t>
  </si>
  <si>
    <t>+569 6807 7502</t>
  </si>
  <si>
    <t>1 DIAS HABILES</t>
  </si>
  <si>
    <t>77.849.468-K</t>
  </si>
  <si>
    <t>JAIME Y ANGELICA CHUDER LTDA</t>
  </si>
  <si>
    <t>CONSTRUCCION EN OBRAS MENORES</t>
  </si>
  <si>
    <t>ALTO LAGUNA PARCELA 189 PAINE</t>
  </si>
  <si>
    <t>VERDASTRO 42009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</si>
</sst>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180258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61935"/>
          <a:ext cx="6317227" cy="93406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$ 50.000.-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zoomScale="93" zoomScaleNormal="93" workbookViewId="0">
      <selection activeCell="K23" sqref="K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294</v>
      </c>
      <c r="D10" s="243"/>
      <c r="E10" s="243"/>
      <c r="F10" s="417" t="s">
        <v>277</v>
      </c>
      <c r="G10" s="275">
        <v>46069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 t="s">
        <v>293</v>
      </c>
      <c r="F11" s="29" t="s">
        <v>286</v>
      </c>
      <c r="G11" s="420" t="s">
        <v>292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 t="s">
        <v>295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290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291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 t="s">
        <v>296</v>
      </c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69440.425531914894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288</v>
      </c>
      <c r="D21" s="432">
        <v>1.8</v>
      </c>
      <c r="E21" s="432">
        <v>0.6</v>
      </c>
      <c r="F21" s="313" t="s">
        <v>297</v>
      </c>
      <c r="G21" s="314">
        <v>78329</v>
      </c>
      <c r="H21" s="433">
        <f>G21*B21</f>
        <v>78329</v>
      </c>
      <c r="I21" s="306"/>
      <c r="J21" s="264"/>
      <c r="K21" s="47"/>
      <c r="L21" s="47">
        <f>B21</f>
        <v>1</v>
      </c>
      <c r="M21" s="39">
        <f>D21+M$19</f>
        <v>1.8800000000000001</v>
      </c>
      <c r="N21" s="39">
        <f>E21+$N$19</f>
        <v>0.6</v>
      </c>
      <c r="O21" s="260">
        <f t="shared" ref="O21" si="0">M21*N21</f>
        <v>1.1280000000000001</v>
      </c>
      <c r="P21" s="258">
        <f t="shared" ref="P21" si="1">O21*L21</f>
        <v>1.1280000000000001</v>
      </c>
      <c r="Q21" s="251">
        <f t="shared" ref="Q21" si="2">Q$20*O21</f>
        <v>78328.800000000003</v>
      </c>
      <c r="R21" s="305">
        <f t="shared" ref="R21" si="3">Q21+R$20</f>
        <v>81328.800000000003</v>
      </c>
      <c r="S21" s="290">
        <f>M21*L21</f>
        <v>1.8800000000000001</v>
      </c>
      <c r="T21" s="46">
        <f>N21*2*L21*2</f>
        <v>2.4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SUM(H21:H22)</f>
        <v>78329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SUM(T21:T22)</f>
        <v>2.4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14882.51</v>
      </c>
      <c r="I26" s="308"/>
      <c r="J26" s="264"/>
      <c r="K26" s="47"/>
      <c r="L26" s="47"/>
      <c r="M26" s="39">
        <f>SUM(M21:M25)</f>
        <v>1.8800000000000001</v>
      </c>
      <c r="N26" s="12"/>
      <c r="O26" s="12"/>
      <c r="P26" s="252">
        <f>SUM(P21:P22)</f>
        <v>1.1280000000000001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93211.51</v>
      </c>
      <c r="I27" s="308"/>
      <c r="J27" s="264"/>
      <c r="K27" s="47"/>
      <c r="L27" s="47"/>
      <c r="M27" s="39"/>
      <c r="N27" s="12"/>
      <c r="O27" s="12"/>
      <c r="P27" s="252">
        <f>P26</f>
        <v>1.1280000000000001</v>
      </c>
      <c r="Q27" s="14"/>
      <c r="R27" s="12"/>
      <c r="S27" s="239">
        <f>SUM(S21:S26)</f>
        <v>1.8800000000000001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0.22560000000000002</v>
      </c>
      <c r="Q28" s="39" t="s">
        <v>129</v>
      </c>
      <c r="R28" s="42"/>
      <c r="S28" s="240">
        <f>S27+T25</f>
        <v>4.28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1.3536000000000001</v>
      </c>
      <c r="Q29" s="14"/>
      <c r="R29" s="14"/>
      <c r="S29" s="238">
        <f>S28*20%</f>
        <v>0.85600000000000009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5.1360000000000001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1.3536000000000001</v>
      </c>
      <c r="N31" s="12">
        <v>2500</v>
      </c>
      <c r="O31" s="12">
        <f t="shared" ref="O31:O36" si="4">M31*N31</f>
        <v>3384.0000000000005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0.4</v>
      </c>
      <c r="N32" s="12">
        <v>23500</v>
      </c>
      <c r="O32" s="12">
        <f t="shared" si="4"/>
        <v>9400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41800</v>
      </c>
      <c r="O33" s="12">
        <f t="shared" si="4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20000</v>
      </c>
      <c r="O34" s="12">
        <f t="shared" si="4"/>
        <v>20000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4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1.88</v>
      </c>
      <c r="N36" s="12">
        <v>1500</v>
      </c>
      <c r="O36" s="12">
        <f t="shared" si="4"/>
        <v>2820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35604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78328.800000000003</v>
      </c>
      <c r="P38" s="14" t="s">
        <v>138</v>
      </c>
      <c r="Q38" s="14"/>
      <c r="R38" s="40">
        <f>P29/R37</f>
        <v>0.36496980155306302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69440.425531914894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abSelected="1" topLeftCell="A11" workbookViewId="0">
      <selection activeCell="C18" sqref="C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46069</v>
      </c>
    </row>
    <row r="6" spans="2:31" ht="16.2" thickBot="1" x14ac:dyDescent="0.35">
      <c r="B6" s="140" t="s">
        <v>2</v>
      </c>
      <c r="C6" s="139" t="str">
        <f>'2229'!C10</f>
        <v>JAIME Y ANGELICA CHUDER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11990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4165.1416332125591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78329</v>
      </c>
      <c r="E11" s="132">
        <f>D11*0.19</f>
        <v>14882.51</v>
      </c>
      <c r="F11" s="131">
        <f>E11+D11</f>
        <v>93211.51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110155.14163321257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62618.090787439614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92155.141633212566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15710.909212560386</v>
      </c>
      <c r="E13" s="221">
        <f>(D11/D12)-1</f>
        <v>0.25090048283158128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83155.141633212566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44155.141633212559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103319.84979927535</v>
      </c>
      <c r="F15" s="216">
        <f>E15-D12</f>
        <v>40701.75901183574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44155.141633212559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84155.141633212566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85</v>
      </c>
      <c r="D19" s="122">
        <f>'2229'!O34</f>
        <v>20000</v>
      </c>
      <c r="E19" s="123">
        <f>D19*0.19</f>
        <v>3800</v>
      </c>
      <c r="F19" s="120">
        <f>SUM(D19:E19)</f>
        <v>23800</v>
      </c>
      <c r="H19" s="192"/>
      <c r="I19" s="202"/>
      <c r="J19" s="184"/>
      <c r="K19" s="158"/>
      <c r="L19" s="61"/>
      <c r="Q19" s="16"/>
      <c r="R19" s="457"/>
      <c r="S19" s="458"/>
      <c r="T19" s="458"/>
      <c r="U19" s="459"/>
      <c r="V19" s="460"/>
      <c r="W19" s="460"/>
      <c r="X19" s="106"/>
    </row>
    <row r="20" spans="1:31" x14ac:dyDescent="0.3">
      <c r="C20" s="79" t="s">
        <v>31</v>
      </c>
      <c r="D20" s="122">
        <f>'2229'!O32</f>
        <v>9400</v>
      </c>
      <c r="E20" s="123">
        <f>D20*0.19</f>
        <v>1786</v>
      </c>
      <c r="F20" s="120">
        <f>SUM(D20:E20)</f>
        <v>11186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'2229'!O31</f>
        <v>3384.0000000000005</v>
      </c>
      <c r="E21" s="121">
        <f>D21*0.19</f>
        <v>642.96000000000015</v>
      </c>
      <c r="F21" s="120">
        <f>SUM(D21:E21)</f>
        <v>4026.9600000000005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32784</v>
      </c>
      <c r="E22" s="116">
        <f>SUM(E18:E21)</f>
        <v>6228.96</v>
      </c>
      <c r="F22" s="115">
        <f>SUM(F18:F21)</f>
        <v>39012.959999999999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8653.5499999999993</v>
      </c>
    </row>
    <row r="42" spans="1:16" ht="15" thickBot="1" x14ac:dyDescent="0.35">
      <c r="H42" s="441" t="s">
        <v>60</v>
      </c>
      <c r="I42" s="442"/>
      <c r="J42" s="442"/>
      <c r="K42" s="442"/>
      <c r="L42" s="442"/>
      <c r="M42" s="443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78329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32784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15710.909212560386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15710.909212560386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11990</v>
      </c>
      <c r="E8" s="138"/>
      <c r="F8" s="318" t="s">
        <v>165</v>
      </c>
      <c r="G8" s="319">
        <v>7387</v>
      </c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JAIME Y ANGELICA CHUDER LTDA</v>
      </c>
      <c r="D10" s="350"/>
      <c r="E10" s="350"/>
      <c r="F10" s="351" t="s">
        <v>167</v>
      </c>
      <c r="G10" s="352">
        <f>'2229'!G10</f>
        <v>46069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77.849.468-K</v>
      </c>
      <c r="D11" s="345"/>
      <c r="E11" s="345"/>
      <c r="F11" s="345" t="s">
        <v>168</v>
      </c>
      <c r="G11" s="340">
        <f>WORKDAY(G10,5)</f>
        <v>46076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>CONSTRUCCION EN OBRAS MENORES</v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JAIME SEGUEL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+569 6807 7502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>ALTO LAGUNA PARCELA 189 PAINE</v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1800</v>
      </c>
      <c r="E22" s="321">
        <f>'2229'!E21*1000</f>
        <v>600</v>
      </c>
      <c r="F22" s="322" t="str">
        <f>'2229'!F21</f>
        <v>VERDASTRO 42009 GL</v>
      </c>
      <c r="G22" s="314">
        <f>'2229'!G21</f>
        <v>78329</v>
      </c>
      <c r="H22" s="323">
        <f>G22*B22</f>
        <v>78329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78329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14882.51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93211.51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pageSetup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H52" sqref="H52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1.109375" customWidth="1"/>
    <col min="4" max="4" width="16" customWidth="1"/>
    <col min="5" max="5" width="12.6640625" bestFit="1" customWidth="1"/>
    <col min="6" max="6" width="31.777343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>
        <f>IF('NOTA DE VENTA'!$G$8="","",'NOTA DE VENTA'!$G$8)</f>
        <v>7387</v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JAIME Y ANGELICA CHUDER LTDA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46069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46076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VERDASTRO 42009 GL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 t="str">
        <f>'NOTA DE VENTA'!F22</f>
        <v>VERDASTRO 42009 GL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7387</v>
      </c>
      <c r="B2" t="str">
        <f>'NOTA DE VENTA'!$D$8</f>
        <v>N° 11990</v>
      </c>
      <c r="C2" s="1">
        <f>'NOTA DE VENTA'!$G$10</f>
        <v>46069</v>
      </c>
      <c r="D2" s="1">
        <f>'NOTA DE VENTA'!$G$11</f>
        <v>46076</v>
      </c>
      <c r="E2" t="str">
        <f>'NOTA DE VENTA'!$C$10</f>
        <v>JAIME Y ANGELICA CHUDER LTDA</v>
      </c>
      <c r="F2" t="str">
        <f>'NOTA DE VENTA'!$C$22</f>
        <v>CUB C/R R8</v>
      </c>
      <c r="G2" t="str">
        <f>'NOTA DE VENTA'!$F$22</f>
        <v>VERDASTRO 42009 GL</v>
      </c>
      <c r="H2" s="415">
        <f>'NOTA DE VENTA'!$H$25</f>
        <v>78329</v>
      </c>
      <c r="I2" s="415">
        <f>H2*0.19</f>
        <v>14882.51</v>
      </c>
      <c r="J2" s="415">
        <f>I2+H2</f>
        <v>93211.51</v>
      </c>
      <c r="L2" s="61">
        <f>J2-K2</f>
        <v>93211.51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  <vt:lpstr>PRODUCCION!Área_de_impresión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2026-02-17T12:10:42Z</cp:lastPrinted>
  <dcterms:created xsi:type="dcterms:W3CDTF">2013-03-18T13:35:42Z</dcterms:created>
  <dcterms:modified xsi:type="dcterms:W3CDTF">2026-02-18T17:40:14Z</dcterms:modified>
</cp:coreProperties>
</file>