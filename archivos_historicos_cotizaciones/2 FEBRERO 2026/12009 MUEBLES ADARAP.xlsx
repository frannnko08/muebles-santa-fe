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AF4B5265-6297-4404-8543-DF8EE82EC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5" i="1" l="1"/>
  <c r="S26" i="1"/>
  <c r="T24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G22" i="4" l="1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<sst xmlns="http://schemas.openxmlformats.org/spreadsheetml/2006/main" count="486" uniqueCount="294">
  <si>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</si>
  <si>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</si>
  <si>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</si>
  <si>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</si>
  <si>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</si>
  <si>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</si>
  <si>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</si>
  <si>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</si>
  <si>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</si>
  <si>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</si>
  <si>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</si>
  <si>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</si>
  <si>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</si>
  <si>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</si>
  <si>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</si>
  <si>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</si>
  <si>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</si>
  <si>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</si>
  <si>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</si>
  <si>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</si>
  <si>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</si>
  <si>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</si>
  <si>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</si>
  <si>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</si>
  <si>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</si>
  <si>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</si>
  <si>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</si>
  <si>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</si>
  <si>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</si>
  <si>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</si>
  <si>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</si>
  <si>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</si>
  <si>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</si>
  <si>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</si>
  <si>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</si>
  <si>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</si>
  <si>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</si>
  <si>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</si>
  <si>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</si>
  <si>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</si>
  <si>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</si>
  <si>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</si>
  <si>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</si>
  <si>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</si>
  <si>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</si>
  <si>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</si>
  <si>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</si>
  <si>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</si>
  <si>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</si>
  <si>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</si>
  <si>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</si>
  <si>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</si>
  <si>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</si>
  <si>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</si>
  <si>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</si>
  <si>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</si>
  <si>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</si>
  <si>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</si>
  <si>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</si>
  <si>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</si>
  <si>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</si>
  <si>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</si>
  <si>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</si>
  <si>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</si>
  <si>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</si>
  <si>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</si>
  <si>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</si>
  <si>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</si>
  <si>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</si>
  <si>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</si>
  <si>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</si>
  <si>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</si>
  <si>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</si>
  <si>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</si>
  <si>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</si>
  <si>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</si>
  <si>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</si>
  <si>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</si>
  <si>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</si>
  <si>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</si>
  <si>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</si>
  <si>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</si>
  <si>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</si>
  <si>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</si>
  <si>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</si>
  <si>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</si>
  <si>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</si>
  <si>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</si>
  <si>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</si>
  <si>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</si>
  <si>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</si>
  <si>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</si>
  <si>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</si>
  <si>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</si>
  <si>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</si>
  <si>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</si>
  <si>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</si>
  <si>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</si>
  <si>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</si>
  <si>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</si>
  <si>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</si>
  <si>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</si>
  <si>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</si>
  <si>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</si>
  <si>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</si>
  <si>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</si>
  <si>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</si>
  <si>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</si>
  <si>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</si>
  <si>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</si>
  <si>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</si>
  <si>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</si>
  <si>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</si>
  <si>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</si>
  <si>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</si>
  <si>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</si>
  <si>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</si>
  <si>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</si>
  <si>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</si>
  <si>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</si>
  <si>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</si>
  <si>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</si>
  <si>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</si>
  <si>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</si>
  <si>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</si>
  <si>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</si>
  <si>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</si>
  <si>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</si>
  <si>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</si>
  <si>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</si>
  <si>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</si>
  <si>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</si>
  <si>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</si>
  <si>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</si>
  <si>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</si>
  <si>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</si>
  <si>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</si>
  <si>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</si>
  <si>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</si>
  <si>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</si>
  <si>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</si>
  <si>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</si>
  <si>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</si>
  <si>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</si>
  <si>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</si>
  <si>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</si>
  <si>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</si>
  <si>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</si>
  <si>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</si>
  <si>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</si>
  <si>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</si>
  <si>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</si>
  <si>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</si>
  <si>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</si>
  <si>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</si>
  <si>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</si>
  <si>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</si>
  <si>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</si>
  <si>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</si>
  <si>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</si>
  <si>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</si>
  <si>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</si>
  <si>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</si>
  <si>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</si>
  <si>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</si>
  <si>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</si>
  <si>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</si>
  <si>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</si>
  <si>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</si>
  <si>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</si>
  <si>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</si>
  <si>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</si>
  <si>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</si>
  <si>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</si>
  <si>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</si>
  <si>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</si>
  <si>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</si>
  <si>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</si>
  <si>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</si>
  <si>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</si>
  <si>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</si>
  <si>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</si>
  <si>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</si>
  <si>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</si>
  <si>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</si>
  <si>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</si>
  <si>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</si>
  <si>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</si>
  <si>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</si>
  <si>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</si>
  <si>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</si>
  <si>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</si>
  <si>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</si>
  <si>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</si>
  <si>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</si>
  <si>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</si>
  <si>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</si>
  <si>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</si>
  <si>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</si>
  <si>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</si>
  <si>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</si>
  <si>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</si>
  <si>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</si>
  <si>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</si>
  <si>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</si>
  <si>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</si>
  <si>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</si>
  <si>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</si>
  <si>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</si>
  <si>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</si>
  <si>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</si>
  <si>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</si>
  <si>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</si>
  <si>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</si>
  <si>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</si>
  <si>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</si>
  <si>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</si>
  <si>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</si>
  <si>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</si>
  <si>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</si>
  <si>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</si>
  <si>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</si>
  <si>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</si>
  <si>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</si>
  <si>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</si>
  <si>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</si>
  <si>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</si>
  <si>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</si>
  <si>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</si>
  <si>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</si>
  <si>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</si>
  <si>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</si>
  <si>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</si>
  <si>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</si>
  <si>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</si>
  <si>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</si>
  <si>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</si>
  <si>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</si>
  <si>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</si>
  <si>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</si>
  <si>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</si>
  <si>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</si>
  <si>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</si>
  <si>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</si>
  <si>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</si>
  <si>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</si>
  <si>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</si>
  <si>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</si>
  <si>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</si>
  <si>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</si>
  <si>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</si>
  <si>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</si>
  <si>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</si>
  <si>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</si>
  <si>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</si>
  <si>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</si>
  <si>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</si>
  <si>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</si>
  <si>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</si>
  <si>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</si>
  <si>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</si>
  <si>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</si>
  <si>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</si>
  <si>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</si>
  <si>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</si>
  <si>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</si>
  <si>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</si>
  <si>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</si>
  <si>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</si>
  <si>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</si>
  <si>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</si>
  <si>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</si>
  <si>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</si>
  <si>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</si>
  <si>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</si>
  <si>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</si>
  <si>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</si>
  <si>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</si>
  <si>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</si>
  <si>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</si>
  <si>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</si>
  <si>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</si>
  <si>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</si>
  <si>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</si>
  <si>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</si>
  <si>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</si>
  <si>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</si>
  <si>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N° 12009</t>
  </si>
  <si>
    <t>MUEBLES ADARAP</t>
  </si>
  <si>
    <t>+56 9 7936 8390</t>
  </si>
  <si>
    <t>MACHALI</t>
  </si>
  <si>
    <t>CUB CON RESPALDO FRENTE 90°</t>
  </si>
  <si>
    <t>5 DIAS HABILES</t>
  </si>
  <si>
    <t>ONIX 2721 F6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</si>
</sst>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</a:t>
          </a:r>
          <a:r>
            <a:rPr lang="es-CL" sz="1200" b="1" baseline="0"/>
            <a:t>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288</v>
      </c>
      <c r="D10" s="243"/>
      <c r="E10" s="243"/>
      <c r="F10" s="418" t="s">
        <v>277</v>
      </c>
      <c r="G10" s="275">
        <v>46084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289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290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58097.14285714287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431">
        <v>1</v>
      </c>
      <c r="C21" s="432" t="s">
        <v>291</v>
      </c>
      <c r="D21" s="433">
        <v>3</v>
      </c>
      <c r="E21" s="433">
        <v>0.7</v>
      </c>
      <c r="F21" s="431" t="s">
        <v>293</v>
      </c>
      <c r="G21" s="434">
        <v>125670</v>
      </c>
      <c r="H21" s="434">
        <f>G21*B21</f>
        <v>125670</v>
      </c>
      <c r="I21" s="306"/>
      <c r="J21" s="264"/>
      <c r="K21" s="47"/>
      <c r="L21" s="47">
        <f>B21</f>
        <v>1</v>
      </c>
      <c r="M21" s="39">
        <f>D21+M$19</f>
        <v>3.08</v>
      </c>
      <c r="N21" s="39">
        <f>E21+$N$19</f>
        <v>0.7</v>
      </c>
      <c r="O21" s="260">
        <f t="shared" ref="O21" si="0">M21*N21</f>
        <v>2.1559999999999997</v>
      </c>
      <c r="P21" s="258">
        <f t="shared" ref="P21" si="1">O21*L21</f>
        <v>2.1559999999999997</v>
      </c>
      <c r="Q21" s="251">
        <f t="shared" ref="Q21" si="2">Q$20*O21</f>
        <v>125257.44</v>
      </c>
      <c r="R21" s="305">
        <f t="shared" ref="R21" si="3">Q21+R$20</f>
        <v>130257.44</v>
      </c>
      <c r="S21" s="290">
        <f>M21*L21*2</f>
        <v>6.16</v>
      </c>
      <c r="T21" s="46">
        <f>N21*2*L21*2</f>
        <v>2.8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125670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2.8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23877.3</v>
      </c>
      <c r="I25" s="308"/>
      <c r="J25" s="264"/>
      <c r="K25" s="47"/>
      <c r="L25" s="47"/>
      <c r="M25" s="39">
        <f>SUM(M21:M24)</f>
        <v>3.08</v>
      </c>
      <c r="N25" s="12"/>
      <c r="O25" s="12"/>
      <c r="P25" s="252">
        <f>SUM(P21:P21)</f>
        <v>2.1559999999999997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149547.29999999999</v>
      </c>
      <c r="I26" s="308"/>
      <c r="J26" s="264"/>
      <c r="K26" s="47"/>
      <c r="L26" s="47"/>
      <c r="M26" s="39"/>
      <c r="N26" s="12"/>
      <c r="O26" s="12"/>
      <c r="P26" s="252">
        <f>P25</f>
        <v>2.1559999999999997</v>
      </c>
      <c r="Q26" s="14"/>
      <c r="R26" s="12"/>
      <c r="S26" s="239">
        <f>SUM(S21:S25)</f>
        <v>6.16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0.43119999999999997</v>
      </c>
      <c r="Q27" s="39" t="s">
        <v>129</v>
      </c>
      <c r="R27" s="42"/>
      <c r="S27" s="240">
        <f>S26+T24</f>
        <v>8.9600000000000009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2.5871999999999997</v>
      </c>
      <c r="Q28" s="14"/>
      <c r="R28" s="14"/>
      <c r="S28" s="238">
        <f>S27*20%</f>
        <v>1.7920000000000003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10.752000000000001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2.5871999999999997</v>
      </c>
      <c r="N30" s="12">
        <v>3500</v>
      </c>
      <c r="O30" s="12">
        <f t="shared" ref="O30:O35" si="4">M30*N30</f>
        <v>9055.1999999999989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0.75</v>
      </c>
      <c r="N31" s="12">
        <v>23500</v>
      </c>
      <c r="O31" s="12">
        <f t="shared" si="4"/>
        <v>17625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25605</v>
      </c>
      <c r="O33" s="12">
        <f t="shared" si="4"/>
        <v>25605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3.1</v>
      </c>
      <c r="N35" s="12">
        <v>1500</v>
      </c>
      <c r="O35" s="12">
        <f t="shared" si="4"/>
        <v>4650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56935.199999999997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125257.44</v>
      </c>
      <c r="P37" s="14" t="s">
        <v>138</v>
      </c>
      <c r="Q37" s="14"/>
      <c r="R37" s="40">
        <f>P28/R36</f>
        <v>0.69758412424503868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30470</v>
      </c>
      <c r="L38" s="249"/>
      <c r="M38" s="14"/>
      <c r="N38" s="12"/>
      <c r="O38" s="12">
        <f>O37/P26</f>
        <v>58097.14285714287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25605.042016806725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46084</v>
      </c>
    </row>
    <row r="6" spans="2:31" ht="16.2" thickBot="1" x14ac:dyDescent="0.35">
      <c r="B6" s="140" t="s">
        <v>2</v>
      </c>
      <c r="C6" s="139" t="str">
        <f>'2229'!C10</f>
        <v>MUEBLES ADARAP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-5403.5700334541079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125670</v>
      </c>
      <c r="E11" s="132">
        <f>D11*0.19</f>
        <v>23877.3</v>
      </c>
      <c r="F11" s="131">
        <f>E11+D11</f>
        <v>149547.29999999999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100586.4299665459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56514.290787439611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82586.429966545897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69155.709212560381</v>
      </c>
      <c r="E13" s="221">
        <f>(D11/D12)-1</f>
        <v>1.223685341335476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73586.429966545897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34586.429966545889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93248.579799275351</v>
      </c>
      <c r="F15" s="216">
        <f>E15-D12</f>
        <v>36734.289011835739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34586.429966545889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74586.429966545897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17625</v>
      </c>
      <c r="E19" s="123">
        <f>D19*0.19</f>
        <v>3348.75</v>
      </c>
      <c r="F19" s="120">
        <f>SUM(D19:E19)</f>
        <v>20973.75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9055.1999999999989</v>
      </c>
      <c r="E20" s="121">
        <f>D20*0.19</f>
        <v>1720.4879999999998</v>
      </c>
      <c r="F20" s="120">
        <f>SUM(D20:E20)</f>
        <v>10775.687999999998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26680.199999999997</v>
      </c>
      <c r="E21" s="116">
        <f>SUM(E18:E20)</f>
        <v>5069.2379999999994</v>
      </c>
      <c r="F21" s="115">
        <f>SUM(F18:F20)</f>
        <v>31749.437999999998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18808.061999999998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125670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26680.199999999997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69155.709212560381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69155.709212560381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MUEBLES ADARAP</v>
      </c>
      <c r="D10" s="350"/>
      <c r="E10" s="350"/>
      <c r="F10" s="351" t="s">
        <v>167</v>
      </c>
      <c r="G10" s="352">
        <f>'2229'!G10</f>
        <v>46084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46091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+56 9 7936 8390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MACHALI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FRENTE 90°</v>
      </c>
      <c r="D22" s="321">
        <f>'2229'!D21*1000</f>
        <v>3000</v>
      </c>
      <c r="E22" s="321">
        <f>'2229'!E21*1000</f>
        <v>700</v>
      </c>
      <c r="F22" s="322" t="str">
        <f>'2229'!F21</f>
        <v>ONIX 2721 F6 BR</v>
      </c>
      <c r="G22" s="314">
        <f>'2229'!G21</f>
        <v>125670</v>
      </c>
      <c r="H22" s="323">
        <f>G22*B22</f>
        <v>125670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125670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23877.3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149547.29999999999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MUEBLES ADARAP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46084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46091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12009</v>
      </c>
      <c r="C2" s="1">
        <f>'NOTA DE VENTA'!$G$10</f>
        <v>46084</v>
      </c>
      <c r="D2" s="1">
        <f>'NOTA DE VENTA'!$G$11</f>
        <v>46091</v>
      </c>
      <c r="E2" t="str">
        <f>'NOTA DE VENTA'!$C$10</f>
        <v>MUEBLES ADARAP</v>
      </c>
      <c r="F2" t="str">
        <f>'NOTA DE VENTA'!$C$22</f>
        <v>CUB CON RESPALDO FRENTE 90°</v>
      </c>
      <c r="G2" t="str">
        <f>'NOTA DE VENTA'!$F$22</f>
        <v>ONIX 2721 F6 BR</v>
      </c>
      <c r="H2" s="416">
        <f>'NOTA DE VENTA'!$H$25</f>
        <v>125670</v>
      </c>
      <c r="I2" s="416">
        <f>H2*0.19</f>
        <v>23877.3</v>
      </c>
      <c r="J2" s="416">
        <f>I2+H2</f>
        <v>149547.29999999999</v>
      </c>
      <c r="L2" s="61">
        <f>J2-K2</f>
        <v>149547.29999999999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2026-02-25T20:44:45Z</cp:lastPrinted>
  <dcterms:created xsi:type="dcterms:W3CDTF">2013-03-18T13:35:42Z</dcterms:created>
  <dcterms:modified xsi:type="dcterms:W3CDTF">2026-03-03T14:36:35Z</dcterms:modified>
</cp:coreProperties>
</file>