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EDB44DA4-F0CF-4FDA-A854-700E3966F34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<sst xmlns="http://schemas.openxmlformats.org/spreadsheetml/2006/main" count="487" uniqueCount="294">
  <si>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</si>
  <si>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</si>
  <si>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</si>
  <si>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</si>
  <si>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</si>
  <si>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</si>
  <si>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</si>
  <si>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</si>
  <si>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</si>
  <si>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</si>
  <si>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</si>
  <si>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</si>
  <si>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</si>
  <si>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</si>
  <si>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</si>
  <si>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</si>
  <si>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</si>
  <si>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</si>
  <si>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</si>
  <si>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</si>
  <si>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</si>
  <si>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</si>
  <si>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</si>
  <si>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</si>
  <si>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</si>
  <si>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</si>
  <si>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</si>
  <si>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</si>
  <si>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</si>
  <si>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</si>
  <si>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</si>
  <si>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</si>
  <si>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</si>
  <si>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</si>
  <si>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</si>
  <si>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</si>
  <si>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</si>
  <si>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</si>
  <si>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</si>
  <si>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</si>
  <si>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</si>
  <si>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</si>
  <si>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</si>
  <si>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</si>
  <si>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</si>
  <si>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</si>
  <si>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</si>
  <si>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</si>
  <si>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</si>
  <si>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</si>
  <si>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</si>
  <si>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</si>
  <si>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</si>
  <si>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</si>
  <si>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</si>
  <si>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</si>
  <si>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</si>
  <si>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</si>
  <si>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</si>
  <si>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</si>
  <si>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</si>
  <si>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</si>
  <si>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</si>
  <si>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</si>
  <si>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</si>
  <si>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</si>
  <si>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</si>
  <si>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</si>
  <si>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</si>
  <si>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</si>
  <si>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</si>
  <si>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</si>
  <si>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</si>
  <si>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</si>
  <si>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</si>
  <si>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</si>
  <si>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</si>
  <si>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</si>
  <si>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</si>
  <si>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</si>
  <si>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</si>
  <si>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</si>
  <si>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</si>
  <si>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</si>
  <si>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</si>
  <si>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</si>
  <si>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</si>
  <si>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</si>
  <si>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</si>
  <si>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</si>
  <si>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</si>
  <si>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</si>
  <si>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</si>
  <si>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</si>
  <si>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</si>
  <si>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</si>
  <si>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</si>
  <si>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</si>
  <si>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</si>
  <si>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</si>
  <si>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</si>
  <si>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</si>
  <si>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</si>
  <si>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</si>
  <si>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</si>
  <si>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</si>
  <si>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</si>
  <si>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</si>
  <si>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</si>
  <si>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</si>
  <si>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</si>
  <si>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</si>
  <si>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</si>
  <si>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</si>
  <si>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</si>
  <si>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</si>
  <si>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</si>
  <si>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</si>
  <si>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</si>
  <si>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</si>
  <si>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</si>
  <si>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</si>
  <si>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</si>
  <si>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</si>
  <si>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</si>
  <si>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</si>
  <si>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</si>
  <si>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</si>
  <si>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</si>
  <si>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</si>
  <si>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</si>
  <si>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</si>
  <si>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</si>
  <si>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</si>
  <si>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</si>
  <si>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</si>
  <si>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</si>
  <si>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</si>
  <si>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</si>
  <si>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</si>
  <si>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</si>
  <si>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</si>
  <si>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</si>
  <si>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</si>
  <si>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</si>
  <si>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</si>
  <si>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</si>
  <si>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</si>
  <si>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</si>
  <si>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</si>
  <si>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</si>
  <si>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</si>
  <si>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</si>
  <si>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</si>
  <si>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</si>
  <si>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</si>
  <si>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</si>
  <si>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</si>
  <si>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</si>
  <si>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</si>
  <si>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</si>
  <si>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</si>
  <si>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</si>
  <si>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</si>
  <si>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</si>
  <si>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</si>
  <si>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</si>
  <si>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</si>
  <si>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</si>
  <si>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</si>
  <si>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</si>
  <si>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</si>
  <si>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</si>
  <si>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</si>
  <si>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</si>
  <si>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</si>
  <si>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</si>
  <si>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</si>
  <si>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</si>
  <si>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</si>
  <si>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</si>
  <si>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</si>
  <si>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</si>
  <si>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</si>
  <si>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</si>
  <si>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</si>
  <si>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</si>
  <si>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</si>
  <si>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</si>
  <si>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</si>
  <si>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</si>
  <si>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</si>
  <si>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</si>
  <si>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</si>
  <si>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</si>
  <si>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</si>
  <si>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</si>
  <si>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</si>
  <si>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</si>
  <si>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</si>
  <si>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</si>
  <si>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</si>
  <si>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</si>
  <si>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</si>
  <si>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</si>
  <si>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</si>
  <si>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</si>
  <si>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</si>
  <si>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</si>
  <si>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</si>
  <si>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</si>
  <si>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</si>
  <si>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</si>
  <si>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</si>
  <si>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</si>
  <si>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</si>
  <si>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</si>
  <si>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</si>
  <si>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</si>
  <si>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</si>
  <si>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</si>
  <si>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</si>
  <si>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</si>
  <si>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</si>
  <si>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</si>
  <si>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</si>
  <si>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</si>
  <si>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</si>
  <si>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</si>
  <si>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</si>
  <si>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</si>
  <si>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</si>
  <si>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</si>
  <si>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</si>
  <si>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</si>
  <si>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</si>
  <si>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</si>
  <si>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</si>
  <si>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</si>
  <si>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</si>
  <si>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</si>
  <si>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</si>
  <si>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</si>
  <si>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</si>
  <si>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</si>
  <si>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</si>
  <si>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</si>
  <si>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</si>
  <si>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</si>
  <si>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</si>
  <si>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</si>
  <si>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</si>
  <si>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</si>
  <si>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</si>
  <si>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</si>
  <si>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</si>
  <si>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</si>
  <si>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</si>
  <si>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</si>
  <si>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</si>
  <si>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</si>
  <si>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</si>
  <si>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</si>
  <si>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</si>
  <si>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</si>
  <si>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</si>
  <si>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</si>
  <si>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</si>
  <si>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</si>
  <si>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</si>
  <si>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</si>
  <si>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</si>
  <si>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</si>
  <si>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</si>
  <si>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</si>
  <si>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</si>
  <si>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</si>
  <si>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</si>
  <si>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</si>
  <si>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</si>
  <si>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</si>
  <si>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</si>
  <si>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</si>
  <si>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</si>
  <si>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</si>
  <si>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</si>
  <si>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</si>
  <si>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</si>
  <si>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 DIAS HABILES</t>
  </si>
  <si>
    <t>ENRIQUE GUTIERREZ</t>
  </si>
  <si>
    <t>+569 7865 8972</t>
  </si>
  <si>
    <t>CUB SIN RESPALDO FTE 90°</t>
  </si>
  <si>
    <t>BLANCO TX</t>
  </si>
  <si>
    <t>N° 11995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</si>
</sst>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215080</xdr:rowOff>
    </xdr:from>
    <xdr:to>
      <xdr:col>5</xdr:col>
      <xdr:colOff>1732649</xdr:colOff>
      <xdr:row>25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J10" sqref="J1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46071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61503.8626609442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291</v>
      </c>
      <c r="D21" s="432">
        <v>2.25</v>
      </c>
      <c r="E21" s="432">
        <v>0.43</v>
      </c>
      <c r="F21" s="313" t="s">
        <v>292</v>
      </c>
      <c r="G21" s="314">
        <f>Q21</f>
        <v>68785.919999999998</v>
      </c>
      <c r="H21" s="433">
        <f>G21*B21</f>
        <v>68785.919999999998</v>
      </c>
      <c r="I21" s="306"/>
      <c r="J21" s="264"/>
      <c r="K21" s="47"/>
      <c r="L21" s="47">
        <f>B21</f>
        <v>1</v>
      </c>
      <c r="M21" s="39">
        <f>D21+M$19</f>
        <v>2.33</v>
      </c>
      <c r="N21" s="39">
        <f>E21+$N$19</f>
        <v>0.48</v>
      </c>
      <c r="O21" s="260">
        <f t="shared" ref="O21" si="0">M21*N21</f>
        <v>1.1184000000000001</v>
      </c>
      <c r="P21" s="258">
        <f t="shared" ref="P21" si="1">O21*L21</f>
        <v>1.1184000000000001</v>
      </c>
      <c r="Q21" s="251">
        <f t="shared" ref="Q21" si="2">Q$20*O21</f>
        <v>68785.919999999998</v>
      </c>
      <c r="R21" s="305">
        <f t="shared" ref="R21" si="3">Q21+R$20</f>
        <v>71785.919999999998</v>
      </c>
      <c r="S21" s="290">
        <f>M21*L21</f>
        <v>2.33</v>
      </c>
      <c r="T21" s="46">
        <f>N21*2*L21*2</f>
        <v>1.92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68785.919999999998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1.92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13069.3248</v>
      </c>
      <c r="I25" s="308"/>
      <c r="J25" s="264"/>
      <c r="K25" s="47"/>
      <c r="L25" s="47"/>
      <c r="M25" s="39">
        <f>SUM(M21:M24)</f>
        <v>2.33</v>
      </c>
      <c r="N25" s="12"/>
      <c r="O25" s="12"/>
      <c r="P25" s="252">
        <f>SUM(P21:P22)</f>
        <v>1.1184000000000001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81855.2448</v>
      </c>
      <c r="I26" s="308"/>
      <c r="J26" s="264"/>
      <c r="K26" s="47"/>
      <c r="L26" s="47"/>
      <c r="M26" s="39"/>
      <c r="N26" s="12"/>
      <c r="O26" s="12"/>
      <c r="P26" s="252">
        <f>P25</f>
        <v>1.1184000000000001</v>
      </c>
      <c r="Q26" s="14"/>
      <c r="R26" s="12"/>
      <c r="S26" s="239">
        <f>SUM(S21:S25)</f>
        <v>2.33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0.22368000000000002</v>
      </c>
      <c r="Q27" s="39" t="s">
        <v>129</v>
      </c>
      <c r="R27" s="42"/>
      <c r="S27" s="240">
        <f>S26+T24</f>
        <v>4.25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1.3420800000000002</v>
      </c>
      <c r="Q28" s="14"/>
      <c r="R28" s="14"/>
      <c r="S28" s="238">
        <f>S27*20%</f>
        <v>0.85000000000000009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5.0999999999999996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1.3420800000000002</v>
      </c>
      <c r="N30" s="12">
        <v>2500</v>
      </c>
      <c r="O30" s="12">
        <f t="shared" ref="O30:O35" si="4">M30*N30</f>
        <v>3355.2000000000003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0.4</v>
      </c>
      <c r="N31" s="12">
        <v>23500</v>
      </c>
      <c r="O31" s="12">
        <f t="shared" si="4"/>
        <v>9400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41800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4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32755.200000000001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68785.919999999998</v>
      </c>
      <c r="P37" s="14" t="s">
        <v>138</v>
      </c>
      <c r="Q37" s="14"/>
      <c r="R37" s="40">
        <f>P28/R36</f>
        <v>0.36186367558239868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61503.8626609442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46071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247.73496654589448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68785.919999999998</v>
      </c>
      <c r="E11" s="132">
        <f>D11*0.19</f>
        <v>13069.3248</v>
      </c>
      <c r="F11" s="131">
        <f>E11+D11</f>
        <v>81855.2448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106237.73496654589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42589.290787439619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88237.73496654589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26196.62921256038</v>
      </c>
      <c r="E13" s="221">
        <f>(D11/D12)-1</f>
        <v>0.6150989774238329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79237.73496654589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40237.734966545897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70272.329799275365</v>
      </c>
      <c r="F15" s="216">
        <f>E15-D12</f>
        <v>27683.039011835746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40237.734966545897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80237.73496654589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3355.2000000000003</v>
      </c>
      <c r="E20" s="121">
        <f>D20*0.19</f>
        <v>637.48800000000006</v>
      </c>
      <c r="F20" s="120">
        <f>SUM(D20:E20)</f>
        <v>3992.6880000000001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12755.2</v>
      </c>
      <c r="E21" s="116">
        <f>SUM(E18:E20)</f>
        <v>2423.4880000000003</v>
      </c>
      <c r="F21" s="115">
        <f>SUM(F18:F20)</f>
        <v>15178.688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10645.836800000001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68785.919999999998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12755.2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26196.62921256038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26196.62921256038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46071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2250</v>
      </c>
      <c r="E22" s="321">
        <f>'2229'!E21*1000</f>
        <v>430</v>
      </c>
      <c r="F22" s="322" t="str">
        <f>'2229'!F21</f>
        <v>BLANCO TX</v>
      </c>
      <c r="G22" s="314">
        <f>'2229'!G21</f>
        <v>68785.919999999998</v>
      </c>
      <c r="H22" s="323">
        <f>G22*B22</f>
        <v>68785.919999999998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68785.919999999998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13069.3248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81855.2448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400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400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430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560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430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430</v>
      </c>
      <c r="F27" s="383" t="str">
        <f t="shared" si="3"/>
        <v>BLANCO TX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430</v>
      </c>
      <c r="F49" s="430" t="str">
        <f>'NOTA DE VENTA'!F22</f>
        <v>BLANCO TX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11995</v>
      </c>
      <c r="C2" s="1">
        <f>'NOTA DE VENTA'!$G$10</f>
        <v>46071</v>
      </c>
      <c r="D2" s="1">
        <f>'NOTA DE VENTA'!$G$11</f>
        <v>46078</v>
      </c>
      <c r="E2" t="str">
        <f>'NOTA DE VENTA'!$C$10</f>
        <v>ENRIQUE GUTIERREZ</v>
      </c>
      <c r="F2" t="str">
        <f>'NOTA DE VENTA'!$C$22</f>
        <v>CUB C/R R8</v>
      </c>
      <c r="G2" t="str">
        <f>'NOTA DE VENTA'!$F$22</f>
        <v>BLANCO TX</v>
      </c>
      <c r="H2" s="415">
        <f>'NOTA DE VENTA'!$H$25</f>
        <v>68785.919999999998</v>
      </c>
      <c r="I2" s="415">
        <f>H2*0.19</f>
        <v>13069.3248</v>
      </c>
      <c r="J2" s="415">
        <f>I2+H2</f>
        <v>81855.2448</v>
      </c>
      <c r="L2" s="61">
        <f>J2-K2</f>
        <v>81855.2448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2026-02-18T18:01:32Z</cp:lastPrinted>
  <dcterms:created xsi:type="dcterms:W3CDTF">2013-03-18T13:35:42Z</dcterms:created>
  <dcterms:modified xsi:type="dcterms:W3CDTF">2026-02-18T18:36:40Z</dcterms:modified>
</cp:coreProperties>
</file>