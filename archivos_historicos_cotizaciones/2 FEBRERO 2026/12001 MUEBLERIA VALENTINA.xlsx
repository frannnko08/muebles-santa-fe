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6EC445F0-F6CE-49D4-9349-F22250EFF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N35" i="1"/>
  <c r="O35" i="1" s="1"/>
  <c r="P35" i="1" s="1"/>
  <c r="N34" i="1"/>
  <c r="O34" i="1" s="1"/>
  <c r="P34" i="1" s="1"/>
  <c r="N33" i="1"/>
  <c r="O33" i="1" s="1"/>
  <c r="P33" i="1" s="1"/>
  <c r="N32" i="1"/>
  <c r="O32" i="1" s="1"/>
  <c r="P32" i="1" s="1"/>
  <c r="N31" i="1"/>
  <c r="O31" i="1" s="1"/>
  <c r="P31" i="1" s="1"/>
  <c r="N30" i="1"/>
  <c r="O30" i="1" s="1"/>
  <c r="P30" i="1" s="1"/>
  <c r="N29" i="1"/>
  <c r="O29" i="1" s="1"/>
  <c r="P29" i="1" s="1"/>
  <c r="M35" i="1"/>
  <c r="S35" i="1" s="1"/>
  <c r="M34" i="1"/>
  <c r="S34" i="1"/>
  <c r="M33" i="1"/>
  <c r="S33" i="1"/>
  <c r="M32" i="1"/>
  <c r="S32" i="1"/>
  <c r="M31" i="1"/>
  <c r="S31" i="1" s="1"/>
  <c r="M30" i="1"/>
  <c r="S30" i="1" s="1"/>
  <c r="M29" i="1"/>
  <c r="S29" i="1" s="1"/>
  <c r="L35" i="1"/>
  <c r="L34" i="1"/>
  <c r="L33" i="1"/>
  <c r="L32" i="1"/>
  <c r="L31" i="1"/>
  <c r="L30" i="1"/>
  <c r="L29" i="1"/>
  <c r="M22" i="1"/>
  <c r="N22" i="1"/>
  <c r="M23" i="1"/>
  <c r="S23" i="1" s="1"/>
  <c r="N23" i="1"/>
  <c r="M24" i="1"/>
  <c r="N24" i="1"/>
  <c r="M25" i="1"/>
  <c r="S25" i="1" s="1"/>
  <c r="N25" i="1"/>
  <c r="M26" i="1"/>
  <c r="S26" i="1" s="1"/>
  <c r="N26" i="1"/>
  <c r="S27" i="1"/>
  <c r="M27" i="1"/>
  <c r="N27" i="1"/>
  <c r="M28" i="1"/>
  <c r="N28" i="1"/>
  <c r="D27" i="6"/>
  <c r="C27" i="6"/>
  <c r="C49" i="6"/>
  <c r="S22" i="1" l="1"/>
  <c r="O27" i="1"/>
  <c r="P27" i="1" s="1"/>
  <c r="O26" i="1"/>
  <c r="P26" i="1" s="1"/>
  <c r="O23" i="1"/>
  <c r="P23" i="1" s="1"/>
  <c r="O22" i="1"/>
  <c r="P22" i="1" s="1"/>
  <c r="O28" i="1"/>
  <c r="P28" i="1" s="1"/>
  <c r="O25" i="1"/>
  <c r="P25" i="1" s="1"/>
  <c r="O24" i="1"/>
  <c r="P24" i="1" s="1"/>
  <c r="S28" i="1"/>
  <c r="S24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39" i="1" s="1"/>
  <c r="S21" i="1" l="1"/>
  <c r="S40" i="1" s="1"/>
  <c r="T21" i="1"/>
  <c r="T38" i="1" s="1"/>
  <c r="O21" i="1"/>
  <c r="P21" i="1" s="1"/>
  <c r="P39" i="1" s="1"/>
  <c r="K53" i="1"/>
  <c r="S41" i="1" l="1"/>
  <c r="S42" i="1" s="1"/>
  <c r="S43" i="1" s="1"/>
  <c r="V46" i="1"/>
  <c r="V47" i="1" s="1"/>
  <c r="P40" i="1" l="1"/>
  <c r="N20" i="1"/>
  <c r="L20" i="1"/>
  <c r="P41" i="1" l="1"/>
  <c r="P42" i="1" s="1"/>
  <c r="M44" i="1" s="1"/>
  <c r="O46" i="1"/>
  <c r="R50" i="1"/>
  <c r="R51" i="1" l="1"/>
  <c r="O45" i="1" s="1"/>
  <c r="O4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9" i="1"/>
  <c r="O48" i="1"/>
  <c r="F18" i="3" l="1"/>
  <c r="O44" i="1" l="1"/>
  <c r="O50" i="1" s="1"/>
  <c r="O51" i="1" s="1"/>
  <c r="D20" i="3" l="1"/>
  <c r="E20" i="3" s="1"/>
  <c r="E21" i="3" s="1"/>
  <c r="O52" i="1" l="1"/>
  <c r="Q20" i="1" s="1"/>
  <c r="Q35" i="1" s="1"/>
  <c r="R35" i="1" s="1"/>
  <c r="D21" i="3"/>
  <c r="M43" i="3" s="1"/>
  <c r="D12" i="3" s="1"/>
  <c r="F20" i="3"/>
  <c r="F21" i="3" s="1"/>
  <c r="Q33" i="1" l="1"/>
  <c r="R33" i="1" s="1"/>
  <c r="Q34" i="1"/>
  <c r="R34" i="1" s="1"/>
  <c r="Q31" i="1"/>
  <c r="R31" i="1" s="1"/>
  <c r="Q32" i="1"/>
  <c r="R32" i="1" s="1"/>
  <c r="Q29" i="1"/>
  <c r="R29" i="1" s="1"/>
  <c r="Q30" i="1"/>
  <c r="R30" i="1" s="1"/>
  <c r="Q28" i="1"/>
  <c r="R28" i="1" s="1"/>
  <c r="H28" i="1" s="1"/>
  <c r="Q22" i="1"/>
  <c r="R22" i="1" s="1"/>
  <c r="H22" i="1" s="1"/>
  <c r="Q23" i="1"/>
  <c r="R23" i="1" s="1"/>
  <c r="H23" i="1" s="1"/>
  <c r="Q24" i="1"/>
  <c r="R24" i="1" s="1"/>
  <c r="H24" i="1" s="1"/>
  <c r="Q25" i="1"/>
  <c r="R25" i="1" s="1"/>
  <c r="H25" i="1" s="1"/>
  <c r="Q26" i="1"/>
  <c r="R26" i="1" s="1"/>
  <c r="H26" i="1" s="1"/>
  <c r="Q27" i="1"/>
  <c r="R27" i="1" s="1"/>
  <c r="H27" i="1" s="1"/>
  <c r="O53" i="1"/>
  <c r="E15" i="3"/>
  <c r="Q21" i="1" l="1"/>
  <c r="F15" i="3"/>
  <c r="R21" i="1" l="1"/>
  <c r="H21" i="1" l="1"/>
  <c r="H38" i="1" s="1"/>
  <c r="H39" i="1" l="1"/>
  <c r="H4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<sst xmlns="http://schemas.openxmlformats.org/spreadsheetml/2006/main" count="516" uniqueCount="296">
  <si>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</si>
  <si>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</si>
  <si>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</si>
  <si>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</si>
  <si>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</si>
  <si>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</si>
  <si>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</si>
  <si>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</si>
  <si>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</si>
  <si>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</si>
  <si>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</si>
  <si>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</si>
  <si>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</si>
  <si>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</si>
  <si>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</si>
  <si>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</si>
  <si>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</si>
  <si>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</si>
  <si>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</si>
  <si>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</si>
  <si>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</si>
  <si>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</si>
  <si>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</si>
  <si>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</si>
  <si>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</si>
  <si>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</si>
  <si>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</si>
  <si>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</si>
  <si>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</si>
  <si>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</si>
  <si>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</si>
  <si>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</si>
  <si>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</si>
  <si>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</si>
  <si>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</si>
  <si>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</si>
  <si>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</si>
  <si>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</si>
  <si>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</si>
  <si>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</si>
  <si>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</si>
  <si>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</si>
  <si>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</si>
  <si>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</si>
  <si>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</si>
  <si>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</si>
  <si>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</si>
  <si>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</si>
  <si>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</si>
  <si>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</si>
  <si>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</si>
  <si>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</si>
  <si>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</si>
  <si>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</si>
  <si>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</si>
  <si>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</si>
  <si>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</si>
  <si>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</si>
  <si>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</si>
  <si>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</si>
  <si>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</si>
  <si>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</si>
  <si>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</si>
  <si>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</si>
  <si>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</si>
  <si>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</si>
  <si>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</si>
  <si>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</si>
  <si>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</si>
  <si>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</si>
  <si>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</si>
  <si>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</si>
  <si>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</si>
  <si>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</si>
  <si>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</si>
  <si>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</si>
  <si>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</si>
  <si>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</si>
  <si>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</si>
  <si>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</si>
  <si>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</si>
  <si>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</si>
  <si>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</si>
  <si>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</si>
  <si>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</si>
  <si>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</si>
  <si>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</si>
  <si>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</si>
  <si>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</si>
  <si>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</si>
  <si>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</si>
  <si>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</si>
  <si>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</si>
  <si>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</si>
  <si>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</si>
  <si>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</si>
  <si>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</si>
  <si>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</si>
  <si>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</si>
  <si>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</si>
  <si>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</si>
  <si>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</si>
  <si>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</si>
  <si>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</si>
  <si>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</si>
  <si>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</si>
  <si>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</si>
  <si>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</si>
  <si>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</si>
  <si>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</si>
  <si>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</si>
  <si>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</si>
  <si>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</si>
  <si>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</si>
  <si>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</si>
  <si>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</si>
  <si>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</si>
  <si>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</si>
  <si>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</si>
  <si>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</si>
  <si>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</si>
  <si>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</si>
  <si>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</si>
  <si>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</si>
  <si>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</si>
  <si>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</si>
  <si>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</si>
  <si>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</si>
  <si>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</si>
  <si>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</si>
  <si>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</si>
  <si>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</si>
  <si>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</si>
  <si>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</si>
  <si>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</si>
  <si>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</si>
  <si>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</si>
  <si>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</si>
  <si>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</si>
  <si>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</si>
  <si>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</si>
  <si>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</si>
  <si>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</si>
  <si>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</si>
  <si>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</si>
  <si>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</si>
  <si>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</si>
  <si>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</si>
  <si>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</si>
  <si>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</si>
  <si>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</si>
  <si>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</si>
  <si>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</si>
  <si>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</si>
  <si>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</si>
  <si>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</si>
  <si>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</si>
  <si>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</si>
  <si>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</si>
  <si>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</si>
  <si>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</si>
  <si>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</si>
  <si>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</si>
  <si>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</si>
  <si>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</si>
  <si>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</si>
  <si>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</si>
  <si>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</si>
  <si>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</si>
  <si>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</si>
  <si>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</si>
  <si>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</si>
  <si>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</si>
  <si>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</si>
  <si>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</si>
  <si>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</si>
  <si>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</si>
  <si>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</si>
  <si>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</si>
  <si>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</si>
  <si>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</si>
  <si>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</si>
  <si>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</si>
  <si>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</si>
  <si>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</si>
  <si>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</si>
  <si>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</si>
  <si>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</si>
  <si>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</si>
  <si>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</si>
  <si>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</si>
  <si>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</si>
  <si>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</si>
  <si>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</si>
  <si>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</si>
  <si>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</si>
  <si>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</si>
  <si>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</si>
  <si>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</si>
  <si>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</si>
  <si>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</si>
  <si>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</si>
  <si>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</si>
  <si>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</si>
  <si>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</si>
  <si>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</si>
  <si>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</si>
  <si>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</si>
  <si>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</si>
  <si>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</si>
  <si>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</si>
  <si>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</si>
  <si>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</si>
  <si>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</si>
  <si>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</si>
  <si>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</si>
  <si>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</si>
  <si>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</si>
  <si>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</si>
  <si>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</si>
  <si>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</si>
  <si>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</si>
  <si>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</si>
  <si>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</si>
  <si>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</si>
  <si>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</si>
  <si>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</si>
  <si>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</si>
  <si>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</si>
  <si>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</si>
  <si>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</si>
  <si>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</si>
  <si>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</si>
  <si>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</si>
  <si>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</si>
  <si>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</si>
  <si>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</si>
  <si>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</si>
  <si>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</si>
  <si>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</si>
  <si>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</si>
  <si>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</si>
  <si>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</si>
  <si>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</si>
  <si>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</si>
  <si>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</si>
  <si>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</si>
  <si>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</si>
  <si>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</si>
  <si>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</si>
  <si>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</si>
  <si>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</si>
  <si>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</si>
  <si>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</si>
  <si>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</si>
  <si>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</si>
  <si>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</si>
  <si>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</si>
  <si>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</si>
  <si>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</si>
  <si>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</si>
  <si>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</si>
  <si>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</si>
  <si>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</si>
  <si>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</si>
  <si>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</si>
  <si>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</si>
  <si>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</si>
  <si>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</si>
  <si>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</si>
  <si>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</si>
  <si>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</si>
  <si>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</si>
  <si>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</si>
  <si>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</si>
  <si>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</si>
  <si>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</si>
  <si>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</si>
  <si>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</si>
  <si>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</si>
  <si>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</si>
  <si>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</si>
  <si>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</si>
  <si>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</si>
  <si>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</si>
  <si>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</si>
  <si>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</si>
  <si>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MUEBLERIA VALENTINA</t>
  </si>
  <si>
    <t>N° 12001</t>
  </si>
  <si>
    <t>7 DIAS HABILES</t>
  </si>
  <si>
    <t>SI</t>
  </si>
  <si>
    <t>SAMI</t>
  </si>
  <si>
    <t>+569 7220 1095</t>
  </si>
  <si>
    <t>CELTIC STAD OAK 14012 SF</t>
  </si>
  <si>
    <t>GLACIAL WHITE 22191 SF</t>
  </si>
  <si>
    <t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</si>
</sst>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41</xdr:row>
      <xdr:rowOff>8194</xdr:rowOff>
    </xdr:from>
    <xdr:to>
      <xdr:col>8</xdr:col>
      <xdr:colOff>8193</xdr:colOff>
      <xdr:row>44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43</xdr:row>
      <xdr:rowOff>154305</xdr:rowOff>
    </xdr:from>
    <xdr:to>
      <xdr:col>7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41</xdr:row>
      <xdr:rowOff>9525</xdr:rowOff>
    </xdr:from>
    <xdr:to>
      <xdr:col>5</xdr:col>
      <xdr:colOff>1745226</xdr:colOff>
      <xdr:row>44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215080</xdr:rowOff>
    </xdr:from>
    <xdr:to>
      <xdr:col>5</xdr:col>
      <xdr:colOff>1732649</xdr:colOff>
      <xdr:row>39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457794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5"/>
  <sheetViews>
    <sheetView tabSelected="1" topLeftCell="A8" zoomScale="93" zoomScaleNormal="93" workbookViewId="0">
      <selection activeCell="C18" sqref="C18"/>
    </sheetView>
  </sheetViews>
  <sheetFormatPr baseColWidth="10" defaultRowHeight="14.4" x14ac:dyDescent="0.3"/>
  <cols>
    <col min="1" max="1" width="6" customWidth="1"/>
    <col min="2" max="2" width="10.5546875" customWidth="1"/>
    <col min="3" max="3" width="24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287</v>
      </c>
      <c r="D10" s="243"/>
      <c r="E10" s="243"/>
      <c r="F10" s="417" t="s">
        <v>277</v>
      </c>
      <c r="G10" s="275">
        <v>46073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291</v>
      </c>
      <c r="F13" s="29" t="s">
        <v>134</v>
      </c>
      <c r="G13" s="422" t="s">
        <v>290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292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295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O52</f>
        <v>56317.514124293783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4">
        <v>2</v>
      </c>
      <c r="C21" s="455" t="s">
        <v>260</v>
      </c>
      <c r="D21" s="456">
        <v>0.5</v>
      </c>
      <c r="E21" s="456">
        <v>0.48699999999999999</v>
      </c>
      <c r="F21" s="454" t="s">
        <v>293</v>
      </c>
      <c r="G21" s="457">
        <v>23405</v>
      </c>
      <c r="H21" s="457">
        <f>G21*B21</f>
        <v>46810</v>
      </c>
      <c r="I21" s="306"/>
      <c r="J21" s="264"/>
      <c r="K21" s="47"/>
      <c r="L21" s="47"/>
      <c r="M21" s="39">
        <f>D21+M$19</f>
        <v>0.55000000000000004</v>
      </c>
      <c r="N21" s="39">
        <f>E21+$N$19</f>
        <v>0.48699999999999999</v>
      </c>
      <c r="O21" s="260">
        <f t="shared" ref="O21" si="0">M21*N21</f>
        <v>0.26785000000000003</v>
      </c>
      <c r="P21" s="258">
        <f t="shared" ref="P21" si="1">O21*L21</f>
        <v>0</v>
      </c>
      <c r="Q21" s="251">
        <f t="shared" ref="Q21" si="2">Q$20*O21</f>
        <v>15084.646158192092</v>
      </c>
      <c r="R21" s="305">
        <f t="shared" ref="R21" si="3">Q21+R$20</f>
        <v>18084.646158192092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54">
        <v>1</v>
      </c>
      <c r="C22" s="455" t="s">
        <v>260</v>
      </c>
      <c r="D22" s="456">
        <v>0.72</v>
      </c>
      <c r="E22" s="456">
        <v>0.42699999999999999</v>
      </c>
      <c r="F22" s="454" t="s">
        <v>293</v>
      </c>
      <c r="G22" s="457">
        <v>28048</v>
      </c>
      <c r="H22" s="457">
        <f t="shared" ref="H22:H35" si="4">G22*B22</f>
        <v>28048</v>
      </c>
      <c r="I22" s="306"/>
      <c r="J22" s="264"/>
      <c r="K22" s="47"/>
      <c r="L22" s="47"/>
      <c r="M22" s="39">
        <f t="shared" ref="M22:M35" si="5">D22+M$19</f>
        <v>0.77</v>
      </c>
      <c r="N22" s="39">
        <f t="shared" ref="N22:N35" si="6">E22+$N$19</f>
        <v>0.42699999999999999</v>
      </c>
      <c r="O22" s="260">
        <f t="shared" ref="O22:O35" si="7">M22*N22</f>
        <v>0.32879000000000003</v>
      </c>
      <c r="P22" s="258">
        <f t="shared" ref="P22:P35" si="8">O22*L22</f>
        <v>0</v>
      </c>
      <c r="Q22" s="251">
        <f t="shared" ref="Q22:Q35" si="9">Q$20*O22</f>
        <v>18516.635468926554</v>
      </c>
      <c r="R22" s="305">
        <f t="shared" ref="R22:R35" si="10">Q22+R$20</f>
        <v>21516.635468926554</v>
      </c>
      <c r="S22" s="290">
        <f t="shared" ref="S22:S35" si="11">M22*L22</f>
        <v>0</v>
      </c>
      <c r="T22" s="46"/>
      <c r="U22" s="9"/>
      <c r="X22" s="4"/>
    </row>
    <row r="23" spans="2:25" ht="17.399999999999999" x14ac:dyDescent="0.3">
      <c r="B23" s="454">
        <v>1</v>
      </c>
      <c r="C23" s="455" t="s">
        <v>260</v>
      </c>
      <c r="D23" s="456">
        <v>0.76</v>
      </c>
      <c r="E23" s="456">
        <v>0.71499999999999997</v>
      </c>
      <c r="F23" s="454" t="s">
        <v>293</v>
      </c>
      <c r="G23" s="457">
        <v>47121</v>
      </c>
      <c r="H23" s="457">
        <f t="shared" si="4"/>
        <v>47121</v>
      </c>
      <c r="I23" s="306"/>
      <c r="J23" s="264"/>
      <c r="K23" s="47"/>
      <c r="L23" s="47"/>
      <c r="M23" s="39">
        <f t="shared" si="5"/>
        <v>0.81</v>
      </c>
      <c r="N23" s="39">
        <f t="shared" si="6"/>
        <v>0.71499999999999997</v>
      </c>
      <c r="O23" s="260">
        <f t="shared" si="7"/>
        <v>0.57915000000000005</v>
      </c>
      <c r="P23" s="258">
        <f t="shared" si="8"/>
        <v>0</v>
      </c>
      <c r="Q23" s="251">
        <f t="shared" si="9"/>
        <v>32616.288305084749</v>
      </c>
      <c r="R23" s="305">
        <f t="shared" si="10"/>
        <v>35616.288305084745</v>
      </c>
      <c r="S23" s="290">
        <f t="shared" si="11"/>
        <v>0</v>
      </c>
      <c r="T23" s="46"/>
      <c r="U23" s="9"/>
      <c r="X23" s="4"/>
    </row>
    <row r="24" spans="2:25" ht="17.399999999999999" x14ac:dyDescent="0.3">
      <c r="B24" s="454">
        <v>1</v>
      </c>
      <c r="C24" s="455" t="s">
        <v>260</v>
      </c>
      <c r="D24" s="456">
        <v>0.76</v>
      </c>
      <c r="E24" s="456">
        <v>0.44500000000000001</v>
      </c>
      <c r="F24" s="454" t="s">
        <v>293</v>
      </c>
      <c r="G24" s="457">
        <v>30460</v>
      </c>
      <c r="H24" s="457">
        <f t="shared" si="4"/>
        <v>30460</v>
      </c>
      <c r="I24" s="306"/>
      <c r="J24" s="264"/>
      <c r="K24" s="47"/>
      <c r="L24" s="47"/>
      <c r="M24" s="39">
        <f t="shared" si="5"/>
        <v>0.81</v>
      </c>
      <c r="N24" s="39">
        <f t="shared" si="6"/>
        <v>0.44500000000000001</v>
      </c>
      <c r="O24" s="260">
        <f t="shared" si="7"/>
        <v>0.36045000000000005</v>
      </c>
      <c r="P24" s="258">
        <f t="shared" si="8"/>
        <v>0</v>
      </c>
      <c r="Q24" s="251">
        <f t="shared" si="9"/>
        <v>20299.647966101697</v>
      </c>
      <c r="R24" s="305">
        <f t="shared" si="10"/>
        <v>23299.647966101697</v>
      </c>
      <c r="S24" s="290">
        <f t="shared" si="11"/>
        <v>0</v>
      </c>
      <c r="T24" s="46"/>
      <c r="U24" s="9"/>
      <c r="X24" s="4"/>
    </row>
    <row r="25" spans="2:25" ht="17.399999999999999" x14ac:dyDescent="0.3">
      <c r="B25" s="454">
        <v>3</v>
      </c>
      <c r="C25" s="455" t="s">
        <v>260</v>
      </c>
      <c r="D25" s="456">
        <v>0.76</v>
      </c>
      <c r="E25" s="456">
        <v>0.47699999999999998</v>
      </c>
      <c r="F25" s="454" t="s">
        <v>293</v>
      </c>
      <c r="G25" s="457">
        <v>32434</v>
      </c>
      <c r="H25" s="457">
        <f t="shared" si="4"/>
        <v>97302</v>
      </c>
      <c r="I25" s="306"/>
      <c r="J25" s="264"/>
      <c r="K25" s="47"/>
      <c r="L25" s="47"/>
      <c r="M25" s="39">
        <f t="shared" si="5"/>
        <v>0.81</v>
      </c>
      <c r="N25" s="39">
        <f t="shared" si="6"/>
        <v>0.47699999999999998</v>
      </c>
      <c r="O25" s="260">
        <f t="shared" si="7"/>
        <v>0.38636999999999999</v>
      </c>
      <c r="P25" s="258">
        <f t="shared" si="8"/>
        <v>0</v>
      </c>
      <c r="Q25" s="251">
        <f t="shared" si="9"/>
        <v>21759.397932203388</v>
      </c>
      <c r="R25" s="305">
        <f t="shared" si="10"/>
        <v>24759.397932203388</v>
      </c>
      <c r="S25" s="290">
        <f t="shared" si="11"/>
        <v>0</v>
      </c>
      <c r="T25" s="46"/>
      <c r="U25" s="9"/>
      <c r="X25" s="4"/>
    </row>
    <row r="26" spans="2:25" ht="17.399999999999999" x14ac:dyDescent="0.3">
      <c r="B26" s="454">
        <v>2</v>
      </c>
      <c r="C26" s="455" t="s">
        <v>260</v>
      </c>
      <c r="D26" s="456">
        <v>0.76</v>
      </c>
      <c r="E26" s="456">
        <v>0.47199999999999998</v>
      </c>
      <c r="F26" s="454" t="s">
        <v>293</v>
      </c>
      <c r="G26" s="457">
        <v>32126</v>
      </c>
      <c r="H26" s="457">
        <f t="shared" si="4"/>
        <v>64252</v>
      </c>
      <c r="I26" s="306"/>
      <c r="J26" s="264"/>
      <c r="K26" s="47"/>
      <c r="L26" s="47"/>
      <c r="M26" s="39">
        <f t="shared" si="5"/>
        <v>0.81</v>
      </c>
      <c r="N26" s="39">
        <f t="shared" si="6"/>
        <v>0.47199999999999998</v>
      </c>
      <c r="O26" s="260">
        <f t="shared" si="7"/>
        <v>0.38231999999999999</v>
      </c>
      <c r="P26" s="258">
        <f t="shared" si="8"/>
        <v>0</v>
      </c>
      <c r="Q26" s="251">
        <f t="shared" si="9"/>
        <v>21531.311999999998</v>
      </c>
      <c r="R26" s="305">
        <f t="shared" si="10"/>
        <v>24531.311999999998</v>
      </c>
      <c r="S26" s="290">
        <f t="shared" si="11"/>
        <v>0</v>
      </c>
      <c r="T26" s="46"/>
      <c r="U26" s="9"/>
      <c r="X26" s="4"/>
    </row>
    <row r="27" spans="2:25" ht="17.399999999999999" x14ac:dyDescent="0.3">
      <c r="B27" s="454">
        <v>2</v>
      </c>
      <c r="C27" s="455" t="s">
        <v>260</v>
      </c>
      <c r="D27" s="456">
        <v>0.76</v>
      </c>
      <c r="E27" s="456">
        <v>0.44600000000000001</v>
      </c>
      <c r="F27" s="454" t="s">
        <v>293</v>
      </c>
      <c r="G27" s="457">
        <v>30522</v>
      </c>
      <c r="H27" s="457">
        <f t="shared" si="4"/>
        <v>61044</v>
      </c>
      <c r="I27" s="306"/>
      <c r="J27" s="264"/>
      <c r="K27" s="47"/>
      <c r="L27" s="47"/>
      <c r="M27" s="39">
        <f t="shared" si="5"/>
        <v>0.81</v>
      </c>
      <c r="N27" s="39">
        <f t="shared" si="6"/>
        <v>0.44600000000000001</v>
      </c>
      <c r="O27" s="260">
        <f t="shared" si="7"/>
        <v>0.36126000000000003</v>
      </c>
      <c r="P27" s="258">
        <f t="shared" si="8"/>
        <v>0</v>
      </c>
      <c r="Q27" s="251">
        <f t="shared" si="9"/>
        <v>20345.265152542372</v>
      </c>
      <c r="R27" s="305">
        <f t="shared" si="10"/>
        <v>23345.265152542372</v>
      </c>
      <c r="S27" s="290">
        <f t="shared" si="11"/>
        <v>0</v>
      </c>
      <c r="T27" s="46"/>
      <c r="U27" s="9"/>
      <c r="X27" s="4"/>
    </row>
    <row r="28" spans="2:25" ht="17.399999999999999" x14ac:dyDescent="0.3">
      <c r="B28" s="454">
        <v>1</v>
      </c>
      <c r="C28" s="455" t="s">
        <v>260</v>
      </c>
      <c r="D28" s="456">
        <v>0.76</v>
      </c>
      <c r="E28" s="456">
        <v>0.59499999999999997</v>
      </c>
      <c r="F28" s="454" t="s">
        <v>293</v>
      </c>
      <c r="G28" s="457">
        <v>39716</v>
      </c>
      <c r="H28" s="457">
        <f t="shared" si="4"/>
        <v>39716</v>
      </c>
      <c r="I28" s="306"/>
      <c r="J28" s="264"/>
      <c r="K28" s="47"/>
      <c r="L28" s="47"/>
      <c r="M28" s="39">
        <f t="shared" si="5"/>
        <v>0.81</v>
      </c>
      <c r="N28" s="39">
        <f t="shared" si="6"/>
        <v>0.59499999999999997</v>
      </c>
      <c r="O28" s="260">
        <f t="shared" si="7"/>
        <v>0.48194999999999999</v>
      </c>
      <c r="P28" s="258">
        <f t="shared" si="8"/>
        <v>0</v>
      </c>
      <c r="Q28" s="251">
        <f t="shared" si="9"/>
        <v>27142.22593220339</v>
      </c>
      <c r="R28" s="305">
        <f t="shared" si="10"/>
        <v>30142.22593220339</v>
      </c>
      <c r="S28" s="290">
        <f t="shared" si="11"/>
        <v>0</v>
      </c>
      <c r="T28" s="46"/>
      <c r="U28" s="9"/>
      <c r="X28" s="4"/>
    </row>
    <row r="29" spans="2:25" ht="17.399999999999999" x14ac:dyDescent="0.3">
      <c r="B29" s="454">
        <v>2</v>
      </c>
      <c r="C29" s="455" t="s">
        <v>260</v>
      </c>
      <c r="D29" s="456">
        <v>1.1200000000000001</v>
      </c>
      <c r="E29" s="456">
        <v>0.31900000000000001</v>
      </c>
      <c r="F29" s="454" t="s">
        <v>294</v>
      </c>
      <c r="G29" s="457">
        <v>24019</v>
      </c>
      <c r="H29" s="457">
        <f t="shared" si="4"/>
        <v>48038</v>
      </c>
      <c r="I29" s="306"/>
      <c r="J29" s="264"/>
      <c r="K29" s="47"/>
      <c r="L29" s="47">
        <f t="shared" ref="L22:L35" si="12">B29</f>
        <v>2</v>
      </c>
      <c r="M29" s="39">
        <f t="shared" si="5"/>
        <v>1.1700000000000002</v>
      </c>
      <c r="N29" s="39">
        <f t="shared" si="6"/>
        <v>0.31900000000000001</v>
      </c>
      <c r="O29" s="260">
        <f t="shared" si="7"/>
        <v>0.37323000000000006</v>
      </c>
      <c r="P29" s="258">
        <f t="shared" si="8"/>
        <v>0.74646000000000012</v>
      </c>
      <c r="Q29" s="251">
        <f t="shared" si="9"/>
        <v>21019.385796610171</v>
      </c>
      <c r="R29" s="305">
        <f t="shared" si="10"/>
        <v>24019.385796610171</v>
      </c>
      <c r="S29" s="290">
        <f t="shared" si="11"/>
        <v>2.3400000000000003</v>
      </c>
      <c r="T29" s="46"/>
      <c r="U29" s="9"/>
      <c r="X29" s="4"/>
    </row>
    <row r="30" spans="2:25" ht="17.399999999999999" x14ac:dyDescent="0.3">
      <c r="B30" s="454">
        <v>2</v>
      </c>
      <c r="C30" s="455" t="s">
        <v>260</v>
      </c>
      <c r="D30" s="456">
        <v>0.63</v>
      </c>
      <c r="E30" s="456">
        <v>0.32100000000000001</v>
      </c>
      <c r="F30" s="454" t="s">
        <v>294</v>
      </c>
      <c r="G30" s="457">
        <v>15293</v>
      </c>
      <c r="H30" s="457">
        <f t="shared" si="4"/>
        <v>30586</v>
      </c>
      <c r="I30" s="306"/>
      <c r="J30" s="264"/>
      <c r="K30" s="47"/>
      <c r="L30" s="47">
        <f t="shared" si="12"/>
        <v>2</v>
      </c>
      <c r="M30" s="39">
        <f t="shared" si="5"/>
        <v>0.68</v>
      </c>
      <c r="N30" s="39">
        <f t="shared" si="6"/>
        <v>0.32100000000000001</v>
      </c>
      <c r="O30" s="260">
        <f t="shared" si="7"/>
        <v>0.21828000000000003</v>
      </c>
      <c r="P30" s="258">
        <f t="shared" si="8"/>
        <v>0.43656000000000006</v>
      </c>
      <c r="Q30" s="251">
        <f t="shared" si="9"/>
        <v>12292.986983050849</v>
      </c>
      <c r="R30" s="305">
        <f t="shared" si="10"/>
        <v>15292.986983050849</v>
      </c>
      <c r="S30" s="290">
        <f t="shared" si="11"/>
        <v>1.36</v>
      </c>
      <c r="T30" s="46"/>
      <c r="U30" s="9"/>
      <c r="X30" s="4"/>
    </row>
    <row r="31" spans="2:25" ht="17.399999999999999" x14ac:dyDescent="0.3">
      <c r="B31" s="454">
        <v>1</v>
      </c>
      <c r="C31" s="455" t="s">
        <v>260</v>
      </c>
      <c r="D31" s="456">
        <v>0.6</v>
      </c>
      <c r="E31" s="456">
        <v>0.64</v>
      </c>
      <c r="F31" s="454" t="s">
        <v>294</v>
      </c>
      <c r="G31" s="457">
        <v>26428</v>
      </c>
      <c r="H31" s="457">
        <f t="shared" si="4"/>
        <v>26428</v>
      </c>
      <c r="I31" s="306"/>
      <c r="J31" s="264"/>
      <c r="K31" s="47"/>
      <c r="L31" s="47">
        <f t="shared" si="12"/>
        <v>1</v>
      </c>
      <c r="M31" s="39">
        <f t="shared" si="5"/>
        <v>0.65</v>
      </c>
      <c r="N31" s="39">
        <f t="shared" si="6"/>
        <v>0.64</v>
      </c>
      <c r="O31" s="260">
        <f t="shared" si="7"/>
        <v>0.41600000000000004</v>
      </c>
      <c r="P31" s="258">
        <f t="shared" si="8"/>
        <v>0.41600000000000004</v>
      </c>
      <c r="Q31" s="251">
        <f t="shared" si="9"/>
        <v>23428.085875706216</v>
      </c>
      <c r="R31" s="305">
        <f t="shared" si="10"/>
        <v>26428.085875706216</v>
      </c>
      <c r="S31" s="290">
        <f t="shared" si="11"/>
        <v>0.65</v>
      </c>
      <c r="T31" s="46"/>
      <c r="U31" s="9"/>
      <c r="X31" s="4"/>
    </row>
    <row r="32" spans="2:25" ht="17.399999999999999" x14ac:dyDescent="0.3">
      <c r="B32" s="454">
        <v>2</v>
      </c>
      <c r="C32" s="455" t="s">
        <v>260</v>
      </c>
      <c r="D32" s="456">
        <v>0.84</v>
      </c>
      <c r="E32" s="456">
        <v>0.44700000000000001</v>
      </c>
      <c r="F32" s="454" t="s">
        <v>294</v>
      </c>
      <c r="G32" s="457">
        <v>25405</v>
      </c>
      <c r="H32" s="457">
        <f t="shared" si="4"/>
        <v>50810</v>
      </c>
      <c r="I32" s="306"/>
      <c r="J32" s="264"/>
      <c r="K32" s="47"/>
      <c r="L32" s="47">
        <f t="shared" si="12"/>
        <v>2</v>
      </c>
      <c r="M32" s="39">
        <f t="shared" si="5"/>
        <v>0.89</v>
      </c>
      <c r="N32" s="39">
        <f t="shared" si="6"/>
        <v>0.44700000000000001</v>
      </c>
      <c r="O32" s="260">
        <f t="shared" si="7"/>
        <v>0.39783000000000002</v>
      </c>
      <c r="P32" s="258">
        <f t="shared" si="8"/>
        <v>0.79566000000000003</v>
      </c>
      <c r="Q32" s="251">
        <f t="shared" si="9"/>
        <v>22404.796644067796</v>
      </c>
      <c r="R32" s="305">
        <f t="shared" si="10"/>
        <v>25404.796644067796</v>
      </c>
      <c r="S32" s="290">
        <f t="shared" si="11"/>
        <v>1.78</v>
      </c>
      <c r="T32" s="46"/>
      <c r="U32" s="9"/>
      <c r="X32" s="4"/>
    </row>
    <row r="33" spans="1:24" ht="17.399999999999999" x14ac:dyDescent="0.3">
      <c r="B33" s="454">
        <v>1</v>
      </c>
      <c r="C33" s="455" t="s">
        <v>260</v>
      </c>
      <c r="D33" s="456">
        <v>0.84</v>
      </c>
      <c r="E33" s="456">
        <v>0.62</v>
      </c>
      <c r="F33" s="454" t="s">
        <v>294</v>
      </c>
      <c r="G33" s="457">
        <v>34076</v>
      </c>
      <c r="H33" s="457">
        <f t="shared" si="4"/>
        <v>34076</v>
      </c>
      <c r="I33" s="306"/>
      <c r="J33" s="264"/>
      <c r="K33" s="47"/>
      <c r="L33" s="47">
        <f t="shared" si="12"/>
        <v>1</v>
      </c>
      <c r="M33" s="39">
        <f t="shared" si="5"/>
        <v>0.89</v>
      </c>
      <c r="N33" s="39">
        <f t="shared" si="6"/>
        <v>0.62</v>
      </c>
      <c r="O33" s="260">
        <f t="shared" si="7"/>
        <v>0.55179999999999996</v>
      </c>
      <c r="P33" s="258">
        <f t="shared" si="8"/>
        <v>0.55179999999999996</v>
      </c>
      <c r="Q33" s="251">
        <f t="shared" si="9"/>
        <v>31076.004293785307</v>
      </c>
      <c r="R33" s="305">
        <f t="shared" si="10"/>
        <v>34076.004293785307</v>
      </c>
      <c r="S33" s="290">
        <f t="shared" si="11"/>
        <v>0.89</v>
      </c>
      <c r="T33" s="46"/>
      <c r="U33" s="9"/>
      <c r="X33" s="4"/>
    </row>
    <row r="34" spans="1:24" ht="17.399999999999999" x14ac:dyDescent="0.3">
      <c r="B34" s="454">
        <v>4</v>
      </c>
      <c r="C34" s="455" t="s">
        <v>260</v>
      </c>
      <c r="D34" s="456">
        <v>0.84</v>
      </c>
      <c r="E34" s="456">
        <v>0.44700000000000001</v>
      </c>
      <c r="F34" s="454" t="s">
        <v>294</v>
      </c>
      <c r="G34" s="457">
        <v>25405</v>
      </c>
      <c r="H34" s="457">
        <f t="shared" si="4"/>
        <v>101620</v>
      </c>
      <c r="I34" s="306"/>
      <c r="J34" s="264"/>
      <c r="K34" s="47"/>
      <c r="L34" s="47">
        <f t="shared" si="12"/>
        <v>4</v>
      </c>
      <c r="M34" s="39">
        <f t="shared" si="5"/>
        <v>0.89</v>
      </c>
      <c r="N34" s="39">
        <f t="shared" si="6"/>
        <v>0.44700000000000001</v>
      </c>
      <c r="O34" s="260">
        <f t="shared" si="7"/>
        <v>0.39783000000000002</v>
      </c>
      <c r="P34" s="258">
        <f t="shared" si="8"/>
        <v>1.5913200000000001</v>
      </c>
      <c r="Q34" s="251">
        <f t="shared" si="9"/>
        <v>22404.796644067796</v>
      </c>
      <c r="R34" s="305">
        <f t="shared" si="10"/>
        <v>25404.796644067796</v>
      </c>
      <c r="S34" s="290">
        <f t="shared" si="11"/>
        <v>3.56</v>
      </c>
      <c r="T34" s="46"/>
      <c r="U34" s="9"/>
      <c r="X34" s="4"/>
    </row>
    <row r="35" spans="1:24" ht="17.399999999999999" x14ac:dyDescent="0.3">
      <c r="B35" s="454">
        <v>1</v>
      </c>
      <c r="C35" s="455" t="s">
        <v>260</v>
      </c>
      <c r="D35" s="456">
        <v>0.88</v>
      </c>
      <c r="E35" s="456">
        <v>0.64</v>
      </c>
      <c r="F35" s="454" t="s">
        <v>294</v>
      </c>
      <c r="G35" s="457">
        <v>36520</v>
      </c>
      <c r="H35" s="457">
        <f t="shared" si="4"/>
        <v>36520</v>
      </c>
      <c r="I35" s="306"/>
      <c r="J35" s="264"/>
      <c r="K35" s="47"/>
      <c r="L35" s="47">
        <f t="shared" si="12"/>
        <v>1</v>
      </c>
      <c r="M35" s="39">
        <f t="shared" si="5"/>
        <v>0.93</v>
      </c>
      <c r="N35" s="39">
        <f t="shared" si="6"/>
        <v>0.64</v>
      </c>
      <c r="O35" s="260">
        <f t="shared" si="7"/>
        <v>0.59520000000000006</v>
      </c>
      <c r="P35" s="258">
        <f t="shared" si="8"/>
        <v>0.59520000000000006</v>
      </c>
      <c r="Q35" s="251">
        <f t="shared" si="9"/>
        <v>33520.184406779663</v>
      </c>
      <c r="R35" s="305">
        <f t="shared" si="10"/>
        <v>36520.184406779663</v>
      </c>
      <c r="S35" s="290">
        <f t="shared" si="11"/>
        <v>0.93</v>
      </c>
      <c r="T35" s="46"/>
      <c r="U35" s="9"/>
      <c r="X35" s="4"/>
    </row>
    <row r="36" spans="1:24" ht="17.399999999999999" x14ac:dyDescent="0.3">
      <c r="B36" s="283"/>
      <c r="C36" s="325"/>
      <c r="D36" s="284"/>
      <c r="E36" s="284"/>
      <c r="F36" s="283"/>
      <c r="G36" s="264"/>
      <c r="H36" s="307"/>
      <c r="I36" s="309"/>
      <c r="J36" s="233"/>
      <c r="K36" s="47"/>
      <c r="L36" s="47"/>
      <c r="M36" s="39"/>
      <c r="N36" s="39"/>
      <c r="O36" s="260"/>
      <c r="P36" s="258"/>
      <c r="Q36" s="251"/>
      <c r="R36" s="257"/>
      <c r="S36" s="290"/>
      <c r="T36" s="14"/>
      <c r="U36" s="9"/>
      <c r="X36" s="4"/>
    </row>
    <row r="37" spans="1:24" ht="18" thickBot="1" x14ac:dyDescent="0.35">
      <c r="B37" s="283"/>
      <c r="C37" s="325"/>
      <c r="D37" s="284"/>
      <c r="E37" s="284"/>
      <c r="F37" s="283"/>
      <c r="G37" s="264"/>
      <c r="H37" s="307"/>
      <c r="I37" s="309"/>
      <c r="J37" s="233"/>
      <c r="K37" s="47"/>
      <c r="L37" s="47"/>
      <c r="M37" s="39"/>
      <c r="N37" s="39"/>
      <c r="O37" s="260"/>
      <c r="P37" s="258"/>
      <c r="Q37" s="251"/>
      <c r="R37" s="257"/>
      <c r="S37" s="290"/>
      <c r="T37" s="14"/>
      <c r="U37" s="9"/>
      <c r="X37" s="4"/>
    </row>
    <row r="38" spans="1:24" ht="17.399999999999999" x14ac:dyDescent="0.3">
      <c r="B38" s="283"/>
      <c r="C38" s="283"/>
      <c r="D38" s="284"/>
      <c r="E38" s="284"/>
      <c r="F38" s="283"/>
      <c r="G38" s="310" t="s">
        <v>28</v>
      </c>
      <c r="H38" s="311">
        <f>SUM(H21:H36)</f>
        <v>742831</v>
      </c>
      <c r="I38" s="308"/>
      <c r="J38" s="264"/>
      <c r="K38" s="47"/>
      <c r="L38" s="47"/>
      <c r="M38" s="39"/>
      <c r="N38" s="39"/>
      <c r="O38" s="260"/>
      <c r="P38" s="258"/>
      <c r="Q38" s="251"/>
      <c r="R38" s="257"/>
      <c r="S38" s="290"/>
      <c r="T38" s="46">
        <f>SUM(T21:T36)</f>
        <v>0</v>
      </c>
      <c r="U38" s="9"/>
      <c r="X38" s="4"/>
    </row>
    <row r="39" spans="1:24" ht="17.399999999999999" x14ac:dyDescent="0.3">
      <c r="B39" s="277"/>
      <c r="C39" s="280"/>
      <c r="D39" s="281"/>
      <c r="E39" s="281"/>
      <c r="F39" s="282"/>
      <c r="G39" s="289" t="s">
        <v>51</v>
      </c>
      <c r="H39" s="287">
        <f>H38*19%</f>
        <v>141137.89000000001</v>
      </c>
      <c r="I39" s="308"/>
      <c r="J39" s="264"/>
      <c r="K39" s="47"/>
      <c r="L39" s="47"/>
      <c r="M39" s="39">
        <f>SUM(M21:M38)</f>
        <v>12.280000000000003</v>
      </c>
      <c r="N39" s="12"/>
      <c r="O39" s="12"/>
      <c r="P39" s="252">
        <f>SUM(P21:P36)</f>
        <v>5.1330000000000009</v>
      </c>
      <c r="Q39" s="14"/>
      <c r="R39" s="12"/>
      <c r="S39" s="239"/>
      <c r="T39" s="46"/>
      <c r="U39" s="9"/>
      <c r="X39" s="4"/>
    </row>
    <row r="40" spans="1:24" ht="18" thickBot="1" x14ac:dyDescent="0.35">
      <c r="B40" s="274"/>
      <c r="C40" s="279"/>
      <c r="D40" s="271"/>
      <c r="E40" s="271"/>
      <c r="F40" s="272"/>
      <c r="G40" s="278" t="s">
        <v>6</v>
      </c>
      <c r="H40" s="288">
        <f>H38+H39</f>
        <v>883968.89</v>
      </c>
      <c r="I40" s="308"/>
      <c r="J40" s="264"/>
      <c r="K40" s="47"/>
      <c r="L40" s="47"/>
      <c r="M40" s="39"/>
      <c r="N40" s="12"/>
      <c r="O40" s="12"/>
      <c r="P40" s="252">
        <f>P39</f>
        <v>5.1330000000000009</v>
      </c>
      <c r="Q40" s="14"/>
      <c r="R40" s="12"/>
      <c r="S40" s="239">
        <f>SUM(S21:S39)</f>
        <v>11.51</v>
      </c>
      <c r="T40" s="46"/>
      <c r="U40" s="9"/>
      <c r="X40" s="4"/>
    </row>
    <row r="41" spans="1:24" ht="17.399999999999999" x14ac:dyDescent="0.3">
      <c r="B41" s="274"/>
      <c r="C41" s="270"/>
      <c r="D41" s="271"/>
      <c r="E41" s="271"/>
      <c r="F41" s="272"/>
      <c r="J41" s="264"/>
      <c r="K41" s="47"/>
      <c r="L41" s="47"/>
      <c r="M41" s="14"/>
      <c r="N41" s="12"/>
      <c r="O41" s="12"/>
      <c r="P41" s="39">
        <f>P40*20%</f>
        <v>1.0266000000000002</v>
      </c>
      <c r="Q41" s="39" t="s">
        <v>129</v>
      </c>
      <c r="R41" s="42"/>
      <c r="S41" s="240">
        <f>S40+T38</f>
        <v>11.51</v>
      </c>
      <c r="T41" s="14"/>
      <c r="U41" s="9"/>
      <c r="X41" s="4"/>
    </row>
    <row r="42" spans="1:24" ht="17.399999999999999" x14ac:dyDescent="0.35">
      <c r="B42" s="268"/>
      <c r="C42" s="230"/>
      <c r="D42" s="230"/>
      <c r="E42" s="233"/>
      <c r="F42" s="234"/>
      <c r="G42" s="230"/>
      <c r="H42" s="273"/>
      <c r="I42" s="273"/>
      <c r="J42" s="264"/>
      <c r="K42" s="47"/>
      <c r="L42" s="47"/>
      <c r="M42" s="14"/>
      <c r="N42" s="12"/>
      <c r="O42" s="12"/>
      <c r="P42" s="46">
        <f>P40+P41</f>
        <v>6.1596000000000011</v>
      </c>
      <c r="Q42" s="14"/>
      <c r="R42" s="14"/>
      <c r="S42" s="238">
        <f>S41*20%</f>
        <v>2.302</v>
      </c>
      <c r="T42" s="14"/>
      <c r="U42" s="9"/>
      <c r="X42" s="4"/>
    </row>
    <row r="43" spans="1:24" ht="17.399999999999999" x14ac:dyDescent="0.35">
      <c r="B43" s="235"/>
      <c r="C43" s="236"/>
      <c r="D43" s="237"/>
      <c r="E43" s="235"/>
      <c r="F43" s="230"/>
      <c r="G43" s="230"/>
      <c r="I43" s="273"/>
      <c r="J43" s="264"/>
      <c r="K43" s="47"/>
      <c r="L43" s="47"/>
      <c r="M43" s="14"/>
      <c r="N43" s="14"/>
      <c r="O43" s="14"/>
      <c r="P43" s="14"/>
      <c r="Q43" s="14"/>
      <c r="R43" s="14"/>
      <c r="S43" s="240">
        <f>S41+S42</f>
        <v>13.811999999999999</v>
      </c>
      <c r="T43" s="14"/>
      <c r="U43" s="294" t="s">
        <v>21</v>
      </c>
      <c r="V43" s="291" t="s">
        <v>149</v>
      </c>
      <c r="W43" s="295">
        <v>44971</v>
      </c>
      <c r="X43" s="296"/>
    </row>
    <row r="44" spans="1:24" ht="17.399999999999999" x14ac:dyDescent="0.35">
      <c r="B44" s="230"/>
      <c r="C44" s="230"/>
      <c r="D44" s="230"/>
      <c r="E44" s="230"/>
      <c r="F44" s="230"/>
      <c r="G44" s="230"/>
      <c r="J44" s="264"/>
      <c r="K44" s="47"/>
      <c r="L44" s="47"/>
      <c r="M44" s="39">
        <f>P42</f>
        <v>6.1596000000000011</v>
      </c>
      <c r="N44" s="12">
        <v>2500</v>
      </c>
      <c r="O44" s="12">
        <f t="shared" ref="O44:O49" si="13">M44*N44</f>
        <v>15399.000000000002</v>
      </c>
      <c r="P44" s="14" t="s">
        <v>21</v>
      </c>
      <c r="Q44" s="14"/>
      <c r="R44" s="14"/>
      <c r="S44" s="241"/>
      <c r="T44" s="14"/>
      <c r="U44" s="294" t="s">
        <v>150</v>
      </c>
      <c r="V44" s="291">
        <v>3625</v>
      </c>
      <c r="W44" s="59" t="s">
        <v>151</v>
      </c>
      <c r="X44" s="296"/>
    </row>
    <row r="45" spans="1:24" ht="17.399999999999999" x14ac:dyDescent="0.35">
      <c r="A45" s="230"/>
      <c r="B45" s="230"/>
      <c r="C45" s="230"/>
      <c r="D45" s="230"/>
      <c r="E45" s="230"/>
      <c r="F45" s="230"/>
      <c r="G45" s="230"/>
      <c r="H45" s="230"/>
      <c r="J45" s="264"/>
      <c r="K45" s="47"/>
      <c r="L45" s="47"/>
      <c r="M45" s="248">
        <v>1.7</v>
      </c>
      <c r="N45" s="12">
        <v>40000</v>
      </c>
      <c r="O45" s="12">
        <f t="shared" si="13"/>
        <v>68000</v>
      </c>
      <c r="P45" s="39" t="s">
        <v>31</v>
      </c>
      <c r="Q45" s="42"/>
      <c r="R45" s="14"/>
      <c r="S45" s="240"/>
      <c r="T45" s="14"/>
      <c r="U45" s="294"/>
      <c r="V45" s="59">
        <v>906.25</v>
      </c>
      <c r="W45" s="59" t="s">
        <v>152</v>
      </c>
      <c r="X45" s="296"/>
    </row>
    <row r="46" spans="1:24" s="230" customFormat="1" ht="17.399999999999999" x14ac:dyDescent="0.35">
      <c r="B46" s="24" t="s">
        <v>148</v>
      </c>
      <c r="J46" s="261"/>
      <c r="K46" s="232"/>
      <c r="L46" s="249"/>
      <c r="M46" s="14"/>
      <c r="N46" s="249">
        <v>40000</v>
      </c>
      <c r="O46" s="12">
        <f t="shared" si="13"/>
        <v>0</v>
      </c>
      <c r="P46" s="39" t="s">
        <v>30</v>
      </c>
      <c r="Q46" s="42"/>
      <c r="S46" s="240"/>
      <c r="T46" s="255"/>
      <c r="U46" s="59"/>
      <c r="V46" s="59">
        <f>V45*20%</f>
        <v>181.25</v>
      </c>
      <c r="W46" s="296" t="s">
        <v>153</v>
      </c>
      <c r="X46" s="59"/>
    </row>
    <row r="47" spans="1:24" s="230" customFormat="1" ht="17.399999999999999" x14ac:dyDescent="0.35">
      <c r="B47" s="24" t="s">
        <v>162</v>
      </c>
      <c r="C47"/>
      <c r="D47"/>
      <c r="E47"/>
      <c r="F47"/>
      <c r="J47" s="261"/>
      <c r="K47" s="232"/>
      <c r="L47" s="249"/>
      <c r="M47" s="14">
        <v>2</v>
      </c>
      <c r="N47" s="249">
        <v>24000</v>
      </c>
      <c r="O47" s="12">
        <f t="shared" si="13"/>
        <v>48000</v>
      </c>
      <c r="P47" s="14" t="s">
        <v>139</v>
      </c>
      <c r="Q47" s="17"/>
      <c r="S47" s="238"/>
      <c r="T47" s="255"/>
      <c r="U47" s="59"/>
      <c r="V47" s="59">
        <f>V45+V46</f>
        <v>1087.5</v>
      </c>
      <c r="W47" s="296" t="s">
        <v>154</v>
      </c>
      <c r="X47" s="59"/>
    </row>
    <row r="48" spans="1:24" s="230" customFormat="1" ht="17.399999999999999" x14ac:dyDescent="0.35">
      <c r="A48" s="230" t="s">
        <v>283</v>
      </c>
      <c r="B48" s="29" t="s">
        <v>124</v>
      </c>
      <c r="C48"/>
      <c r="D48"/>
      <c r="E48"/>
      <c r="F48" s="229" t="s">
        <v>15</v>
      </c>
      <c r="J48" s="261"/>
      <c r="K48" s="259"/>
      <c r="L48" s="249"/>
      <c r="M48" s="248"/>
      <c r="N48" s="249">
        <v>900</v>
      </c>
      <c r="O48" s="12">
        <f t="shared" si="13"/>
        <v>0</v>
      </c>
      <c r="P48" s="14" t="s">
        <v>32</v>
      </c>
      <c r="Q48" s="14"/>
      <c r="R48" s="230">
        <v>1.52</v>
      </c>
      <c r="S48" s="238"/>
      <c r="T48" s="238"/>
    </row>
    <row r="49" spans="2:24" s="230" customFormat="1" ht="17.399999999999999" x14ac:dyDescent="0.35">
      <c r="J49" s="286"/>
      <c r="K49" s="259"/>
      <c r="L49" s="249"/>
      <c r="M49" s="265"/>
      <c r="N49" s="12">
        <v>1500</v>
      </c>
      <c r="O49" s="12">
        <f t="shared" si="13"/>
        <v>0</v>
      </c>
      <c r="P49" s="14" t="s">
        <v>22</v>
      </c>
      <c r="Q49" s="14"/>
      <c r="R49">
        <v>2.44</v>
      </c>
      <c r="S49"/>
      <c r="T49" s="238"/>
      <c r="X49" s="231"/>
    </row>
    <row r="50" spans="2:24" s="230" customFormat="1" ht="17.399999999999999" x14ac:dyDescent="0.35">
      <c r="K50" s="259"/>
      <c r="L50" s="249"/>
      <c r="M50" s="14"/>
      <c r="N50" s="12"/>
      <c r="O50" s="12">
        <f>SUM(O44:O49)</f>
        <v>131399</v>
      </c>
      <c r="P50" s="39" t="s">
        <v>23</v>
      </c>
      <c r="Q50" s="14"/>
      <c r="R50">
        <f>R48*R49</f>
        <v>3.7088000000000001</v>
      </c>
      <c r="S50"/>
      <c r="T50" s="238"/>
      <c r="X50" s="231"/>
    </row>
    <row r="51" spans="2:24" s="230" customFormat="1" ht="17.399999999999999" x14ac:dyDescent="0.35">
      <c r="L51" s="249"/>
      <c r="M51" s="253" t="s">
        <v>33</v>
      </c>
      <c r="N51" s="12"/>
      <c r="O51" s="254">
        <f>O50*2.2</f>
        <v>289077.80000000005</v>
      </c>
      <c r="P51" s="14" t="s">
        <v>138</v>
      </c>
      <c r="Q51" s="14"/>
      <c r="R51" s="40">
        <f>P42/R50</f>
        <v>1.6608067299396034</v>
      </c>
      <c r="S51"/>
      <c r="T51" s="256"/>
    </row>
    <row r="52" spans="2:24" s="230" customFormat="1" ht="17.399999999999999" x14ac:dyDescent="0.35">
      <c r="G52"/>
      <c r="H52" s="259"/>
      <c r="I52" s="259"/>
      <c r="J52" s="259"/>
      <c r="K52" s="230">
        <v>42800</v>
      </c>
      <c r="L52" s="249"/>
      <c r="M52" s="14"/>
      <c r="N52" s="12"/>
      <c r="O52" s="12">
        <f>O51/P40</f>
        <v>56317.514124293783</v>
      </c>
      <c r="P52" s="45" t="s">
        <v>24</v>
      </c>
      <c r="Q52" s="14"/>
      <c r="R52" s="14"/>
      <c r="S52"/>
      <c r="T52" s="238"/>
      <c r="U52" s="59" t="s">
        <v>155</v>
      </c>
      <c r="V52" s="291">
        <v>43650</v>
      </c>
    </row>
    <row r="53" spans="2:24" s="230" customFormat="1" ht="17.399999999999999" x14ac:dyDescent="0.35">
      <c r="G53"/>
      <c r="K53" s="230">
        <f>K52/1.19</f>
        <v>35966.386554621851</v>
      </c>
      <c r="L53" s="249"/>
      <c r="M53" s="13"/>
      <c r="N53" s="14"/>
      <c r="O53" s="17">
        <f>O51/O50</f>
        <v>2.2000000000000002</v>
      </c>
      <c r="P53" s="15"/>
      <c r="Q53"/>
      <c r="R53"/>
      <c r="S53"/>
      <c r="T53" s="238"/>
      <c r="U53" s="59" t="s">
        <v>157</v>
      </c>
      <c r="V53" s="292" t="s">
        <v>156</v>
      </c>
      <c r="W53" s="59">
        <v>2.4</v>
      </c>
    </row>
    <row r="54" spans="2:24" s="230" customFormat="1" ht="17.399999999999999" x14ac:dyDescent="0.35">
      <c r="G54" s="23"/>
      <c r="L54" s="12"/>
      <c r="T54" s="238"/>
      <c r="U54" s="59" t="s">
        <v>158</v>
      </c>
      <c r="V54" s="293">
        <v>395.37</v>
      </c>
    </row>
    <row r="55" spans="2:24" s="230" customFormat="1" ht="17.399999999999999" x14ac:dyDescent="0.35">
      <c r="B55"/>
      <c r="C55" s="228"/>
      <c r="D55" s="22"/>
      <c r="E55" s="22"/>
      <c r="F55" s="21"/>
      <c r="G55" s="23"/>
      <c r="L55" s="12"/>
      <c r="T55" s="238"/>
      <c r="U55" s="59" t="s">
        <v>153</v>
      </c>
      <c r="V55" s="59">
        <v>474.45</v>
      </c>
    </row>
    <row r="56" spans="2:24" ht="14.4" customHeight="1" x14ac:dyDescent="0.3">
      <c r="L56" s="12"/>
      <c r="U56" s="59"/>
      <c r="V56" s="59"/>
    </row>
    <row r="57" spans="2:24" x14ac:dyDescent="0.3">
      <c r="L57" s="249"/>
    </row>
    <row r="58" spans="2:24" x14ac:dyDescent="0.3">
      <c r="L58" s="249"/>
      <c r="T58" s="269"/>
    </row>
    <row r="59" spans="2:24" x14ac:dyDescent="0.3">
      <c r="L59" s="249"/>
    </row>
    <row r="60" spans="2:24" ht="15" customHeight="1" x14ac:dyDescent="0.3"/>
    <row r="62" spans="2:24" x14ac:dyDescent="0.3">
      <c r="O62">
        <v>40935</v>
      </c>
      <c r="P62" t="s">
        <v>16</v>
      </c>
      <c r="Q62" t="s">
        <v>26</v>
      </c>
    </row>
    <row r="64" spans="2:24" x14ac:dyDescent="0.3">
      <c r="O64" s="54"/>
      <c r="P64" s="54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3" spans="15:20" x14ac:dyDescent="0.3">
      <c r="S73" s="18"/>
      <c r="T73" s="18"/>
    </row>
    <row r="76" spans="15:20" x14ac:dyDescent="0.3">
      <c r="O76" s="43"/>
    </row>
    <row r="77" spans="15:20" x14ac:dyDescent="0.3">
      <c r="O77" s="43"/>
    </row>
    <row r="78" spans="15:20" x14ac:dyDescent="0.3">
      <c r="O78" s="6"/>
    </row>
    <row r="79" spans="15:20" x14ac:dyDescent="0.3">
      <c r="O79" s="6"/>
    </row>
    <row r="87" spans="3:3" x14ac:dyDescent="0.3">
      <c r="C87" t="s">
        <v>145</v>
      </c>
    </row>
    <row r="88" spans="3:3" x14ac:dyDescent="0.3">
      <c r="C88" t="s">
        <v>144</v>
      </c>
    </row>
    <row r="91" spans="3:3" x14ac:dyDescent="0.3">
      <c r="C91" t="s">
        <v>144</v>
      </c>
    </row>
    <row r="168" spans="3:3" x14ac:dyDescent="0.3">
      <c r="C168" t="s">
        <v>144</v>
      </c>
    </row>
    <row r="169" spans="3:3" x14ac:dyDescent="0.3">
      <c r="C169" t="s">
        <v>146</v>
      </c>
    </row>
    <row r="170" spans="3:3" x14ac:dyDescent="0.3">
      <c r="C170" t="s">
        <v>147</v>
      </c>
    </row>
    <row r="595" spans="3:3" x14ac:dyDescent="0.3">
      <c r="C595" t="s">
        <v>144</v>
      </c>
    </row>
  </sheetData>
  <mergeCells count="1">
    <mergeCell ref="B19:H19"/>
  </mergeCells>
  <phoneticPr fontId="32" type="noConversion"/>
  <hyperlinks>
    <hyperlink ref="F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46073</v>
      </c>
    </row>
    <row r="6" spans="2:31" ht="16.2" thickBot="1" x14ac:dyDescent="0.35">
      <c r="B6" s="140" t="s">
        <v>2</v>
      </c>
      <c r="C6" s="139" t="str">
        <f>'2229'!C10</f>
        <v>MUEBLERIA VALENTINA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-92666.066700120762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'2229'!H38</f>
        <v>742831</v>
      </c>
      <c r="E11" s="132">
        <f>D11*0.19</f>
        <v>141137.89000000001</v>
      </c>
      <c r="F11" s="131">
        <f>E11+D11</f>
        <v>883968.89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13323.933299879238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113233.09078743961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-4676.0667001207621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629597.90921256039</v>
      </c>
      <c r="E13" s="221">
        <f>(D11/D12)-1</f>
        <v>5.5601936221491766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-13676.066700120762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-52676.066700120762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186834.59979927534</v>
      </c>
      <c r="F15" s="216">
        <f>E15-D12</f>
        <v>73601.509011835733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-52676.066700120762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-12676.066700120762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'2229'!O45</f>
        <v>68000</v>
      </c>
      <c r="E19" s="123">
        <f>D19*0.19</f>
        <v>12920</v>
      </c>
      <c r="F19" s="120">
        <f>SUM(D19:E19)</f>
        <v>80920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'2229'!O44</f>
        <v>15399.000000000002</v>
      </c>
      <c r="E20" s="121">
        <f>D20*0.19</f>
        <v>2925.8100000000004</v>
      </c>
      <c r="F20" s="120">
        <f>SUM(D20:E20)</f>
        <v>18324.810000000001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83399</v>
      </c>
      <c r="E21" s="116">
        <f>SUM(E18:E20)</f>
        <v>15845.810000000001</v>
      </c>
      <c r="F21" s="115">
        <f>SUM(F18:F20)</f>
        <v>99244.81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125292.08000000002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742831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83399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629597.90921256039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629597.90921256039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MUEBLERIA VALENTINA</v>
      </c>
      <c r="D10" s="350"/>
      <c r="E10" s="350"/>
      <c r="F10" s="351" t="s">
        <v>167</v>
      </c>
      <c r="G10" s="352">
        <f>'2229'!G10</f>
        <v>46073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SAMI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+569 7220 1095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RANCAGUA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">
        <v>35</v>
      </c>
      <c r="D22" s="321">
        <f>'2229'!D21*1000</f>
        <v>500</v>
      </c>
      <c r="E22" s="321">
        <f>'2229'!E21*1000</f>
        <v>487</v>
      </c>
      <c r="F22" s="322" t="str">
        <f>'2229'!F21</f>
        <v>CELTIC STAD OAK 14012 SF</v>
      </c>
      <c r="G22" s="314">
        <f>'2229'!G21</f>
        <v>23405</v>
      </c>
      <c r="H22" s="323">
        <f>G22*B22</f>
        <v>46810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46810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8893.9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55703.9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MUEBLERIA VALENTINA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457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457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487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617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487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487</v>
      </c>
      <c r="F27" s="383" t="str">
        <f t="shared" si="3"/>
        <v>CELTIC STAD OAK 14012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487</v>
      </c>
      <c r="F49" s="430" t="str">
        <f>'NOTA DE VENTA'!F22</f>
        <v>CELTIC STAD OAK 14012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12001</v>
      </c>
      <c r="C2" s="1">
        <f>'NOTA DE VENTA'!$G$10</f>
        <v>46073</v>
      </c>
      <c r="D2" s="1">
        <f>'NOTA DE VENTA'!$G$11</f>
        <v>46080</v>
      </c>
      <c r="E2" t="str">
        <f>'NOTA DE VENTA'!$C$10</f>
        <v>MUEBLERIA VALENTINA</v>
      </c>
      <c r="F2" t="str">
        <f>'NOTA DE VENTA'!$C$22</f>
        <v>CUB C/R R8</v>
      </c>
      <c r="G2" t="str">
        <f>'NOTA DE VENTA'!$F$22</f>
        <v>CELTIC STAD OAK 14012 SF</v>
      </c>
      <c r="H2" s="415">
        <f>'NOTA DE VENTA'!$H$25</f>
        <v>46810</v>
      </c>
      <c r="I2" s="415">
        <f>H2*0.19</f>
        <v>8893.9</v>
      </c>
      <c r="J2" s="415">
        <f>I2+H2</f>
        <v>55703.9</v>
      </c>
      <c r="L2" s="61">
        <f>J2-K2</f>
        <v>55703.9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2026-02-20T18:17:18Z</cp:lastPrinted>
  <dcterms:created xsi:type="dcterms:W3CDTF">2013-03-18T13:35:42Z</dcterms:created>
  <dcterms:modified xsi:type="dcterms:W3CDTF">2026-02-20T18:18:09Z</dcterms:modified>
</cp:coreProperties>
</file>