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7E9CE900-8B31-41FE-BF46-1891A890A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M24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<sst xmlns="http://schemas.openxmlformats.org/spreadsheetml/2006/main" count="486" uniqueCount="294">
  <si>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</si>
  <si>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</si>
  <si>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</si>
  <si>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</si>
  <si>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</si>
  <si>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</si>
  <si>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</si>
  <si>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</si>
  <si>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</si>
  <si>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</si>
  <si>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</si>
  <si>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</si>
  <si>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</si>
  <si>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</si>
  <si>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</si>
  <si>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</si>
  <si>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</si>
  <si>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</si>
  <si>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</si>
  <si>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</si>
  <si>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</si>
  <si>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</si>
  <si>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</si>
  <si>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</si>
  <si>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</si>
  <si>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</si>
  <si>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</si>
  <si>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</si>
  <si>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</si>
  <si>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</si>
  <si>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</si>
  <si>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</si>
  <si>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</si>
  <si>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</si>
  <si>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</si>
  <si>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</si>
  <si>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</si>
  <si>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</si>
  <si>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</si>
  <si>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</si>
  <si>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</si>
  <si>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</si>
  <si>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</si>
  <si>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</si>
  <si>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</si>
  <si>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</si>
  <si>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</si>
  <si>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</si>
  <si>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</si>
  <si>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</si>
  <si>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</si>
  <si>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</si>
  <si>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</si>
  <si>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</si>
  <si>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</si>
  <si>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</si>
  <si>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</si>
  <si>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</si>
  <si>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</si>
  <si>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</si>
  <si>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</si>
  <si>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</si>
  <si>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</si>
  <si>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</si>
  <si>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</si>
  <si>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</si>
  <si>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</si>
  <si>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</si>
  <si>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</si>
  <si>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</si>
  <si>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</si>
  <si>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</si>
  <si>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</si>
  <si>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</si>
  <si>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</si>
  <si>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</si>
  <si>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</si>
  <si>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</si>
  <si>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</si>
  <si>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</si>
  <si>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</si>
  <si>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</si>
  <si>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</si>
  <si>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</si>
  <si>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</si>
  <si>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</si>
  <si>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</si>
  <si>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</si>
  <si>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</si>
  <si>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</si>
  <si>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</si>
  <si>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</si>
  <si>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</si>
  <si>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</si>
  <si>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</si>
  <si>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</si>
  <si>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</si>
  <si>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</si>
  <si>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</si>
  <si>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</si>
  <si>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</si>
  <si>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</si>
  <si>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</si>
  <si>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</si>
  <si>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</si>
  <si>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</si>
  <si>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</si>
  <si>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</si>
  <si>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</si>
  <si>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</si>
  <si>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</si>
  <si>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</si>
  <si>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</si>
  <si>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</si>
  <si>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</si>
  <si>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</si>
  <si>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</si>
  <si>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</si>
  <si>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</si>
  <si>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</si>
  <si>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</si>
  <si>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</si>
  <si>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</si>
  <si>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</si>
  <si>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</si>
  <si>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</si>
  <si>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</si>
  <si>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</si>
  <si>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</si>
  <si>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</si>
  <si>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</si>
  <si>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</si>
  <si>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</si>
  <si>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</si>
  <si>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</si>
  <si>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</si>
  <si>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</si>
  <si>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</si>
  <si>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</si>
  <si>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</si>
  <si>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</si>
  <si>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</si>
  <si>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</si>
  <si>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</si>
  <si>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</si>
  <si>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</si>
  <si>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</si>
  <si>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</si>
  <si>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</si>
  <si>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</si>
  <si>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</si>
  <si>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</si>
  <si>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</si>
  <si>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</si>
  <si>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</si>
  <si>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</si>
  <si>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</si>
  <si>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</si>
  <si>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</si>
  <si>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</si>
  <si>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</si>
  <si>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</si>
  <si>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</si>
  <si>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</si>
  <si>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</si>
  <si>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</si>
  <si>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</si>
  <si>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</si>
  <si>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</si>
  <si>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</si>
  <si>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</si>
  <si>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</si>
  <si>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</si>
  <si>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</si>
  <si>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</si>
  <si>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</si>
  <si>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</si>
  <si>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</si>
  <si>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</si>
  <si>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</si>
  <si>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</si>
  <si>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</si>
  <si>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</si>
  <si>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</si>
  <si>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</si>
  <si>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</si>
  <si>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</si>
  <si>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</si>
  <si>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</si>
  <si>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</si>
  <si>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</si>
  <si>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</si>
  <si>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</si>
  <si>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</si>
  <si>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</si>
  <si>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</si>
  <si>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</si>
  <si>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</si>
  <si>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</si>
  <si>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</si>
  <si>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</si>
  <si>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</si>
  <si>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</si>
  <si>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</si>
  <si>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</si>
  <si>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</si>
  <si>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</si>
  <si>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</si>
  <si>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</si>
  <si>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</si>
  <si>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</si>
  <si>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</si>
  <si>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</si>
  <si>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</si>
  <si>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</si>
  <si>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</si>
  <si>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</si>
  <si>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</si>
  <si>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</si>
  <si>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</si>
  <si>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</si>
  <si>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</si>
  <si>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</si>
  <si>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</si>
  <si>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</si>
  <si>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</si>
  <si>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</si>
  <si>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</si>
  <si>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</si>
  <si>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</si>
  <si>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</si>
  <si>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</si>
  <si>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</si>
  <si>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</si>
  <si>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</si>
  <si>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</si>
  <si>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</si>
  <si>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</si>
  <si>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</si>
  <si>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</si>
  <si>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</si>
  <si>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</si>
  <si>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</si>
  <si>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</si>
  <si>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</si>
  <si>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</si>
  <si>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</si>
  <si>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</si>
  <si>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</si>
  <si>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</si>
  <si>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</si>
  <si>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</si>
  <si>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</si>
  <si>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</si>
  <si>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</si>
  <si>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</si>
  <si>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</si>
  <si>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</si>
  <si>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</si>
  <si>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</si>
  <si>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</si>
  <si>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</si>
  <si>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</si>
  <si>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</si>
  <si>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</si>
  <si>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</si>
  <si>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</si>
  <si>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</si>
  <si>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</si>
  <si>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</si>
  <si>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</si>
  <si>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</si>
  <si>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</si>
  <si>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</si>
  <si>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</si>
  <si>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</si>
  <si>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</si>
  <si>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</si>
  <si>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</si>
  <si>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</si>
  <si>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</si>
  <si>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</si>
  <si>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</si>
  <si>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</si>
  <si>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</si>
  <si>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</si>
  <si>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</si>
  <si>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</si>
  <si>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</si>
  <si>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11867</t>
  </si>
  <si>
    <t>HENRY RODRIGUEZ</t>
  </si>
  <si>
    <t>+569 9390 0919</t>
  </si>
  <si>
    <t>CUB C/R 90° R8</t>
  </si>
  <si>
    <t>NEW BLACK GRANITE 42009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</si>
</sst>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5" zoomScale="93" zoomScaleNormal="93" workbookViewId="0">
      <selection activeCell="J35" sqref="J3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61246.573426573421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0" t="s">
        <v>292</v>
      </c>
      <c r="D21" s="431">
        <v>2.52</v>
      </c>
      <c r="E21" s="431">
        <v>0.55000000000000004</v>
      </c>
      <c r="F21" s="430" t="s">
        <v>293</v>
      </c>
      <c r="G21" s="432">
        <v>85000</v>
      </c>
      <c r="H21" s="432">
        <f>G21*B21</f>
        <v>170000</v>
      </c>
      <c r="I21" s="306"/>
      <c r="J21" s="264"/>
      <c r="K21" s="47"/>
      <c r="L21" s="47">
        <f>B21</f>
        <v>2</v>
      </c>
      <c r="M21" s="39">
        <f>D21+M$19</f>
        <v>2.6</v>
      </c>
      <c r="N21" s="39">
        <f>E21+$N$19</f>
        <v>0.55000000000000004</v>
      </c>
      <c r="O21" s="260">
        <f t="shared" ref="O21" si="0">M21*N21</f>
        <v>1.4300000000000002</v>
      </c>
      <c r="P21" s="258">
        <f t="shared" ref="P21" si="1">O21*L21</f>
        <v>2.8600000000000003</v>
      </c>
      <c r="Q21" s="251">
        <f t="shared" ref="Q21" si="2">Q$20*O21</f>
        <v>87582.6</v>
      </c>
      <c r="R21" s="305">
        <f t="shared" ref="R21" si="3">Q21+R$20</f>
        <v>90582.6</v>
      </c>
      <c r="S21" s="290">
        <f>M21*L21</f>
        <v>5.2</v>
      </c>
      <c r="T21" s="46">
        <f>N21*2*L21*2</f>
        <v>4.4000000000000004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170000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4.4000000000000004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/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2.8600000000000003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170000</v>
      </c>
      <c r="I25" s="308"/>
      <c r="J25" s="264"/>
      <c r="K25" s="47"/>
      <c r="L25" s="47"/>
      <c r="M25" s="39"/>
      <c r="N25" s="12"/>
      <c r="O25" s="12"/>
      <c r="P25" s="252">
        <f>P24</f>
        <v>2.8600000000000003</v>
      </c>
      <c r="Q25" s="14"/>
      <c r="R25" s="12"/>
      <c r="S25" s="239">
        <f>SUM(S21:S24)</f>
        <v>5.2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0.57200000000000006</v>
      </c>
      <c r="Q26" s="39" t="s">
        <v>129</v>
      </c>
      <c r="R26" s="42"/>
      <c r="S26" s="240">
        <f>S25+T23</f>
        <v>9.6000000000000014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3.4320000000000004</v>
      </c>
      <c r="Q27" s="14"/>
      <c r="R27" s="14"/>
      <c r="S27" s="238">
        <f>S26*20%</f>
        <v>1.9200000000000004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11.520000000000001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3.4320000000000004</v>
      </c>
      <c r="N29" s="12">
        <v>3500</v>
      </c>
      <c r="O29" s="12">
        <f t="shared" ref="O29:O34" si="4">M29*N29</f>
        <v>12012.000000000002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</v>
      </c>
      <c r="N30" s="12">
        <v>23500</v>
      </c>
      <c r="O30" s="12">
        <f t="shared" si="4"/>
        <v>23500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2</v>
      </c>
      <c r="N32" s="249">
        <v>22000</v>
      </c>
      <c r="O32" s="12">
        <f t="shared" si="4"/>
        <v>44000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2.6</v>
      </c>
      <c r="N34" s="12">
        <v>1500</v>
      </c>
      <c r="O34" s="12">
        <f t="shared" si="4"/>
        <v>3900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83412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175165.2</v>
      </c>
      <c r="P36" s="14" t="s">
        <v>138</v>
      </c>
      <c r="Q36" s="14"/>
      <c r="R36" s="40">
        <f>P27/R35</f>
        <v>0.92536669542709238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61246.573426573421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HENRY RODRIGUEZ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-10363.158366787442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170000</v>
      </c>
      <c r="E11" s="132">
        <f>D11*0.19</f>
        <v>32300</v>
      </c>
      <c r="F11" s="131">
        <f>E11+D11</f>
        <v>202300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95626.841633212563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65346.090787439614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77626.841633212563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104653.90921256039</v>
      </c>
      <c r="E13" s="221">
        <f>(D11/D12)-1</f>
        <v>1.6015328224144705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68626.841633212563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29626.841633212556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107821.04979927535</v>
      </c>
      <c r="F15" s="216">
        <f>E15-D12</f>
        <v>42474.959011835737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29626.841633212556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69626.841633212563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12012.000000000002</v>
      </c>
      <c r="E20" s="121">
        <f>D20*0.19</f>
        <v>2282.2800000000002</v>
      </c>
      <c r="F20" s="120">
        <f>SUM(D20:E20)</f>
        <v>14294.280000000002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35512</v>
      </c>
      <c r="E21" s="116">
        <f>SUM(E18:E20)</f>
        <v>6747.2800000000007</v>
      </c>
      <c r="F21" s="115">
        <f>SUM(F18:F20)</f>
        <v>42259.28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25552.720000000001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35512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104653.90921256039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104653.90921256039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HENRY RODRIGUEZ</v>
      </c>
      <c r="D10" s="350"/>
      <c r="E10" s="350"/>
      <c r="F10" s="351" t="s">
        <v>167</v>
      </c>
      <c r="G10" s="352">
        <f>'2229'!G10</f>
        <v>46056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+569 9390 0919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CUB C/R 90° R8</v>
      </c>
      <c r="D22" s="321">
        <f>'2229'!D21*1000</f>
        <v>2520</v>
      </c>
      <c r="E22" s="321">
        <f>'2229'!E21*1000</f>
        <v>550</v>
      </c>
      <c r="F22" s="322" t="str">
        <f>'2229'!F21</f>
        <v>NEW BLACK GRANITE 42009 GL</v>
      </c>
      <c r="G22" s="314">
        <f>'2229'!G21</f>
        <v>85000</v>
      </c>
      <c r="H22" s="323">
        <f>G22*B22</f>
        <v>170000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170000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32300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202300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HENRY RODRIGUEZ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11867</v>
      </c>
      <c r="C2" s="1">
        <f>'NOTA DE VENTA'!$G$10</f>
        <v>46056</v>
      </c>
      <c r="D2" s="1">
        <f>'NOTA DE VENTA'!$G$11</f>
        <v>46063</v>
      </c>
      <c r="E2" t="str">
        <f>'NOTA DE VENTA'!$C$10</f>
        <v>HENRY RODRIGUEZ</v>
      </c>
      <c r="F2" t="str">
        <f>'NOTA DE VENTA'!$C$22</f>
        <v>CUB C/R 90° R8</v>
      </c>
      <c r="G2" t="str">
        <f>'NOTA DE VENTA'!$F$22</f>
        <v>NEW BLACK GRANITE 42009 GL</v>
      </c>
      <c r="H2" s="416">
        <f>'NOTA DE VENTA'!$H$25</f>
        <v>170000</v>
      </c>
      <c r="I2" s="416">
        <f>H2*0.19</f>
        <v>32300</v>
      </c>
      <c r="J2" s="416">
        <f>I2+H2</f>
        <v>202300</v>
      </c>
      <c r="L2" s="61">
        <f>J2-K2</f>
        <v>202300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2026-02-03T18:32:27Z</cp:lastPrinted>
  <dcterms:created xsi:type="dcterms:W3CDTF">2013-03-18T13:35:42Z</dcterms:created>
  <dcterms:modified xsi:type="dcterms:W3CDTF">2026-02-04T15:41:16Z</dcterms:modified>
</cp:coreProperties>
</file>