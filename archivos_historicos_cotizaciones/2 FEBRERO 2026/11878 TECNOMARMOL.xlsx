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2 FEBRERO 2026\"/>
    </mc:Choice>
  </mc:AlternateContent>
  <xr:revisionPtr revIDLastSave="0" documentId="13_ncr:1_{026D6D10-C5FE-495C-AB1B-D2DDFF580C3B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N22" i="1"/>
  <c r="O22" i="1" l="1"/>
  <c r="P22" i="1" s="1"/>
  <c r="S22" i="1"/>
  <c r="L21" i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T21" i="1" s="1"/>
  <c r="K5" i="6" l="1"/>
  <c r="D14" i="6"/>
  <c r="E14" i="6"/>
  <c r="E21" i="6"/>
  <c r="D21" i="6"/>
  <c r="L5" i="6"/>
  <c r="M5" i="6"/>
  <c r="D2" i="7"/>
  <c r="D8" i="6"/>
  <c r="M21" i="1"/>
  <c r="S21" i="1" s="1"/>
  <c r="M25" i="1" l="1"/>
  <c r="S26" i="1"/>
  <c r="T24" i="1"/>
  <c r="O21" i="1"/>
  <c r="P21" i="1" s="1"/>
  <c r="P25" i="1" s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Q22" i="1" s="1"/>
  <c r="D21" i="3"/>
  <c r="M43" i="3" s="1"/>
  <c r="D12" i="3" s="1"/>
  <c r="F20" i="3"/>
  <c r="F21" i="3" s="1"/>
  <c r="R22" i="1" l="1"/>
  <c r="G22" i="1" s="1"/>
  <c r="H22" i="1" s="1"/>
  <c r="O39" i="1"/>
  <c r="E15" i="3"/>
  <c r="Q21" i="1" l="1"/>
  <c r="F15" i="3"/>
  <c r="R21" i="1" l="1"/>
  <c r="G21" i="1" s="1"/>
  <c r="H21" i="1" l="1"/>
  <c r="H24" i="1" s="1"/>
  <c r="H25" i="1" l="1"/>
  <c r="H26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<sst xmlns="http://schemas.openxmlformats.org/spreadsheetml/2006/main" count="492" uniqueCount="297">
  <si>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</si>
  <si>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</si>
  <si>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</si>
  <si>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</si>
  <si>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</si>
  <si>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</si>
  <si>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</si>
  <si>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</si>
  <si>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</si>
  <si>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</si>
  <si>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</si>
  <si>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</si>
  <si>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</si>
  <si>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</si>
  <si>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</si>
  <si>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</si>
  <si>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</si>
  <si>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</si>
  <si>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</si>
  <si>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</si>
  <si>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</si>
  <si>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</si>
  <si>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</si>
  <si>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</si>
  <si>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</si>
  <si>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</si>
  <si>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</si>
  <si>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</si>
  <si>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</si>
  <si>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</si>
  <si>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</si>
  <si>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</si>
  <si>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</si>
  <si>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</si>
  <si>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</si>
  <si>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</si>
  <si>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</si>
  <si>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</si>
  <si>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</si>
  <si>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</si>
  <si>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</si>
  <si>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</si>
  <si>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</si>
  <si>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</si>
  <si>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</si>
  <si>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</si>
  <si>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</si>
  <si>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</si>
  <si>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</si>
  <si>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</si>
  <si>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</si>
  <si>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</si>
  <si>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</si>
  <si>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</si>
  <si>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</si>
  <si>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</si>
  <si>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</si>
  <si>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</si>
  <si>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</si>
  <si>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</si>
  <si>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</si>
  <si>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</si>
  <si>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</si>
  <si>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</si>
  <si>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</si>
  <si>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</si>
  <si>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</si>
  <si>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</si>
  <si>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</si>
  <si>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</si>
  <si>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</si>
  <si>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</si>
  <si>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</si>
  <si>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</si>
  <si>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</si>
  <si>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</si>
  <si>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</si>
  <si>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</si>
  <si>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</si>
  <si>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</si>
  <si>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</si>
  <si>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</si>
  <si>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</si>
  <si>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</si>
  <si>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</si>
  <si>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</si>
  <si>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</si>
  <si>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</si>
  <si>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</si>
  <si>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</si>
  <si>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</si>
  <si>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</si>
  <si>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</si>
  <si>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</si>
  <si>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</si>
  <si>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</si>
  <si>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</si>
  <si>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</si>
  <si>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</si>
  <si>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</si>
  <si>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</si>
  <si>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</si>
  <si>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</si>
  <si>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</si>
  <si>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</si>
  <si>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</si>
  <si>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</si>
  <si>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</si>
  <si>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</si>
  <si>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</si>
  <si>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</si>
  <si>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</si>
  <si>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</si>
  <si>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</si>
  <si>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</si>
  <si>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</si>
  <si>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</si>
  <si>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</si>
  <si>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</si>
  <si>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</si>
  <si>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</si>
  <si>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</si>
  <si>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</si>
  <si>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</si>
  <si>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</si>
  <si>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</si>
  <si>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</si>
  <si>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</si>
  <si>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</si>
  <si>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</si>
  <si>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</si>
  <si>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</si>
  <si>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</si>
  <si>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</si>
  <si>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</si>
  <si>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</si>
  <si>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</si>
  <si>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</si>
  <si>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</si>
  <si>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</si>
  <si>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</si>
  <si>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</si>
  <si>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</si>
  <si>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</si>
  <si>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</si>
  <si>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</si>
  <si>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</si>
  <si>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</si>
  <si>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</si>
  <si>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</si>
  <si>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</si>
  <si>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</si>
  <si>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</si>
  <si>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</si>
  <si>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</si>
  <si>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</si>
  <si>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</si>
  <si>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</si>
  <si>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</si>
  <si>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</si>
  <si>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</si>
  <si>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</si>
  <si>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</si>
  <si>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</si>
  <si>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</si>
  <si>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</si>
  <si>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</si>
  <si>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</si>
  <si>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</si>
  <si>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</si>
  <si>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</si>
  <si>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</si>
  <si>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</si>
  <si>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</si>
  <si>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</si>
  <si>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</si>
  <si>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</si>
  <si>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</si>
  <si>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</si>
  <si>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</si>
  <si>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</si>
  <si>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</si>
  <si>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</si>
  <si>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</si>
  <si>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</si>
  <si>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</si>
  <si>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</si>
  <si>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</si>
  <si>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</si>
  <si>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</si>
  <si>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</si>
  <si>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</si>
  <si>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</si>
  <si>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</si>
  <si>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</si>
  <si>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</si>
  <si>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</si>
  <si>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</si>
  <si>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</si>
  <si>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</si>
  <si>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</si>
  <si>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</si>
  <si>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</si>
  <si>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</si>
  <si>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</si>
  <si>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</si>
  <si>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</si>
  <si>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</si>
  <si>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</si>
  <si>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</si>
  <si>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</si>
  <si>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</si>
  <si>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</si>
  <si>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</si>
  <si>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</si>
  <si>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</si>
  <si>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</si>
  <si>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</si>
  <si>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</si>
  <si>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</si>
  <si>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</si>
  <si>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</si>
  <si>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</si>
  <si>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</si>
  <si>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</si>
  <si>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</si>
  <si>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</si>
  <si>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</si>
  <si>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</si>
  <si>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</si>
  <si>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</si>
  <si>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</si>
  <si>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</si>
  <si>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</si>
  <si>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</si>
  <si>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</si>
  <si>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</si>
  <si>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</si>
  <si>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</si>
  <si>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</si>
  <si>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</si>
  <si>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</si>
  <si>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</si>
  <si>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</si>
  <si>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</si>
  <si>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</si>
  <si>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</si>
  <si>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</si>
  <si>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</si>
  <si>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</si>
  <si>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</si>
  <si>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</si>
  <si>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</si>
  <si>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</si>
  <si>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</si>
  <si>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</si>
  <si>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</si>
  <si>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</si>
  <si>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</si>
  <si>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</si>
  <si>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</si>
  <si>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</si>
  <si>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</si>
  <si>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</si>
  <si>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</si>
  <si>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</si>
  <si>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</si>
  <si>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</si>
  <si>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</si>
  <si>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</si>
  <si>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</si>
  <si>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</si>
  <si>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</si>
  <si>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</si>
  <si>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</si>
  <si>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</si>
  <si>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</si>
  <si>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</si>
  <si>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</si>
  <si>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</si>
  <si>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</si>
  <si>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</si>
  <si>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</si>
  <si>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</si>
  <si>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</si>
  <si>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</si>
  <si>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</si>
  <si>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5 DIAS HABILES</t>
  </si>
  <si>
    <t>+569 5193 9027</t>
  </si>
  <si>
    <t>ALUMINA MT 2103</t>
  </si>
  <si>
    <t>TECNOMARMOL LTDA</t>
  </si>
  <si>
    <t>76.508.586-1</t>
  </si>
  <si>
    <t>MANUEL IMIO</t>
  </si>
  <si>
    <t>dmarmol1@gmail.com</t>
  </si>
  <si>
    <t>CESAR ERCILLA 654</t>
  </si>
  <si>
    <t>OSORNO</t>
  </si>
  <si>
    <t>N° 11878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</si>
</sst>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0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214364</xdr:rowOff>
    </xdr:from>
    <xdr:to>
      <xdr:col>5</xdr:col>
      <xdr:colOff>1728839</xdr:colOff>
      <xdr:row>25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PUERTAS</a:t>
          </a:r>
          <a:r>
            <a:rPr lang="es-CL" sz="1200" b="1" baseline="0"/>
            <a:t> SE ENTREGAN CORTADAS A LA MEDIDA Y ENCHAPADAS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MELAMIL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marmol1@gmail.com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8" zoomScale="93" zoomScaleNormal="93" workbookViewId="0">
      <selection activeCell="A23" sqref="A23:XFD23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296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290</v>
      </c>
      <c r="D10" s="243"/>
      <c r="E10" s="243"/>
      <c r="F10" s="418" t="s">
        <v>277</v>
      </c>
      <c r="G10" s="275">
        <v>46062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 t="s">
        <v>291</v>
      </c>
      <c r="F11" s="29" t="s">
        <v>286</v>
      </c>
      <c r="G11" s="421" t="s">
        <v>287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C13" t="s">
        <v>292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8" t="s">
        <v>293</v>
      </c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288</v>
      </c>
      <c r="D15" s="424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 t="s">
        <v>294</v>
      </c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5" t="s">
        <v>13</v>
      </c>
      <c r="C17" s="299" t="s">
        <v>295</v>
      </c>
      <c r="D17" s="300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0.08</v>
      </c>
      <c r="N19" s="14">
        <v>0.05</v>
      </c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137115.81993569137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312">
        <v>2</v>
      </c>
      <c r="C21" s="431" t="s">
        <v>263</v>
      </c>
      <c r="D21" s="432">
        <v>0.77</v>
      </c>
      <c r="E21" s="432">
        <v>0.35799999999999998</v>
      </c>
      <c r="F21" s="313" t="s">
        <v>289</v>
      </c>
      <c r="G21" s="314">
        <f>R21</f>
        <v>50551.766353697756</v>
      </c>
      <c r="H21" s="433">
        <f>G21*B21</f>
        <v>101103.53270739551</v>
      </c>
      <c r="I21" s="306"/>
      <c r="J21" s="264"/>
      <c r="K21" s="47"/>
      <c r="L21" s="47">
        <f>B21</f>
        <v>2</v>
      </c>
      <c r="M21" s="39">
        <f>D21+M$19</f>
        <v>0.85</v>
      </c>
      <c r="N21" s="39">
        <f>E21+$N$19</f>
        <v>0.40799999999999997</v>
      </c>
      <c r="O21" s="260">
        <f t="shared" ref="O21" si="0">M21*N21</f>
        <v>0.34679999999999994</v>
      </c>
      <c r="P21" s="258">
        <f t="shared" ref="P21" si="1">O21*L21</f>
        <v>0.69359999999999988</v>
      </c>
      <c r="Q21" s="251">
        <f t="shared" ref="Q21" si="2">Q$20*O21</f>
        <v>47551.766353697756</v>
      </c>
      <c r="R21" s="305">
        <f t="shared" ref="R21" si="3">Q21+R$20</f>
        <v>50551.766353697756</v>
      </c>
      <c r="S21" s="290">
        <f>M21*L21*2</f>
        <v>3.4</v>
      </c>
      <c r="T21" s="46">
        <f>N21*2*L21*2</f>
        <v>3.2639999999999998</v>
      </c>
      <c r="U21" s="9"/>
      <c r="X21" s="4"/>
    </row>
    <row r="22" spans="1:25" ht="17.399999999999999" x14ac:dyDescent="0.3">
      <c r="B22" s="461">
        <v>1</v>
      </c>
      <c r="C22" s="458" t="s">
        <v>263</v>
      </c>
      <c r="D22" s="459">
        <v>0.77</v>
      </c>
      <c r="E22" s="459">
        <v>0.68899999999999995</v>
      </c>
      <c r="F22" s="457" t="s">
        <v>289</v>
      </c>
      <c r="G22" s="460">
        <f>R22</f>
        <v>89129.302292604538</v>
      </c>
      <c r="H22" s="462">
        <f>G22*B22</f>
        <v>89129.302292604538</v>
      </c>
      <c r="I22" s="306"/>
      <c r="J22" s="264"/>
      <c r="K22" s="47"/>
      <c r="L22" s="47">
        <f>B22</f>
        <v>1</v>
      </c>
      <c r="M22" s="39">
        <f>D22+M$19</f>
        <v>0.85</v>
      </c>
      <c r="N22" s="39">
        <f>E22+$N$19</f>
        <v>0.73899999999999999</v>
      </c>
      <c r="O22" s="260">
        <f t="shared" ref="O22" si="4">M22*N22</f>
        <v>0.62814999999999999</v>
      </c>
      <c r="P22" s="258">
        <f t="shared" ref="P22" si="5">O22*L22</f>
        <v>0.62814999999999999</v>
      </c>
      <c r="Q22" s="251">
        <f t="shared" ref="Q22" si="6">Q$20*O22</f>
        <v>86129.302292604538</v>
      </c>
      <c r="R22" s="305">
        <f t="shared" ref="R22" si="7">Q22+R$20</f>
        <v>89129.302292604538</v>
      </c>
      <c r="S22" s="290">
        <f>M22*L22*2</f>
        <v>1.7</v>
      </c>
      <c r="T22" s="46"/>
      <c r="U22" s="9"/>
      <c r="X22" s="4"/>
    </row>
    <row r="23" spans="1:25" ht="18" thickBot="1" x14ac:dyDescent="0.35">
      <c r="B23" s="283"/>
      <c r="C23" s="283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10" t="s">
        <v>28</v>
      </c>
      <c r="H24" s="311">
        <f>SUM(H21:H23)</f>
        <v>190232.83500000005</v>
      </c>
      <c r="I24" s="308"/>
      <c r="J24" s="264"/>
      <c r="K24" s="47">
        <v>2600000</v>
      </c>
      <c r="L24" s="47"/>
      <c r="M24" s="39"/>
      <c r="N24" s="39"/>
      <c r="O24" s="260"/>
      <c r="P24" s="258"/>
      <c r="Q24" s="251"/>
      <c r="R24" s="257"/>
      <c r="S24" s="290"/>
      <c r="T24" s="46">
        <f>SUM(T21:T23)</f>
        <v>3.2639999999999998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36144.238650000007</v>
      </c>
      <c r="I25" s="308"/>
      <c r="J25" s="264"/>
      <c r="K25" s="47"/>
      <c r="L25" s="47"/>
      <c r="M25" s="39">
        <f>SUM(M21:M24)</f>
        <v>1.7</v>
      </c>
      <c r="N25" s="12"/>
      <c r="O25" s="12"/>
      <c r="P25" s="252">
        <f>SUM(P21:P22)</f>
        <v>1.3217499999999998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226377.07365000006</v>
      </c>
      <c r="I26" s="308"/>
      <c r="J26" s="264"/>
      <c r="K26" s="47"/>
      <c r="L26" s="47"/>
      <c r="M26" s="39"/>
      <c r="N26" s="12"/>
      <c r="O26" s="12"/>
      <c r="P26" s="252">
        <f>P25</f>
        <v>1.3217499999999998</v>
      </c>
      <c r="Q26" s="14"/>
      <c r="R26" s="12"/>
      <c r="S26" s="239">
        <f>SUM(S21:S25)</f>
        <v>5.0999999999999996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0.26434999999999997</v>
      </c>
      <c r="Q27" s="39" t="s">
        <v>129</v>
      </c>
      <c r="R27" s="42"/>
      <c r="S27" s="240">
        <f>S26+T24</f>
        <v>8.363999999999999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1.5860999999999996</v>
      </c>
      <c r="Q28" s="14"/>
      <c r="R28" s="14"/>
      <c r="S28" s="238">
        <f>S27*20%</f>
        <v>1.6727999999999998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10.036799999999999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1.5860999999999996</v>
      </c>
      <c r="N30" s="12">
        <v>3500</v>
      </c>
      <c r="O30" s="12">
        <f t="shared" ref="O30:O35" si="8">M30*N30</f>
        <v>5551.3499999999985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0.5</v>
      </c>
      <c r="N31" s="12">
        <v>43500</v>
      </c>
      <c r="O31" s="12">
        <f t="shared" si="8"/>
        <v>21750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58860</v>
      </c>
      <c r="O32" s="12">
        <f t="shared" si="8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>
        <v>1</v>
      </c>
      <c r="N33" s="249">
        <v>59000</v>
      </c>
      <c r="O33" s="12">
        <f t="shared" si="8"/>
        <v>59000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8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/>
      <c r="N35" s="12">
        <v>1500</v>
      </c>
      <c r="O35" s="12">
        <f t="shared" si="8"/>
        <v>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86301.35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O36*2.1</f>
        <v>181232.83500000002</v>
      </c>
      <c r="P37" s="14" t="s">
        <v>138</v>
      </c>
      <c r="Q37" s="14"/>
      <c r="R37" s="40">
        <f>P28/R36</f>
        <v>0.42765854184641922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42800</v>
      </c>
      <c r="L38" s="249"/>
      <c r="M38" s="14"/>
      <c r="N38" s="12"/>
      <c r="O38" s="12">
        <f>O37/P26</f>
        <v>137115.81993569137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35966.386554621851</v>
      </c>
      <c r="L39" s="249"/>
      <c r="M39" s="13"/>
      <c r="N39" s="14"/>
      <c r="O39" s="17">
        <f>O37/O36</f>
        <v>2.1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  <hyperlink ref="C14" r:id="rId2" xr:uid="{7FBEF94F-07EF-4ECA-AC05-3081B45F4AF6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46062</v>
      </c>
    </row>
    <row r="6" spans="2:31" ht="16.2" thickBot="1" x14ac:dyDescent="0.35">
      <c r="B6" s="140" t="s">
        <v>2</v>
      </c>
      <c r="C6" s="139" t="str">
        <f>'2229'!C10</f>
        <v>TECNOMARMOL LTDA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11878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-15993.226283454116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190232.83500000005</v>
      </c>
      <c r="E11" s="132">
        <f>D11*0.19</f>
        <v>36144.238650000007</v>
      </c>
      <c r="F11" s="131">
        <f>E11+D11</f>
        <v>226377.07365000006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89996.773716545882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57135.440787439613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71996.773716545882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133097.39421256044</v>
      </c>
      <c r="E13" s="221">
        <f>(D11/D12)-1</f>
        <v>2.3295067365931645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62996.773716545882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23996.773716545882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94273.477299275357</v>
      </c>
      <c r="F15" s="216">
        <f>E15-D12</f>
        <v>37138.036511835744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23996.773716545882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63996.773716545882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21750</v>
      </c>
      <c r="E19" s="123">
        <f>D19*0.19</f>
        <v>4132.5</v>
      </c>
      <c r="F19" s="120">
        <f>SUM(D19:E19)</f>
        <v>25882.5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5551.3499999999985</v>
      </c>
      <c r="E20" s="121">
        <f>D20*0.19</f>
        <v>1054.7564999999997</v>
      </c>
      <c r="F20" s="120">
        <f>SUM(D20:E20)</f>
        <v>6606.1064999999981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27301.35</v>
      </c>
      <c r="E21" s="116">
        <f>SUM(E18:E20)</f>
        <v>5187.2564999999995</v>
      </c>
      <c r="F21" s="115">
        <f>SUM(F18:F20)</f>
        <v>32488.606499999998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30956.982150000007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190232.83500000005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27301.35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133097.39421256044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133097.39421256044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11878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TECNOMARMOL LTDA</v>
      </c>
      <c r="D10" s="350"/>
      <c r="E10" s="350"/>
      <c r="F10" s="351" t="s">
        <v>167</v>
      </c>
      <c r="G10" s="352">
        <f>'2229'!G10</f>
        <v>46062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>76.508.586-1</v>
      </c>
      <c r="D11" s="345"/>
      <c r="E11" s="345"/>
      <c r="F11" s="345" t="s">
        <v>168</v>
      </c>
      <c r="G11" s="340">
        <f>WORKDAY(G10,5)</f>
        <v>46069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>MANUEL IMIO</v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>dmarmol1@gmail.com</v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+569 5193 9027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>CESAR ERCILLA 654</v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OSORNO</v>
      </c>
      <c r="D17" s="343"/>
      <c r="E17" s="344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2</v>
      </c>
      <c r="C22" s="313" t="str">
        <f>'2229'!C21</f>
        <v>PR8</v>
      </c>
      <c r="D22" s="321">
        <f>'2229'!D21*1000</f>
        <v>770</v>
      </c>
      <c r="E22" s="321">
        <f>'2229'!E21*1000</f>
        <v>358</v>
      </c>
      <c r="F22" s="322" t="str">
        <f>'2229'!F21</f>
        <v>ALUMINA MT 2103</v>
      </c>
      <c r="G22" s="314">
        <f>'2229'!G21</f>
        <v>50551.766353697756</v>
      </c>
      <c r="H22" s="323">
        <f>G22*B22</f>
        <v>101103.53270739551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101103.53270739551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19209.671214405149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120313.20392180065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1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TECNOMARMOL LTDA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46062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46069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11878</v>
      </c>
      <c r="C2" s="1">
        <f>'NOTA DE VENTA'!$G$10</f>
        <v>46062</v>
      </c>
      <c r="D2" s="1">
        <f>'NOTA DE VENTA'!$G$11</f>
        <v>46069</v>
      </c>
      <c r="E2" t="str">
        <f>'NOTA DE VENTA'!$C$10</f>
        <v>TECNOMARMOL LTDA</v>
      </c>
      <c r="F2" t="str">
        <f>'NOTA DE VENTA'!$C$22</f>
        <v>PR8</v>
      </c>
      <c r="G2" t="str">
        <f>'NOTA DE VENTA'!$F$22</f>
        <v>ALUMINA MT 2103</v>
      </c>
      <c r="H2" s="416">
        <f>'NOTA DE VENTA'!$H$25</f>
        <v>101103.53270739551</v>
      </c>
      <c r="I2" s="416">
        <f>H2*0.19</f>
        <v>19209.671214405149</v>
      </c>
      <c r="J2" s="416">
        <f>I2+H2</f>
        <v>120313.20392180065</v>
      </c>
      <c r="L2" s="61">
        <f>J2-K2</f>
        <v>120313.20392180065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2026-02-09T14:54:26Z</cp:lastPrinted>
  <dcterms:created xsi:type="dcterms:W3CDTF">2013-03-18T13:35:42Z</dcterms:created>
  <dcterms:modified xsi:type="dcterms:W3CDTF">2026-02-09T15:08:06Z</dcterms:modified>
</cp:coreProperties>
</file>