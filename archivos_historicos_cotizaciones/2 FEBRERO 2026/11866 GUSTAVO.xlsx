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C4C8A03B-F1E9-46D0-B55A-DB1924EC7B78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L21" i="1"/>
  <c r="N5" i="6"/>
  <c r="A2" i="7"/>
  <c r="M24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S21" i="1" l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G21" i="1" s="1"/>
  <c r="F15" i="3"/>
  <c r="R21" i="1" l="1"/>
  <c r="H21" i="1" l="1"/>
  <c r="H23" i="1" s="1"/>
  <c r="G22" i="4" l="1"/>
  <c r="H22" i="4" s="1"/>
  <c r="H25" i="4" s="1"/>
  <c r="H25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<sst xmlns="http://schemas.openxmlformats.org/spreadsheetml/2006/main" count="486" uniqueCount="294">
  <si>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</si>
  <si>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</si>
  <si>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</si>
  <si>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</si>
  <si>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</si>
  <si>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</si>
  <si>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</si>
  <si>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</si>
  <si>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</si>
  <si>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</si>
  <si>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</si>
  <si>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</si>
  <si>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</si>
  <si>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</si>
  <si>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</si>
  <si>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</si>
  <si>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</si>
  <si>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</si>
  <si>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</si>
  <si>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</si>
  <si>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</si>
  <si>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</si>
  <si>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</si>
  <si>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</si>
  <si>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</si>
  <si>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</si>
  <si>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</si>
  <si>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</si>
  <si>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</si>
  <si>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</si>
  <si>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</si>
  <si>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</si>
  <si>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</si>
  <si>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</si>
  <si>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</si>
  <si>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</si>
  <si>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</si>
  <si>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</si>
  <si>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</si>
  <si>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</si>
  <si>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</si>
  <si>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</si>
  <si>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</si>
  <si>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</si>
  <si>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</si>
  <si>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</si>
  <si>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</si>
  <si>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</si>
  <si>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</si>
  <si>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</si>
  <si>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</si>
  <si>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</si>
  <si>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</si>
  <si>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</si>
  <si>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</si>
  <si>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</si>
  <si>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</si>
  <si>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</si>
  <si>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</si>
  <si>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</si>
  <si>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</si>
  <si>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</si>
  <si>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</si>
  <si>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</si>
  <si>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</si>
  <si>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</si>
  <si>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</si>
  <si>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</si>
  <si>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</si>
  <si>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</si>
  <si>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</si>
  <si>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</si>
  <si>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</si>
  <si>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</si>
  <si>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</si>
  <si>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</si>
  <si>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</si>
  <si>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</si>
  <si>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</si>
  <si>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</si>
  <si>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</si>
  <si>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</si>
  <si>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</si>
  <si>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</si>
  <si>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</si>
  <si>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</si>
  <si>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</si>
  <si>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</si>
  <si>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</si>
  <si>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</si>
  <si>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</si>
  <si>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</si>
  <si>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</si>
  <si>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</si>
  <si>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</si>
  <si>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</si>
  <si>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</si>
  <si>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</si>
  <si>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</si>
  <si>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</si>
  <si>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</si>
  <si>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</si>
  <si>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</si>
  <si>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</si>
  <si>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</si>
  <si>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</si>
  <si>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</si>
  <si>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</si>
  <si>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</si>
  <si>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</si>
  <si>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</si>
  <si>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</si>
  <si>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</si>
  <si>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</si>
  <si>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</si>
  <si>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</si>
  <si>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</si>
  <si>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</si>
  <si>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</si>
  <si>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</si>
  <si>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</si>
  <si>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</si>
  <si>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</si>
  <si>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</si>
  <si>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</si>
  <si>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</si>
  <si>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</si>
  <si>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</si>
  <si>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</si>
  <si>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</si>
  <si>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</si>
  <si>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</si>
  <si>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</si>
  <si>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</si>
  <si>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</si>
  <si>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</si>
  <si>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</si>
  <si>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</si>
  <si>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</si>
  <si>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</si>
  <si>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</si>
  <si>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</si>
  <si>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</si>
  <si>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</si>
  <si>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</si>
  <si>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</si>
  <si>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</si>
  <si>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</si>
  <si>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</si>
  <si>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</si>
  <si>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</si>
  <si>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</si>
  <si>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</si>
  <si>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</si>
  <si>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</si>
  <si>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</si>
  <si>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</si>
  <si>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</si>
  <si>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</si>
  <si>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</si>
  <si>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</si>
  <si>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</si>
  <si>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</si>
  <si>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</si>
  <si>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</si>
  <si>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</si>
  <si>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</si>
  <si>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</si>
  <si>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</si>
  <si>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</si>
  <si>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</si>
  <si>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</si>
  <si>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</si>
  <si>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</si>
  <si>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</si>
  <si>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</si>
  <si>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</si>
  <si>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</si>
  <si>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</si>
  <si>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</si>
  <si>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</si>
  <si>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</si>
  <si>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</si>
  <si>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</si>
  <si>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</si>
  <si>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</si>
  <si>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</si>
  <si>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</si>
  <si>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</si>
  <si>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</si>
  <si>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</si>
  <si>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</si>
  <si>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</si>
  <si>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</si>
  <si>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</si>
  <si>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</si>
  <si>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</si>
  <si>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</si>
  <si>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</si>
  <si>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</si>
  <si>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</si>
  <si>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</si>
  <si>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</si>
  <si>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</si>
  <si>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</si>
  <si>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</si>
  <si>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</si>
  <si>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</si>
  <si>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</si>
  <si>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</si>
  <si>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</si>
  <si>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</si>
  <si>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</si>
  <si>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</si>
  <si>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</si>
  <si>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</si>
  <si>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</si>
  <si>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</si>
  <si>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</si>
  <si>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</si>
  <si>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</si>
  <si>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</si>
  <si>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</si>
  <si>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</si>
  <si>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</si>
  <si>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</si>
  <si>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</si>
  <si>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</si>
  <si>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</si>
  <si>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</si>
  <si>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</si>
  <si>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</si>
  <si>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</si>
  <si>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</si>
  <si>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</si>
  <si>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</si>
  <si>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</si>
  <si>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</si>
  <si>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</si>
  <si>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</si>
  <si>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</si>
  <si>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</si>
  <si>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</si>
  <si>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</si>
  <si>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</si>
  <si>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</si>
  <si>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</si>
  <si>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</si>
  <si>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</si>
  <si>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</si>
  <si>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</si>
  <si>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</si>
  <si>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</si>
  <si>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</si>
  <si>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</si>
  <si>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</si>
  <si>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</si>
  <si>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</si>
  <si>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</si>
  <si>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</si>
  <si>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</si>
  <si>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</si>
  <si>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</si>
  <si>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</si>
  <si>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</si>
  <si>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</si>
  <si>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</si>
  <si>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</si>
  <si>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</si>
  <si>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</si>
  <si>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</si>
  <si>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</si>
  <si>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</si>
  <si>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</si>
  <si>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</si>
  <si>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</si>
  <si>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</si>
  <si>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</si>
  <si>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</si>
  <si>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</si>
  <si>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</si>
  <si>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</si>
  <si>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</si>
  <si>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</si>
  <si>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</si>
  <si>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</si>
  <si>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</si>
  <si>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</si>
  <si>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</si>
  <si>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GUSTAVO</t>
  </si>
  <si>
    <t>N° 11866</t>
  </si>
  <si>
    <t>+569 7954 8370</t>
  </si>
  <si>
    <t>CUB MESA 3 LADOS</t>
  </si>
  <si>
    <t>WHITE LILY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</si>
</sst>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 POSTFORMADA EN AMBOS LARGOS Y 1 LADO ANCHO ENCHAPADO CON</a:t>
          </a:r>
          <a:r>
            <a:rPr lang="es-CL" sz="1200" b="1" baseline="0"/>
            <a:t> REGRUESO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5" zoomScale="93" zoomScaleNormal="93" workbookViewId="0">
      <selection activeCell="A16" sqref="A16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289</v>
      </c>
      <c r="D10" s="243"/>
      <c r="E10" s="243"/>
      <c r="F10" s="418" t="s">
        <v>277</v>
      </c>
      <c r="G10" s="275">
        <v>46056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291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80351.454375583926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0" t="s">
        <v>292</v>
      </c>
      <c r="D21" s="431">
        <v>1.64</v>
      </c>
      <c r="E21" s="431">
        <v>0.76</v>
      </c>
      <c r="F21" s="430" t="s">
        <v>293</v>
      </c>
      <c r="G21" s="432">
        <f>Q21</f>
        <v>103203.408</v>
      </c>
      <c r="H21" s="432">
        <f>G21*B21</f>
        <v>103203.408</v>
      </c>
      <c r="I21" s="306"/>
      <c r="J21" s="264"/>
      <c r="K21" s="47"/>
      <c r="L21" s="47">
        <f>B21</f>
        <v>1</v>
      </c>
      <c r="M21" s="39">
        <f>D21+M$19</f>
        <v>1.69</v>
      </c>
      <c r="N21" s="39">
        <f>E21+$N$19</f>
        <v>0.76</v>
      </c>
      <c r="O21" s="260">
        <f t="shared" ref="O21" si="0">M21*N21</f>
        <v>1.2844</v>
      </c>
      <c r="P21" s="258">
        <f t="shared" ref="P21" si="1">O21*L21</f>
        <v>1.2844</v>
      </c>
      <c r="Q21" s="251">
        <f t="shared" ref="Q21" si="2">Q$20*O21</f>
        <v>103203.408</v>
      </c>
      <c r="R21" s="305">
        <f t="shared" ref="R21" si="3">Q21+R$20</f>
        <v>106203.408</v>
      </c>
      <c r="S21" s="290">
        <f>M21*L21</f>
        <v>1.69</v>
      </c>
      <c r="T21" s="46">
        <f>N21*2*L21*2</f>
        <v>3.04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103203.408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SUM(T21:T22)</f>
        <v>3.04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H23*0.19</f>
        <v>19608.647519999999</v>
      </c>
      <c r="I24" s="308"/>
      <c r="J24" s="264"/>
      <c r="K24" s="47"/>
      <c r="L24" s="47"/>
      <c r="M24" s="39">
        <f>SUM(M22:M23)</f>
        <v>0</v>
      </c>
      <c r="N24" s="12"/>
      <c r="O24" s="12"/>
      <c r="P24" s="252">
        <f>SUM(P21:P21)</f>
        <v>1.2844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122812.05551999999</v>
      </c>
      <c r="I25" s="308"/>
      <c r="J25" s="264"/>
      <c r="K25" s="47"/>
      <c r="L25" s="47"/>
      <c r="M25" s="39"/>
      <c r="N25" s="12"/>
      <c r="O25" s="12"/>
      <c r="P25" s="252">
        <f>P24</f>
        <v>1.2844</v>
      </c>
      <c r="Q25" s="14"/>
      <c r="R25" s="12"/>
      <c r="S25" s="239">
        <f>SUM(S21:S24)</f>
        <v>1.69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0.25688</v>
      </c>
      <c r="Q26" s="39" t="s">
        <v>129</v>
      </c>
      <c r="R26" s="42"/>
      <c r="S26" s="240">
        <f>S25+T23</f>
        <v>4.7300000000000004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1.54128</v>
      </c>
      <c r="Q27" s="14"/>
      <c r="R27" s="14"/>
      <c r="S27" s="238">
        <f>S26*20%</f>
        <v>0.94600000000000017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5.6760000000000002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1.54128</v>
      </c>
      <c r="N29" s="12">
        <v>3500</v>
      </c>
      <c r="O29" s="12">
        <f t="shared" ref="O29:O34" si="4">M29*N29</f>
        <v>5394.48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0.5</v>
      </c>
      <c r="N30" s="12">
        <v>23500</v>
      </c>
      <c r="O30" s="12">
        <f t="shared" si="4"/>
        <v>11750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32000</v>
      </c>
      <c r="O32" s="12">
        <f t="shared" si="4"/>
        <v>32000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4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49144.479999999996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O35*2.1</f>
        <v>103203.408</v>
      </c>
      <c r="P36" s="14" t="s">
        <v>138</v>
      </c>
      <c r="Q36" s="14"/>
      <c r="R36" s="40">
        <f>P27/R35</f>
        <v>0.41557377049180327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70970</v>
      </c>
      <c r="L37" s="249"/>
      <c r="M37" s="14"/>
      <c r="N37" s="12"/>
      <c r="O37" s="12">
        <f>O36/P25</f>
        <v>80351.454375583926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59638.655462184877</v>
      </c>
      <c r="L38" s="249"/>
      <c r="M38" s="13"/>
      <c r="N38" s="14"/>
      <c r="O38" s="17">
        <f>O36/O35</f>
        <v>2.1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46056</v>
      </c>
    </row>
    <row r="6" spans="2:31" ht="16.2" thickBot="1" x14ac:dyDescent="0.35">
      <c r="B6" s="140" t="s">
        <v>2</v>
      </c>
      <c r="C6" s="139" t="str">
        <f>'2229'!C10</f>
        <v>GUSTAVO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11866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-4281.4610334541039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103203.408</v>
      </c>
      <c r="E11" s="132">
        <f>D11*0.19</f>
        <v>19608.647519999999</v>
      </c>
      <c r="F11" s="131">
        <f>E11+D11</f>
        <v>122812.05551999999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101708.53896654589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46978.570787439618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83708.538966545893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56224.837212560378</v>
      </c>
      <c r="E13" s="221">
        <f>(D11/D12)-1</f>
        <v>1.1968188105797566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74708.538966545893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35708.538966545893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77514.64179927537</v>
      </c>
      <c r="F15" s="216">
        <f>E15-D12</f>
        <v>30536.071011835753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35708.538966545893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75708.538966545893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5394.48</v>
      </c>
      <c r="E20" s="121">
        <f>D20*0.19</f>
        <v>1024.9512</v>
      </c>
      <c r="F20" s="120">
        <f>SUM(D20:E20)</f>
        <v>6419.4311999999991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17144.48</v>
      </c>
      <c r="E21" s="116">
        <f>SUM(E18:E20)</f>
        <v>3257.4512</v>
      </c>
      <c r="F21" s="115">
        <f>SUM(F18:F20)</f>
        <v>20401.931199999999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16351.196319999999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103203.408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17144.48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56224.837212560378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56224.837212560378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11866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GUSTAVO</v>
      </c>
      <c r="D10" s="350"/>
      <c r="E10" s="350"/>
      <c r="F10" s="351" t="s">
        <v>167</v>
      </c>
      <c r="G10" s="352">
        <f>'2229'!G10</f>
        <v>46056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46063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+569 7954 8370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MESA 3 LADOS</v>
      </c>
      <c r="D22" s="321">
        <f>'2229'!D21*1000</f>
        <v>1640</v>
      </c>
      <c r="E22" s="321">
        <f>'2229'!E21*1000</f>
        <v>760</v>
      </c>
      <c r="F22" s="322" t="str">
        <f>'2229'!F21</f>
        <v>WHITE LILY BR</v>
      </c>
      <c r="G22" s="314">
        <f>'2229'!G21</f>
        <v>103203.408</v>
      </c>
      <c r="H22" s="323">
        <f>G22*B22</f>
        <v>103203.408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103203.408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19608.647519999999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122812.05551999999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GUSTAVO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46056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46063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11866</v>
      </c>
      <c r="C2" s="1">
        <f>'NOTA DE VENTA'!$G$10</f>
        <v>46056</v>
      </c>
      <c r="D2" s="1">
        <f>'NOTA DE VENTA'!$G$11</f>
        <v>46063</v>
      </c>
      <c r="E2" t="str">
        <f>'NOTA DE VENTA'!$C$10</f>
        <v>GUSTAVO</v>
      </c>
      <c r="F2" t="str">
        <f>'NOTA DE VENTA'!$C$22</f>
        <v>CUB MESA 3 LADOS</v>
      </c>
      <c r="G2" t="str">
        <f>'NOTA DE VENTA'!$F$22</f>
        <v>WHITE LILY BR</v>
      </c>
      <c r="H2" s="416">
        <f>'NOTA DE VENTA'!$H$25</f>
        <v>103203.408</v>
      </c>
      <c r="I2" s="416">
        <f>H2*0.19</f>
        <v>19608.647519999999</v>
      </c>
      <c r="J2" s="416">
        <f>I2+H2</f>
        <v>122812.05551999999</v>
      </c>
      <c r="L2" s="61">
        <f>J2-K2</f>
        <v>122812.05551999999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2026-02-03T18:32:27Z</cp:lastPrinted>
  <dcterms:created xsi:type="dcterms:W3CDTF">2013-03-18T13:35:42Z</dcterms:created>
  <dcterms:modified xsi:type="dcterms:W3CDTF">2026-02-03T18:32:37Z</dcterms:modified>
</cp:coreProperties>
</file>