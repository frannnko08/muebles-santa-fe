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2 FEBRERO 2026\"/>
    </mc:Choice>
  </mc:AlternateContent>
  <xr:revisionPtr revIDLastSave="0" documentId="13_ncr:1_{8D2BB33A-DC62-4296-9114-26A4944FB2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H23" i="1"/>
  <c r="O39" i="1"/>
  <c r="L22" i="1"/>
  <c r="M22" i="1"/>
  <c r="N22" i="1"/>
  <c r="O22" i="1"/>
  <c r="P22" i="1" s="1"/>
  <c r="S22" i="1"/>
  <c r="L21" i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T21" i="1" s="1"/>
  <c r="K5" i="6" l="1"/>
  <c r="D14" i="6"/>
  <c r="E14" i="6"/>
  <c r="E21" i="6"/>
  <c r="D21" i="6"/>
  <c r="L5" i="6"/>
  <c r="M5" i="6"/>
  <c r="D2" i="7"/>
  <c r="D8" i="6"/>
  <c r="M21" i="1"/>
  <c r="S21" i="1" s="1"/>
  <c r="M27" i="1" l="1"/>
  <c r="S28" i="1"/>
  <c r="T26" i="1"/>
  <c r="O21" i="1"/>
  <c r="P21" i="1" s="1"/>
  <c r="P27" i="1" s="1"/>
  <c r="K41" i="1"/>
  <c r="S29" i="1" l="1"/>
  <c r="S30" i="1" s="1"/>
  <c r="S31" i="1" s="1"/>
  <c r="V34" i="1"/>
  <c r="V35" i="1" s="1"/>
  <c r="P28" i="1" l="1"/>
  <c r="N20" i="1"/>
  <c r="L20" i="1"/>
  <c r="P29" i="1" l="1"/>
  <c r="P30" i="1" s="1"/>
  <c r="M32" i="1" s="1"/>
  <c r="O34" i="1"/>
  <c r="R38" i="1"/>
  <c r="R39" i="1" l="1"/>
  <c r="O33" i="1" s="1"/>
  <c r="O35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7" i="1"/>
  <c r="O36" i="1"/>
  <c r="F18" i="3" l="1"/>
  <c r="O32" i="1" l="1"/>
  <c r="O38" i="1" s="1"/>
  <c r="D20" i="3" l="1"/>
  <c r="E20" i="3" s="1"/>
  <c r="E21" i="3" s="1"/>
  <c r="O40" i="1" l="1"/>
  <c r="Q20" i="1" s="1"/>
  <c r="Q22" i="1" s="1"/>
  <c r="R22" i="1" s="1"/>
  <c r="D21" i="3"/>
  <c r="M43" i="3" s="1"/>
  <c r="D12" i="3" s="1"/>
  <c r="F20" i="3"/>
  <c r="F21" i="3" s="1"/>
  <c r="O41" i="1" l="1"/>
  <c r="E15" i="3"/>
  <c r="Q21" i="1" l="1"/>
  <c r="F15" i="3"/>
  <c r="R21" i="1" l="1"/>
  <c r="H21" i="1" l="1"/>
  <c r="H26" i="1" s="1"/>
  <c r="H27" i="1" l="1"/>
  <c r="H28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<sst xmlns="http://schemas.openxmlformats.org/spreadsheetml/2006/main" count="490" uniqueCount="296">
  <si>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</si>
  <si>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</si>
  <si>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</si>
  <si>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</si>
  <si>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</si>
  <si>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</si>
  <si>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</si>
  <si>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</si>
  <si>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</si>
  <si>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</si>
  <si>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</si>
  <si>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</si>
  <si>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</si>
  <si>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</si>
  <si>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</si>
  <si>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</si>
  <si>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</si>
  <si>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</si>
  <si>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</si>
  <si>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</si>
  <si>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</si>
  <si>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</si>
  <si>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</si>
  <si>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</si>
  <si>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</si>
  <si>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</si>
  <si>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</si>
  <si>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</si>
  <si>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</si>
  <si>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</si>
  <si>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</si>
  <si>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</si>
  <si>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</si>
  <si>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</si>
  <si>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</si>
  <si>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</si>
  <si>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</si>
  <si>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</si>
  <si>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</si>
  <si>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</si>
  <si>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</si>
  <si>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</si>
  <si>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</si>
  <si>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</si>
  <si>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</si>
  <si>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</si>
  <si>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</si>
  <si>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</si>
  <si>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</si>
  <si>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</si>
  <si>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</si>
  <si>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</si>
  <si>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</si>
  <si>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</si>
  <si>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</si>
  <si>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</si>
  <si>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</si>
  <si>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</si>
  <si>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</si>
  <si>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</si>
  <si>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</si>
  <si>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</si>
  <si>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</si>
  <si>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</si>
  <si>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</si>
  <si>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</si>
  <si>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</si>
  <si>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</si>
  <si>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</si>
  <si>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</si>
  <si>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</si>
  <si>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</si>
  <si>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</si>
  <si>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</si>
  <si>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</si>
  <si>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</si>
  <si>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</si>
  <si>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</si>
  <si>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</si>
  <si>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</si>
  <si>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</si>
  <si>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</si>
  <si>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</si>
  <si>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</si>
  <si>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</si>
  <si>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</si>
  <si>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</si>
  <si>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</si>
  <si>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</si>
  <si>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</si>
  <si>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</si>
  <si>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</si>
  <si>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</si>
  <si>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</si>
  <si>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</si>
  <si>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</si>
  <si>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</si>
  <si>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</si>
  <si>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</si>
  <si>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</si>
  <si>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</si>
  <si>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</si>
  <si>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</si>
  <si>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</si>
  <si>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</si>
  <si>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</si>
  <si>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</si>
  <si>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</si>
  <si>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</si>
  <si>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</si>
  <si>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</si>
  <si>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</si>
  <si>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</si>
  <si>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</si>
  <si>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</si>
  <si>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</si>
  <si>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</si>
  <si>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</si>
  <si>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</si>
  <si>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</si>
  <si>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</si>
  <si>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</si>
  <si>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</si>
  <si>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</si>
  <si>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</si>
  <si>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</si>
  <si>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</si>
  <si>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</si>
  <si>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</si>
  <si>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</si>
  <si>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</si>
  <si>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</si>
  <si>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</si>
  <si>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</si>
  <si>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</si>
  <si>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</si>
  <si>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</si>
  <si>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</si>
  <si>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</si>
  <si>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</si>
  <si>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</si>
  <si>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</si>
  <si>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</si>
  <si>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</si>
  <si>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</si>
  <si>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</si>
  <si>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</si>
  <si>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</si>
  <si>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</si>
  <si>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</si>
  <si>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</si>
  <si>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</si>
  <si>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</si>
  <si>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</si>
  <si>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</si>
  <si>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</si>
  <si>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</si>
  <si>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</si>
  <si>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</si>
  <si>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</si>
  <si>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</si>
  <si>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</si>
  <si>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</si>
  <si>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</si>
  <si>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</si>
  <si>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</si>
  <si>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</si>
  <si>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</si>
  <si>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</si>
  <si>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</si>
  <si>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</si>
  <si>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</si>
  <si>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</si>
  <si>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</si>
  <si>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</si>
  <si>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</si>
  <si>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</si>
  <si>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</si>
  <si>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</si>
  <si>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</si>
  <si>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</si>
  <si>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</si>
  <si>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</si>
  <si>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</si>
  <si>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</si>
  <si>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</si>
  <si>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</si>
  <si>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</si>
  <si>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</si>
  <si>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</si>
  <si>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</si>
  <si>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</si>
  <si>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</si>
  <si>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</si>
  <si>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</si>
  <si>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</si>
  <si>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</si>
  <si>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</si>
  <si>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</si>
  <si>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</si>
  <si>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</si>
  <si>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</si>
  <si>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</si>
  <si>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</si>
  <si>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</si>
  <si>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</si>
  <si>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</si>
  <si>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</si>
  <si>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</si>
  <si>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</si>
  <si>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</si>
  <si>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</si>
  <si>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</si>
  <si>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</si>
  <si>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</si>
  <si>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</si>
  <si>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</si>
  <si>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</si>
  <si>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</si>
  <si>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</si>
  <si>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</si>
  <si>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</si>
  <si>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</si>
  <si>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</si>
  <si>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</si>
  <si>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</si>
  <si>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</si>
  <si>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</si>
  <si>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</si>
  <si>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</si>
  <si>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</si>
  <si>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</si>
  <si>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</si>
  <si>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</si>
  <si>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</si>
  <si>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</si>
  <si>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</si>
  <si>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</si>
  <si>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</si>
  <si>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</si>
  <si>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</si>
  <si>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</si>
  <si>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</si>
  <si>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</si>
  <si>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</si>
  <si>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</si>
  <si>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</si>
  <si>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</si>
  <si>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</si>
  <si>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</si>
  <si>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</si>
  <si>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</si>
  <si>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</si>
  <si>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</si>
  <si>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</si>
  <si>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</si>
  <si>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</si>
  <si>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</si>
  <si>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</si>
  <si>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</si>
  <si>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</si>
  <si>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</si>
  <si>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</si>
  <si>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</si>
  <si>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</si>
  <si>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</si>
  <si>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</si>
  <si>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</si>
  <si>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</si>
  <si>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</si>
  <si>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</si>
  <si>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</si>
  <si>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</si>
  <si>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</si>
  <si>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</si>
  <si>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</si>
  <si>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</si>
  <si>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</si>
  <si>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</si>
  <si>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</si>
  <si>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</si>
  <si>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</si>
  <si>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</si>
  <si>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</si>
  <si>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</si>
  <si>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</si>
  <si>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</si>
  <si>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</si>
  <si>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10 DIAS HABILES</t>
  </si>
  <si>
    <t>N° 12008</t>
  </si>
  <si>
    <t>GUTHIER</t>
  </si>
  <si>
    <t>YEREMY</t>
  </si>
  <si>
    <t>+56 9</t>
  </si>
  <si>
    <t>CUB SIN RESPALDO FRENTE 90° R8</t>
  </si>
  <si>
    <t>CORTE Z</t>
  </si>
  <si>
    <t>GRANITO KOMBI 0670 BR 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</si>
</sst>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0" fontId="30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8194</xdr:rowOff>
    </xdr:from>
    <xdr:to>
      <xdr:col>8</xdr:col>
      <xdr:colOff>8193</xdr:colOff>
      <xdr:row>32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1745226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214364</xdr:rowOff>
    </xdr:from>
    <xdr:to>
      <xdr:col>5</xdr:col>
      <xdr:colOff>1728839</xdr:colOff>
      <xdr:row>27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CUBIERTAS SE ENTREGAN</a:t>
          </a:r>
          <a:r>
            <a:rPr lang="es-CL" sz="1200" b="1" baseline="0"/>
            <a:t> CON SOBRE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3"/>
  <sheetViews>
    <sheetView tabSelected="1" zoomScale="93" zoomScaleNormal="93" workbookViewId="0">
      <selection activeCell="G24" sqref="G24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289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9" t="s">
        <v>290</v>
      </c>
      <c r="D10" s="243"/>
      <c r="E10" s="243"/>
      <c r="F10" s="418" t="s">
        <v>277</v>
      </c>
      <c r="G10" s="275">
        <v>46078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 t="s">
        <v>288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C13" t="s">
        <v>291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0" t="s">
        <v>292</v>
      </c>
      <c r="D15" s="424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2:25" ht="15" thickBot="1" x14ac:dyDescent="0.35">
      <c r="B17" s="425" t="s">
        <v>13</v>
      </c>
      <c r="C17" s="299" t="s">
        <v>287</v>
      </c>
      <c r="D17" s="300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431" t="s">
        <v>95</v>
      </c>
      <c r="C19" s="432"/>
      <c r="D19" s="432"/>
      <c r="E19" s="432"/>
      <c r="F19" s="432"/>
      <c r="G19" s="432"/>
      <c r="H19" s="433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O40</f>
        <v>76369.584352078251</v>
      </c>
      <c r="R20" s="257">
        <v>5000</v>
      </c>
      <c r="S20" s="38"/>
      <c r="T20" s="14" t="s">
        <v>127</v>
      </c>
      <c r="U20" s="9"/>
      <c r="X20" s="4"/>
    </row>
    <row r="21" spans="2:25" ht="17.399999999999999" x14ac:dyDescent="0.3">
      <c r="B21" s="454">
        <v>1</v>
      </c>
      <c r="C21" s="455" t="s">
        <v>293</v>
      </c>
      <c r="D21" s="456">
        <v>1.5</v>
      </c>
      <c r="E21" s="456">
        <v>0.6</v>
      </c>
      <c r="F21" s="454" t="s">
        <v>295</v>
      </c>
      <c r="G21" s="457">
        <v>72398</v>
      </c>
      <c r="H21" s="457">
        <f>G21*B21</f>
        <v>72398</v>
      </c>
      <c r="I21" s="306"/>
      <c r="J21" s="264"/>
      <c r="K21" s="47"/>
      <c r="L21" s="47">
        <f>B21</f>
        <v>1</v>
      </c>
      <c r="M21" s="39">
        <f>D21+M$19</f>
        <v>1.58</v>
      </c>
      <c r="N21" s="39">
        <f>E21+$N$19</f>
        <v>0.6</v>
      </c>
      <c r="O21" s="260">
        <f t="shared" ref="O21" si="0">M21*N21</f>
        <v>0.94799999999999995</v>
      </c>
      <c r="P21" s="258">
        <f t="shared" ref="P21" si="1">O21*L21</f>
        <v>0.94799999999999995</v>
      </c>
      <c r="Q21" s="251">
        <f t="shared" ref="Q21" si="2">Q$20*O21</f>
        <v>72398.365965770179</v>
      </c>
      <c r="R21" s="305">
        <f t="shared" ref="R21" si="3">Q21+R$20</f>
        <v>77398.365965770179</v>
      </c>
      <c r="S21" s="290">
        <f>M21*L21*2</f>
        <v>3.16</v>
      </c>
      <c r="T21" s="46">
        <f>N21*2*L21*2</f>
        <v>2.4</v>
      </c>
      <c r="U21" s="9"/>
      <c r="X21" s="4"/>
    </row>
    <row r="22" spans="2:25" ht="17.399999999999999" x14ac:dyDescent="0.3">
      <c r="B22" s="454">
        <v>1</v>
      </c>
      <c r="C22" s="455" t="s">
        <v>293</v>
      </c>
      <c r="D22" s="456">
        <v>2.4300000000000002</v>
      </c>
      <c r="E22" s="456">
        <v>0.6</v>
      </c>
      <c r="F22" s="454" t="s">
        <v>295</v>
      </c>
      <c r="G22" s="457">
        <v>115013</v>
      </c>
      <c r="H22" s="457">
        <f t="shared" ref="H22:H23" si="4">G22*B22</f>
        <v>115013</v>
      </c>
      <c r="I22" s="306"/>
      <c r="J22" s="264"/>
      <c r="K22" s="47"/>
      <c r="L22" s="47">
        <f>B22</f>
        <v>1</v>
      </c>
      <c r="M22" s="39">
        <f>D22+M$19</f>
        <v>2.5100000000000002</v>
      </c>
      <c r="N22" s="39">
        <f>E22+$N$19</f>
        <v>0.6</v>
      </c>
      <c r="O22" s="260">
        <f t="shared" ref="O22" si="5">M22*N22</f>
        <v>1.506</v>
      </c>
      <c r="P22" s="258">
        <f t="shared" ref="P22" si="6">O22*L22</f>
        <v>1.506</v>
      </c>
      <c r="Q22" s="251">
        <f t="shared" ref="Q22" si="7">Q$20*O22</f>
        <v>115012.59403422984</v>
      </c>
      <c r="R22" s="305">
        <f t="shared" ref="R22" si="8">Q22+R$20</f>
        <v>120012.59403422984</v>
      </c>
      <c r="S22" s="290">
        <f>M22*L22*2</f>
        <v>5.0200000000000005</v>
      </c>
      <c r="T22" s="46"/>
      <c r="U22" s="9"/>
      <c r="X22" s="4"/>
    </row>
    <row r="23" spans="2:25" ht="17.399999999999999" x14ac:dyDescent="0.3">
      <c r="B23" s="454">
        <v>1</v>
      </c>
      <c r="C23" s="455" t="s">
        <v>294</v>
      </c>
      <c r="D23" s="456"/>
      <c r="E23" s="456"/>
      <c r="F23" s="454"/>
      <c r="G23" s="457">
        <v>20000</v>
      </c>
      <c r="H23" s="457">
        <f t="shared" si="4"/>
        <v>20000</v>
      </c>
      <c r="I23" s="306"/>
      <c r="J23" s="264"/>
      <c r="K23" s="47"/>
      <c r="L23" s="47"/>
      <c r="M23" s="39"/>
      <c r="N23" s="39"/>
      <c r="O23" s="260"/>
      <c r="P23" s="258"/>
      <c r="Q23" s="251"/>
      <c r="R23" s="305"/>
      <c r="S23" s="290"/>
      <c r="T23" s="46"/>
      <c r="U23" s="9"/>
      <c r="X23" s="4"/>
    </row>
    <row r="24" spans="2:25" ht="17.399999999999999" x14ac:dyDescent="0.3">
      <c r="B24" s="283"/>
      <c r="C24" s="325"/>
      <c r="D24" s="284"/>
      <c r="E24" s="284"/>
      <c r="F24" s="283"/>
      <c r="G24" s="306"/>
      <c r="H24" s="306"/>
      <c r="I24" s="306"/>
      <c r="J24" s="264"/>
      <c r="K24" s="47"/>
      <c r="L24" s="47"/>
      <c r="M24" s="39"/>
      <c r="N24" s="39"/>
      <c r="O24" s="260"/>
      <c r="P24" s="258"/>
      <c r="Q24" s="251"/>
      <c r="R24" s="305"/>
      <c r="S24" s="290"/>
      <c r="T24" s="46"/>
      <c r="U24" s="9"/>
      <c r="X24" s="4"/>
    </row>
    <row r="25" spans="2:25" ht="18" thickBot="1" x14ac:dyDescent="0.35">
      <c r="B25" s="283"/>
      <c r="C25" s="283"/>
      <c r="D25" s="284"/>
      <c r="E25" s="284"/>
      <c r="F25" s="283"/>
      <c r="G25" s="264"/>
      <c r="H25" s="307"/>
      <c r="I25" s="309"/>
      <c r="J25" s="233"/>
      <c r="K25" s="47"/>
      <c r="L25" s="47"/>
      <c r="M25" s="39"/>
      <c r="N25" s="39"/>
      <c r="O25" s="260"/>
      <c r="P25" s="258"/>
      <c r="Q25" s="251"/>
      <c r="R25" s="257"/>
      <c r="S25" s="290"/>
      <c r="T25" s="14"/>
      <c r="U25" s="9"/>
      <c r="X25" s="4"/>
    </row>
    <row r="26" spans="2:25" ht="17.399999999999999" x14ac:dyDescent="0.3">
      <c r="B26" s="283"/>
      <c r="C26" s="283"/>
      <c r="D26" s="284"/>
      <c r="E26" s="284"/>
      <c r="F26" s="283"/>
      <c r="G26" s="310" t="s">
        <v>28</v>
      </c>
      <c r="H26" s="311">
        <f>SUM(H21:H25)</f>
        <v>207411</v>
      </c>
      <c r="I26" s="308"/>
      <c r="J26" s="264"/>
      <c r="K26" s="47">
        <v>2600000</v>
      </c>
      <c r="L26" s="47"/>
      <c r="M26" s="39"/>
      <c r="N26" s="39"/>
      <c r="O26" s="260"/>
      <c r="P26" s="258"/>
      <c r="Q26" s="251"/>
      <c r="R26" s="257"/>
      <c r="S26" s="290"/>
      <c r="T26" s="46">
        <f>SUM(T21:T25)</f>
        <v>2.4</v>
      </c>
      <c r="U26" s="9"/>
      <c r="X26" s="4"/>
    </row>
    <row r="27" spans="2:25" ht="17.399999999999999" x14ac:dyDescent="0.3">
      <c r="B27" s="277"/>
      <c r="C27" s="280"/>
      <c r="D27" s="281"/>
      <c r="E27" s="281"/>
      <c r="F27" s="282"/>
      <c r="G27" s="289" t="s">
        <v>51</v>
      </c>
      <c r="H27" s="287">
        <f>H26*19%</f>
        <v>39408.090000000004</v>
      </c>
      <c r="I27" s="308"/>
      <c r="J27" s="264"/>
      <c r="K27" s="47"/>
      <c r="L27" s="47"/>
      <c r="M27" s="39">
        <f>SUM(M21:M26)</f>
        <v>4.09</v>
      </c>
      <c r="N27" s="12"/>
      <c r="O27" s="12"/>
      <c r="P27" s="252">
        <f>SUM(P21:P23)</f>
        <v>2.4539999999999997</v>
      </c>
      <c r="Q27" s="14"/>
      <c r="R27" s="12"/>
      <c r="S27" s="239"/>
      <c r="T27" s="46"/>
      <c r="U27" s="9"/>
      <c r="X27" s="4"/>
    </row>
    <row r="28" spans="2:25" ht="18" thickBot="1" x14ac:dyDescent="0.35">
      <c r="B28" s="274"/>
      <c r="C28" s="279"/>
      <c r="D28" s="271"/>
      <c r="E28" s="271"/>
      <c r="F28" s="272"/>
      <c r="G28" s="278" t="s">
        <v>6</v>
      </c>
      <c r="H28" s="288">
        <f>H26+H27</f>
        <v>246819.09</v>
      </c>
      <c r="I28" s="308"/>
      <c r="J28" s="264"/>
      <c r="K28" s="47"/>
      <c r="L28" s="47"/>
      <c r="M28" s="39"/>
      <c r="N28" s="12"/>
      <c r="O28" s="12"/>
      <c r="P28" s="252">
        <f>P27</f>
        <v>2.4539999999999997</v>
      </c>
      <c r="Q28" s="14"/>
      <c r="R28" s="12"/>
      <c r="S28" s="239">
        <f>SUM(S21:S27)</f>
        <v>8.18</v>
      </c>
      <c r="T28" s="46"/>
      <c r="U28" s="9"/>
      <c r="X28" s="4"/>
    </row>
    <row r="29" spans="2:25" ht="17.399999999999999" x14ac:dyDescent="0.3">
      <c r="B29" s="274"/>
      <c r="C29" s="270"/>
      <c r="D29" s="271"/>
      <c r="E29" s="271"/>
      <c r="F29" s="272"/>
      <c r="J29" s="264"/>
      <c r="K29" s="47"/>
      <c r="L29" s="47"/>
      <c r="M29" s="14"/>
      <c r="N29" s="12"/>
      <c r="O29" s="12"/>
      <c r="P29" s="39">
        <f>P28*20%</f>
        <v>0.49079999999999996</v>
      </c>
      <c r="Q29" s="39" t="s">
        <v>129</v>
      </c>
      <c r="R29" s="42"/>
      <c r="S29" s="240">
        <f>S28+T26</f>
        <v>10.58</v>
      </c>
      <c r="T29" s="14"/>
      <c r="U29" s="9"/>
      <c r="X29" s="4"/>
    </row>
    <row r="30" spans="2:25" ht="17.399999999999999" x14ac:dyDescent="0.35">
      <c r="B30" s="268"/>
      <c r="C30" s="230"/>
      <c r="D30" s="230"/>
      <c r="E30" s="233"/>
      <c r="F30" s="234"/>
      <c r="G30" s="230"/>
      <c r="H30" s="273"/>
      <c r="I30" s="273"/>
      <c r="J30" s="264"/>
      <c r="K30" s="47"/>
      <c r="L30" s="47"/>
      <c r="M30" s="14"/>
      <c r="N30" s="12"/>
      <c r="O30" s="12"/>
      <c r="P30" s="46">
        <f>P28+P29</f>
        <v>2.9447999999999999</v>
      </c>
      <c r="Q30" s="14"/>
      <c r="R30" s="14"/>
      <c r="S30" s="238">
        <f>S29*20%</f>
        <v>2.1160000000000001</v>
      </c>
      <c r="T30" s="14"/>
      <c r="U30" s="9"/>
      <c r="X30" s="4"/>
    </row>
    <row r="31" spans="2:25" ht="17.399999999999999" x14ac:dyDescent="0.35">
      <c r="B31" s="235"/>
      <c r="C31" s="236"/>
      <c r="D31" s="237"/>
      <c r="E31" s="235"/>
      <c r="F31" s="230"/>
      <c r="G31" s="230"/>
      <c r="I31" s="273"/>
      <c r="J31" s="264"/>
      <c r="K31" s="47"/>
      <c r="L31" s="47"/>
      <c r="M31" s="14"/>
      <c r="N31" s="14"/>
      <c r="O31" s="14"/>
      <c r="P31" s="14"/>
      <c r="Q31" s="14"/>
      <c r="R31" s="14"/>
      <c r="S31" s="240">
        <f>S29+S30</f>
        <v>12.696</v>
      </c>
      <c r="T31" s="14"/>
      <c r="U31" s="294" t="s">
        <v>21</v>
      </c>
      <c r="V31" s="291" t="s">
        <v>149</v>
      </c>
      <c r="W31" s="295">
        <v>44971</v>
      </c>
      <c r="X31" s="296"/>
    </row>
    <row r="32" spans="2:25" ht="17.399999999999999" x14ac:dyDescent="0.35">
      <c r="B32" s="230"/>
      <c r="C32" s="230"/>
      <c r="D32" s="230"/>
      <c r="E32" s="230"/>
      <c r="F32" s="230"/>
      <c r="G32" s="230"/>
      <c r="J32" s="264"/>
      <c r="K32" s="47"/>
      <c r="L32" s="47"/>
      <c r="M32" s="39">
        <f>P30</f>
        <v>2.9447999999999999</v>
      </c>
      <c r="N32" s="12">
        <v>3500</v>
      </c>
      <c r="O32" s="12">
        <f t="shared" ref="O32:O37" si="9">M32*N32</f>
        <v>10306.799999999999</v>
      </c>
      <c r="P32" s="14" t="s">
        <v>21</v>
      </c>
      <c r="Q32" s="14"/>
      <c r="R32" s="14"/>
      <c r="S32" s="241"/>
      <c r="T32" s="14"/>
      <c r="U32" s="294" t="s">
        <v>150</v>
      </c>
      <c r="V32" s="291">
        <v>3625</v>
      </c>
      <c r="W32" s="59" t="s">
        <v>151</v>
      </c>
      <c r="X32" s="296"/>
    </row>
    <row r="33" spans="1:24" ht="17.399999999999999" x14ac:dyDescent="0.35">
      <c r="A33" s="230"/>
      <c r="B33" s="230"/>
      <c r="C33" s="230"/>
      <c r="D33" s="230"/>
      <c r="E33" s="230"/>
      <c r="F33" s="230"/>
      <c r="G33" s="230"/>
      <c r="H33" s="230"/>
      <c r="J33" s="264"/>
      <c r="K33" s="47"/>
      <c r="L33" s="47"/>
      <c r="M33" s="248">
        <v>1</v>
      </c>
      <c r="N33" s="12">
        <v>23500</v>
      </c>
      <c r="O33" s="12">
        <f t="shared" si="9"/>
        <v>23500</v>
      </c>
      <c r="P33" s="39" t="s">
        <v>31</v>
      </c>
      <c r="Q33" s="42"/>
      <c r="R33" s="14"/>
      <c r="S33" s="240"/>
      <c r="T33" s="14"/>
      <c r="U33" s="294"/>
      <c r="V33" s="59">
        <v>906.25</v>
      </c>
      <c r="W33" s="59" t="s">
        <v>152</v>
      </c>
      <c r="X33" s="296"/>
    </row>
    <row r="34" spans="1:24" s="230" customFormat="1" ht="17.399999999999999" x14ac:dyDescent="0.35">
      <c r="B34" s="24" t="s">
        <v>148</v>
      </c>
      <c r="J34" s="261"/>
      <c r="K34" s="232"/>
      <c r="L34" s="249"/>
      <c r="M34" s="14"/>
      <c r="N34" s="249">
        <v>58860</v>
      </c>
      <c r="O34" s="12">
        <f t="shared" si="9"/>
        <v>0</v>
      </c>
      <c r="P34" s="39" t="s">
        <v>30</v>
      </c>
      <c r="Q34" s="42"/>
      <c r="S34" s="240"/>
      <c r="T34" s="255"/>
      <c r="U34" s="59"/>
      <c r="V34" s="59">
        <f>V33*20%</f>
        <v>181.25</v>
      </c>
      <c r="W34" s="296" t="s">
        <v>153</v>
      </c>
      <c r="X34" s="59"/>
    </row>
    <row r="35" spans="1:24" s="230" customFormat="1" ht="17.399999999999999" x14ac:dyDescent="0.35">
      <c r="B35" s="24" t="s">
        <v>162</v>
      </c>
      <c r="C35"/>
      <c r="D35"/>
      <c r="E35"/>
      <c r="F35"/>
      <c r="J35" s="261"/>
      <c r="K35" s="232"/>
      <c r="L35" s="249"/>
      <c r="M35" s="14">
        <v>2</v>
      </c>
      <c r="N35" s="249">
        <v>25690</v>
      </c>
      <c r="O35" s="12">
        <f t="shared" si="9"/>
        <v>51380</v>
      </c>
      <c r="P35" s="14" t="s">
        <v>139</v>
      </c>
      <c r="Q35" s="17"/>
      <c r="S35" s="238"/>
      <c r="T35" s="255"/>
      <c r="U35" s="59"/>
      <c r="V35" s="59">
        <f>V33+V34</f>
        <v>1087.5</v>
      </c>
      <c r="W35" s="296" t="s">
        <v>154</v>
      </c>
      <c r="X35" s="59"/>
    </row>
    <row r="36" spans="1:24" s="230" customFormat="1" ht="17.399999999999999" x14ac:dyDescent="0.35">
      <c r="A36" s="230" t="s">
        <v>283</v>
      </c>
      <c r="B36" s="29" t="s">
        <v>124</v>
      </c>
      <c r="C36"/>
      <c r="D36"/>
      <c r="E36"/>
      <c r="F36" s="229" t="s">
        <v>15</v>
      </c>
      <c r="J36" s="261"/>
      <c r="K36" s="259"/>
      <c r="L36" s="249"/>
      <c r="M36" s="248"/>
      <c r="N36" s="249">
        <v>900</v>
      </c>
      <c r="O36" s="12">
        <f t="shared" si="9"/>
        <v>0</v>
      </c>
      <c r="P36" s="14" t="s">
        <v>32</v>
      </c>
      <c r="Q36" s="14"/>
      <c r="R36" s="230">
        <v>1.52</v>
      </c>
      <c r="S36" s="238"/>
      <c r="T36" s="238"/>
    </row>
    <row r="37" spans="1:24" s="230" customFormat="1" ht="17.399999999999999" x14ac:dyDescent="0.35">
      <c r="J37" s="286"/>
      <c r="K37" s="259"/>
      <c r="L37" s="249"/>
      <c r="M37" s="265"/>
      <c r="N37" s="12">
        <v>1500</v>
      </c>
      <c r="O37" s="12">
        <f t="shared" si="9"/>
        <v>0</v>
      </c>
      <c r="P37" s="14" t="s">
        <v>22</v>
      </c>
      <c r="Q37" s="14"/>
      <c r="R37">
        <v>2.44</v>
      </c>
      <c r="S37"/>
      <c r="T37" s="238"/>
      <c r="X37" s="231"/>
    </row>
    <row r="38" spans="1:24" s="230" customFormat="1" ht="17.399999999999999" x14ac:dyDescent="0.35">
      <c r="K38" s="259"/>
      <c r="L38" s="249"/>
      <c r="M38" s="14"/>
      <c r="N38" s="12"/>
      <c r="O38" s="12">
        <f>SUM(O32:O37)</f>
        <v>85186.8</v>
      </c>
      <c r="P38" s="39" t="s">
        <v>23</v>
      </c>
      <c r="Q38" s="14"/>
      <c r="R38">
        <f>R36*R37</f>
        <v>3.7088000000000001</v>
      </c>
      <c r="S38"/>
      <c r="T38" s="238"/>
      <c r="X38" s="231"/>
    </row>
    <row r="39" spans="1:24" s="230" customFormat="1" ht="17.399999999999999" x14ac:dyDescent="0.35">
      <c r="L39" s="249"/>
      <c r="M39" s="253" t="s">
        <v>33</v>
      </c>
      <c r="N39" s="12"/>
      <c r="O39" s="254">
        <f>O38*2.2</f>
        <v>187410.96000000002</v>
      </c>
      <c r="P39" s="14" t="s">
        <v>138</v>
      </c>
      <c r="Q39" s="14"/>
      <c r="R39" s="40">
        <f>P30/R38</f>
        <v>0.79400345125107841</v>
      </c>
      <c r="S39"/>
      <c r="T39" s="256"/>
    </row>
    <row r="40" spans="1:24" s="230" customFormat="1" ht="17.399999999999999" x14ac:dyDescent="0.35">
      <c r="G40"/>
      <c r="H40" s="259"/>
      <c r="I40" s="259"/>
      <c r="J40" s="259"/>
      <c r="K40" s="230">
        <v>30570</v>
      </c>
      <c r="L40" s="249"/>
      <c r="M40" s="14"/>
      <c r="N40" s="12"/>
      <c r="O40" s="12">
        <f>O39/P28</f>
        <v>76369.584352078251</v>
      </c>
      <c r="P40" s="45" t="s">
        <v>24</v>
      </c>
      <c r="Q40" s="14"/>
      <c r="R40" s="14"/>
      <c r="S40"/>
      <c r="T40" s="238"/>
      <c r="U40" s="59" t="s">
        <v>155</v>
      </c>
      <c r="V40" s="291">
        <v>43650</v>
      </c>
    </row>
    <row r="41" spans="1:24" s="230" customFormat="1" ht="17.399999999999999" x14ac:dyDescent="0.35">
      <c r="G41"/>
      <c r="K41" s="230">
        <f>K40/1.19</f>
        <v>25689.0756302521</v>
      </c>
      <c r="L41" s="249"/>
      <c r="M41" s="13"/>
      <c r="N41" s="14"/>
      <c r="O41" s="17">
        <f>O39/O38</f>
        <v>2.2000000000000002</v>
      </c>
      <c r="P41" s="15"/>
      <c r="Q41"/>
      <c r="R41"/>
      <c r="S41"/>
      <c r="T41" s="238"/>
      <c r="U41" s="59" t="s">
        <v>157</v>
      </c>
      <c r="V41" s="292" t="s">
        <v>156</v>
      </c>
      <c r="W41" s="59">
        <v>2.4</v>
      </c>
    </row>
    <row r="42" spans="1:24" s="230" customFormat="1" ht="17.399999999999999" x14ac:dyDescent="0.35">
      <c r="G42" s="23"/>
      <c r="L42" s="12"/>
      <c r="T42" s="238"/>
      <c r="U42" s="59" t="s">
        <v>158</v>
      </c>
      <c r="V42" s="293">
        <v>395.37</v>
      </c>
    </row>
    <row r="43" spans="1:24" s="230" customFormat="1" ht="17.399999999999999" x14ac:dyDescent="0.35">
      <c r="B43"/>
      <c r="C43" s="228"/>
      <c r="D43" s="22"/>
      <c r="E43" s="22"/>
      <c r="F43" s="21"/>
      <c r="G43" s="23"/>
      <c r="L43" s="12"/>
      <c r="T43" s="238"/>
      <c r="U43" s="59" t="s">
        <v>153</v>
      </c>
      <c r="V43" s="59">
        <v>474.45</v>
      </c>
    </row>
    <row r="44" spans="1:24" ht="14.4" customHeight="1" x14ac:dyDescent="0.3">
      <c r="L44" s="12"/>
      <c r="U44" s="59"/>
      <c r="V44" s="59"/>
    </row>
    <row r="45" spans="1:24" x14ac:dyDescent="0.3">
      <c r="L45" s="249"/>
    </row>
    <row r="46" spans="1:24" x14ac:dyDescent="0.3">
      <c r="L46" s="249"/>
      <c r="T46" s="269"/>
    </row>
    <row r="47" spans="1:24" x14ac:dyDescent="0.3">
      <c r="L47" s="249"/>
    </row>
    <row r="48" spans="1:24" ht="15" customHeight="1" x14ac:dyDescent="0.3"/>
    <row r="50" spans="15:20" x14ac:dyDescent="0.3">
      <c r="O50">
        <v>40935</v>
      </c>
      <c r="P50" t="s">
        <v>16</v>
      </c>
      <c r="Q50" t="s">
        <v>26</v>
      </c>
    </row>
    <row r="52" spans="15:20" x14ac:dyDescent="0.3">
      <c r="O52" s="54"/>
      <c r="P52" s="54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4" spans="15:20" x14ac:dyDescent="0.3">
      <c r="O64" s="43"/>
    </row>
    <row r="65" spans="3:15" x14ac:dyDescent="0.3">
      <c r="O65" s="43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145</v>
      </c>
    </row>
    <row r="76" spans="3:15" x14ac:dyDescent="0.3">
      <c r="C76" t="s">
        <v>144</v>
      </c>
    </row>
    <row r="79" spans="3:15" x14ac:dyDescent="0.3">
      <c r="C79" t="s">
        <v>144</v>
      </c>
    </row>
    <row r="156" spans="3:3" x14ac:dyDescent="0.3">
      <c r="C156" t="s">
        <v>144</v>
      </c>
    </row>
    <row r="157" spans="3:3" x14ac:dyDescent="0.3">
      <c r="C157" t="s">
        <v>146</v>
      </c>
    </row>
    <row r="158" spans="3:3" x14ac:dyDescent="0.3">
      <c r="C158" t="s">
        <v>147</v>
      </c>
    </row>
    <row r="583" spans="3:3" x14ac:dyDescent="0.3">
      <c r="C583" t="s">
        <v>144</v>
      </c>
    </row>
  </sheetData>
  <mergeCells count="1">
    <mergeCell ref="B19:H19"/>
  </mergeCells>
  <phoneticPr fontId="32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46078</v>
      </c>
    </row>
    <row r="6" spans="2:31" ht="16.2" thickBot="1" x14ac:dyDescent="0.35">
      <c r="B6" s="140" t="s">
        <v>2</v>
      </c>
      <c r="C6" s="139" t="str">
        <f>'2229'!C10</f>
        <v>GUTHIER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5" t="s">
        <v>98</v>
      </c>
      <c r="I7" s="436"/>
      <c r="J7" s="436"/>
      <c r="K7" s="437"/>
      <c r="N7" s="75"/>
      <c r="O7" s="434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12008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4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-17067.255033454105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'2229'!H26</f>
        <v>207411</v>
      </c>
      <c r="E11" s="132">
        <f>D11*0.19</f>
        <v>39408.090000000004</v>
      </c>
      <c r="F11" s="131">
        <f>E11+D11</f>
        <v>246819.09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88922.744966545899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63640.890787439617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70922.744966545899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143770.10921256038</v>
      </c>
      <c r="E13" s="221">
        <f>(D11/D12)-1</f>
        <v>2.2590838599785177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61922.744966545899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22922.744966545895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105007.46979927536</v>
      </c>
      <c r="F15" s="216">
        <f>E15-D12</f>
        <v>41366.579011835747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22922.744966545895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62922.744966545899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'2229'!O33</f>
        <v>23500</v>
      </c>
      <c r="E19" s="123">
        <f>D19*0.19</f>
        <v>4465</v>
      </c>
      <c r="F19" s="120">
        <f>SUM(D19:E19)</f>
        <v>27965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'2229'!O32</f>
        <v>10306.799999999999</v>
      </c>
      <c r="E20" s="121">
        <f>D20*0.19</f>
        <v>1958.2919999999999</v>
      </c>
      <c r="F20" s="120">
        <f>SUM(D20:E20)</f>
        <v>12265.091999999999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33806.800000000003</v>
      </c>
      <c r="E21" s="116">
        <f>SUM(E18:E20)</f>
        <v>6423.2919999999995</v>
      </c>
      <c r="F21" s="115">
        <f>SUM(F18:F20)</f>
        <v>40230.091999999997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32984.798000000003</v>
      </c>
    </row>
    <row r="41" spans="2:16" ht="15" thickBot="1" x14ac:dyDescent="0.35">
      <c r="H41" s="438" t="s">
        <v>60</v>
      </c>
      <c r="I41" s="439"/>
      <c r="J41" s="439"/>
      <c r="K41" s="439"/>
      <c r="L41" s="439"/>
      <c r="M41" s="440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207411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33806.800000000003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143770.10921256038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143770.10921256038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12008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GUTHIER</v>
      </c>
      <c r="D10" s="350"/>
      <c r="E10" s="350"/>
      <c r="F10" s="351" t="s">
        <v>167</v>
      </c>
      <c r="G10" s="352">
        <f>'2229'!G10</f>
        <v>46078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46085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>YEREMY</v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+56 9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1" t="s">
        <v>175</v>
      </c>
      <c r="G17" s="441"/>
      <c r="H17" s="442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3" t="s">
        <v>176</v>
      </c>
      <c r="C20" s="444"/>
      <c r="D20" s="444"/>
      <c r="E20" s="444"/>
      <c r="F20" s="444"/>
      <c r="G20" s="444"/>
      <c r="H20" s="445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tr">
        <f>'2229'!C21</f>
        <v>CUB SIN RESPALDO FRENTE 90° R8</v>
      </c>
      <c r="D22" s="321">
        <f>'2229'!D21*1000</f>
        <v>1500</v>
      </c>
      <c r="E22" s="321">
        <f>'2229'!E21*1000</f>
        <v>600</v>
      </c>
      <c r="F22" s="322" t="str">
        <f>'2229'!F21</f>
        <v>GRANITO KOMBI 0670 BR F6</v>
      </c>
      <c r="G22" s="314">
        <f>'2229'!G21</f>
        <v>72398</v>
      </c>
      <c r="H22" s="323">
        <f>G22*B22</f>
        <v>72398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72398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13755.62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86153.62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6" t="s">
        <v>182</v>
      </c>
      <c r="C2" s="446"/>
      <c r="D2" s="446"/>
      <c r="E2" s="361"/>
      <c r="G2" s="446" t="s">
        <v>183</v>
      </c>
      <c r="H2" s="446"/>
      <c r="I2" s="446"/>
      <c r="P2" s="447" t="s">
        <v>184</v>
      </c>
      <c r="Q2" s="447"/>
      <c r="R2" s="447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47" t="s">
        <v>184</v>
      </c>
      <c r="M8" s="447"/>
      <c r="N8" s="447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2" t="s">
        <v>265</v>
      </c>
      <c r="L3" s="452"/>
      <c r="M3" s="452" t="s">
        <v>266</v>
      </c>
      <c r="N3" s="452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GUTHIER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46078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46085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3" t="s">
        <v>265</v>
      </c>
      <c r="B10" s="453"/>
      <c r="C10" s="453"/>
      <c r="D10" s="453"/>
      <c r="E10" s="453"/>
      <c r="F10" s="453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3" t="s">
        <v>266</v>
      </c>
      <c r="B17" s="453"/>
      <c r="C17" s="453"/>
      <c r="D17" s="453"/>
      <c r="E17" s="453"/>
      <c r="F17" s="453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3" t="s">
        <v>272</v>
      </c>
      <c r="B45" s="453"/>
      <c r="C45" s="453"/>
      <c r="D45" s="453"/>
      <c r="E45" s="453"/>
      <c r="F45" s="453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48" t="s">
        <v>95</v>
      </c>
      <c r="C47" s="449"/>
      <c r="D47" s="450"/>
      <c r="E47" s="450"/>
      <c r="F47" s="451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12008</v>
      </c>
      <c r="C2" s="1">
        <f>'NOTA DE VENTA'!$G$10</f>
        <v>46078</v>
      </c>
      <c r="D2" s="1">
        <f>'NOTA DE VENTA'!$G$11</f>
        <v>46085</v>
      </c>
      <c r="E2" t="str">
        <f>'NOTA DE VENTA'!$C$10</f>
        <v>GUTHIER</v>
      </c>
      <c r="F2" t="str">
        <f>'NOTA DE VENTA'!$C$22</f>
        <v>CUB SIN RESPALDO FRENTE 90° R8</v>
      </c>
      <c r="G2" t="str">
        <f>'NOTA DE VENTA'!$F$22</f>
        <v>GRANITO KOMBI 0670 BR F6</v>
      </c>
      <c r="H2" s="416">
        <f>'NOTA DE VENTA'!$H$25</f>
        <v>72398</v>
      </c>
      <c r="I2" s="416">
        <f>H2*0.19</f>
        <v>13755.62</v>
      </c>
      <c r="J2" s="416">
        <f>I2+H2</f>
        <v>86153.62</v>
      </c>
      <c r="L2" s="61">
        <f>J2-K2</f>
        <v>86153.62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2026-02-25T20:50:44Z</cp:lastPrinted>
  <dcterms:created xsi:type="dcterms:W3CDTF">2013-03-18T13:35:42Z</dcterms:created>
  <dcterms:modified xsi:type="dcterms:W3CDTF">2026-02-25T23:49:57Z</dcterms:modified>
</cp:coreProperties>
</file>