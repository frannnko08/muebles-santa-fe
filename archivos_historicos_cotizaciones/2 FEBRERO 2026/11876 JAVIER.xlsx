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ED26F455-3FC1-48A1-B793-B157ADC14D13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P26" i="1"/>
  <c r="L22" i="1"/>
  <c r="M22" i="1"/>
  <c r="N22" i="1"/>
  <c r="O22" i="1"/>
  <c r="P22" i="1" s="1"/>
  <c r="S22" i="1"/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6" i="1" l="1"/>
  <c r="S27" i="1"/>
  <c r="T25" i="1"/>
  <c r="O21" i="1"/>
  <c r="P21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R22" i="1" l="1"/>
  <c r="G22" i="1"/>
  <c r="H22" i="1" s="1"/>
  <c r="O40" i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<sst xmlns="http://schemas.openxmlformats.org/spreadsheetml/2006/main" count="488" uniqueCount="295">
  <si>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</si>
  <si>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</si>
  <si>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</si>
  <si>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</si>
  <si>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</si>
  <si>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</si>
  <si>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</si>
  <si>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</si>
  <si>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</si>
  <si>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</si>
  <si>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</si>
  <si>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</si>
  <si>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</si>
  <si>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</si>
  <si>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</si>
  <si>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</si>
  <si>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</si>
  <si>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</si>
  <si>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</si>
  <si>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</si>
  <si>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</si>
  <si>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</si>
  <si>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</si>
  <si>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</si>
  <si>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</si>
  <si>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</si>
  <si>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</si>
  <si>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</si>
  <si>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</si>
  <si>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</si>
  <si>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</si>
  <si>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</si>
  <si>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</si>
  <si>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</si>
  <si>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</si>
  <si>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</si>
  <si>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</si>
  <si>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</si>
  <si>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</si>
  <si>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</si>
  <si>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</si>
  <si>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</si>
  <si>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</si>
  <si>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</si>
  <si>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</si>
  <si>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</si>
  <si>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</si>
  <si>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</si>
  <si>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</si>
  <si>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</si>
  <si>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</si>
  <si>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</si>
  <si>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</si>
  <si>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</si>
  <si>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</si>
  <si>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</si>
  <si>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</si>
  <si>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</si>
  <si>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</si>
  <si>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</si>
  <si>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</si>
  <si>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</si>
  <si>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</si>
  <si>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</si>
  <si>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</si>
  <si>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</si>
  <si>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</si>
  <si>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</si>
  <si>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</si>
  <si>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</si>
  <si>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</si>
  <si>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</si>
  <si>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</si>
  <si>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</si>
  <si>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</si>
  <si>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</si>
  <si>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</si>
  <si>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</si>
  <si>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</si>
  <si>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</si>
  <si>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</si>
  <si>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</si>
  <si>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</si>
  <si>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</si>
  <si>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</si>
  <si>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</si>
  <si>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</si>
  <si>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</si>
  <si>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</si>
  <si>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</si>
  <si>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</si>
  <si>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</si>
  <si>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</si>
  <si>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</si>
  <si>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</si>
  <si>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</si>
  <si>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</si>
  <si>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</si>
  <si>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</si>
  <si>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</si>
  <si>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</si>
  <si>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</si>
  <si>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</si>
  <si>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</si>
  <si>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</si>
  <si>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</si>
  <si>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</si>
  <si>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</si>
  <si>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</si>
  <si>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</si>
  <si>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</si>
  <si>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</si>
  <si>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</si>
  <si>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</si>
  <si>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</si>
  <si>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</si>
  <si>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</si>
  <si>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</si>
  <si>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</si>
  <si>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</si>
  <si>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</si>
  <si>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</si>
  <si>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</si>
  <si>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</si>
  <si>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</si>
  <si>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</si>
  <si>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</si>
  <si>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</si>
  <si>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</si>
  <si>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</si>
  <si>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</si>
  <si>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</si>
  <si>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</si>
  <si>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</si>
  <si>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</si>
  <si>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</si>
  <si>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</si>
  <si>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</si>
  <si>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</si>
  <si>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</si>
  <si>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</si>
  <si>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</si>
  <si>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</si>
  <si>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</si>
  <si>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</si>
  <si>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</si>
  <si>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</si>
  <si>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</si>
  <si>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</si>
  <si>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</si>
  <si>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</si>
  <si>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</si>
  <si>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</si>
  <si>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</si>
  <si>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</si>
  <si>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</si>
  <si>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</si>
  <si>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</si>
  <si>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</si>
  <si>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</si>
  <si>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</si>
  <si>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</si>
  <si>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</si>
  <si>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</si>
  <si>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</si>
  <si>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</si>
  <si>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</si>
  <si>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</si>
  <si>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</si>
  <si>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</si>
  <si>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</si>
  <si>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</si>
  <si>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</si>
  <si>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</si>
  <si>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</si>
  <si>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</si>
  <si>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</si>
  <si>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</si>
  <si>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</si>
  <si>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</si>
  <si>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</si>
  <si>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</si>
  <si>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</si>
  <si>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</si>
  <si>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</si>
  <si>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</si>
  <si>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</si>
  <si>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</si>
  <si>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</si>
  <si>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</si>
  <si>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</si>
  <si>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</si>
  <si>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</si>
  <si>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</si>
  <si>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</si>
  <si>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</si>
  <si>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</si>
  <si>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</si>
  <si>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</si>
  <si>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</si>
  <si>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</si>
  <si>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</si>
  <si>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</si>
  <si>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</si>
  <si>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</si>
  <si>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</si>
  <si>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</si>
  <si>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</si>
  <si>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</si>
  <si>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</si>
  <si>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</si>
  <si>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</si>
  <si>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</si>
  <si>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</si>
  <si>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</si>
  <si>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</si>
  <si>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</si>
  <si>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</si>
  <si>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</si>
  <si>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</si>
  <si>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</si>
  <si>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</si>
  <si>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</si>
  <si>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</si>
  <si>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</si>
  <si>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</si>
  <si>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</si>
  <si>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</si>
  <si>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</si>
  <si>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</si>
  <si>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</si>
  <si>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</si>
  <si>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</si>
  <si>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</si>
  <si>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</si>
  <si>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</si>
  <si>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</si>
  <si>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</si>
  <si>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</si>
  <si>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</si>
  <si>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</si>
  <si>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</si>
  <si>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</si>
  <si>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</si>
  <si>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</si>
  <si>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</si>
  <si>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</si>
  <si>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</si>
  <si>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</si>
  <si>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</si>
  <si>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</si>
  <si>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</si>
  <si>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</si>
  <si>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</si>
  <si>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</si>
  <si>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</si>
  <si>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</si>
  <si>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</si>
  <si>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</si>
  <si>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</si>
  <si>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</si>
  <si>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</si>
  <si>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</si>
  <si>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</si>
  <si>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</si>
  <si>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</si>
  <si>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</si>
  <si>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</si>
  <si>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</si>
  <si>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</si>
  <si>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</si>
  <si>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</si>
  <si>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</si>
  <si>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</si>
  <si>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</si>
  <si>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</si>
  <si>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</si>
  <si>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</si>
  <si>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</si>
  <si>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</si>
  <si>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</si>
  <si>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</si>
  <si>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</si>
  <si>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</si>
  <si>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</si>
  <si>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</si>
  <si>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</si>
  <si>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</si>
  <si>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</si>
  <si>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</si>
  <si>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 xml:space="preserve">CUB MESA 3 LADOS </t>
  </si>
  <si>
    <t>WHITE MARBLE</t>
  </si>
  <si>
    <t>JAVIER</t>
  </si>
  <si>
    <t>N° 11876</t>
  </si>
  <si>
    <t>+56 9 2633 8483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</si>
</sst>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</a:t>
          </a:r>
          <a:r>
            <a:rPr lang="es-CL" sz="1200" b="1" baseline="0"/>
            <a:t> SOBREMEDIDAS EN EL LARGO</a:t>
          </a:r>
        </a:p>
        <a:p>
          <a:pPr algn="l"/>
          <a:r>
            <a:rPr lang="es-CL" sz="1200" b="1" baseline="0"/>
            <a:t>CUB MESA 3 LADOS VA POSTFORMADA EN 2 LADOS AL LARGO Y 1 AL ANCHO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1" zoomScale="93" zoomScaleNormal="93" workbookViewId="0">
      <selection activeCell="C28" sqref="C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8" t="s">
        <v>277</v>
      </c>
      <c r="G10" s="275">
        <v>46059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294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80351.988648766637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289</v>
      </c>
      <c r="D21" s="432">
        <v>2.35</v>
      </c>
      <c r="E21" s="432">
        <v>0.6</v>
      </c>
      <c r="F21" s="313" t="s">
        <v>291</v>
      </c>
      <c r="G21" s="314">
        <f>Q21</f>
        <v>126915.96607072691</v>
      </c>
      <c r="H21" s="433">
        <f>G21*B21</f>
        <v>126915.96607072691</v>
      </c>
      <c r="I21" s="306"/>
      <c r="J21" s="264"/>
      <c r="K21" s="47"/>
      <c r="L21" s="47">
        <f>B21</f>
        <v>1</v>
      </c>
      <c r="M21" s="39">
        <f>D21+M$19</f>
        <v>2.4300000000000002</v>
      </c>
      <c r="N21" s="39">
        <f>E21+$N$19</f>
        <v>0.65</v>
      </c>
      <c r="O21" s="260">
        <f t="shared" ref="O21" si="0">M21*N21</f>
        <v>1.5795000000000001</v>
      </c>
      <c r="P21" s="258">
        <f t="shared" ref="P21" si="1">O21*L21</f>
        <v>1.5795000000000001</v>
      </c>
      <c r="Q21" s="251">
        <f t="shared" ref="Q21" si="2">Q$20*O21</f>
        <v>126915.96607072691</v>
      </c>
      <c r="R21" s="305">
        <f t="shared" ref="R21" si="3">Q21+R$20</f>
        <v>129915.96607072691</v>
      </c>
      <c r="S21" s="290">
        <f>M21*L21*2</f>
        <v>4.8600000000000003</v>
      </c>
      <c r="T21" s="46">
        <f>N21*2*L21*2</f>
        <v>2.6</v>
      </c>
      <c r="U21" s="9"/>
      <c r="X21" s="4"/>
    </row>
    <row r="22" spans="1:25" ht="18" thickBot="1" x14ac:dyDescent="0.35">
      <c r="B22" s="434">
        <v>1</v>
      </c>
      <c r="C22" s="435" t="s">
        <v>290</v>
      </c>
      <c r="D22" s="436">
        <v>1.5</v>
      </c>
      <c r="E22" s="436">
        <v>0.4</v>
      </c>
      <c r="F22" s="437" t="s">
        <v>291</v>
      </c>
      <c r="G22" s="438">
        <f>Q22</f>
        <v>57130.263929273082</v>
      </c>
      <c r="H22" s="439">
        <f>G22*B22</f>
        <v>57130.263929273082</v>
      </c>
      <c r="I22" s="306"/>
      <c r="J22" s="264"/>
      <c r="K22" s="47"/>
      <c r="L22" s="47">
        <f>B22</f>
        <v>1</v>
      </c>
      <c r="M22" s="39">
        <f>D22+M$19</f>
        <v>1.58</v>
      </c>
      <c r="N22" s="39">
        <f>E22+$N$19</f>
        <v>0.45</v>
      </c>
      <c r="O22" s="260">
        <f t="shared" ref="O22" si="4">M22*N22</f>
        <v>0.71100000000000008</v>
      </c>
      <c r="P22" s="258">
        <f t="shared" ref="P22" si="5">O22*L22</f>
        <v>0.71100000000000008</v>
      </c>
      <c r="Q22" s="251">
        <f t="shared" ref="Q22" si="6">Q$20*O22</f>
        <v>57130.263929273082</v>
      </c>
      <c r="R22" s="305">
        <f t="shared" ref="R22" si="7">Q22+R$20</f>
        <v>60130.263929273082</v>
      </c>
      <c r="S22" s="290">
        <f>M22*L22*2</f>
        <v>3.16</v>
      </c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283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SUM(H21:H24)</f>
        <v>184046.22999999998</v>
      </c>
      <c r="I25" s="308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0"/>
      <c r="T25" s="46">
        <f>SUM(T21:T24)</f>
        <v>2.6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34968.7837</v>
      </c>
      <c r="I26" s="308"/>
      <c r="J26" s="264"/>
      <c r="K26" s="47"/>
      <c r="L26" s="47"/>
      <c r="M26" s="39">
        <f>SUM(M21:M25)</f>
        <v>4.01</v>
      </c>
      <c r="N26" s="12"/>
      <c r="O26" s="12"/>
      <c r="P26" s="252">
        <f>SUM(P21:P23)</f>
        <v>2.2905000000000002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219015.01369999998</v>
      </c>
      <c r="I27" s="308"/>
      <c r="J27" s="264"/>
      <c r="K27" s="47"/>
      <c r="L27" s="47"/>
      <c r="M27" s="39"/>
      <c r="N27" s="12"/>
      <c r="O27" s="12"/>
      <c r="P27" s="252">
        <f>P26</f>
        <v>2.2905000000000002</v>
      </c>
      <c r="Q27" s="14"/>
      <c r="R27" s="12"/>
      <c r="S27" s="239">
        <f>SUM(S21:S26)</f>
        <v>8.02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0.45810000000000006</v>
      </c>
      <c r="Q28" s="39" t="s">
        <v>129</v>
      </c>
      <c r="R28" s="42"/>
      <c r="S28" s="240">
        <f>S27+T25</f>
        <v>10.62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2.7486000000000002</v>
      </c>
      <c r="Q29" s="14"/>
      <c r="R29" s="14"/>
      <c r="S29" s="238">
        <f>S28*20%</f>
        <v>2.1240000000000001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12.744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2.7486000000000002</v>
      </c>
      <c r="N31" s="12">
        <v>3500</v>
      </c>
      <c r="O31" s="12">
        <f t="shared" ref="O31:O36" si="8">M31*N31</f>
        <v>9620.1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0.8</v>
      </c>
      <c r="N32" s="12">
        <v>23500</v>
      </c>
      <c r="O32" s="12">
        <f t="shared" si="8"/>
        <v>18800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8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48000</v>
      </c>
      <c r="O34" s="12">
        <f t="shared" si="8"/>
        <v>48000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8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2.4</v>
      </c>
      <c r="N36" s="12">
        <v>1500</v>
      </c>
      <c r="O36" s="12">
        <f t="shared" si="8"/>
        <v>3600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80020.100000000006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O37*2.3</f>
        <v>184046.23</v>
      </c>
      <c r="P38" s="14" t="s">
        <v>138</v>
      </c>
      <c r="Q38" s="14"/>
      <c r="R38" s="40">
        <f>P29/R37</f>
        <v>0.74110224331320107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80351.988648766637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2.2999999999999998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46059</v>
      </c>
    </row>
    <row r="6" spans="2:31" ht="16.2" thickBot="1" x14ac:dyDescent="0.35">
      <c r="B6" s="140" t="s">
        <v>2</v>
      </c>
      <c r="C6" s="139" t="str">
        <f>'2229'!C10</f>
        <v>JAVIER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11876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-14654.469200120771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184046.22999999998</v>
      </c>
      <c r="E11" s="132">
        <f>D11*0.19</f>
        <v>34968.7837</v>
      </c>
      <c r="F11" s="131">
        <f>E11+D11</f>
        <v>219015.01369999998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91335.530799879227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58254.190787439613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73335.530799879227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125792.03921256037</v>
      </c>
      <c r="E13" s="221">
        <f>(D11/D12)-1</f>
        <v>2.1593646313199293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64335.530799879227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25335.530799879227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96119.414799275357</v>
      </c>
      <c r="F15" s="216">
        <f>E15-D12</f>
        <v>37865.224011835744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25335.530799879227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65335.530799879227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9620.1</v>
      </c>
      <c r="E20" s="121">
        <f>D20*0.19</f>
        <v>1827.8190000000002</v>
      </c>
      <c r="F20" s="120">
        <f>SUM(D20:E20)</f>
        <v>11447.919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28420.1</v>
      </c>
      <c r="E21" s="116">
        <f>SUM(E18:E20)</f>
        <v>5399.8190000000004</v>
      </c>
      <c r="F21" s="115">
        <f>SUM(F18:F20)</f>
        <v>33819.919000000002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29568.9647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184046.22999999998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28420.1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125792.03921256037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125792.03921256037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11876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JAVIER</v>
      </c>
      <c r="D10" s="350"/>
      <c r="E10" s="350"/>
      <c r="F10" s="351" t="s">
        <v>167</v>
      </c>
      <c r="G10" s="352">
        <f>'2229'!G10</f>
        <v>46059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+56 9 2633 8483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2350</v>
      </c>
      <c r="E22" s="321">
        <f>'2229'!E21*1000</f>
        <v>600</v>
      </c>
      <c r="F22" s="322" t="str">
        <f>'2229'!F21</f>
        <v>WHITE MARBLE</v>
      </c>
      <c r="G22" s="314">
        <f>'2229'!G21</f>
        <v>126915.96607072691</v>
      </c>
      <c r="H22" s="323">
        <f>G22*B22</f>
        <v>126915.96607072691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126915.96607072691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24114.033553438112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151029.99962416501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1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JAVIER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11876</v>
      </c>
      <c r="C2" s="1">
        <f>'NOTA DE VENTA'!$G$10</f>
        <v>46059</v>
      </c>
      <c r="D2" s="1">
        <f>'NOTA DE VENTA'!$G$11</f>
        <v>46066</v>
      </c>
      <c r="E2" t="str">
        <f>'NOTA DE VENTA'!$C$10</f>
        <v>JAVIER</v>
      </c>
      <c r="F2" t="str">
        <f>'NOTA DE VENTA'!$C$22</f>
        <v>CUB CON RESPALDO FTE 90°</v>
      </c>
      <c r="G2" t="str">
        <f>'NOTA DE VENTA'!$F$22</f>
        <v>WHITE MARBLE</v>
      </c>
      <c r="H2" s="416">
        <f>'NOTA DE VENTA'!$H$25</f>
        <v>126915.96607072691</v>
      </c>
      <c r="I2" s="416">
        <f>H2*0.19</f>
        <v>24114.033553438112</v>
      </c>
      <c r="J2" s="416">
        <f>I2+H2</f>
        <v>151029.99962416501</v>
      </c>
      <c r="L2" s="61">
        <f>J2-K2</f>
        <v>151029.99962416501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2026-02-06T18:54:57Z</cp:lastPrinted>
  <dcterms:created xsi:type="dcterms:W3CDTF">2013-03-18T13:35:42Z</dcterms:created>
  <dcterms:modified xsi:type="dcterms:W3CDTF">2026-02-06T18:56:00Z</dcterms:modified>
</cp:coreProperties>
</file>