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2 FEBRERO 2026\"/>
    </mc:Choice>
  </mc:AlternateContent>
  <xr:revisionPtr revIDLastSave="0" documentId="13_ncr:1_{F3F675AA-B9CD-4417-B216-509911C31458}" xr6:coauthVersionLast="47" xr6:coauthVersionMax="47" xr10:uidLastSave="{00000000-0000-0000-0000-000000000000}"/>
  <bookViews>
    <workbookView xWindow="-20610" yWindow="1635" windowWidth="20730" windowHeight="11040" activeTab="1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3" l="1"/>
  <c r="E19" i="3"/>
  <c r="F19" i="3"/>
  <c r="L21" i="1"/>
  <c r="J40" i="1"/>
  <c r="K34" i="1"/>
  <c r="K35" i="1" s="1"/>
  <c r="M21" i="1" l="1"/>
  <c r="S21" i="1" s="1"/>
  <c r="N21" i="1"/>
  <c r="O21" i="1" l="1"/>
  <c r="P21" i="1" s="1"/>
  <c r="P25" i="1" s="1"/>
  <c r="S26" i="1"/>
  <c r="M25" i="1"/>
  <c r="T24" i="1"/>
  <c r="K39" i="1"/>
  <c r="S27" i="1" l="1"/>
  <c r="S28" i="1" s="1"/>
  <c r="S29" i="1" s="1"/>
  <c r="V32" i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20" i="3"/>
  <c r="K21" i="3"/>
  <c r="A22" i="3"/>
  <c r="B24" i="3" s="1"/>
  <c r="D24" i="3" s="1"/>
  <c r="K22" i="3"/>
  <c r="A23" i="3"/>
  <c r="B25" i="3" s="1"/>
  <c r="D25" i="3" s="1"/>
  <c r="F25" i="3" s="1"/>
  <c r="K23" i="3"/>
  <c r="A24" i="3"/>
  <c r="B26" i="3" s="1"/>
  <c r="D26" i="3" s="1"/>
  <c r="F26" i="3" s="1"/>
  <c r="K24" i="3"/>
  <c r="I26" i="3"/>
  <c r="K26" i="3" s="1"/>
  <c r="B27" i="3"/>
  <c r="D27" i="3" s="1"/>
  <c r="F27" i="3" s="1"/>
  <c r="K27" i="3"/>
  <c r="B28" i="3"/>
  <c r="D28" i="3" s="1"/>
  <c r="F28" i="3" s="1"/>
  <c r="K28" i="3"/>
  <c r="B29" i="3"/>
  <c r="D29" i="3" s="1"/>
  <c r="F29" i="3" s="1"/>
  <c r="K29" i="3"/>
  <c r="B30" i="3"/>
  <c r="D30" i="3" s="1"/>
  <c r="F30" i="3" s="1"/>
  <c r="I30" i="3"/>
  <c r="K30" i="3" s="1"/>
  <c r="F31" i="3"/>
  <c r="I31" i="3"/>
  <c r="K31" i="3" s="1"/>
  <c r="B32" i="3"/>
  <c r="D32" i="3" s="1"/>
  <c r="F32" i="3" s="1"/>
  <c r="I32" i="3"/>
  <c r="K32" i="3" s="1"/>
  <c r="B33" i="3"/>
  <c r="M22" i="3" s="1"/>
  <c r="K33" i="3"/>
  <c r="E34" i="3"/>
  <c r="H39" i="3" s="1"/>
  <c r="K39" i="3" s="1"/>
  <c r="K34" i="3"/>
  <c r="K35" i="3"/>
  <c r="K36" i="3"/>
  <c r="I38" i="3"/>
  <c r="H38" i="3" l="1"/>
  <c r="K38" i="3" s="1"/>
  <c r="W20" i="3"/>
  <c r="L25" i="3"/>
  <c r="D36" i="3" s="1"/>
  <c r="Y20" i="3"/>
  <c r="Y21" i="3" s="1"/>
  <c r="Y22" i="3" s="1"/>
  <c r="H40" i="3"/>
  <c r="K40" i="3" s="1"/>
  <c r="D43" i="3"/>
  <c r="L9" i="3"/>
  <c r="D35" i="3" s="1"/>
  <c r="F24" i="3"/>
  <c r="D33" i="3"/>
  <c r="F33" i="3" s="1"/>
  <c r="A33" i="3"/>
  <c r="W21" i="3" l="1"/>
  <c r="W22" i="3" s="1"/>
  <c r="L37" i="3"/>
  <c r="D37" i="3" s="1"/>
  <c r="D39" i="3" s="1"/>
  <c r="M46" i="3" s="1"/>
  <c r="F34" i="3"/>
  <c r="M45" i="3" s="1"/>
  <c r="D34" i="3"/>
  <c r="D20" i="3" l="1"/>
  <c r="D18" i="3" l="1"/>
  <c r="E18" i="3" s="1"/>
  <c r="E20" i="3"/>
  <c r="F20" i="3" s="1"/>
  <c r="O35" i="1"/>
  <c r="O34" i="1"/>
  <c r="F18" i="3" l="1"/>
  <c r="O30" i="1" l="1"/>
  <c r="O36" i="1" s="1"/>
  <c r="O37" i="1" s="1"/>
  <c r="D21" i="3" l="1"/>
  <c r="E21" i="3" s="1"/>
  <c r="E22" i="3" s="1"/>
  <c r="O38" i="1" l="1"/>
  <c r="Q20" i="1" s="1"/>
  <c r="D22" i="3"/>
  <c r="M44" i="3" s="1"/>
  <c r="D12" i="3" s="1"/>
  <c r="F21" i="3"/>
  <c r="F22" i="3" s="1"/>
  <c r="Q21" i="1" l="1"/>
  <c r="G21" i="1" s="1"/>
  <c r="O39" i="1"/>
  <c r="E15" i="3"/>
  <c r="R21" i="1" l="1"/>
  <c r="H21" i="1"/>
  <c r="F15" i="3"/>
  <c r="H24" i="1" l="1"/>
  <c r="H25" i="1" s="1"/>
  <c r="H26" i="1" l="1"/>
  <c r="D11" i="3"/>
  <c r="X9" i="3" s="1"/>
  <c r="X15" i="3" s="1"/>
  <c r="D13" i="3" l="1"/>
  <c r="E13" i="3"/>
  <c r="X16" i="3"/>
  <c r="X11" i="3"/>
  <c r="X14" i="3"/>
  <c r="E11" i="3"/>
  <c r="D41" i="3" s="1"/>
  <c r="X13" i="3"/>
  <c r="X12" i="3"/>
  <c r="M43" i="3"/>
  <c r="M47" i="3" s="1"/>
  <c r="M50" i="3" s="1"/>
  <c r="F11" i="3" l="1"/>
</calcChain>
</file>

<file path=xl/sharedStrings.xml><?xml version="1.0" encoding="utf-8"?>
<sst xmlns="http://schemas.openxmlformats.org/spreadsheetml/2006/main" count="231" uniqueCount="176">
  <si>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</si>
  <si>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</si>
  <si>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</si>
  <si>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</si>
  <si>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</si>
  <si>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</si>
  <si>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</si>
  <si>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</si>
  <si>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</si>
  <si>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</si>
  <si>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</si>
  <si>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</si>
  <si>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</si>
  <si>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</si>
  <si>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</si>
  <si>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</si>
  <si>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</si>
  <si>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</si>
  <si>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</si>
  <si>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</si>
  <si>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</si>
  <si>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</si>
  <si>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</si>
  <si>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</si>
  <si>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</si>
  <si>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</si>
  <si>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</si>
  <si>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</si>
  <si>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</si>
  <si>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</si>
  <si>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</si>
  <si>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</si>
  <si>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</si>
  <si>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</si>
  <si>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</si>
  <si>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</si>
  <si>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</si>
  <si>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</si>
  <si>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</si>
  <si>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</si>
  <si>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</si>
  <si>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</si>
  <si>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</si>
  <si>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</si>
  <si>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</si>
  <si>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</si>
  <si>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</si>
  <si>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</si>
  <si>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</si>
  <si>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</si>
  <si>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</si>
  <si>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</si>
  <si>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</si>
  <si>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</si>
  <si>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</si>
  <si>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</si>
  <si>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</si>
  <si>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</si>
  <si>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</si>
  <si>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</si>
  <si>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</si>
  <si>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</si>
  <si>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</si>
  <si>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</si>
  <si>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</si>
  <si>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</si>
  <si>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</si>
  <si>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</si>
  <si>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</si>
  <si>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</si>
  <si>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</si>
  <si>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</si>
  <si>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</si>
  <si>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</si>
  <si>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</si>
  <si>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</si>
  <si>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</si>
  <si>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</si>
  <si>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</si>
  <si>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</si>
  <si>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</si>
  <si>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</si>
  <si>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</si>
  <si>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</si>
  <si>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</si>
  <si>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</si>
  <si>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</si>
  <si>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</si>
  <si>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</si>
  <si>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</si>
  <si>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</si>
  <si>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</si>
  <si>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</si>
  <si>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</si>
  <si>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</si>
  <si>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</si>
  <si>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</si>
  <si>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</si>
  <si>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</si>
  <si>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</si>
  <si>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</si>
  <si>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</si>
  <si>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</si>
  <si>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</si>
  <si>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</si>
  <si>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</si>
  <si>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</si>
  <si>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</si>
  <si>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</si>
  <si>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</si>
  <si>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</si>
  <si>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</si>
  <si>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</si>
  <si>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</si>
  <si>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</si>
  <si>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</si>
  <si>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</si>
  <si>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</si>
  <si>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</si>
  <si>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</si>
  <si>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</si>
  <si>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</si>
  <si>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</si>
  <si>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</si>
  <si>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</si>
  <si>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</si>
  <si>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</si>
  <si>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</si>
  <si>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</si>
  <si>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</si>
  <si>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</si>
  <si>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</si>
  <si>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</si>
  <si>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</si>
  <si>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</si>
  <si>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</si>
  <si>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</si>
  <si>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</si>
  <si>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</si>
  <si>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</si>
  <si>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</si>
  <si>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</si>
  <si>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</si>
  <si>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</si>
  <si>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</si>
  <si>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</si>
  <si>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</si>
  <si>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</si>
  <si>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</si>
  <si>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</si>
  <si>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</si>
  <si>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</si>
  <si>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</si>
  <si>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</si>
  <si>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</si>
  <si>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</si>
  <si>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</si>
  <si>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</si>
  <si>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</si>
  <si>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</si>
  <si>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</si>
  <si>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</si>
  <si>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</si>
  <si>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</si>
  <si>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</si>
  <si>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</si>
  <si>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</si>
  <si>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</si>
  <si>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</si>
  <si>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 xml:space="preserve">ORDEN DE COMPRA </t>
  </si>
  <si>
    <t>LAMINA 122X306</t>
  </si>
  <si>
    <t>5 DIAS HABILES</t>
  </si>
  <si>
    <t>N° 11865</t>
  </si>
  <si>
    <t>CUB C/R 90° R8</t>
  </si>
  <si>
    <t>GLACIAL WHITE 22191 SF</t>
  </si>
  <si>
    <t>LAMINA CHICA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</si>
</sst>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166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7" fontId="0" fillId="0" borderId="6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36</xdr:row>
      <xdr:rowOff>144780</xdr:rowOff>
    </xdr:from>
    <xdr:to>
      <xdr:col>6</xdr:col>
      <xdr:colOff>472440</xdr:colOff>
      <xdr:row>38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36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zoomScale="93" zoomScaleNormal="93" workbookViewId="0">
      <selection activeCell="A32" sqref="A32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172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166</v>
      </c>
      <c r="D10" s="243"/>
      <c r="E10" s="243"/>
      <c r="F10" s="244" t="s">
        <v>0</v>
      </c>
      <c r="G10" s="276">
        <v>46056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171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145</v>
      </c>
      <c r="C13" t="s">
        <v>167</v>
      </c>
      <c r="F13" t="s">
        <v>169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168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1:25" ht="15" thickBot="1" x14ac:dyDescent="0.35">
      <c r="B17" s="311" t="s">
        <v>13</v>
      </c>
      <c r="C17" s="312" t="s">
        <v>165</v>
      </c>
      <c r="D17" s="313"/>
      <c r="E17" s="119"/>
      <c r="F17" s="334" t="s">
        <v>164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61298.875739644966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</v>
      </c>
      <c r="C21" s="330" t="s">
        <v>173</v>
      </c>
      <c r="D21" s="333">
        <v>3.3</v>
      </c>
      <c r="E21" s="333">
        <v>0.6</v>
      </c>
      <c r="F21" s="330" t="s">
        <v>174</v>
      </c>
      <c r="G21" s="331">
        <f>Q21</f>
        <v>124314.12</v>
      </c>
      <c r="H21" s="331">
        <f t="shared" ref="H21" si="1">G21*B21</f>
        <v>124314.12</v>
      </c>
      <c r="I21" s="320"/>
      <c r="J21" s="265"/>
      <c r="K21" s="47"/>
      <c r="L21" s="332">
        <f>B21</f>
        <v>1</v>
      </c>
      <c r="M21" s="39">
        <f t="shared" ref="M21" si="2">D21+M$19</f>
        <v>3.38</v>
      </c>
      <c r="N21" s="39">
        <f t="shared" ref="N21" si="3">E21+$N$19</f>
        <v>0.6</v>
      </c>
      <c r="O21" s="261">
        <f t="shared" ref="O21" si="4">M21*N21</f>
        <v>2.028</v>
      </c>
      <c r="P21" s="259">
        <f t="shared" ref="P21" si="5">O21*L21</f>
        <v>2.028</v>
      </c>
      <c r="Q21" s="252">
        <f t="shared" ref="Q21" si="6">Q$20*O21</f>
        <v>124314.12</v>
      </c>
      <c r="R21" s="319">
        <f t="shared" ref="R21" si="7">Q21+R$20</f>
        <v>127314.12</v>
      </c>
      <c r="S21" s="297">
        <f>L21*M21</f>
        <v>3.38</v>
      </c>
      <c r="T21" s="46"/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20"/>
      <c r="H22" s="320"/>
      <c r="I22" s="320"/>
      <c r="J22" s="265"/>
      <c r="K22" s="47"/>
      <c r="L22" s="332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SUM(H21:H23)</f>
        <v>124314.12</v>
      </c>
      <c r="I24" s="322"/>
      <c r="J24" s="265"/>
      <c r="K24" s="47"/>
      <c r="L24" s="47"/>
      <c r="M24" s="39"/>
      <c r="N24" s="39"/>
      <c r="O24" s="261"/>
      <c r="P24" s="259"/>
      <c r="Q24" s="252"/>
      <c r="R24" s="258"/>
      <c r="S24" s="297"/>
      <c r="T24" s="46">
        <f>SUM(T21:T23)</f>
        <v>0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23619.682799999999</v>
      </c>
      <c r="I25" s="322"/>
      <c r="J25" s="265"/>
      <c r="K25" s="47"/>
      <c r="L25" s="47"/>
      <c r="M25" s="39">
        <f>SUM(M21:M24)</f>
        <v>3.38</v>
      </c>
      <c r="N25" s="12"/>
      <c r="O25" s="12"/>
      <c r="P25" s="253">
        <f>SUM(P21:P23)</f>
        <v>2.028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147933.8028</v>
      </c>
      <c r="I26" s="322"/>
      <c r="J26" s="265"/>
      <c r="K26" s="47"/>
      <c r="L26" s="47"/>
      <c r="M26" s="39"/>
      <c r="N26" s="12"/>
      <c r="O26" s="12"/>
      <c r="P26" s="253">
        <f>P25</f>
        <v>2.028</v>
      </c>
      <c r="Q26" s="14"/>
      <c r="R26" s="12"/>
      <c r="S26" s="239">
        <f>SUM(S21:S25)</f>
        <v>3.38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0.40560000000000002</v>
      </c>
      <c r="Q27" s="39" t="s">
        <v>130</v>
      </c>
      <c r="R27" s="42"/>
      <c r="S27" s="240">
        <f>S26+T24</f>
        <v>3.38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2.4336000000000002</v>
      </c>
      <c r="Q28" s="14"/>
      <c r="R28" s="14"/>
      <c r="S28" s="238">
        <f>S27*20%</f>
        <v>0.67600000000000005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4.056</v>
      </c>
      <c r="T29" s="14"/>
      <c r="U29" s="302" t="s">
        <v>21</v>
      </c>
      <c r="V29" s="299" t="s">
        <v>151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2.4336000000000002</v>
      </c>
      <c r="N30" s="12">
        <v>2000</v>
      </c>
      <c r="O30" s="12">
        <f t="shared" ref="O30:O35" si="8">M30*N30</f>
        <v>4867.2000000000007</v>
      </c>
      <c r="P30" s="14" t="s">
        <v>21</v>
      </c>
      <c r="Q30" s="14"/>
      <c r="R30" s="14"/>
      <c r="S30" s="241"/>
      <c r="T30" s="14"/>
      <c r="U30" s="302" t="s">
        <v>152</v>
      </c>
      <c r="V30" s="299">
        <v>3625</v>
      </c>
      <c r="W30" s="59" t="s">
        <v>153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0.6</v>
      </c>
      <c r="N31" s="12">
        <v>23500</v>
      </c>
      <c r="O31" s="12">
        <f t="shared" si="8"/>
        <v>14100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154</v>
      </c>
      <c r="X31" s="304"/>
    </row>
    <row r="32" spans="1:25" s="230" customFormat="1" ht="17.399999999999999" x14ac:dyDescent="0.35">
      <c r="B32" s="24" t="s">
        <v>150</v>
      </c>
      <c r="J32" s="262"/>
      <c r="K32" s="232">
        <v>1220</v>
      </c>
      <c r="L32" s="250"/>
      <c r="M32" s="14"/>
      <c r="N32" s="250">
        <v>23500</v>
      </c>
      <c r="O32" s="12">
        <f t="shared" si="8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155</v>
      </c>
      <c r="X32" s="59"/>
    </row>
    <row r="33" spans="2:24" s="230" customFormat="1" ht="17.399999999999999" x14ac:dyDescent="0.35">
      <c r="B33" s="24" t="s">
        <v>143</v>
      </c>
      <c r="C33"/>
      <c r="D33"/>
      <c r="E33"/>
      <c r="F33"/>
      <c r="J33" s="262">
        <v>32859</v>
      </c>
      <c r="K33" s="232">
        <v>230</v>
      </c>
      <c r="L33" s="250"/>
      <c r="M33" s="14">
        <v>1</v>
      </c>
      <c r="N33" s="250">
        <v>36850</v>
      </c>
      <c r="O33" s="12">
        <f t="shared" si="8"/>
        <v>36850</v>
      </c>
      <c r="P33" s="14" t="s">
        <v>170</v>
      </c>
      <c r="Q33" s="17"/>
      <c r="S33" s="238"/>
      <c r="T33" s="256"/>
      <c r="U33" s="59"/>
      <c r="V33" s="59">
        <f>V31+V32</f>
        <v>1087.5</v>
      </c>
      <c r="W33" s="304" t="s">
        <v>156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>
        <f>K32/K33</f>
        <v>5.3043478260869561</v>
      </c>
      <c r="L34" s="250"/>
      <c r="M34" s="249"/>
      <c r="N34" s="250">
        <v>15700</v>
      </c>
      <c r="O34" s="12">
        <f t="shared" si="8"/>
        <v>0</v>
      </c>
      <c r="P34" s="14" t="s">
        <v>32</v>
      </c>
      <c r="Q34" s="14"/>
      <c r="R34" s="230">
        <v>1.83</v>
      </c>
      <c r="S34" s="238"/>
      <c r="T34" s="238"/>
    </row>
    <row r="35" spans="2:24" s="230" customFormat="1" ht="17.399999999999999" x14ac:dyDescent="0.35">
      <c r="J35" s="293"/>
      <c r="K35" s="260" t="e">
        <f>#REF!/K34</f>
        <v>#REF!</v>
      </c>
      <c r="L35" s="250"/>
      <c r="M35" s="266">
        <v>3.38</v>
      </c>
      <c r="N35" s="12">
        <v>1000</v>
      </c>
      <c r="O35" s="12">
        <f t="shared" si="8"/>
        <v>3380</v>
      </c>
      <c r="P35" s="14" t="s">
        <v>22</v>
      </c>
      <c r="Q35" s="14"/>
      <c r="R35">
        <v>2.5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59197.2</v>
      </c>
      <c r="P36" s="39" t="s">
        <v>23</v>
      </c>
      <c r="Q36" s="14"/>
      <c r="R36">
        <f>R34*R35</f>
        <v>4.5750000000000002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O36*2.1</f>
        <v>124314.12</v>
      </c>
      <c r="P37" s="14" t="s">
        <v>140</v>
      </c>
      <c r="Q37" s="14"/>
      <c r="R37" s="40">
        <f>P28/R36</f>
        <v>0.53193442622950826</v>
      </c>
      <c r="S37"/>
      <c r="T37" s="257"/>
    </row>
    <row r="38" spans="2:24" s="230" customFormat="1" ht="17.399999999999999" x14ac:dyDescent="0.35">
      <c r="G38"/>
      <c r="H38" s="260"/>
      <c r="I38" s="260"/>
      <c r="J38" s="260">
        <v>22475</v>
      </c>
      <c r="K38" s="230">
        <v>40000</v>
      </c>
      <c r="L38" s="250"/>
      <c r="M38" s="14"/>
      <c r="N38" s="12"/>
      <c r="O38" s="12">
        <f>O37/P26</f>
        <v>61298.875739644966</v>
      </c>
      <c r="P38" s="45" t="s">
        <v>24</v>
      </c>
      <c r="Q38" s="14"/>
      <c r="R38" s="14"/>
      <c r="S38"/>
      <c r="T38" s="238"/>
      <c r="U38" s="59" t="s">
        <v>157</v>
      </c>
      <c r="V38" s="299">
        <v>43650</v>
      </c>
    </row>
    <row r="39" spans="2:24" s="230" customFormat="1" ht="17.399999999999999" x14ac:dyDescent="0.35">
      <c r="G39"/>
      <c r="J39" s="230">
        <v>6</v>
      </c>
      <c r="K39" s="230">
        <f>K38/1.19</f>
        <v>33613.445378151264</v>
      </c>
      <c r="L39" s="250"/>
      <c r="M39" s="13"/>
      <c r="N39" s="14"/>
      <c r="O39" s="17">
        <f>O37/O36</f>
        <v>2.1</v>
      </c>
      <c r="P39" s="15"/>
      <c r="Q39"/>
      <c r="R39"/>
      <c r="S39"/>
      <c r="T39" s="238"/>
      <c r="U39" s="59" t="s">
        <v>159</v>
      </c>
      <c r="V39" s="300" t="s">
        <v>158</v>
      </c>
      <c r="W39" s="59">
        <v>2.4</v>
      </c>
    </row>
    <row r="40" spans="2:24" s="230" customFormat="1" ht="17.399999999999999" x14ac:dyDescent="0.35">
      <c r="G40" s="23"/>
      <c r="J40" s="260">
        <f>J38*J39</f>
        <v>134850</v>
      </c>
      <c r="L40" s="12"/>
      <c r="T40" s="238"/>
      <c r="U40" s="59" t="s">
        <v>160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155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147</v>
      </c>
    </row>
    <row r="74" spans="3:15" x14ac:dyDescent="0.3">
      <c r="C74" t="s">
        <v>146</v>
      </c>
    </row>
    <row r="77" spans="3:15" x14ac:dyDescent="0.3">
      <c r="C77" t="s">
        <v>146</v>
      </c>
    </row>
    <row r="154" spans="3:3" x14ac:dyDescent="0.3">
      <c r="C154" t="s">
        <v>146</v>
      </c>
    </row>
    <row r="155" spans="3:3" x14ac:dyDescent="0.3">
      <c r="C155" t="s">
        <v>148</v>
      </c>
    </row>
    <row r="156" spans="3:3" x14ac:dyDescent="0.3">
      <c r="C156" t="s">
        <v>149</v>
      </c>
    </row>
    <row r="581" spans="3:3" x14ac:dyDescent="0.3">
      <c r="C581" t="s">
        <v>146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7"/>
  <sheetViews>
    <sheetView tabSelected="1" topLeftCell="A24" workbookViewId="0">
      <selection activeCell="D18" sqref="D18:F19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46056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11865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SUM(K10:K24)</f>
        <v>2550</v>
      </c>
      <c r="S9" s="28" t="s">
        <v>9</v>
      </c>
      <c r="T9" s="28"/>
      <c r="W9" s="8"/>
      <c r="X9" s="176">
        <f>(E15-D11)/X8</f>
        <v>2835.0849665458954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4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124314.12</v>
      </c>
      <c r="E11" s="132">
        <f>D11*0.19</f>
        <v>23619.682799999999</v>
      </c>
      <c r="F11" s="131">
        <f>E11+D11</f>
        <v>147933.8028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108825.0849665459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SUM(M44:M46)</f>
        <v>85651.290787439619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90825.084966545895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38662.829212560377</v>
      </c>
      <c r="E13" s="221">
        <f>(D11/D12)-1</f>
        <v>0.45139809169379275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81825.084966545895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42825.084966545895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141324.62979927537</v>
      </c>
      <c r="F15" s="216">
        <f>E15-D12</f>
        <v>55673.339011835749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42825.084966545895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82825.084966545895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125" t="s">
        <v>175</v>
      </c>
      <c r="D19" s="122">
        <f>'2229'!O33</f>
        <v>36850</v>
      </c>
      <c r="E19" s="123">
        <f>D19*0.19</f>
        <v>7001.5</v>
      </c>
      <c r="F19" s="120">
        <f>SUM(D19:E19)</f>
        <v>43851.5</v>
      </c>
      <c r="H19" s="192"/>
      <c r="I19" s="202"/>
      <c r="J19" s="184"/>
      <c r="K19" s="158"/>
      <c r="L19" s="61"/>
      <c r="Q19" s="16"/>
      <c r="R19" s="346"/>
      <c r="S19" s="347"/>
      <c r="T19" s="347"/>
      <c r="U19" s="348"/>
      <c r="V19" s="349"/>
      <c r="W19" s="349"/>
      <c r="X19" s="106"/>
    </row>
    <row r="20" spans="1:31" x14ac:dyDescent="0.3">
      <c r="C20" s="79" t="s">
        <v>31</v>
      </c>
      <c r="D20" s="122">
        <f>'2229'!O31</f>
        <v>14100</v>
      </c>
      <c r="E20" s="123">
        <f>D20*0.19</f>
        <v>2679</v>
      </c>
      <c r="F20" s="120">
        <f>SUM(D20:E20)</f>
        <v>16779</v>
      </c>
      <c r="H20" s="192">
        <v>1</v>
      </c>
      <c r="I20" s="202"/>
      <c r="J20" s="184" t="s">
        <v>84</v>
      </c>
      <c r="K20" s="158">
        <f t="shared" si="0"/>
        <v>0</v>
      </c>
      <c r="L20" s="61"/>
      <c r="Q20" s="16"/>
      <c r="T20" s="5"/>
      <c r="U20" s="6"/>
      <c r="V20" s="30" t="s">
        <v>28</v>
      </c>
      <c r="W20" s="34">
        <f>SUM(W11:W18)</f>
        <v>472940</v>
      </c>
      <c r="X20" s="106"/>
      <c r="Y20" s="176">
        <f>SUM(Y11:Y16)+SUM(W17:W18)</f>
        <v>484940</v>
      </c>
    </row>
    <row r="21" spans="1:31" ht="15" thickBot="1" x14ac:dyDescent="0.35">
      <c r="C21" s="74" t="s">
        <v>21</v>
      </c>
      <c r="D21" s="122">
        <f>'2229'!O30</f>
        <v>4867.2000000000007</v>
      </c>
      <c r="E21" s="121">
        <f>D21*0.19</f>
        <v>924.76800000000014</v>
      </c>
      <c r="F21" s="120">
        <f>SUM(D21:E21)</f>
        <v>5791.9680000000008</v>
      </c>
      <c r="H21" s="192">
        <v>1</v>
      </c>
      <c r="I21" s="202"/>
      <c r="J21" s="184" t="s">
        <v>83</v>
      </c>
      <c r="K21" s="158">
        <f t="shared" si="0"/>
        <v>0</v>
      </c>
      <c r="V21" s="31" t="s">
        <v>29</v>
      </c>
      <c r="W21" s="35">
        <f>W20*19%</f>
        <v>89858.6</v>
      </c>
      <c r="X21" s="106"/>
      <c r="Y21" s="177">
        <f>Y20*0.19</f>
        <v>92138.6</v>
      </c>
      <c r="Z21" s="101"/>
      <c r="AA21" s="101"/>
      <c r="AB21" s="14"/>
      <c r="AC21" s="14"/>
      <c r="AE21" s="3"/>
    </row>
    <row r="22" spans="1:31" ht="15" thickBot="1" x14ac:dyDescent="0.35">
      <c r="A22" s="80">
        <f>450000*1.2</f>
        <v>540000</v>
      </c>
      <c r="B22" s="119"/>
      <c r="C22" s="118" t="s">
        <v>6</v>
      </c>
      <c r="D22" s="117">
        <f>SUM(D18:D21)</f>
        <v>55817.2</v>
      </c>
      <c r="E22" s="116">
        <f>SUM(E18:E21)</f>
        <v>10605.268</v>
      </c>
      <c r="F22" s="115">
        <f>SUM(F18:F21)</f>
        <v>66422.467999999993</v>
      </c>
      <c r="H22" s="192">
        <v>1</v>
      </c>
      <c r="I22" s="202"/>
      <c r="J22" s="184" t="s">
        <v>82</v>
      </c>
      <c r="K22" s="158">
        <f t="shared" si="0"/>
        <v>0</v>
      </c>
      <c r="M22" s="153">
        <f>B33/9</f>
        <v>2318.840579710145</v>
      </c>
      <c r="Q22" s="50" t="s">
        <v>39</v>
      </c>
      <c r="R22" s="50"/>
      <c r="S22" s="50"/>
      <c r="V22" s="32" t="s">
        <v>6</v>
      </c>
      <c r="W22" s="35">
        <f>W20+W21</f>
        <v>562798.6</v>
      </c>
      <c r="X22" s="106"/>
      <c r="Y22" s="177">
        <f>SUM(Y20:Y21)</f>
        <v>577078.6</v>
      </c>
      <c r="Z22" s="101"/>
      <c r="AA22" s="101"/>
      <c r="AB22" s="39"/>
      <c r="AC22" s="4"/>
      <c r="AE22" s="4"/>
    </row>
    <row r="23" spans="1:31" ht="15" thickBot="1" x14ac:dyDescent="0.35">
      <c r="A23" s="80">
        <f>450000*1.2</f>
        <v>540000</v>
      </c>
      <c r="B23" s="114" t="s">
        <v>80</v>
      </c>
      <c r="C23" s="113" t="s">
        <v>79</v>
      </c>
      <c r="D23" s="112" t="s">
        <v>78</v>
      </c>
      <c r="E23" s="111" t="s">
        <v>77</v>
      </c>
      <c r="F23" s="110" t="s">
        <v>6</v>
      </c>
      <c r="H23" s="192">
        <v>1</v>
      </c>
      <c r="I23" s="202"/>
      <c r="J23" s="148" t="s">
        <v>81</v>
      </c>
      <c r="K23" s="158">
        <f t="shared" si="0"/>
        <v>0</v>
      </c>
      <c r="M23" s="105"/>
      <c r="N23" s="58"/>
      <c r="Q23" s="50" t="s">
        <v>34</v>
      </c>
      <c r="R23" s="50"/>
      <c r="S23" s="50"/>
      <c r="T23" s="50"/>
      <c r="X23" s="96"/>
      <c r="Y23" s="14"/>
      <c r="Z23" s="101"/>
      <c r="AA23" s="101"/>
      <c r="AB23" s="39"/>
      <c r="AC23" s="4"/>
      <c r="AD23" s="14"/>
      <c r="AE23" s="4"/>
    </row>
    <row r="24" spans="1:31" ht="15" thickBot="1" x14ac:dyDescent="0.35">
      <c r="A24" s="80">
        <f>800000*1.2</f>
        <v>960000</v>
      </c>
      <c r="B24" s="103">
        <f>A22/23</f>
        <v>23478.260869565216</v>
      </c>
      <c r="C24" s="82" t="s">
        <v>25</v>
      </c>
      <c r="D24" s="109">
        <f t="shared" ref="D24:D30" si="3">B24/9</f>
        <v>2608.695652173913</v>
      </c>
      <c r="E24" s="108">
        <v>0.5</v>
      </c>
      <c r="F24" s="107">
        <f t="shared" ref="F24:F33" si="4">D24*E24</f>
        <v>1304.3478260869565</v>
      </c>
      <c r="H24" s="194">
        <v>1</v>
      </c>
      <c r="I24" s="203"/>
      <c r="J24" s="185" t="s">
        <v>76</v>
      </c>
      <c r="K24" s="158">
        <f t="shared" si="0"/>
        <v>0</v>
      </c>
      <c r="M24" s="105"/>
      <c r="N24" s="58"/>
      <c r="Q24" s="50" t="s">
        <v>27</v>
      </c>
      <c r="R24" s="50"/>
      <c r="X24" s="104"/>
      <c r="Y24" s="27"/>
      <c r="Z24" s="101"/>
      <c r="AA24" s="101"/>
      <c r="AB24" s="14"/>
      <c r="AC24" s="11"/>
      <c r="AD24" s="43"/>
    </row>
    <row r="25" spans="1:31" ht="15" thickBot="1" x14ac:dyDescent="0.35">
      <c r="A25" s="80">
        <v>450000</v>
      </c>
      <c r="B25" s="103">
        <f>A23/23</f>
        <v>23478.260869565216</v>
      </c>
      <c r="C25" s="79" t="s">
        <v>74</v>
      </c>
      <c r="D25" s="100">
        <f t="shared" si="3"/>
        <v>2608.695652173913</v>
      </c>
      <c r="E25" s="99">
        <v>0.5</v>
      </c>
      <c r="F25" s="98">
        <f t="shared" si="4"/>
        <v>1304.3478260869565</v>
      </c>
      <c r="H25" s="151" t="s">
        <v>117</v>
      </c>
      <c r="I25" s="155" t="s">
        <v>115</v>
      </c>
      <c r="J25" s="181" t="s">
        <v>75</v>
      </c>
      <c r="K25" s="152" t="s">
        <v>94</v>
      </c>
      <c r="L25" s="102">
        <f>SUM(K26:K36)</f>
        <v>0</v>
      </c>
      <c r="X25" s="101"/>
      <c r="Y25" s="101"/>
      <c r="Z25" s="101"/>
      <c r="AA25" s="101"/>
      <c r="AB25" s="14"/>
      <c r="AD25" s="43"/>
    </row>
    <row r="26" spans="1:31" x14ac:dyDescent="0.3">
      <c r="A26" s="80">
        <v>450000</v>
      </c>
      <c r="B26" s="103">
        <f>A24/23</f>
        <v>41739.130434782608</v>
      </c>
      <c r="C26" s="79" t="s">
        <v>73</v>
      </c>
      <c r="D26" s="100">
        <f t="shared" si="3"/>
        <v>4637.68115942029</v>
      </c>
      <c r="E26" s="99"/>
      <c r="F26" s="98">
        <f t="shared" si="4"/>
        <v>0</v>
      </c>
      <c r="H26" s="209">
        <v>0</v>
      </c>
      <c r="I26" s="204">
        <f>((480000/23)/9)</f>
        <v>2318.840579710145</v>
      </c>
      <c r="J26" s="187" t="s">
        <v>108</v>
      </c>
      <c r="K26" s="149">
        <f t="shared" ref="K26:K36" si="5">H26*I26</f>
        <v>0</v>
      </c>
      <c r="X26" s="101"/>
      <c r="Z26" s="101"/>
      <c r="AA26" s="101"/>
      <c r="AB26" s="39"/>
      <c r="AD26" s="43"/>
    </row>
    <row r="27" spans="1:31" x14ac:dyDescent="0.3">
      <c r="A27" s="80"/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72</v>
      </c>
      <c r="K27" s="97">
        <f t="shared" si="5"/>
        <v>0</v>
      </c>
      <c r="L27" s="61"/>
      <c r="X27" s="96"/>
      <c r="Z27" s="101"/>
      <c r="AA27" s="101"/>
      <c r="AB27" s="14"/>
      <c r="AD27" s="44"/>
    </row>
    <row r="28" spans="1:31" x14ac:dyDescent="0.3">
      <c r="A28" s="80">
        <v>350000</v>
      </c>
      <c r="B28" s="103">
        <f>A26/23</f>
        <v>19565.217391304348</v>
      </c>
      <c r="C28" s="79" t="s">
        <v>70</v>
      </c>
      <c r="D28" s="100">
        <f t="shared" si="3"/>
        <v>2173.913043478261</v>
      </c>
      <c r="E28" s="99">
        <v>0.5</v>
      </c>
      <c r="F28" s="98">
        <f t="shared" si="4"/>
        <v>1086.9565217391305</v>
      </c>
      <c r="H28" s="192">
        <v>0</v>
      </c>
      <c r="I28" s="174"/>
      <c r="J28" s="184" t="s">
        <v>69</v>
      </c>
      <c r="K28" s="97">
        <f t="shared" si="5"/>
        <v>0</v>
      </c>
      <c r="L28" s="61"/>
      <c r="X28" s="96"/>
      <c r="Z28" s="101"/>
      <c r="AA28" s="101"/>
      <c r="AB28" s="45"/>
    </row>
    <row r="29" spans="1:31" x14ac:dyDescent="0.3">
      <c r="A29" s="80">
        <v>500000</v>
      </c>
      <c r="B29" s="103">
        <f>A28/23</f>
        <v>15217.391304347826</v>
      </c>
      <c r="C29" s="79" t="s">
        <v>68</v>
      </c>
      <c r="D29" s="100">
        <f t="shared" si="3"/>
        <v>1690.8212560386473</v>
      </c>
      <c r="E29" s="99">
        <v>0.7</v>
      </c>
      <c r="F29" s="98">
        <f t="shared" si="4"/>
        <v>1183.5748792270531</v>
      </c>
      <c r="H29" s="192">
        <v>0</v>
      </c>
      <c r="I29" s="174"/>
      <c r="J29" s="184" t="s">
        <v>106</v>
      </c>
      <c r="K29" s="97">
        <f t="shared" si="5"/>
        <v>0</v>
      </c>
      <c r="L29" s="61"/>
      <c r="X29" s="96"/>
      <c r="Y29" s="13"/>
      <c r="Z29" s="14"/>
      <c r="AA29" s="17"/>
      <c r="AB29" s="95"/>
    </row>
    <row r="30" spans="1:31" x14ac:dyDescent="0.3">
      <c r="A30" s="80"/>
      <c r="B30" s="103">
        <f>A29/23</f>
        <v>21739.130434782608</v>
      </c>
      <c r="C30" s="79" t="s">
        <v>67</v>
      </c>
      <c r="D30" s="100">
        <f t="shared" si="3"/>
        <v>2415.4589371980674</v>
      </c>
      <c r="E30" s="99">
        <v>0.7</v>
      </c>
      <c r="F30" s="98">
        <f t="shared" si="4"/>
        <v>1690.8212560386471</v>
      </c>
      <c r="H30" s="191">
        <v>0</v>
      </c>
      <c r="I30" s="174">
        <f>((550000*1.2)/23)/9</f>
        <v>3188.4057971014495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450000</v>
      </c>
      <c r="B31" s="94"/>
      <c r="C31" s="79" t="s">
        <v>22</v>
      </c>
      <c r="D31" s="100">
        <v>2415</v>
      </c>
      <c r="E31" s="99"/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  <c r="L31" s="61"/>
    </row>
    <row r="32" spans="1:31" x14ac:dyDescent="0.3">
      <c r="A32" s="80">
        <v>350000</v>
      </c>
      <c r="B32" s="94">
        <f>A31/23</f>
        <v>19565.217391304348</v>
      </c>
      <c r="C32" s="79" t="s">
        <v>65</v>
      </c>
      <c r="D32" s="100">
        <f>B32/9</f>
        <v>2173.913043478261</v>
      </c>
      <c r="E32" s="99">
        <v>0</v>
      </c>
      <c r="F32" s="98">
        <f t="shared" si="4"/>
        <v>0</v>
      </c>
      <c r="H32" s="191">
        <v>0</v>
      </c>
      <c r="I32" s="174">
        <f>((450000*1.2)/23)/9</f>
        <v>2608.695652173913</v>
      </c>
      <c r="J32" s="150" t="s">
        <v>120</v>
      </c>
      <c r="K32" s="97">
        <f t="shared" si="5"/>
        <v>0</v>
      </c>
    </row>
    <row r="33" spans="1:16" ht="15" thickBot="1" x14ac:dyDescent="0.35">
      <c r="A33" s="80">
        <f>A22+A25+A28+A29+A31</f>
        <v>2290000</v>
      </c>
      <c r="B33" s="94">
        <f>480000/23</f>
        <v>20869.565217391304</v>
      </c>
      <c r="C33" s="93" t="s">
        <v>64</v>
      </c>
      <c r="D33" s="92">
        <f>B33/9</f>
        <v>2318.840579710145</v>
      </c>
      <c r="E33" s="91">
        <v>0.5</v>
      </c>
      <c r="F33" s="90">
        <f t="shared" si="4"/>
        <v>1159.4202898550725</v>
      </c>
      <c r="H33" s="193">
        <v>0</v>
      </c>
      <c r="I33" s="205"/>
      <c r="J33" s="188" t="s">
        <v>41</v>
      </c>
      <c r="K33" s="97">
        <f t="shared" si="5"/>
        <v>0</v>
      </c>
    </row>
    <row r="34" spans="1:16" ht="15" thickBot="1" x14ac:dyDescent="0.35">
      <c r="B34" s="80"/>
      <c r="C34" s="88" t="s">
        <v>6</v>
      </c>
      <c r="D34" s="87">
        <f>SUM(D24:D33)</f>
        <v>25216.932367149755</v>
      </c>
      <c r="E34" s="86">
        <f>SUM(E24:E33)</f>
        <v>3.9000000000000004</v>
      </c>
      <c r="F34" s="85">
        <f>SUM(F24:F33)</f>
        <v>8816.4251207729467</v>
      </c>
      <c r="H34" s="195">
        <v>0</v>
      </c>
      <c r="I34" s="174"/>
      <c r="J34" s="186" t="s">
        <v>40</v>
      </c>
      <c r="K34" s="97">
        <f t="shared" si="5"/>
        <v>0</v>
      </c>
    </row>
    <row r="35" spans="1:16" ht="15" thickBot="1" x14ac:dyDescent="0.35">
      <c r="B35" s="83" t="s">
        <v>63</v>
      </c>
      <c r="C35" s="82" t="s">
        <v>62</v>
      </c>
      <c r="D35" s="81">
        <f>L9</f>
        <v>2550</v>
      </c>
      <c r="H35" s="192">
        <v>1</v>
      </c>
      <c r="I35" s="174"/>
      <c r="J35" s="148" t="s">
        <v>107</v>
      </c>
      <c r="K35" s="97">
        <f t="shared" si="5"/>
        <v>0</v>
      </c>
      <c r="N35" s="65"/>
      <c r="P35" s="61"/>
    </row>
    <row r="36" spans="1:16" ht="15" thickBot="1" x14ac:dyDescent="0.35">
      <c r="B36" s="75"/>
      <c r="C36" s="79" t="s">
        <v>61</v>
      </c>
      <c r="D36" s="78">
        <f>L25</f>
        <v>0</v>
      </c>
      <c r="H36" s="194">
        <v>6</v>
      </c>
      <c r="I36" s="206"/>
      <c r="J36" s="180" t="s">
        <v>109</v>
      </c>
      <c r="K36" s="210">
        <f t="shared" si="5"/>
        <v>0</v>
      </c>
      <c r="N36" s="65"/>
    </row>
    <row r="37" spans="1:16" ht="15" thickBot="1" x14ac:dyDescent="0.35">
      <c r="B37" s="75"/>
      <c r="C37" s="79" t="s">
        <v>59</v>
      </c>
      <c r="D37" s="78">
        <f>L37</f>
        <v>18467.665666666668</v>
      </c>
      <c r="E37" s="58"/>
      <c r="H37" s="151" t="s">
        <v>96</v>
      </c>
      <c r="I37" s="155" t="s">
        <v>115</v>
      </c>
      <c r="J37" s="189" t="s">
        <v>66</v>
      </c>
      <c r="K37" s="152" t="s">
        <v>94</v>
      </c>
      <c r="L37" s="208">
        <f>SUM(K38:K40)</f>
        <v>18467.665666666668</v>
      </c>
      <c r="N37" s="65"/>
    </row>
    <row r="38" spans="1:16" ht="15" thickBot="1" x14ac:dyDescent="0.35">
      <c r="B38" s="75"/>
      <c r="C38" s="74" t="s">
        <v>42</v>
      </c>
      <c r="D38" s="73"/>
      <c r="H38" s="199">
        <f>$E$34</f>
        <v>3.9000000000000004</v>
      </c>
      <c r="I38" s="204">
        <f>32609.69/9</f>
        <v>3623.2988888888885</v>
      </c>
      <c r="J38" s="187" t="s">
        <v>45</v>
      </c>
      <c r="K38" s="149">
        <f>I38*H38</f>
        <v>14130.865666666667</v>
      </c>
      <c r="N38" s="65"/>
      <c r="O38" s="65"/>
      <c r="P38" s="61"/>
    </row>
    <row r="39" spans="1:16" ht="15" thickBot="1" x14ac:dyDescent="0.35">
      <c r="C39" s="71" t="s">
        <v>6</v>
      </c>
      <c r="D39" s="70">
        <f>SUM(D35:D38)</f>
        <v>21017.665666666668</v>
      </c>
      <c r="H39" s="196">
        <f>$E$34</f>
        <v>3.9000000000000004</v>
      </c>
      <c r="I39" s="174">
        <v>967</v>
      </c>
      <c r="J39" s="184" t="s">
        <v>43</v>
      </c>
      <c r="K39" s="89">
        <f>I39*H39</f>
        <v>3771.3</v>
      </c>
    </row>
    <row r="40" spans="1:16" ht="15" thickBot="1" x14ac:dyDescent="0.35">
      <c r="H40" s="200">
        <f>$E$34</f>
        <v>3.9000000000000004</v>
      </c>
      <c r="I40" s="206">
        <v>145</v>
      </c>
      <c r="J40" s="185" t="s">
        <v>44</v>
      </c>
      <c r="K40" s="84">
        <f>I40*H40</f>
        <v>565.5</v>
      </c>
    </row>
    <row r="41" spans="1:16" ht="15" thickBot="1" x14ac:dyDescent="0.35">
      <c r="B41" s="68" t="s">
        <v>52</v>
      </c>
      <c r="C41" s="67" t="s">
        <v>51</v>
      </c>
      <c r="D41" s="66">
        <f>E11-E22</f>
        <v>13014.414799999999</v>
      </c>
    </row>
    <row r="42" spans="1:16" ht="15" thickBot="1" x14ac:dyDescent="0.35">
      <c r="H42" s="343" t="s">
        <v>60</v>
      </c>
      <c r="I42" s="344"/>
      <c r="J42" s="344"/>
      <c r="K42" s="344"/>
      <c r="L42" s="344"/>
      <c r="M42" s="345"/>
    </row>
    <row r="43" spans="1:16" ht="15" thickBot="1" x14ac:dyDescent="0.35">
      <c r="B43" s="75" t="s">
        <v>46</v>
      </c>
      <c r="C43" s="75"/>
      <c r="D43" s="207">
        <f>E34</f>
        <v>3.9000000000000004</v>
      </c>
      <c r="H43" s="77" t="s">
        <v>58</v>
      </c>
      <c r="I43" s="159" t="s">
        <v>57</v>
      </c>
      <c r="J43" s="160"/>
      <c r="K43" s="160"/>
      <c r="L43" s="161"/>
      <c r="M43" s="76">
        <f>D11</f>
        <v>124314.12</v>
      </c>
    </row>
    <row r="44" spans="1:16" ht="15" thickBot="1" x14ac:dyDescent="0.35">
      <c r="D44" s="57"/>
      <c r="H44" s="72" t="s">
        <v>56</v>
      </c>
      <c r="I44" s="162" t="s">
        <v>55</v>
      </c>
      <c r="J44" s="163"/>
      <c r="K44" s="163"/>
      <c r="L44" s="164"/>
      <c r="M44" s="64">
        <f>D22</f>
        <v>55817.2</v>
      </c>
    </row>
    <row r="45" spans="1:16" x14ac:dyDescent="0.3">
      <c r="D45" s="57"/>
      <c r="I45" s="165" t="s">
        <v>54</v>
      </c>
      <c r="J45" s="166"/>
      <c r="K45" s="166"/>
      <c r="L45" s="167"/>
      <c r="M45" s="69">
        <f>F34</f>
        <v>8816.4251207729467</v>
      </c>
    </row>
    <row r="46" spans="1:16" ht="15" thickBot="1" x14ac:dyDescent="0.35">
      <c r="D46" s="60"/>
      <c r="I46" s="168" t="s">
        <v>53</v>
      </c>
      <c r="J46" s="169"/>
      <c r="K46" s="169"/>
      <c r="L46" s="170"/>
      <c r="M46" s="63">
        <f>D39</f>
        <v>21017.665666666668</v>
      </c>
    </row>
    <row r="47" spans="1:16" ht="15" thickBot="1" x14ac:dyDescent="0.35">
      <c r="D47" s="60"/>
      <c r="I47" s="171" t="s">
        <v>50</v>
      </c>
      <c r="J47" s="172"/>
      <c r="K47" s="172"/>
      <c r="L47" s="173"/>
      <c r="M47" s="62">
        <f>M43-(SUM(M44:M46))</f>
        <v>38662.829212560377</v>
      </c>
    </row>
    <row r="48" spans="1:16" x14ac:dyDescent="0.3">
      <c r="I48" s="162" t="s">
        <v>49</v>
      </c>
      <c r="J48" s="163"/>
      <c r="K48" s="163"/>
      <c r="L48" s="164"/>
      <c r="M48" s="64"/>
    </row>
    <row r="49" spans="3:13" ht="15" thickBot="1" x14ac:dyDescent="0.35">
      <c r="D49" s="60"/>
      <c r="I49" s="168" t="s">
        <v>48</v>
      </c>
      <c r="J49" s="169"/>
      <c r="K49" s="169"/>
      <c r="L49" s="170"/>
      <c r="M49" s="63"/>
    </row>
    <row r="50" spans="3:13" ht="15" thickBot="1" x14ac:dyDescent="0.35">
      <c r="C50" s="59"/>
      <c r="D50" s="58"/>
      <c r="I50" s="171" t="s">
        <v>47</v>
      </c>
      <c r="J50" s="172"/>
      <c r="K50" s="172"/>
      <c r="L50" s="173"/>
      <c r="M50" s="62">
        <f>M47-SUM(M48:M49)</f>
        <v>38662.829212560377</v>
      </c>
    </row>
    <row r="53" spans="3:13" x14ac:dyDescent="0.3">
      <c r="D53" s="57"/>
    </row>
    <row r="55" spans="3:13" x14ac:dyDescent="0.3">
      <c r="D55" s="57"/>
    </row>
    <row r="57" spans="3:13" x14ac:dyDescent="0.3">
      <c r="D57" s="57"/>
    </row>
  </sheetData>
  <mergeCells count="3">
    <mergeCell ref="O7:O8"/>
    <mergeCell ref="H7:K7"/>
    <mergeCell ref="H42:M4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2026-01-23T11:43:18Z</cp:lastPrinted>
  <dcterms:created xsi:type="dcterms:W3CDTF">2013-03-18T13:35:42Z</dcterms:created>
  <dcterms:modified xsi:type="dcterms:W3CDTF">2026-02-05T19:32:54Z</dcterms:modified>
</cp:coreProperties>
</file>