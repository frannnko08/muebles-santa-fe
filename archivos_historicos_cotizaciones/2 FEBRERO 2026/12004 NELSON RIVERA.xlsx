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958D6127-94B7-411C-86FA-B19D5C47A0A4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S22" i="1"/>
  <c r="L23" i="1"/>
  <c r="M23" i="1"/>
  <c r="S23" i="1" s="1"/>
  <c r="N23" i="1"/>
  <c r="O23" i="1" s="1"/>
  <c r="P23" i="1" s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Q22" i="1"/>
  <c r="O41" i="1"/>
  <c r="E15" i="3"/>
  <c r="G23" i="1" l="1"/>
  <c r="H23" i="1" s="1"/>
  <c r="R23" i="1"/>
  <c r="G22" i="1"/>
  <c r="H22" i="1" s="1"/>
  <c r="R22" i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<sst xmlns="http://schemas.openxmlformats.org/spreadsheetml/2006/main" count="491" uniqueCount="294">
  <si>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</si>
  <si>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</si>
  <si>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</si>
  <si>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</si>
  <si>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</si>
  <si>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</si>
  <si>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</si>
  <si>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</si>
  <si>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</si>
  <si>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</si>
  <si>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</si>
  <si>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</si>
  <si>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</si>
  <si>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</si>
  <si>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</si>
  <si>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</si>
  <si>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</si>
  <si>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</si>
  <si>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</si>
  <si>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</si>
  <si>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</si>
  <si>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</si>
  <si>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</si>
  <si>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</si>
  <si>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</si>
  <si>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</si>
  <si>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</si>
  <si>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</si>
  <si>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</si>
  <si>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</si>
  <si>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</si>
  <si>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</si>
  <si>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</si>
  <si>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</si>
  <si>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</si>
  <si>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</si>
  <si>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</si>
  <si>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</si>
  <si>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</si>
  <si>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</si>
  <si>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</si>
  <si>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</si>
  <si>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</si>
  <si>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</si>
  <si>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</si>
  <si>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</si>
  <si>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</si>
  <si>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</si>
  <si>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</si>
  <si>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</si>
  <si>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</si>
  <si>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</si>
  <si>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</si>
  <si>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</si>
  <si>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</si>
  <si>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</si>
  <si>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</si>
  <si>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</si>
  <si>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</si>
  <si>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</si>
  <si>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</si>
  <si>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</si>
  <si>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</si>
  <si>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</si>
  <si>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</si>
  <si>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</si>
  <si>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</si>
  <si>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</si>
  <si>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</si>
  <si>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</si>
  <si>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</si>
  <si>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</si>
  <si>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</si>
  <si>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</si>
  <si>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</si>
  <si>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</si>
  <si>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</si>
  <si>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</si>
  <si>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</si>
  <si>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</si>
  <si>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</si>
  <si>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</si>
  <si>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</si>
  <si>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</si>
  <si>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</si>
  <si>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</si>
  <si>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</si>
  <si>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</si>
  <si>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</si>
  <si>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</si>
  <si>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</si>
  <si>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</si>
  <si>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</si>
  <si>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</si>
  <si>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</si>
  <si>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</si>
  <si>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</si>
  <si>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</si>
  <si>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</si>
  <si>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</si>
  <si>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</si>
  <si>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</si>
  <si>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</si>
  <si>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</si>
  <si>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</si>
  <si>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</si>
  <si>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</si>
  <si>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</si>
  <si>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</si>
  <si>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</si>
  <si>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</si>
  <si>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</si>
  <si>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</si>
  <si>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</si>
  <si>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</si>
  <si>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</si>
  <si>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</si>
  <si>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</si>
  <si>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</si>
  <si>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</si>
  <si>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</si>
  <si>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</si>
  <si>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</si>
  <si>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</si>
  <si>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</si>
  <si>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</si>
  <si>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</si>
  <si>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</si>
  <si>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</si>
  <si>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</si>
  <si>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</si>
  <si>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</si>
  <si>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</si>
  <si>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</si>
  <si>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</si>
  <si>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</si>
  <si>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</si>
  <si>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</si>
  <si>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</si>
  <si>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</si>
  <si>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</si>
  <si>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</si>
  <si>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</si>
  <si>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</si>
  <si>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</si>
  <si>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</si>
  <si>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</si>
  <si>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</si>
  <si>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</si>
  <si>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</si>
  <si>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</si>
  <si>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</si>
  <si>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</si>
  <si>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</si>
  <si>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</si>
  <si>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</si>
  <si>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</si>
  <si>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</si>
  <si>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</si>
  <si>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</si>
  <si>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</si>
  <si>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</si>
  <si>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</si>
  <si>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</si>
  <si>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</si>
  <si>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</si>
  <si>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</si>
  <si>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</si>
  <si>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</si>
  <si>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</si>
  <si>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</si>
  <si>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</si>
  <si>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</si>
  <si>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</si>
  <si>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</si>
  <si>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</si>
  <si>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</si>
  <si>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</si>
  <si>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</si>
  <si>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</si>
  <si>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</si>
  <si>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</si>
  <si>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</si>
  <si>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</si>
  <si>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</si>
  <si>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</si>
  <si>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</si>
  <si>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</si>
  <si>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</si>
  <si>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</si>
  <si>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</si>
  <si>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</si>
  <si>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</si>
  <si>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</si>
  <si>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</si>
  <si>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</si>
  <si>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</si>
  <si>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</si>
  <si>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</si>
  <si>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</si>
  <si>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</si>
  <si>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</si>
  <si>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</si>
  <si>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</si>
  <si>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</si>
  <si>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</si>
  <si>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</si>
  <si>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</si>
  <si>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</si>
  <si>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</si>
  <si>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</si>
  <si>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</si>
  <si>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</si>
  <si>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</si>
  <si>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</si>
  <si>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</si>
  <si>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</si>
  <si>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</si>
  <si>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</si>
  <si>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</si>
  <si>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</si>
  <si>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</si>
  <si>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</si>
  <si>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</si>
  <si>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</si>
  <si>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</si>
  <si>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</si>
  <si>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</si>
  <si>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</si>
  <si>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</si>
  <si>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</si>
  <si>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</si>
  <si>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</si>
  <si>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</si>
  <si>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</si>
  <si>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</si>
  <si>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</si>
  <si>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</si>
  <si>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</si>
  <si>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</si>
  <si>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</si>
  <si>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</si>
  <si>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</si>
  <si>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</si>
  <si>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</si>
  <si>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</si>
  <si>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</si>
  <si>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</si>
  <si>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</si>
  <si>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</si>
  <si>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</si>
  <si>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</si>
  <si>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</si>
  <si>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</si>
  <si>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</si>
  <si>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</si>
  <si>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</si>
  <si>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</si>
  <si>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</si>
  <si>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</si>
  <si>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</si>
  <si>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</si>
  <si>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</si>
  <si>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</si>
  <si>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</si>
  <si>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</si>
  <si>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</si>
  <si>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</si>
  <si>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</si>
  <si>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</si>
  <si>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</si>
  <si>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</si>
  <si>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</si>
  <si>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</si>
  <si>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</si>
  <si>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</si>
  <si>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</si>
  <si>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</si>
  <si>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</si>
  <si>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</si>
  <si>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</si>
  <si>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</si>
  <si>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</si>
  <si>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</si>
  <si>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</si>
  <si>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</si>
  <si>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</si>
  <si>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</si>
  <si>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</si>
  <si>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</si>
  <si>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NELSON RIVERA</t>
  </si>
  <si>
    <t>+569 3496 5144</t>
  </si>
  <si>
    <t>MARMOL FLORENTINO BR 0511</t>
  </si>
  <si>
    <t>N° 12004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</si>
</sst>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24</xdr:row>
      <xdr:rowOff>221225</xdr:rowOff>
    </xdr:from>
    <xdr:to>
      <xdr:col>5</xdr:col>
      <xdr:colOff>1728839</xdr:colOff>
      <xdr:row>27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47419"/>
          <a:ext cx="6292646" cy="6718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5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290</v>
      </c>
      <c r="D10" s="243"/>
      <c r="E10" s="243"/>
      <c r="F10" s="417" t="s">
        <v>277</v>
      </c>
      <c r="G10" s="275">
        <v>46077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64422.119205298033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289</v>
      </c>
      <c r="D21" s="432">
        <v>1.6</v>
      </c>
      <c r="E21" s="432">
        <v>0.6</v>
      </c>
      <c r="F21" s="313" t="s">
        <v>292</v>
      </c>
      <c r="G21" s="314">
        <f>Q21</f>
        <v>64937.496158940419</v>
      </c>
      <c r="H21" s="433">
        <f>G21*B21</f>
        <v>64937.496158940419</v>
      </c>
      <c r="I21" s="306"/>
      <c r="J21" s="264"/>
      <c r="K21" s="47"/>
      <c r="L21" s="47">
        <f>B21</f>
        <v>1</v>
      </c>
      <c r="M21" s="39">
        <f>D21+M$19</f>
        <v>1.6800000000000002</v>
      </c>
      <c r="N21" s="39">
        <f>E21+$N$19</f>
        <v>0.6</v>
      </c>
      <c r="O21" s="260">
        <f t="shared" ref="O21" si="0">M21*N21</f>
        <v>1.008</v>
      </c>
      <c r="P21" s="258">
        <f t="shared" ref="P21" si="1">O21*L21</f>
        <v>1.008</v>
      </c>
      <c r="Q21" s="251">
        <f t="shared" ref="Q21" si="2">Q$20*O21</f>
        <v>64937.496158940419</v>
      </c>
      <c r="R21" s="305">
        <f t="shared" ref="R21" si="3">Q21+R$20</f>
        <v>67937.496158940427</v>
      </c>
      <c r="S21" s="290">
        <f>M21*L21</f>
        <v>1.6800000000000002</v>
      </c>
      <c r="T21" s="46">
        <f>N21*2*L21*2</f>
        <v>2.4</v>
      </c>
      <c r="U21" s="9"/>
      <c r="X21" s="4"/>
    </row>
    <row r="22" spans="2:25" ht="17.399999999999999" x14ac:dyDescent="0.3">
      <c r="B22" s="461">
        <v>1</v>
      </c>
      <c r="C22" s="458" t="s">
        <v>289</v>
      </c>
      <c r="D22" s="459">
        <v>3</v>
      </c>
      <c r="E22" s="459">
        <v>0.6</v>
      </c>
      <c r="F22" s="457" t="s">
        <v>292</v>
      </c>
      <c r="G22" s="460">
        <f t="shared" ref="G22:G23" si="4">Q22</f>
        <v>119052.07629139075</v>
      </c>
      <c r="H22" s="462">
        <f t="shared" ref="H22:H23" si="5">G22*B22</f>
        <v>119052.07629139075</v>
      </c>
      <c r="I22" s="306"/>
      <c r="J22" s="264"/>
      <c r="K22" s="47"/>
      <c r="L22" s="47">
        <f t="shared" ref="L22:L23" si="6">B22</f>
        <v>1</v>
      </c>
      <c r="M22" s="39">
        <f t="shared" ref="M22:M23" si="7">D22+M$19</f>
        <v>3.08</v>
      </c>
      <c r="N22" s="39">
        <f t="shared" ref="N22:N23" si="8">E22+$N$19</f>
        <v>0.6</v>
      </c>
      <c r="O22" s="260">
        <f t="shared" ref="O22:O23" si="9">M22*N22</f>
        <v>1.8479999999999999</v>
      </c>
      <c r="P22" s="258">
        <f t="shared" ref="P22:P23" si="10">O22*L22</f>
        <v>1.8479999999999999</v>
      </c>
      <c r="Q22" s="251">
        <f t="shared" ref="Q22:Q23" si="11">Q$20*O22</f>
        <v>119052.07629139075</v>
      </c>
      <c r="R22" s="305">
        <f t="shared" ref="R22:R23" si="12">Q22+R$20</f>
        <v>122052.07629139075</v>
      </c>
      <c r="S22" s="290">
        <f t="shared" ref="S22:S23" si="13">M22*L22</f>
        <v>3.08</v>
      </c>
      <c r="T22" s="46"/>
      <c r="U22" s="9"/>
      <c r="X22" s="4"/>
    </row>
    <row r="23" spans="2:25" ht="18" thickBot="1" x14ac:dyDescent="0.35">
      <c r="B23" s="463">
        <v>1</v>
      </c>
      <c r="C23" s="464" t="s">
        <v>289</v>
      </c>
      <c r="D23" s="465">
        <v>1.2</v>
      </c>
      <c r="E23" s="465">
        <v>0.6</v>
      </c>
      <c r="F23" s="466" t="s">
        <v>292</v>
      </c>
      <c r="G23" s="467">
        <f t="shared" si="4"/>
        <v>49476.187549668888</v>
      </c>
      <c r="H23" s="468">
        <f t="shared" si="5"/>
        <v>49476.187549668888</v>
      </c>
      <c r="I23" s="306"/>
      <c r="J23" s="264"/>
      <c r="K23" s="47"/>
      <c r="L23" s="47">
        <f t="shared" si="6"/>
        <v>1</v>
      </c>
      <c r="M23" s="39">
        <f t="shared" si="7"/>
        <v>1.28</v>
      </c>
      <c r="N23" s="39">
        <f t="shared" si="8"/>
        <v>0.6</v>
      </c>
      <c r="O23" s="260">
        <f t="shared" si="9"/>
        <v>0.76800000000000002</v>
      </c>
      <c r="P23" s="258">
        <f t="shared" si="10"/>
        <v>0.76800000000000002</v>
      </c>
      <c r="Q23" s="251">
        <f t="shared" si="11"/>
        <v>49476.187549668888</v>
      </c>
      <c r="R23" s="305">
        <f t="shared" si="12"/>
        <v>52476.187549668888</v>
      </c>
      <c r="S23" s="290">
        <f t="shared" si="13"/>
        <v>1.28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SUM(H21:H24)</f>
        <v>233465.76000000007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SUM(T21:T24)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44358.494400000011</v>
      </c>
      <c r="I27" s="308"/>
      <c r="J27" s="264"/>
      <c r="K27" s="47"/>
      <c r="L27" s="47"/>
      <c r="M27" s="39">
        <f>SUM(M21:M26)</f>
        <v>6.04</v>
      </c>
      <c r="N27" s="12"/>
      <c r="O27" s="12"/>
      <c r="P27" s="252">
        <f>SUM(P21:P24)</f>
        <v>3.6239999999999997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277824.25440000009</v>
      </c>
      <c r="I28" s="308"/>
      <c r="J28" s="264"/>
      <c r="K28" s="47"/>
      <c r="L28" s="47"/>
      <c r="M28" s="39"/>
      <c r="N28" s="12"/>
      <c r="O28" s="12"/>
      <c r="P28" s="252">
        <f>P27</f>
        <v>3.6239999999999997</v>
      </c>
      <c r="Q28" s="14"/>
      <c r="R28" s="12"/>
      <c r="S28" s="239">
        <f>SUM(S21:S27)</f>
        <v>6.04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0.7248</v>
      </c>
      <c r="Q29" s="39" t="s">
        <v>129</v>
      </c>
      <c r="R29" s="42"/>
      <c r="S29" s="240">
        <f>S28+T26</f>
        <v>8.44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4.3487999999999998</v>
      </c>
      <c r="Q30" s="14"/>
      <c r="R30" s="14"/>
      <c r="S30" s="238">
        <f>S29*20%</f>
        <v>1.6879999999999999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10.128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4.3487999999999998</v>
      </c>
      <c r="N32" s="12">
        <v>3500</v>
      </c>
      <c r="O32" s="12">
        <f t="shared" ref="O32:O37" si="14">M32*N32</f>
        <v>15220.8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1.2</v>
      </c>
      <c r="N33" s="12">
        <v>23500</v>
      </c>
      <c r="O33" s="12">
        <f t="shared" si="14"/>
        <v>28200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41800</v>
      </c>
      <c r="O34" s="12">
        <f t="shared" si="1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2</v>
      </c>
      <c r="N35" s="249">
        <v>27000</v>
      </c>
      <c r="O35" s="12">
        <f t="shared" si="14"/>
        <v>54000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5.8</v>
      </c>
      <c r="N37" s="12">
        <v>1500</v>
      </c>
      <c r="O37" s="12">
        <f t="shared" si="14"/>
        <v>8700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106120.8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233465.76000000004</v>
      </c>
      <c r="P39" s="14" t="s">
        <v>138</v>
      </c>
      <c r="Q39" s="14"/>
      <c r="R39" s="40">
        <f>P30/R38</f>
        <v>1.172562553925798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64422.119205298033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46077</v>
      </c>
    </row>
    <row r="6" spans="2:31" ht="16.2" thickBot="1" x14ac:dyDescent="0.35">
      <c r="B6" s="140" t="s">
        <v>2</v>
      </c>
      <c r="C6" s="139" t="str">
        <f>'2229'!C10</f>
        <v>NELSON RIVERA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-18765.865033454116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233465.76000000007</v>
      </c>
      <c r="E11" s="132">
        <f>D11*0.19</f>
        <v>44358.494400000011</v>
      </c>
      <c r="F11" s="131">
        <f>E11+D11</f>
        <v>277824.25440000009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87224.134966545884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73254.890787439625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69224.134966545884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160210.86921256044</v>
      </c>
      <c r="E13" s="221">
        <f>(D11/D12)-1</f>
        <v>2.1870330771147692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60224.134966545884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21224.134966545884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120870.56979927537</v>
      </c>
      <c r="F15" s="216">
        <f>E15-D12</f>
        <v>47615.679011835746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21224.134966545884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61224.134966545884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28200</v>
      </c>
      <c r="E19" s="123">
        <f>D19*0.19</f>
        <v>5358</v>
      </c>
      <c r="F19" s="120">
        <f>SUM(D19:E19)</f>
        <v>33558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15220.8</v>
      </c>
      <c r="E20" s="121">
        <f>D20*0.19</f>
        <v>2891.9519999999998</v>
      </c>
      <c r="F20" s="120">
        <f>SUM(D20:E20)</f>
        <v>18112.752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43420.800000000003</v>
      </c>
      <c r="E21" s="116">
        <f>SUM(E18:E20)</f>
        <v>8249.9519999999993</v>
      </c>
      <c r="F21" s="115">
        <f>SUM(F18:F20)</f>
        <v>51670.752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36108.542400000013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233465.76000000007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43420.800000000003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160210.86921256044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160210.86921256044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NELSON RIVERA</v>
      </c>
      <c r="D10" s="350"/>
      <c r="E10" s="350"/>
      <c r="F10" s="351" t="s">
        <v>167</v>
      </c>
      <c r="G10" s="352">
        <f>'2229'!G10</f>
        <v>46077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+569 3496 5144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1600</v>
      </c>
      <c r="E22" s="321">
        <f>'2229'!E21*1000</f>
        <v>600</v>
      </c>
      <c r="F22" s="322" t="str">
        <f>'2229'!F21</f>
        <v>MARMOL FLORENTINO BR 0511</v>
      </c>
      <c r="G22" s="314">
        <f>'2229'!G21</f>
        <v>64937.496158940419</v>
      </c>
      <c r="H22" s="323">
        <f>G22*B22</f>
        <v>64937.496158940419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64937.496158940419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12338.124270198679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77275.620429139104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NELSON RIVERA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46077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46084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MARMOL FLORENTINO BR 0511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MARMOL FLORENTINO BR 0511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12004</v>
      </c>
      <c r="C2" s="1">
        <f>'NOTA DE VENTA'!$G$10</f>
        <v>46077</v>
      </c>
      <c r="D2" s="1">
        <f>'NOTA DE VENTA'!$G$11</f>
        <v>46084</v>
      </c>
      <c r="E2" t="str">
        <f>'NOTA DE VENTA'!$C$10</f>
        <v>NELSON RIVERA</v>
      </c>
      <c r="F2" t="str">
        <f>'NOTA DE VENTA'!$C$22</f>
        <v>CUB C/R R8</v>
      </c>
      <c r="G2" t="str">
        <f>'NOTA DE VENTA'!$F$22</f>
        <v>MARMOL FLORENTINO BR 0511</v>
      </c>
      <c r="H2" s="415">
        <f>'NOTA DE VENTA'!$H$25</f>
        <v>64937.496158940419</v>
      </c>
      <c r="I2" s="415">
        <f>H2*0.19</f>
        <v>12338.124270198679</v>
      </c>
      <c r="J2" s="415">
        <f>I2+H2</f>
        <v>77275.620429139104</v>
      </c>
      <c r="L2" s="61">
        <f>J2-K2</f>
        <v>77275.620429139104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2026-02-24T18:12:19Z</cp:lastPrinted>
  <dcterms:created xsi:type="dcterms:W3CDTF">2013-03-18T13:35:42Z</dcterms:created>
  <dcterms:modified xsi:type="dcterms:W3CDTF">2026-02-24T19:29:43Z</dcterms:modified>
</cp:coreProperties>
</file>