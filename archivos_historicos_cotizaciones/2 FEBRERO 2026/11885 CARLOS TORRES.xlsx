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55414CFB-A7E6-4FCB-BC07-913DCCDBF53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L22" i="1" l="1"/>
  <c r="M22" i="1"/>
  <c r="N22" i="1"/>
  <c r="O22" i="1"/>
  <c r="P22" i="1" s="1"/>
  <c r="S22" i="1"/>
  <c r="L23" i="1"/>
  <c r="S23" i="1" s="1"/>
  <c r="M23" i="1"/>
  <c r="N23" i="1"/>
  <c r="O23" i="1"/>
  <c r="P23" i="1"/>
  <c r="L24" i="1"/>
  <c r="S24" i="1" s="1"/>
  <c r="M24" i="1"/>
  <c r="N24" i="1"/>
  <c r="O24" i="1"/>
  <c r="P24" i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8" i="1" l="1"/>
  <c r="S29" i="1"/>
  <c r="T27" i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Q23" i="1"/>
  <c r="Q24" i="1"/>
  <c r="R24" i="1" s="1"/>
  <c r="O42" i="1"/>
  <c r="E15" i="3"/>
  <c r="R23" i="1" l="1"/>
  <c r="G23" i="1"/>
  <c r="H23" i="1" s="1"/>
  <c r="R22" i="1"/>
  <c r="G22" i="1"/>
  <c r="H22" i="1" s="1"/>
  <c r="G24" i="1"/>
  <c r="H24" i="1" s="1"/>
  <c r="Q21" i="1"/>
  <c r="G21" i="1" s="1"/>
  <c r="F15" i="3"/>
  <c r="R21" i="1" l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<sst xmlns="http://schemas.openxmlformats.org/spreadsheetml/2006/main" count="492" uniqueCount="294">
  <si>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</si>
  <si>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</si>
  <si>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</si>
  <si>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</si>
  <si>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</si>
  <si>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</si>
  <si>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</si>
  <si>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</si>
  <si>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</si>
  <si>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</si>
  <si>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</si>
  <si>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</si>
  <si>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</si>
  <si>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</si>
  <si>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</si>
  <si>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</si>
  <si>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</si>
  <si>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</si>
  <si>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</si>
  <si>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</si>
  <si>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</si>
  <si>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</si>
  <si>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</si>
  <si>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</si>
  <si>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</si>
  <si>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</si>
  <si>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</si>
  <si>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</si>
  <si>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</si>
  <si>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</si>
  <si>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</si>
  <si>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</si>
  <si>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</si>
  <si>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</si>
  <si>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</si>
  <si>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</si>
  <si>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</si>
  <si>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</si>
  <si>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</si>
  <si>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</si>
  <si>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</si>
  <si>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</si>
  <si>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</si>
  <si>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</si>
  <si>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</si>
  <si>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</si>
  <si>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</si>
  <si>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</si>
  <si>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</si>
  <si>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</si>
  <si>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</si>
  <si>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</si>
  <si>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</si>
  <si>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</si>
  <si>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</si>
  <si>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</si>
  <si>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</si>
  <si>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</si>
  <si>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</si>
  <si>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</si>
  <si>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</si>
  <si>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</si>
  <si>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</si>
  <si>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</si>
  <si>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</si>
  <si>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</si>
  <si>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</si>
  <si>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</si>
  <si>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</si>
  <si>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</si>
  <si>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</si>
  <si>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</si>
  <si>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</si>
  <si>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</si>
  <si>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</si>
  <si>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</si>
  <si>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</si>
  <si>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</si>
  <si>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</si>
  <si>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</si>
  <si>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</si>
  <si>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</si>
  <si>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</si>
  <si>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</si>
  <si>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</si>
  <si>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</si>
  <si>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</si>
  <si>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</si>
  <si>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</si>
  <si>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</si>
  <si>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</si>
  <si>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</si>
  <si>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</si>
  <si>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</si>
  <si>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</si>
  <si>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</si>
  <si>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</si>
  <si>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</si>
  <si>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</si>
  <si>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</si>
  <si>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</si>
  <si>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</si>
  <si>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</si>
  <si>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</si>
  <si>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</si>
  <si>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</si>
  <si>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</si>
  <si>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</si>
  <si>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</si>
  <si>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</si>
  <si>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</si>
  <si>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</si>
  <si>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</si>
  <si>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</si>
  <si>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</si>
  <si>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</si>
  <si>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</si>
  <si>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</si>
  <si>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</si>
  <si>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</si>
  <si>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</si>
  <si>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</si>
  <si>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</si>
  <si>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</si>
  <si>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</si>
  <si>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</si>
  <si>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</si>
  <si>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</si>
  <si>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</si>
  <si>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</si>
  <si>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</si>
  <si>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</si>
  <si>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</si>
  <si>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</si>
  <si>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</si>
  <si>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</si>
  <si>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</si>
  <si>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</si>
  <si>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</si>
  <si>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</si>
  <si>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</si>
  <si>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</si>
  <si>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</si>
  <si>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</si>
  <si>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</si>
  <si>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</si>
  <si>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</si>
  <si>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</si>
  <si>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</si>
  <si>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</si>
  <si>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</si>
  <si>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</si>
  <si>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</si>
  <si>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</si>
  <si>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</si>
  <si>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</si>
  <si>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</si>
  <si>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</si>
  <si>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</si>
  <si>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</si>
  <si>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</si>
  <si>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</si>
  <si>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</si>
  <si>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</si>
  <si>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</si>
  <si>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</si>
  <si>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</si>
  <si>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</si>
  <si>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</si>
  <si>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</si>
  <si>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</si>
  <si>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</si>
  <si>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</si>
  <si>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</si>
  <si>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</si>
  <si>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</si>
  <si>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</si>
  <si>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</si>
  <si>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</si>
  <si>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</si>
  <si>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</si>
  <si>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</si>
  <si>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</si>
  <si>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</si>
  <si>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</si>
  <si>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</si>
  <si>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</si>
  <si>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</si>
  <si>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</si>
  <si>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</si>
  <si>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</si>
  <si>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</si>
  <si>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</si>
  <si>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</si>
  <si>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</si>
  <si>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</si>
  <si>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</si>
  <si>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</si>
  <si>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</si>
  <si>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</si>
  <si>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</si>
  <si>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</si>
  <si>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</si>
  <si>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</si>
  <si>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</si>
  <si>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</si>
  <si>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</si>
  <si>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</si>
  <si>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</si>
  <si>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</si>
  <si>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</si>
  <si>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</si>
  <si>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</si>
  <si>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</si>
  <si>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</si>
  <si>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</si>
  <si>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</si>
  <si>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</si>
  <si>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</si>
  <si>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</si>
  <si>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</si>
  <si>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</si>
  <si>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</si>
  <si>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</si>
  <si>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</si>
  <si>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</si>
  <si>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</si>
  <si>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</si>
  <si>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</si>
  <si>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</si>
  <si>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</si>
  <si>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</si>
  <si>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</si>
  <si>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</si>
  <si>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</si>
  <si>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</si>
  <si>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</si>
  <si>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</si>
  <si>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</si>
  <si>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</si>
  <si>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</si>
  <si>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</si>
  <si>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</si>
  <si>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</si>
  <si>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</si>
  <si>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</si>
  <si>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</si>
  <si>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</si>
  <si>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</si>
  <si>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</si>
  <si>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</si>
  <si>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</si>
  <si>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</si>
  <si>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</si>
  <si>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</si>
  <si>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</si>
  <si>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</si>
  <si>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</si>
  <si>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</si>
  <si>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</si>
  <si>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</si>
  <si>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</si>
  <si>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</si>
  <si>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</si>
  <si>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</si>
  <si>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</si>
  <si>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</si>
  <si>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</si>
  <si>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</si>
  <si>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</si>
  <si>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</si>
  <si>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</si>
  <si>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</si>
  <si>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</si>
  <si>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</si>
  <si>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</si>
  <si>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</si>
  <si>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</si>
  <si>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</si>
  <si>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</si>
  <si>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</si>
  <si>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</si>
  <si>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</si>
  <si>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</si>
  <si>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</si>
  <si>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</si>
  <si>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</si>
  <si>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</si>
  <si>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</si>
  <si>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CARLOS TORRES</t>
  </si>
  <si>
    <t>+569 5193 9027</t>
  </si>
  <si>
    <t>ALUMINA MT 2103</t>
  </si>
  <si>
    <t>CUB SIN RESPALDO FTE 90° R19</t>
  </si>
  <si>
    <t>N° 11885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</si>
</sst>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ENCHAPADA EN LOS COSTADOS Y LA PARTE TRASERA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7" zoomScale="93" zoomScaleNormal="93" workbookViewId="0">
      <selection activeCell="A7" sqref="A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46065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68521.151889141503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22</v>
      </c>
      <c r="C21" s="431" t="s">
        <v>292</v>
      </c>
      <c r="D21" s="432">
        <v>2</v>
      </c>
      <c r="E21" s="432">
        <v>0.7</v>
      </c>
      <c r="F21" s="313" t="s">
        <v>291</v>
      </c>
      <c r="G21" s="314">
        <f>Q21</f>
        <v>106892.99694706075</v>
      </c>
      <c r="H21" s="433">
        <f>G21*B21</f>
        <v>2351645.9328353363</v>
      </c>
      <c r="I21" s="306"/>
      <c r="J21" s="264"/>
      <c r="K21" s="47"/>
      <c r="L21" s="47">
        <f>B21</f>
        <v>22</v>
      </c>
      <c r="M21" s="39">
        <f>D21+M$19</f>
        <v>2.08</v>
      </c>
      <c r="N21" s="39">
        <f>E21+$N$19</f>
        <v>0.75</v>
      </c>
      <c r="O21" s="260">
        <f t="shared" ref="O21" si="0">M21*N21</f>
        <v>1.56</v>
      </c>
      <c r="P21" s="258">
        <f t="shared" ref="P21" si="1">O21*L21</f>
        <v>34.32</v>
      </c>
      <c r="Q21" s="251">
        <f t="shared" ref="Q21" si="2">Q$20*O21</f>
        <v>106892.99694706075</v>
      </c>
      <c r="R21" s="305">
        <f t="shared" ref="R21" si="3">Q21+R$20</f>
        <v>109892.99694706075</v>
      </c>
      <c r="S21" s="290">
        <f>M21*L21*2</f>
        <v>91.52000000000001</v>
      </c>
      <c r="T21" s="46">
        <f>N21*2*L21*2</f>
        <v>66</v>
      </c>
      <c r="U21" s="9"/>
      <c r="X21" s="4"/>
    </row>
    <row r="22" spans="2:25" ht="17.399999999999999" x14ac:dyDescent="0.3">
      <c r="B22" s="467">
        <v>1</v>
      </c>
      <c r="C22" s="464" t="s">
        <v>292</v>
      </c>
      <c r="D22" s="465">
        <v>1.8</v>
      </c>
      <c r="E22" s="465">
        <v>0.7</v>
      </c>
      <c r="F22" s="463" t="s">
        <v>291</v>
      </c>
      <c r="G22" s="466">
        <f>Q22</f>
        <v>96614.824163689525</v>
      </c>
      <c r="H22" s="468">
        <f>G22*B22</f>
        <v>96614.824163689525</v>
      </c>
      <c r="I22" s="306"/>
      <c r="J22" s="264"/>
      <c r="K22" s="47"/>
      <c r="L22" s="47">
        <f t="shared" ref="L22:L24" si="4">B22</f>
        <v>1</v>
      </c>
      <c r="M22" s="39">
        <f t="shared" ref="M22:M24" si="5">D22+M$19</f>
        <v>1.8800000000000001</v>
      </c>
      <c r="N22" s="39">
        <f t="shared" ref="N22:N24" si="6">E22+$N$19</f>
        <v>0.75</v>
      </c>
      <c r="O22" s="260">
        <f t="shared" ref="O22:O24" si="7">M22*N22</f>
        <v>1.4100000000000001</v>
      </c>
      <c r="P22" s="258">
        <f t="shared" ref="P22:P24" si="8">O22*L22</f>
        <v>1.4100000000000001</v>
      </c>
      <c r="Q22" s="251">
        <f t="shared" ref="Q22:Q24" si="9">Q$20*O22</f>
        <v>96614.824163689525</v>
      </c>
      <c r="R22" s="305">
        <f t="shared" ref="R22:R24" si="10">Q22+R$20</f>
        <v>99614.824163689525</v>
      </c>
      <c r="S22" s="290">
        <f t="shared" ref="S22:S24" si="11">M22*L22*2</f>
        <v>3.7600000000000002</v>
      </c>
      <c r="T22" s="46"/>
      <c r="U22" s="9"/>
      <c r="X22" s="4"/>
    </row>
    <row r="23" spans="2:25" ht="17.399999999999999" x14ac:dyDescent="0.3">
      <c r="B23" s="467">
        <v>12</v>
      </c>
      <c r="C23" s="464" t="s">
        <v>292</v>
      </c>
      <c r="D23" s="465">
        <v>1</v>
      </c>
      <c r="E23" s="465">
        <v>0.7</v>
      </c>
      <c r="F23" s="463" t="s">
        <v>291</v>
      </c>
      <c r="G23" s="466">
        <f>Q23</f>
        <v>55502.133030204619</v>
      </c>
      <c r="H23" s="468">
        <f>G23*B23</f>
        <v>666025.5963624554</v>
      </c>
      <c r="I23" s="306"/>
      <c r="J23" s="264"/>
      <c r="K23" s="47"/>
      <c r="L23" s="47">
        <f t="shared" si="4"/>
        <v>12</v>
      </c>
      <c r="M23" s="39">
        <f t="shared" si="5"/>
        <v>1.08</v>
      </c>
      <c r="N23" s="39">
        <f t="shared" si="6"/>
        <v>0.75</v>
      </c>
      <c r="O23" s="260">
        <f t="shared" si="7"/>
        <v>0.81</v>
      </c>
      <c r="P23" s="258">
        <f t="shared" si="8"/>
        <v>9.7200000000000006</v>
      </c>
      <c r="Q23" s="251">
        <f t="shared" si="9"/>
        <v>55502.133030204619</v>
      </c>
      <c r="R23" s="305">
        <f t="shared" si="10"/>
        <v>58502.133030204619</v>
      </c>
      <c r="S23" s="290">
        <f t="shared" si="11"/>
        <v>25.92</v>
      </c>
      <c r="T23" s="46"/>
      <c r="U23" s="9"/>
      <c r="X23" s="4"/>
    </row>
    <row r="24" spans="2:25" ht="18" thickBot="1" x14ac:dyDescent="0.35">
      <c r="B24" s="434">
        <v>1</v>
      </c>
      <c r="C24" s="435" t="s">
        <v>292</v>
      </c>
      <c r="D24" s="436">
        <v>0.9</v>
      </c>
      <c r="E24" s="436">
        <v>0.7</v>
      </c>
      <c r="F24" s="437" t="s">
        <v>291</v>
      </c>
      <c r="G24" s="438">
        <f>Q24</f>
        <v>50363.046638519001</v>
      </c>
      <c r="H24" s="439">
        <f>G24*B24</f>
        <v>50363.046638519001</v>
      </c>
      <c r="I24" s="306"/>
      <c r="J24" s="264"/>
      <c r="K24" s="47"/>
      <c r="L24" s="47">
        <f t="shared" si="4"/>
        <v>1</v>
      </c>
      <c r="M24" s="39">
        <f t="shared" si="5"/>
        <v>0.98</v>
      </c>
      <c r="N24" s="39">
        <f t="shared" si="6"/>
        <v>0.75</v>
      </c>
      <c r="O24" s="260">
        <f t="shared" si="7"/>
        <v>0.73499999999999999</v>
      </c>
      <c r="P24" s="258">
        <f t="shared" si="8"/>
        <v>0.73499999999999999</v>
      </c>
      <c r="Q24" s="251">
        <f t="shared" si="9"/>
        <v>50363.046638519001</v>
      </c>
      <c r="R24" s="305">
        <f t="shared" si="10"/>
        <v>53363.046638519001</v>
      </c>
      <c r="S24" s="290">
        <f t="shared" si="11"/>
        <v>1.96</v>
      </c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SUM(H21:H26)</f>
        <v>3164649.4000000004</v>
      </c>
      <c r="I27" s="308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0"/>
      <c r="T27" s="46">
        <f>SUM(T21:T26)</f>
        <v>66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601283.38600000006</v>
      </c>
      <c r="I28" s="308"/>
      <c r="J28" s="264"/>
      <c r="K28" s="47"/>
      <c r="L28" s="47"/>
      <c r="M28" s="39">
        <f>SUM(M21:M27)</f>
        <v>6.02</v>
      </c>
      <c r="N28" s="12"/>
      <c r="O28" s="12"/>
      <c r="P28" s="252">
        <f>SUM(P21:P25)</f>
        <v>46.185000000000002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3765932.7860000003</v>
      </c>
      <c r="I29" s="308"/>
      <c r="J29" s="264"/>
      <c r="K29" s="47"/>
      <c r="L29" s="47"/>
      <c r="M29" s="39"/>
      <c r="N29" s="12"/>
      <c r="O29" s="12"/>
      <c r="P29" s="252">
        <f>P28</f>
        <v>46.185000000000002</v>
      </c>
      <c r="Q29" s="14"/>
      <c r="R29" s="12"/>
      <c r="S29" s="239">
        <f>SUM(S21:S28)</f>
        <v>123.16000000000001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9.2370000000000001</v>
      </c>
      <c r="Q30" s="39" t="s">
        <v>129</v>
      </c>
      <c r="R30" s="42"/>
      <c r="S30" s="240">
        <f>S29+T27</f>
        <v>189.16000000000003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55.422000000000004</v>
      </c>
      <c r="Q31" s="14"/>
      <c r="R31" s="14"/>
      <c r="S31" s="238">
        <f>S30*20%</f>
        <v>37.832000000000008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226.99200000000002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55.422000000000004</v>
      </c>
      <c r="N33" s="12">
        <v>3500</v>
      </c>
      <c r="O33" s="12">
        <f t="shared" ref="O33:O38" si="12">M33*N33</f>
        <v>193977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15</v>
      </c>
      <c r="N34" s="12">
        <v>38500</v>
      </c>
      <c r="O34" s="12">
        <f t="shared" si="12"/>
        <v>577500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12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23</v>
      </c>
      <c r="N36" s="249">
        <v>29000</v>
      </c>
      <c r="O36" s="12">
        <f t="shared" si="12"/>
        <v>667000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2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12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1438477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3164649.4000000004</v>
      </c>
      <c r="P40" s="14" t="s">
        <v>138</v>
      </c>
      <c r="Q40" s="14"/>
      <c r="R40" s="40">
        <f>P31/R39</f>
        <v>14.943377911993098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68521.151889141503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46065</v>
      </c>
    </row>
    <row r="6" spans="2:31" ht="16.2" thickBot="1" x14ac:dyDescent="0.35">
      <c r="B6" s="140" t="s">
        <v>2</v>
      </c>
      <c r="C6" s="139" t="str">
        <f>'2229'!C10</f>
        <v>CARLOS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-307081.01670012082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3164649.4000000004</v>
      </c>
      <c r="E11" s="132">
        <f>D11*0.19</f>
        <v>601283.38600000006</v>
      </c>
      <c r="F11" s="131">
        <f>E11+D11</f>
        <v>3765932.7860000003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-201091.01670012082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801311.09078743961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-219091.01670012082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2363338.3092125608</v>
      </c>
      <c r="E13" s="221">
        <f>(D11/D12)-1</f>
        <v>2.9493393219980697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-228091.01670012082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-267091.01670012082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1322163.2997992754</v>
      </c>
      <c r="F15" s="216">
        <f>E15-D12</f>
        <v>520852.20901183574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-267091.01670012082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-227091.01670012082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577500</v>
      </c>
      <c r="E19" s="123">
        <f>D19*0.19</f>
        <v>109725</v>
      </c>
      <c r="F19" s="120">
        <f>SUM(D19:E19)</f>
        <v>687225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193977</v>
      </c>
      <c r="E20" s="121">
        <f>D20*0.19</f>
        <v>36855.629999999997</v>
      </c>
      <c r="F20" s="120">
        <f>SUM(D20:E20)</f>
        <v>230832.63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771477</v>
      </c>
      <c r="E21" s="116">
        <f>SUM(E18:E20)</f>
        <v>146580.63</v>
      </c>
      <c r="F21" s="115">
        <f>SUM(F18:F20)</f>
        <v>918057.63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454702.75600000005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3164649.4000000004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771477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2363338.3092125608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2363338.3092125608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TORRES</v>
      </c>
      <c r="D10" s="350"/>
      <c r="E10" s="350"/>
      <c r="F10" s="351" t="s">
        <v>167</v>
      </c>
      <c r="G10" s="352">
        <f>'2229'!G10</f>
        <v>46065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+569 5193 9027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22</v>
      </c>
      <c r="C22" s="313" t="str">
        <f>'2229'!C21</f>
        <v>CUB SIN RESPALDO FTE 90° R19</v>
      </c>
      <c r="D22" s="321">
        <f>'2229'!D21*1000</f>
        <v>2000</v>
      </c>
      <c r="E22" s="321">
        <f>'2229'!E21*1000</f>
        <v>700</v>
      </c>
      <c r="F22" s="322" t="str">
        <f>'2229'!F21</f>
        <v>ALUMINA MT 2103</v>
      </c>
      <c r="G22" s="314">
        <f>'2229'!G21</f>
        <v>106892.99694706075</v>
      </c>
      <c r="H22" s="323">
        <f>G22*B22</f>
        <v>2351645.9328353363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2351645.9328353363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446812.72723871388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2798458.6600740501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TORRES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46072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11885</v>
      </c>
      <c r="C2" s="1">
        <f>'NOTA DE VENTA'!$G$10</f>
        <v>46065</v>
      </c>
      <c r="D2" s="1">
        <f>'NOTA DE VENTA'!$G$11</f>
        <v>46072</v>
      </c>
      <c r="E2" t="str">
        <f>'NOTA DE VENTA'!$C$10</f>
        <v>CARLOS TORRES</v>
      </c>
      <c r="F2" t="str">
        <f>'NOTA DE VENTA'!$C$22</f>
        <v>CUB SIN RESPALDO FTE 90° R19</v>
      </c>
      <c r="G2" t="str">
        <f>'NOTA DE VENTA'!$F$22</f>
        <v>ALUMINA MT 2103</v>
      </c>
      <c r="H2" s="416">
        <f>'NOTA DE VENTA'!$H$25</f>
        <v>2351645.9328353363</v>
      </c>
      <c r="I2" s="416">
        <f>H2*0.19</f>
        <v>446812.72723871388</v>
      </c>
      <c r="J2" s="416">
        <f>I2+H2</f>
        <v>2798458.6600740501</v>
      </c>
      <c r="L2" s="61">
        <f>J2-K2</f>
        <v>2798458.6600740501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2026-02-12T12:31:27Z</cp:lastPrinted>
  <dcterms:created xsi:type="dcterms:W3CDTF">2013-03-18T13:35:42Z</dcterms:created>
  <dcterms:modified xsi:type="dcterms:W3CDTF">2026-02-12T13:44:02Z</dcterms:modified>
</cp:coreProperties>
</file>