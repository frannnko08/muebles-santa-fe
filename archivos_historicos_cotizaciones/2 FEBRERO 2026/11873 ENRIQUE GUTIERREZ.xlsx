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C41ADD09-E3CA-4259-A517-0061F8C17619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M32" i="1"/>
  <c r="N32" i="1"/>
  <c r="O32" i="1"/>
  <c r="P32" i="1" s="1"/>
  <c r="S32" i="1"/>
  <c r="L22" i="1"/>
  <c r="M22" i="1"/>
  <c r="O22" i="1" s="1"/>
  <c r="P22" i="1" s="1"/>
  <c r="N22" i="1"/>
  <c r="L23" i="1"/>
  <c r="M23" i="1"/>
  <c r="O23" i="1" s="1"/>
  <c r="P23" i="1" s="1"/>
  <c r="N23" i="1"/>
  <c r="S23" i="1"/>
  <c r="L24" i="1"/>
  <c r="M24" i="1"/>
  <c r="S24" i="1" s="1"/>
  <c r="N24" i="1"/>
  <c r="L25" i="1"/>
  <c r="M25" i="1"/>
  <c r="N25" i="1"/>
  <c r="O25" i="1" s="1"/>
  <c r="P25" i="1" s="1"/>
  <c r="S25" i="1"/>
  <c r="L26" i="1"/>
  <c r="M26" i="1"/>
  <c r="S26" i="1" s="1"/>
  <c r="N26" i="1"/>
  <c r="O26" i="1"/>
  <c r="P26" i="1" s="1"/>
  <c r="L27" i="1"/>
  <c r="M27" i="1"/>
  <c r="O27" i="1" s="1"/>
  <c r="P27" i="1" s="1"/>
  <c r="N27" i="1"/>
  <c r="S27" i="1"/>
  <c r="L28" i="1"/>
  <c r="M28" i="1"/>
  <c r="S28" i="1" s="1"/>
  <c r="N28" i="1"/>
  <c r="L29" i="1"/>
  <c r="S29" i="1" s="1"/>
  <c r="M29" i="1"/>
  <c r="N29" i="1"/>
  <c r="O29" i="1" s="1"/>
  <c r="P29" i="1" s="1"/>
  <c r="L30" i="1"/>
  <c r="M30" i="1"/>
  <c r="S30" i="1" s="1"/>
  <c r="N30" i="1"/>
  <c r="O30" i="1"/>
  <c r="P30" i="1" s="1"/>
  <c r="L31" i="1"/>
  <c r="M31" i="1"/>
  <c r="O31" i="1" s="1"/>
  <c r="P31" i="1" s="1"/>
  <c r="N31" i="1"/>
  <c r="S31" i="1"/>
  <c r="L33" i="1"/>
  <c r="M33" i="1"/>
  <c r="S33" i="1" s="1"/>
  <c r="N33" i="1"/>
  <c r="L21" i="1"/>
  <c r="N5" i="6"/>
  <c r="A2" i="7"/>
  <c r="O33" i="1" l="1"/>
  <c r="P33" i="1" s="1"/>
  <c r="O28" i="1"/>
  <c r="P28" i="1" s="1"/>
  <c r="O24" i="1"/>
  <c r="P24" i="1" s="1"/>
  <c r="S22" i="1"/>
  <c r="M36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S21" i="1" l="1"/>
  <c r="S37" i="1" s="1"/>
  <c r="T21" i="1"/>
  <c r="T35" i="1" s="1"/>
  <c r="O21" i="1"/>
  <c r="P21" i="1" s="1"/>
  <c r="P36" i="1" s="1"/>
  <c r="K50" i="1"/>
  <c r="S38" i="1" l="1"/>
  <c r="S39" i="1" s="1"/>
  <c r="S40" i="1" s="1"/>
  <c r="V43" i="1"/>
  <c r="V44" i="1" s="1"/>
  <c r="P37" i="1" l="1"/>
  <c r="N20" i="1"/>
  <c r="L20" i="1"/>
  <c r="P38" i="1" l="1"/>
  <c r="P39" i="1" s="1"/>
  <c r="M41" i="1" s="1"/>
  <c r="O43" i="1"/>
  <c r="R47" i="1"/>
  <c r="R48" i="1" l="1"/>
  <c r="O42" i="1" s="1"/>
  <c r="O44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46" i="1"/>
  <c r="O45" i="1"/>
  <c r="F18" i="3" l="1"/>
  <c r="O41" i="1" l="1"/>
  <c r="O47" i="1" s="1"/>
  <c r="O48" i="1" s="1"/>
  <c r="D21" i="3" l="1"/>
  <c r="E21" i="3" s="1"/>
  <c r="E22" i="3" s="1"/>
  <c r="O49" i="1" l="1"/>
  <c r="Q20" i="1" s="1"/>
  <c r="Q32" i="1" s="1"/>
  <c r="R32" i="1" s="1"/>
  <c r="D22" i="3"/>
  <c r="M44" i="3" s="1"/>
  <c r="D12" i="3" s="1"/>
  <c r="F21" i="3"/>
  <c r="F22" i="3" s="1"/>
  <c r="Q22" i="1" l="1"/>
  <c r="R22" i="1" s="1"/>
  <c r="G22" i="1" s="1"/>
  <c r="H22" i="1" s="1"/>
  <c r="Q23" i="1"/>
  <c r="R23" i="1" s="1"/>
  <c r="G23" i="1" s="1"/>
  <c r="H23" i="1" s="1"/>
  <c r="Q24" i="1"/>
  <c r="R24" i="1" s="1"/>
  <c r="G24" i="1" s="1"/>
  <c r="H24" i="1" s="1"/>
  <c r="Q25" i="1"/>
  <c r="R25" i="1" s="1"/>
  <c r="G25" i="1" s="1"/>
  <c r="H25" i="1" s="1"/>
  <c r="Q26" i="1"/>
  <c r="R26" i="1" s="1"/>
  <c r="G26" i="1" s="1"/>
  <c r="H26" i="1" s="1"/>
  <c r="Q27" i="1"/>
  <c r="R27" i="1" s="1"/>
  <c r="G27" i="1" s="1"/>
  <c r="H27" i="1" s="1"/>
  <c r="Q28" i="1"/>
  <c r="R28" i="1" s="1"/>
  <c r="G28" i="1" s="1"/>
  <c r="H28" i="1" s="1"/>
  <c r="Q29" i="1"/>
  <c r="R29" i="1" s="1"/>
  <c r="G29" i="1" s="1"/>
  <c r="H29" i="1" s="1"/>
  <c r="Q30" i="1"/>
  <c r="R30" i="1" s="1"/>
  <c r="G30" i="1" s="1"/>
  <c r="H30" i="1" s="1"/>
  <c r="Q31" i="1"/>
  <c r="R31" i="1" s="1"/>
  <c r="G31" i="1" s="1"/>
  <c r="H31" i="1" s="1"/>
  <c r="Q33" i="1"/>
  <c r="R33" i="1" s="1"/>
  <c r="G33" i="1" s="1"/>
  <c r="H33" i="1" s="1"/>
  <c r="O50" i="1"/>
  <c r="E15" i="3"/>
  <c r="Q21" i="1" l="1"/>
  <c r="F15" i="3"/>
  <c r="R21" i="1" l="1"/>
  <c r="G21" i="1" s="1"/>
  <c r="H21" i="1" l="1"/>
  <c r="H35" i="1" l="1"/>
  <c r="H36" i="1" s="1"/>
  <c r="H37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3" i="3" l="1"/>
  <c r="E11" i="3"/>
  <c r="D41" i="3" s="1"/>
  <c r="X16" i="3"/>
  <c r="E13" i="3"/>
  <c r="D13" i="3"/>
  <c r="M43" i="3"/>
  <c r="M47" i="3" s="1"/>
  <c r="M50" i="3" s="1"/>
  <c r="X14" i="3"/>
  <c r="X12" i="3"/>
  <c r="X11" i="3"/>
  <c r="F11" i="3" l="1"/>
</calcChain>
</file>

<file path=xl/sharedStrings.xml><?xml version="1.0" encoding="utf-8"?>
<sst xmlns="http://schemas.openxmlformats.org/spreadsheetml/2006/main" count="511" uniqueCount="294">
  <si>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</si>
  <si>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</si>
  <si>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</si>
  <si>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</si>
  <si>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</si>
  <si>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</si>
  <si>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</si>
  <si>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</si>
  <si>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</si>
  <si>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</si>
  <si>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</si>
  <si>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</si>
  <si>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</si>
  <si>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</si>
  <si>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</si>
  <si>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</si>
  <si>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</si>
  <si>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</si>
  <si>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</si>
  <si>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</si>
  <si>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</si>
  <si>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</si>
  <si>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</si>
  <si>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</si>
  <si>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</si>
  <si>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</si>
  <si>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</si>
  <si>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</si>
  <si>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</si>
  <si>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</si>
  <si>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</si>
  <si>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</si>
  <si>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</si>
  <si>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</si>
  <si>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</si>
  <si>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</si>
  <si>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</si>
  <si>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</si>
  <si>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</si>
  <si>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</si>
  <si>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</si>
  <si>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</si>
  <si>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</si>
  <si>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</si>
  <si>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</si>
  <si>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</si>
  <si>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</si>
  <si>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</si>
  <si>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</si>
  <si>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</si>
  <si>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</si>
  <si>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</si>
  <si>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</si>
  <si>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</si>
  <si>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</si>
  <si>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</si>
  <si>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</si>
  <si>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</si>
  <si>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</si>
  <si>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</si>
  <si>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</si>
  <si>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</si>
  <si>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</si>
  <si>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</si>
  <si>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</si>
  <si>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</si>
  <si>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</si>
  <si>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</si>
  <si>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</si>
  <si>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</si>
  <si>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</si>
  <si>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</si>
  <si>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</si>
  <si>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</si>
  <si>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</si>
  <si>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</si>
  <si>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</si>
  <si>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</si>
  <si>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</si>
  <si>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</si>
  <si>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</si>
  <si>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</si>
  <si>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</si>
  <si>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</si>
  <si>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</si>
  <si>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</si>
  <si>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</si>
  <si>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</si>
  <si>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</si>
  <si>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</si>
  <si>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</si>
  <si>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</si>
  <si>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</si>
  <si>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</si>
  <si>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</si>
  <si>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</si>
  <si>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</si>
  <si>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</si>
  <si>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</si>
  <si>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</si>
  <si>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</si>
  <si>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</si>
  <si>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</si>
  <si>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</si>
  <si>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</si>
  <si>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</si>
  <si>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</si>
  <si>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</si>
  <si>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</si>
  <si>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</si>
  <si>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</si>
  <si>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</si>
  <si>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</si>
  <si>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</si>
  <si>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</si>
  <si>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</si>
  <si>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</si>
  <si>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</si>
  <si>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</si>
  <si>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</si>
  <si>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</si>
  <si>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</si>
  <si>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</si>
  <si>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</si>
  <si>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</si>
  <si>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</si>
  <si>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</si>
  <si>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</si>
  <si>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</si>
  <si>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</si>
  <si>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</si>
  <si>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</si>
  <si>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</si>
  <si>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</si>
  <si>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</si>
  <si>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</si>
  <si>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</si>
  <si>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</si>
  <si>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</si>
  <si>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</si>
  <si>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</si>
  <si>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</si>
  <si>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</si>
  <si>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</si>
  <si>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</si>
  <si>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</si>
  <si>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</si>
  <si>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</si>
  <si>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</si>
  <si>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</si>
  <si>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</si>
  <si>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</si>
  <si>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</si>
  <si>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</si>
  <si>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</si>
  <si>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</si>
  <si>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</si>
  <si>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</si>
  <si>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</si>
  <si>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</si>
  <si>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</si>
  <si>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</si>
  <si>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</si>
  <si>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</si>
  <si>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</si>
  <si>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</si>
  <si>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</si>
  <si>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</si>
  <si>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</si>
  <si>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</si>
  <si>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</si>
  <si>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</si>
  <si>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</si>
  <si>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</si>
  <si>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</si>
  <si>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</si>
  <si>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</si>
  <si>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</si>
  <si>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</si>
  <si>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</si>
  <si>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</si>
  <si>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</si>
  <si>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</si>
  <si>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</si>
  <si>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</si>
  <si>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</si>
  <si>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</si>
  <si>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</si>
  <si>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</si>
  <si>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</si>
  <si>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</si>
  <si>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</si>
  <si>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</si>
  <si>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</si>
  <si>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</si>
  <si>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</si>
  <si>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</si>
  <si>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</si>
  <si>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</si>
  <si>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</si>
  <si>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</si>
  <si>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</si>
  <si>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</si>
  <si>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</si>
  <si>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</si>
  <si>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</si>
  <si>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</si>
  <si>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</si>
  <si>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</si>
  <si>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</si>
  <si>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</si>
  <si>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</si>
  <si>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</si>
  <si>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</si>
  <si>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</si>
  <si>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</si>
  <si>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</si>
  <si>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</si>
  <si>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</si>
  <si>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</si>
  <si>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</si>
  <si>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</si>
  <si>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</si>
  <si>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</si>
  <si>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</si>
  <si>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</si>
  <si>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</si>
  <si>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</si>
  <si>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</si>
  <si>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</si>
  <si>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</si>
  <si>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</si>
  <si>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</si>
  <si>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</si>
  <si>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</si>
  <si>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</si>
  <si>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</si>
  <si>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</si>
  <si>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</si>
  <si>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</si>
  <si>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</si>
  <si>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</si>
  <si>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</si>
  <si>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</si>
  <si>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</si>
  <si>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</si>
  <si>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</si>
  <si>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</si>
  <si>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</si>
  <si>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</si>
  <si>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</si>
  <si>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</si>
  <si>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</si>
  <si>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</si>
  <si>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</si>
  <si>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</si>
  <si>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</si>
  <si>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</si>
  <si>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</si>
  <si>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</si>
  <si>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</si>
  <si>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</si>
  <si>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</si>
  <si>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</si>
  <si>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</si>
  <si>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</si>
  <si>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</si>
  <si>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</si>
  <si>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</si>
  <si>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</si>
  <si>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</si>
  <si>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</si>
  <si>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</si>
  <si>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</si>
  <si>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</si>
  <si>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</si>
  <si>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</si>
  <si>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</si>
  <si>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</si>
  <si>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</si>
  <si>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</si>
  <si>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</si>
  <si>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</si>
  <si>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</si>
  <si>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</si>
  <si>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</si>
  <si>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</si>
  <si>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</si>
  <si>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</si>
  <si>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LAMINA CHICA</t>
  </si>
  <si>
    <t>N° 11873</t>
  </si>
  <si>
    <t>ENRIQUE GUTIERREZ</t>
  </si>
  <si>
    <t>MINT 2236 MT</t>
  </si>
  <si>
    <t>+569 7865 8972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</si>
</sst>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7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35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166" fontId="30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166" fontId="30" fillId="0" borderId="42" xfId="0" applyNumberFormat="1" applyFont="1" applyBorder="1" applyAlignment="1">
      <alignment horizontal="center" vertical="center"/>
    </xf>
    <xf numFmtId="167" fontId="11" fillId="0" borderId="65" xfId="2" applyNumberFormat="1" applyFont="1" applyFill="1" applyBorder="1" applyAlignment="1">
      <alignment horizontal="center" vertical="center"/>
    </xf>
    <xf numFmtId="167" fontId="11" fillId="0" borderId="45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38</xdr:row>
      <xdr:rowOff>8194</xdr:rowOff>
    </xdr:from>
    <xdr:to>
      <xdr:col>8</xdr:col>
      <xdr:colOff>8193</xdr:colOff>
      <xdr:row>41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40</xdr:row>
      <xdr:rowOff>154305</xdr:rowOff>
    </xdr:from>
    <xdr:to>
      <xdr:col>7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38</xdr:row>
      <xdr:rowOff>9525</xdr:rowOff>
    </xdr:from>
    <xdr:to>
      <xdr:col>5</xdr:col>
      <xdr:colOff>1745226</xdr:colOff>
      <xdr:row>41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33</xdr:row>
      <xdr:rowOff>214364</xdr:rowOff>
    </xdr:from>
    <xdr:to>
      <xdr:col>5</xdr:col>
      <xdr:colOff>1728839</xdr:colOff>
      <xdr:row>36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</a:t>
          </a:r>
          <a:r>
            <a:rPr lang="es-CL" sz="1200" b="1" baseline="0"/>
            <a:t> SE ENTREGAN CORTADAS A LA MEDIDA Y ENCHAPADAS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2"/>
  <sheetViews>
    <sheetView tabSelected="1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291</v>
      </c>
      <c r="D10" s="243"/>
      <c r="E10" s="243"/>
      <c r="F10" s="418" t="s">
        <v>277</v>
      </c>
      <c r="G10" s="275">
        <v>46058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293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2" t="s">
        <v>95</v>
      </c>
      <c r="C19" s="443"/>
      <c r="D19" s="443"/>
      <c r="E19" s="443"/>
      <c r="F19" s="443"/>
      <c r="G19" s="443"/>
      <c r="H19" s="444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O49</f>
        <v>92766.891348203921</v>
      </c>
      <c r="R20" s="257">
        <v>5000</v>
      </c>
      <c r="S20" s="38"/>
      <c r="T20" s="14" t="s">
        <v>127</v>
      </c>
      <c r="U20" s="9"/>
      <c r="X20" s="4"/>
    </row>
    <row r="21" spans="2:25" ht="17.399999999999999" x14ac:dyDescent="0.3">
      <c r="B21" s="312">
        <v>1</v>
      </c>
      <c r="C21" s="313" t="s">
        <v>260</v>
      </c>
      <c r="D21" s="434">
        <v>0.73199999999999998</v>
      </c>
      <c r="E21" s="434">
        <v>0.41399999999999998</v>
      </c>
      <c r="F21" s="313" t="s">
        <v>292</v>
      </c>
      <c r="G21" s="314">
        <f>R21</f>
        <v>35033.095540198323</v>
      </c>
      <c r="H21" s="435">
        <f>G21*B21</f>
        <v>35033.095540198323</v>
      </c>
      <c r="I21" s="306"/>
      <c r="J21" s="264"/>
      <c r="K21" s="47"/>
      <c r="L21" s="47">
        <f>B21</f>
        <v>1</v>
      </c>
      <c r="M21" s="39">
        <f>D21+M$19</f>
        <v>0.78200000000000003</v>
      </c>
      <c r="N21" s="39">
        <f>E21+$N$19</f>
        <v>0.41399999999999998</v>
      </c>
      <c r="O21" s="260">
        <f t="shared" ref="O21" si="0">M21*N21</f>
        <v>0.32374799999999998</v>
      </c>
      <c r="P21" s="258">
        <f t="shared" ref="P21" si="1">O21*L21</f>
        <v>0.32374799999999998</v>
      </c>
      <c r="Q21" s="251">
        <f t="shared" ref="Q21" si="2">Q$20*O21</f>
        <v>30033.095540198323</v>
      </c>
      <c r="R21" s="305">
        <f t="shared" ref="R21" si="3">Q21+R$20</f>
        <v>35033.095540198323</v>
      </c>
      <c r="S21" s="290">
        <f>M21*L21</f>
        <v>0.78200000000000003</v>
      </c>
      <c r="T21" s="46">
        <f>N21*2*L21*2</f>
        <v>1.6559999999999999</v>
      </c>
      <c r="U21" s="9"/>
      <c r="X21" s="4"/>
    </row>
    <row r="22" spans="2:25" ht="17.399999999999999" x14ac:dyDescent="0.3">
      <c r="B22" s="465">
        <v>2</v>
      </c>
      <c r="C22" s="466" t="s">
        <v>260</v>
      </c>
      <c r="D22" s="467">
        <v>0.73099999999999998</v>
      </c>
      <c r="E22" s="467">
        <v>0.40200000000000002</v>
      </c>
      <c r="F22" s="466" t="s">
        <v>292</v>
      </c>
      <c r="G22" s="468">
        <f>R22</f>
        <v>34125.278741464805</v>
      </c>
      <c r="H22" s="469">
        <f>G22*B22</f>
        <v>68250.557482929609</v>
      </c>
      <c r="I22" s="306"/>
      <c r="J22" s="264"/>
      <c r="K22" s="47"/>
      <c r="L22" s="47">
        <f t="shared" ref="L22:L33" si="4">B22</f>
        <v>2</v>
      </c>
      <c r="M22" s="39">
        <f t="shared" ref="M22:M33" si="5">D22+M$19</f>
        <v>0.78100000000000003</v>
      </c>
      <c r="N22" s="39">
        <f t="shared" ref="N22:N33" si="6">E22+$N$19</f>
        <v>0.40200000000000002</v>
      </c>
      <c r="O22" s="260">
        <f t="shared" ref="O22:O33" si="7">M22*N22</f>
        <v>0.31396200000000002</v>
      </c>
      <c r="P22" s="258">
        <f t="shared" ref="P22:P33" si="8">O22*L22</f>
        <v>0.62792400000000004</v>
      </c>
      <c r="Q22" s="251">
        <f t="shared" ref="Q22:Q33" si="9">Q$20*O22</f>
        <v>29125.278741464801</v>
      </c>
      <c r="R22" s="305">
        <f t="shared" ref="R22:R33" si="10">Q22+R$20</f>
        <v>34125.278741464805</v>
      </c>
      <c r="S22" s="290">
        <f t="shared" ref="S22:S33" si="11">M22*L22</f>
        <v>1.5620000000000001</v>
      </c>
      <c r="T22" s="46"/>
      <c r="U22" s="9"/>
      <c r="X22" s="4"/>
    </row>
    <row r="23" spans="2:25" ht="17.399999999999999" x14ac:dyDescent="0.3">
      <c r="B23" s="465">
        <v>1</v>
      </c>
      <c r="C23" s="466" t="s">
        <v>260</v>
      </c>
      <c r="D23" s="467">
        <v>0.73099999999999998</v>
      </c>
      <c r="E23" s="467">
        <v>0.38200000000000001</v>
      </c>
      <c r="F23" s="466" t="s">
        <v>292</v>
      </c>
      <c r="G23" s="468">
        <f t="shared" ref="G23:G33" si="12">R23</f>
        <v>32676.259898605855</v>
      </c>
      <c r="H23" s="469">
        <f t="shared" ref="H23:H33" si="13">G23*B23</f>
        <v>32676.259898605855</v>
      </c>
      <c r="I23" s="306"/>
      <c r="J23" s="264"/>
      <c r="K23" s="47"/>
      <c r="L23" s="47">
        <f t="shared" si="4"/>
        <v>1</v>
      </c>
      <c r="M23" s="39">
        <f t="shared" si="5"/>
        <v>0.78100000000000003</v>
      </c>
      <c r="N23" s="39">
        <f t="shared" si="6"/>
        <v>0.38200000000000001</v>
      </c>
      <c r="O23" s="260">
        <f t="shared" si="7"/>
        <v>0.298342</v>
      </c>
      <c r="P23" s="258">
        <f t="shared" si="8"/>
        <v>0.298342</v>
      </c>
      <c r="Q23" s="251">
        <f t="shared" si="9"/>
        <v>27676.259898605855</v>
      </c>
      <c r="R23" s="305">
        <f t="shared" si="10"/>
        <v>32676.259898605855</v>
      </c>
      <c r="S23" s="290">
        <f t="shared" si="11"/>
        <v>0.78100000000000003</v>
      </c>
      <c r="T23" s="46"/>
      <c r="U23" s="9"/>
      <c r="X23" s="4"/>
    </row>
    <row r="24" spans="2:25" ht="17.399999999999999" x14ac:dyDescent="0.3">
      <c r="B24" s="465">
        <v>1</v>
      </c>
      <c r="C24" s="466" t="s">
        <v>260</v>
      </c>
      <c r="D24" s="467">
        <v>0.73099999999999998</v>
      </c>
      <c r="E24" s="467">
        <v>0.26600000000000001</v>
      </c>
      <c r="F24" s="466" t="s">
        <v>292</v>
      </c>
      <c r="G24" s="468">
        <f t="shared" si="12"/>
        <v>24271.950610023974</v>
      </c>
      <c r="H24" s="469">
        <f t="shared" si="13"/>
        <v>24271.950610023974</v>
      </c>
      <c r="I24" s="306"/>
      <c r="J24" s="264"/>
      <c r="K24" s="47"/>
      <c r="L24" s="47">
        <f t="shared" si="4"/>
        <v>1</v>
      </c>
      <c r="M24" s="39">
        <f t="shared" si="5"/>
        <v>0.78100000000000003</v>
      </c>
      <c r="N24" s="39">
        <f t="shared" si="6"/>
        <v>0.26600000000000001</v>
      </c>
      <c r="O24" s="260">
        <f t="shared" si="7"/>
        <v>0.20774600000000001</v>
      </c>
      <c r="P24" s="258">
        <f t="shared" si="8"/>
        <v>0.20774600000000001</v>
      </c>
      <c r="Q24" s="251">
        <f t="shared" si="9"/>
        <v>19271.950610023974</v>
      </c>
      <c r="R24" s="305">
        <f t="shared" si="10"/>
        <v>24271.950610023974</v>
      </c>
      <c r="S24" s="290">
        <f t="shared" si="11"/>
        <v>0.78100000000000003</v>
      </c>
      <c r="T24" s="46"/>
      <c r="U24" s="9"/>
      <c r="X24" s="4"/>
    </row>
    <row r="25" spans="2:25" ht="17.399999999999999" x14ac:dyDescent="0.3">
      <c r="B25" s="465">
        <v>2</v>
      </c>
      <c r="C25" s="466" t="s">
        <v>260</v>
      </c>
      <c r="D25" s="467">
        <v>0.56100000000000005</v>
      </c>
      <c r="E25" s="467">
        <v>0.24</v>
      </c>
      <c r="F25" s="466" t="s">
        <v>292</v>
      </c>
      <c r="G25" s="468">
        <f t="shared" si="12"/>
        <v>18603.336947300624</v>
      </c>
      <c r="H25" s="469">
        <f t="shared" si="13"/>
        <v>37206.673894601248</v>
      </c>
      <c r="I25" s="306"/>
      <c r="J25" s="264"/>
      <c r="K25" s="47"/>
      <c r="L25" s="47">
        <f t="shared" si="4"/>
        <v>2</v>
      </c>
      <c r="M25" s="39">
        <f t="shared" si="5"/>
        <v>0.6110000000000001</v>
      </c>
      <c r="N25" s="39">
        <f t="shared" si="6"/>
        <v>0.24</v>
      </c>
      <c r="O25" s="260">
        <f t="shared" si="7"/>
        <v>0.14664000000000002</v>
      </c>
      <c r="P25" s="258">
        <f t="shared" si="8"/>
        <v>0.29328000000000004</v>
      </c>
      <c r="Q25" s="251">
        <f t="shared" si="9"/>
        <v>13603.336947300624</v>
      </c>
      <c r="R25" s="305">
        <f t="shared" si="10"/>
        <v>18603.336947300624</v>
      </c>
      <c r="S25" s="290">
        <f t="shared" si="11"/>
        <v>1.2220000000000002</v>
      </c>
      <c r="T25" s="46"/>
      <c r="U25" s="9"/>
      <c r="X25" s="4"/>
    </row>
    <row r="26" spans="2:25" ht="17.399999999999999" x14ac:dyDescent="0.3">
      <c r="B26" s="436">
        <v>1</v>
      </c>
      <c r="C26" s="430" t="s">
        <v>260</v>
      </c>
      <c r="D26" s="431">
        <v>0.70199999999999996</v>
      </c>
      <c r="E26" s="431">
        <v>0.32200000000000001</v>
      </c>
      <c r="F26" s="430" t="s">
        <v>292</v>
      </c>
      <c r="G26" s="468">
        <f t="shared" si="12"/>
        <v>27462.946138619489</v>
      </c>
      <c r="H26" s="469">
        <f t="shared" si="13"/>
        <v>27462.946138619489</v>
      </c>
      <c r="I26" s="306"/>
      <c r="J26" s="264"/>
      <c r="K26" s="47"/>
      <c r="L26" s="47">
        <f t="shared" si="4"/>
        <v>1</v>
      </c>
      <c r="M26" s="39">
        <f t="shared" si="5"/>
        <v>0.752</v>
      </c>
      <c r="N26" s="39">
        <f t="shared" si="6"/>
        <v>0.32200000000000001</v>
      </c>
      <c r="O26" s="260">
        <f t="shared" si="7"/>
        <v>0.242144</v>
      </c>
      <c r="P26" s="258">
        <f t="shared" si="8"/>
        <v>0.242144</v>
      </c>
      <c r="Q26" s="251">
        <f t="shared" si="9"/>
        <v>22462.946138619489</v>
      </c>
      <c r="R26" s="305">
        <f t="shared" si="10"/>
        <v>27462.946138619489</v>
      </c>
      <c r="S26" s="290">
        <f t="shared" si="11"/>
        <v>0.752</v>
      </c>
      <c r="T26" s="46"/>
      <c r="U26" s="9"/>
      <c r="X26" s="4"/>
    </row>
    <row r="27" spans="2:25" ht="17.399999999999999" x14ac:dyDescent="0.3">
      <c r="B27" s="470">
        <v>3</v>
      </c>
      <c r="C27" s="471" t="s">
        <v>260</v>
      </c>
      <c r="D27" s="431">
        <v>0.70199999999999996</v>
      </c>
      <c r="E27" s="472">
        <v>0.32800000000000001</v>
      </c>
      <c r="F27" s="471" t="s">
        <v>292</v>
      </c>
      <c r="G27" s="468">
        <f t="shared" si="12"/>
        <v>27881.510352382589</v>
      </c>
      <c r="H27" s="469">
        <f t="shared" si="13"/>
        <v>83644.531057147775</v>
      </c>
      <c r="I27" s="306"/>
      <c r="J27" s="264"/>
      <c r="K27" s="47"/>
      <c r="L27" s="47">
        <f t="shared" si="4"/>
        <v>3</v>
      </c>
      <c r="M27" s="39">
        <f t="shared" si="5"/>
        <v>0.752</v>
      </c>
      <c r="N27" s="39">
        <f t="shared" si="6"/>
        <v>0.32800000000000001</v>
      </c>
      <c r="O27" s="260">
        <f t="shared" si="7"/>
        <v>0.24665600000000001</v>
      </c>
      <c r="P27" s="258">
        <f t="shared" si="8"/>
        <v>0.73996800000000007</v>
      </c>
      <c r="Q27" s="251">
        <f t="shared" si="9"/>
        <v>22881.510352382589</v>
      </c>
      <c r="R27" s="305">
        <f t="shared" si="10"/>
        <v>27881.510352382589</v>
      </c>
      <c r="S27" s="290">
        <f t="shared" si="11"/>
        <v>2.2560000000000002</v>
      </c>
      <c r="T27" s="46"/>
      <c r="U27" s="9"/>
      <c r="X27" s="4"/>
    </row>
    <row r="28" spans="2:25" ht="17.399999999999999" x14ac:dyDescent="0.3">
      <c r="B28" s="470">
        <v>1</v>
      </c>
      <c r="C28" s="471" t="s">
        <v>260</v>
      </c>
      <c r="D28" s="431">
        <v>0.70199999999999996</v>
      </c>
      <c r="E28" s="472">
        <v>0.33600000000000002</v>
      </c>
      <c r="F28" s="471" t="s">
        <v>292</v>
      </c>
      <c r="G28" s="468">
        <f t="shared" si="12"/>
        <v>28439.595970733382</v>
      </c>
      <c r="H28" s="469">
        <f t="shared" si="13"/>
        <v>28439.595970733382</v>
      </c>
      <c r="I28" s="306"/>
      <c r="J28" s="264"/>
      <c r="K28" s="47"/>
      <c r="L28" s="47">
        <f t="shared" si="4"/>
        <v>1</v>
      </c>
      <c r="M28" s="39">
        <f t="shared" si="5"/>
        <v>0.752</v>
      </c>
      <c r="N28" s="39">
        <f t="shared" si="6"/>
        <v>0.33600000000000002</v>
      </c>
      <c r="O28" s="260">
        <f t="shared" si="7"/>
        <v>0.25267200000000001</v>
      </c>
      <c r="P28" s="258">
        <f t="shared" si="8"/>
        <v>0.25267200000000001</v>
      </c>
      <c r="Q28" s="251">
        <f t="shared" si="9"/>
        <v>23439.595970733382</v>
      </c>
      <c r="R28" s="305">
        <f t="shared" si="10"/>
        <v>28439.595970733382</v>
      </c>
      <c r="S28" s="290">
        <f t="shared" si="11"/>
        <v>0.752</v>
      </c>
      <c r="T28" s="46"/>
      <c r="U28" s="9"/>
      <c r="X28" s="4"/>
    </row>
    <row r="29" spans="2:25" ht="17.399999999999999" x14ac:dyDescent="0.3">
      <c r="B29" s="470">
        <v>1</v>
      </c>
      <c r="C29" s="471" t="s">
        <v>260</v>
      </c>
      <c r="D29" s="472">
        <v>0.98</v>
      </c>
      <c r="E29" s="472">
        <v>0.42699999999999999</v>
      </c>
      <c r="F29" s="471" t="s">
        <v>292</v>
      </c>
      <c r="G29" s="468">
        <f t="shared" si="12"/>
        <v>45799.806483853565</v>
      </c>
      <c r="H29" s="469">
        <f t="shared" si="13"/>
        <v>45799.806483853565</v>
      </c>
      <c r="I29" s="306"/>
      <c r="J29" s="264"/>
      <c r="K29" s="47"/>
      <c r="L29" s="47">
        <f t="shared" si="4"/>
        <v>1</v>
      </c>
      <c r="M29" s="39">
        <f t="shared" si="5"/>
        <v>1.03</v>
      </c>
      <c r="N29" s="39">
        <f t="shared" si="6"/>
        <v>0.42699999999999999</v>
      </c>
      <c r="O29" s="260">
        <f t="shared" si="7"/>
        <v>0.43980999999999998</v>
      </c>
      <c r="P29" s="258">
        <f t="shared" si="8"/>
        <v>0.43980999999999998</v>
      </c>
      <c r="Q29" s="251">
        <f t="shared" si="9"/>
        <v>40799.806483853565</v>
      </c>
      <c r="R29" s="305">
        <f t="shared" si="10"/>
        <v>45799.806483853565</v>
      </c>
      <c r="S29" s="290">
        <f t="shared" si="11"/>
        <v>1.03</v>
      </c>
      <c r="T29" s="46"/>
      <c r="U29" s="9"/>
      <c r="X29" s="4"/>
    </row>
    <row r="30" spans="2:25" ht="17.399999999999999" x14ac:dyDescent="0.3">
      <c r="B30" s="470">
        <v>1</v>
      </c>
      <c r="C30" s="471" t="s">
        <v>260</v>
      </c>
      <c r="D30" s="472">
        <v>0.67500000000000004</v>
      </c>
      <c r="E30" s="472">
        <v>0.314</v>
      </c>
      <c r="F30" s="471" t="s">
        <v>292</v>
      </c>
      <c r="G30" s="468">
        <f t="shared" si="12"/>
        <v>26118.382815418623</v>
      </c>
      <c r="H30" s="469">
        <f t="shared" si="13"/>
        <v>26118.382815418623</v>
      </c>
      <c r="I30" s="306"/>
      <c r="J30" s="264"/>
      <c r="K30" s="47"/>
      <c r="L30" s="47">
        <f t="shared" si="4"/>
        <v>1</v>
      </c>
      <c r="M30" s="39">
        <f t="shared" si="5"/>
        <v>0.72500000000000009</v>
      </c>
      <c r="N30" s="39">
        <f t="shared" si="6"/>
        <v>0.314</v>
      </c>
      <c r="O30" s="260">
        <f t="shared" si="7"/>
        <v>0.22765000000000002</v>
      </c>
      <c r="P30" s="258">
        <f t="shared" si="8"/>
        <v>0.22765000000000002</v>
      </c>
      <c r="Q30" s="251">
        <f t="shared" si="9"/>
        <v>21118.382815418623</v>
      </c>
      <c r="R30" s="305">
        <f t="shared" si="10"/>
        <v>26118.382815418623</v>
      </c>
      <c r="S30" s="290">
        <f t="shared" si="11"/>
        <v>0.72500000000000009</v>
      </c>
      <c r="T30" s="46"/>
      <c r="U30" s="9"/>
      <c r="X30" s="4"/>
    </row>
    <row r="31" spans="2:25" ht="17.399999999999999" x14ac:dyDescent="0.3">
      <c r="B31" s="470">
        <v>1</v>
      </c>
      <c r="C31" s="471" t="s">
        <v>260</v>
      </c>
      <c r="D31" s="472">
        <v>0.98</v>
      </c>
      <c r="E31" s="472">
        <v>0.41199999999999998</v>
      </c>
      <c r="F31" s="471" t="s">
        <v>292</v>
      </c>
      <c r="G31" s="468">
        <f t="shared" si="12"/>
        <v>44366.558012523819</v>
      </c>
      <c r="H31" s="469">
        <f t="shared" si="13"/>
        <v>44366.558012523819</v>
      </c>
      <c r="I31" s="306"/>
      <c r="J31" s="264"/>
      <c r="K31" s="47"/>
      <c r="L31" s="47">
        <f t="shared" si="4"/>
        <v>1</v>
      </c>
      <c r="M31" s="39">
        <f t="shared" si="5"/>
        <v>1.03</v>
      </c>
      <c r="N31" s="39">
        <f t="shared" si="6"/>
        <v>0.41199999999999998</v>
      </c>
      <c r="O31" s="260">
        <f t="shared" si="7"/>
        <v>0.42436000000000001</v>
      </c>
      <c r="P31" s="258">
        <f t="shared" si="8"/>
        <v>0.42436000000000001</v>
      </c>
      <c r="Q31" s="251">
        <f t="shared" si="9"/>
        <v>39366.558012523819</v>
      </c>
      <c r="R31" s="305">
        <f t="shared" si="10"/>
        <v>44366.558012523819</v>
      </c>
      <c r="S31" s="290">
        <f t="shared" si="11"/>
        <v>1.03</v>
      </c>
      <c r="T31" s="46"/>
      <c r="U31" s="9"/>
      <c r="X31" s="4"/>
    </row>
    <row r="32" spans="2:25" ht="17.399999999999999" x14ac:dyDescent="0.3">
      <c r="B32" s="470">
        <v>1</v>
      </c>
      <c r="C32" s="471" t="s">
        <v>260</v>
      </c>
      <c r="D32" s="472">
        <v>0.68</v>
      </c>
      <c r="E32" s="472">
        <v>0.41699999999999998</v>
      </c>
      <c r="F32" s="471" t="s">
        <v>292</v>
      </c>
      <c r="G32" s="432">
        <v>24241.794002815484</v>
      </c>
      <c r="H32" s="437">
        <v>24241.794002815484</v>
      </c>
      <c r="I32" s="306"/>
      <c r="J32" s="264"/>
      <c r="K32" s="47"/>
      <c r="L32" s="47">
        <f t="shared" ref="L32" si="14">B32</f>
        <v>1</v>
      </c>
      <c r="M32" s="39">
        <f t="shared" ref="M32" si="15">D32+M$19</f>
        <v>0.73000000000000009</v>
      </c>
      <c r="N32" s="39">
        <f t="shared" ref="N32" si="16">E32+$N$19</f>
        <v>0.41699999999999998</v>
      </c>
      <c r="O32" s="260">
        <f t="shared" ref="O32" si="17">M32*N32</f>
        <v>0.30441000000000001</v>
      </c>
      <c r="P32" s="258">
        <f t="shared" ref="P32" si="18">O32*L32</f>
        <v>0.30441000000000001</v>
      </c>
      <c r="Q32" s="251">
        <f t="shared" ref="Q32" si="19">Q$20*O32</f>
        <v>28239.169395306755</v>
      </c>
      <c r="R32" s="305">
        <f t="shared" ref="R32" si="20">Q32+R$20</f>
        <v>33239.169395306759</v>
      </c>
      <c r="S32" s="290">
        <f t="shared" ref="S32" si="21">M32*L32</f>
        <v>0.73000000000000009</v>
      </c>
      <c r="T32" s="46"/>
      <c r="U32" s="9"/>
      <c r="X32" s="4"/>
    </row>
    <row r="33" spans="1:24" ht="18" thickBot="1" x14ac:dyDescent="0.35">
      <c r="B33" s="438">
        <v>1</v>
      </c>
      <c r="C33" s="439" t="s">
        <v>260</v>
      </c>
      <c r="D33" s="440">
        <v>0.7</v>
      </c>
      <c r="E33" s="440">
        <v>0.9</v>
      </c>
      <c r="F33" s="439" t="s">
        <v>292</v>
      </c>
      <c r="G33" s="473">
        <f t="shared" si="12"/>
        <v>67617.651660037649</v>
      </c>
      <c r="H33" s="474">
        <f t="shared" si="13"/>
        <v>67617.651660037649</v>
      </c>
      <c r="I33" s="306"/>
      <c r="J33" s="264"/>
      <c r="K33" s="47"/>
      <c r="L33" s="47">
        <f t="shared" si="4"/>
        <v>1</v>
      </c>
      <c r="M33" s="39">
        <f t="shared" si="5"/>
        <v>0.75</v>
      </c>
      <c r="N33" s="39">
        <f t="shared" si="6"/>
        <v>0.9</v>
      </c>
      <c r="O33" s="260">
        <f t="shared" si="7"/>
        <v>0.67500000000000004</v>
      </c>
      <c r="P33" s="258">
        <f t="shared" si="8"/>
        <v>0.67500000000000004</v>
      </c>
      <c r="Q33" s="251">
        <f t="shared" si="9"/>
        <v>62617.651660037649</v>
      </c>
      <c r="R33" s="305">
        <f t="shared" si="10"/>
        <v>67617.651660037649</v>
      </c>
      <c r="S33" s="290">
        <f t="shared" si="11"/>
        <v>0.75</v>
      </c>
      <c r="T33" s="46"/>
      <c r="U33" s="9"/>
      <c r="X33" s="4"/>
    </row>
    <row r="34" spans="1:24" ht="18" thickBot="1" x14ac:dyDescent="0.35">
      <c r="B34" s="283"/>
      <c r="C34" s="283"/>
      <c r="D34" s="284"/>
      <c r="E34" s="284"/>
      <c r="F34" s="283"/>
      <c r="G34" s="264"/>
      <c r="H34" s="307"/>
      <c r="I34" s="309"/>
      <c r="J34" s="233"/>
      <c r="K34" s="47"/>
      <c r="L34" s="47"/>
      <c r="M34" s="39"/>
      <c r="N34" s="39"/>
      <c r="O34" s="260"/>
      <c r="P34" s="258"/>
      <c r="Q34" s="251"/>
      <c r="R34" s="305"/>
      <c r="S34" s="290"/>
      <c r="T34" s="14"/>
      <c r="U34" s="9"/>
      <c r="X34" s="4"/>
    </row>
    <row r="35" spans="1:24" ht="17.399999999999999" x14ac:dyDescent="0.3">
      <c r="B35" s="283"/>
      <c r="C35" s="283"/>
      <c r="D35" s="284"/>
      <c r="E35" s="284"/>
      <c r="F35" s="283"/>
      <c r="G35" s="310" t="s">
        <v>28</v>
      </c>
      <c r="H35" s="311">
        <f>SUM(H21:H33)</f>
        <v>545129.80356750882</v>
      </c>
      <c r="I35" s="308"/>
      <c r="J35" s="264"/>
      <c r="K35" s="47"/>
      <c r="L35" s="47"/>
      <c r="M35" s="39"/>
      <c r="N35" s="39"/>
      <c r="O35" s="260"/>
      <c r="P35" s="258"/>
      <c r="Q35" s="251"/>
      <c r="R35" s="305"/>
      <c r="S35" s="290"/>
      <c r="T35" s="46">
        <f>SUM(T21:T34)</f>
        <v>1.6559999999999999</v>
      </c>
      <c r="U35" s="9"/>
      <c r="X35" s="4"/>
    </row>
    <row r="36" spans="1:24" ht="17.399999999999999" x14ac:dyDescent="0.3">
      <c r="B36" s="277"/>
      <c r="C36" s="280"/>
      <c r="D36" s="281"/>
      <c r="E36" s="281"/>
      <c r="F36" s="282"/>
      <c r="G36" s="289" t="s">
        <v>51</v>
      </c>
      <c r="H36" s="287">
        <f>H35*0.19</f>
        <v>103574.66267782668</v>
      </c>
      <c r="I36" s="308"/>
      <c r="J36" s="264"/>
      <c r="K36" s="47"/>
      <c r="L36" s="47"/>
      <c r="M36" s="39">
        <f>SUM(M34:M35)</f>
        <v>0</v>
      </c>
      <c r="N36" s="12"/>
      <c r="O36" s="12"/>
      <c r="P36" s="252">
        <f>SUM(P21:P33)</f>
        <v>5.0570539999999999</v>
      </c>
      <c r="Q36" s="14"/>
      <c r="R36" s="12"/>
      <c r="S36" s="239"/>
      <c r="T36" s="46"/>
      <c r="U36" s="9"/>
      <c r="X36" s="4"/>
    </row>
    <row r="37" spans="1:24" ht="18" thickBot="1" x14ac:dyDescent="0.35">
      <c r="B37" s="274"/>
      <c r="C37" s="279"/>
      <c r="D37" s="271"/>
      <c r="E37" s="271"/>
      <c r="F37" s="272"/>
      <c r="G37" s="278" t="s">
        <v>6</v>
      </c>
      <c r="H37" s="288">
        <f>H36+H35</f>
        <v>648704.46624533553</v>
      </c>
      <c r="I37" s="308"/>
      <c r="J37" s="264"/>
      <c r="K37" s="47"/>
      <c r="L37" s="47"/>
      <c r="M37" s="39"/>
      <c r="N37" s="12"/>
      <c r="O37" s="12"/>
      <c r="P37" s="252">
        <f>P36</f>
        <v>5.0570539999999999</v>
      </c>
      <c r="Q37" s="14"/>
      <c r="R37" s="12"/>
      <c r="S37" s="239">
        <f>SUM(S21:S36)</f>
        <v>13.153</v>
      </c>
      <c r="T37" s="46"/>
      <c r="U37" s="9"/>
      <c r="X37" s="4"/>
    </row>
    <row r="38" spans="1:24" ht="17.399999999999999" x14ac:dyDescent="0.3">
      <c r="B38" s="274"/>
      <c r="C38" s="270"/>
      <c r="D38" s="271"/>
      <c r="E38" s="271"/>
      <c r="F38" s="272"/>
      <c r="J38" s="264"/>
      <c r="K38" s="47"/>
      <c r="L38" s="47"/>
      <c r="M38" s="14"/>
      <c r="N38" s="12"/>
      <c r="O38" s="12"/>
      <c r="P38" s="39">
        <f>P37*20%</f>
        <v>1.0114107999999999</v>
      </c>
      <c r="Q38" s="39" t="s">
        <v>129</v>
      </c>
      <c r="R38" s="42"/>
      <c r="S38" s="240">
        <f>S37+T35</f>
        <v>14.809000000000001</v>
      </c>
      <c r="T38" s="14"/>
      <c r="U38" s="9"/>
      <c r="X38" s="4"/>
    </row>
    <row r="39" spans="1:24" ht="17.399999999999999" x14ac:dyDescent="0.35">
      <c r="B39" s="268"/>
      <c r="C39" s="230"/>
      <c r="D39" s="230"/>
      <c r="E39" s="233"/>
      <c r="F39" s="234"/>
      <c r="G39" s="230"/>
      <c r="H39" s="273"/>
      <c r="I39" s="273"/>
      <c r="J39" s="264"/>
      <c r="K39" s="47"/>
      <c r="L39" s="47"/>
      <c r="M39" s="14"/>
      <c r="N39" s="12"/>
      <c r="O39" s="12"/>
      <c r="P39" s="46">
        <f>P37+P38</f>
        <v>6.0684648000000001</v>
      </c>
      <c r="Q39" s="14"/>
      <c r="R39" s="14"/>
      <c r="S39" s="238">
        <f>S38*20%</f>
        <v>2.9618000000000002</v>
      </c>
      <c r="T39" s="14"/>
      <c r="U39" s="9"/>
      <c r="X39" s="4"/>
    </row>
    <row r="40" spans="1:24" ht="17.399999999999999" x14ac:dyDescent="0.35">
      <c r="B40" s="235"/>
      <c r="C40" s="236"/>
      <c r="D40" s="237"/>
      <c r="E40" s="235"/>
      <c r="F40" s="230"/>
      <c r="G40" s="230"/>
      <c r="I40" s="273"/>
      <c r="J40" s="264"/>
      <c r="K40" s="47"/>
      <c r="L40" s="47"/>
      <c r="M40" s="14"/>
      <c r="N40" s="14"/>
      <c r="O40" s="14"/>
      <c r="P40" s="14"/>
      <c r="Q40" s="14"/>
      <c r="R40" s="14"/>
      <c r="S40" s="240">
        <f>S38+S39</f>
        <v>17.770800000000001</v>
      </c>
      <c r="T40" s="14"/>
      <c r="U40" s="294" t="s">
        <v>21</v>
      </c>
      <c r="V40" s="291" t="s">
        <v>149</v>
      </c>
      <c r="W40" s="295">
        <v>44971</v>
      </c>
      <c r="X40" s="296"/>
    </row>
    <row r="41" spans="1:24" ht="17.399999999999999" x14ac:dyDescent="0.35">
      <c r="B41" s="230"/>
      <c r="C41" s="230"/>
      <c r="D41" s="230"/>
      <c r="E41" s="230"/>
      <c r="F41" s="230"/>
      <c r="G41" s="230"/>
      <c r="J41" s="264"/>
      <c r="K41" s="47"/>
      <c r="L41" s="47"/>
      <c r="M41" s="39">
        <f>P39</f>
        <v>6.0684648000000001</v>
      </c>
      <c r="N41" s="12">
        <v>3500</v>
      </c>
      <c r="O41" s="12">
        <f t="shared" ref="O41:O46" si="22">M41*N41</f>
        <v>21239.626800000002</v>
      </c>
      <c r="P41" s="14" t="s">
        <v>21</v>
      </c>
      <c r="Q41" s="14"/>
      <c r="R41" s="14"/>
      <c r="S41" s="241"/>
      <c r="T41" s="14"/>
      <c r="U41" s="294" t="s">
        <v>150</v>
      </c>
      <c r="V41" s="291">
        <v>3625</v>
      </c>
      <c r="W41" s="59" t="s">
        <v>151</v>
      </c>
      <c r="X41" s="296"/>
    </row>
    <row r="42" spans="1:24" ht="17.399999999999999" x14ac:dyDescent="0.35">
      <c r="A42" s="230"/>
      <c r="B42" s="230"/>
      <c r="C42" s="230"/>
      <c r="D42" s="230"/>
      <c r="E42" s="230"/>
      <c r="F42" s="230"/>
      <c r="G42" s="230"/>
      <c r="H42" s="230"/>
      <c r="J42" s="264"/>
      <c r="K42" s="47"/>
      <c r="L42" s="47"/>
      <c r="M42" s="248">
        <v>2</v>
      </c>
      <c r="N42" s="12">
        <v>45000</v>
      </c>
      <c r="O42" s="12">
        <f t="shared" si="22"/>
        <v>90000</v>
      </c>
      <c r="P42" s="39" t="s">
        <v>31</v>
      </c>
      <c r="Q42" s="42"/>
      <c r="R42" s="14"/>
      <c r="S42" s="240"/>
      <c r="T42" s="14"/>
      <c r="U42" s="294"/>
      <c r="V42" s="59">
        <v>906.25</v>
      </c>
      <c r="W42" s="59" t="s">
        <v>152</v>
      </c>
      <c r="X42" s="296"/>
    </row>
    <row r="43" spans="1:24" s="230" customFormat="1" ht="17.399999999999999" x14ac:dyDescent="0.35">
      <c r="B43" s="24" t="s">
        <v>148</v>
      </c>
      <c r="J43" s="261"/>
      <c r="K43" s="232"/>
      <c r="L43" s="249"/>
      <c r="M43" s="14"/>
      <c r="N43" s="249">
        <v>58860</v>
      </c>
      <c r="O43" s="12">
        <f t="shared" si="22"/>
        <v>0</v>
      </c>
      <c r="P43" s="39" t="s">
        <v>30</v>
      </c>
      <c r="Q43" s="42"/>
      <c r="S43" s="240"/>
      <c r="T43" s="255"/>
      <c r="U43" s="59"/>
      <c r="V43" s="59">
        <f>V42*20%</f>
        <v>181.25</v>
      </c>
      <c r="W43" s="296" t="s">
        <v>153</v>
      </c>
      <c r="X43" s="59"/>
    </row>
    <row r="44" spans="1:24" s="230" customFormat="1" ht="17.399999999999999" x14ac:dyDescent="0.35">
      <c r="B44" s="24" t="s">
        <v>162</v>
      </c>
      <c r="C44"/>
      <c r="D44"/>
      <c r="E44"/>
      <c r="F44"/>
      <c r="J44" s="261"/>
      <c r="K44" s="232"/>
      <c r="L44" s="249"/>
      <c r="M44" s="14">
        <v>3</v>
      </c>
      <c r="N44" s="249">
        <v>34000</v>
      </c>
      <c r="O44" s="12">
        <f t="shared" si="22"/>
        <v>102000</v>
      </c>
      <c r="P44" s="14" t="s">
        <v>139</v>
      </c>
      <c r="Q44" s="17"/>
      <c r="S44" s="238"/>
      <c r="T44" s="255"/>
      <c r="U44" s="59"/>
      <c r="V44" s="59">
        <f>V42+V43</f>
        <v>1087.5</v>
      </c>
      <c r="W44" s="296" t="s">
        <v>154</v>
      </c>
      <c r="X44" s="59"/>
    </row>
    <row r="45" spans="1:24" s="230" customFormat="1" ht="17.399999999999999" x14ac:dyDescent="0.35">
      <c r="A45" s="230" t="s">
        <v>283</v>
      </c>
      <c r="B45" s="29" t="s">
        <v>124</v>
      </c>
      <c r="C45"/>
      <c r="D45"/>
      <c r="E45"/>
      <c r="F45" s="229" t="s">
        <v>15</v>
      </c>
      <c r="J45" s="261"/>
      <c r="K45" s="259"/>
      <c r="L45" s="249"/>
      <c r="M45" s="248"/>
      <c r="N45" s="249">
        <v>900</v>
      </c>
      <c r="O45" s="12">
        <f t="shared" si="22"/>
        <v>0</v>
      </c>
      <c r="P45" s="14" t="s">
        <v>32</v>
      </c>
      <c r="Q45" s="14"/>
      <c r="R45" s="230">
        <v>1.52</v>
      </c>
      <c r="S45" s="238"/>
      <c r="T45" s="238"/>
    </row>
    <row r="46" spans="1:24" s="230" customFormat="1" ht="17.399999999999999" x14ac:dyDescent="0.35">
      <c r="J46" s="286"/>
      <c r="K46" s="259"/>
      <c r="L46" s="249"/>
      <c r="M46" s="265"/>
      <c r="N46" s="12">
        <v>1500</v>
      </c>
      <c r="O46" s="12">
        <f t="shared" si="22"/>
        <v>0</v>
      </c>
      <c r="P46" s="14" t="s">
        <v>22</v>
      </c>
      <c r="Q46" s="14"/>
      <c r="R46">
        <v>2.44</v>
      </c>
      <c r="S46"/>
      <c r="T46" s="238"/>
      <c r="X46" s="231"/>
    </row>
    <row r="47" spans="1:24" s="230" customFormat="1" ht="17.399999999999999" x14ac:dyDescent="0.35">
      <c r="K47" s="259"/>
      <c r="L47" s="249"/>
      <c r="M47" s="14"/>
      <c r="N47" s="12"/>
      <c r="O47" s="12">
        <f>SUM(O41:O46)</f>
        <v>213239.6268</v>
      </c>
      <c r="P47" s="39" t="s">
        <v>23</v>
      </c>
      <c r="Q47" s="14"/>
      <c r="R47">
        <f>R45*R46</f>
        <v>3.7088000000000001</v>
      </c>
      <c r="S47"/>
      <c r="T47" s="238"/>
      <c r="X47" s="231"/>
    </row>
    <row r="48" spans="1:24" s="230" customFormat="1" ht="17.399999999999999" x14ac:dyDescent="0.35">
      <c r="L48" s="249"/>
      <c r="M48" s="253" t="s">
        <v>33</v>
      </c>
      <c r="N48" s="12"/>
      <c r="O48" s="254">
        <f>O47*2.2</f>
        <v>469127.17896000005</v>
      </c>
      <c r="P48" s="14" t="s">
        <v>138</v>
      </c>
      <c r="Q48" s="14"/>
      <c r="R48" s="40">
        <f>P39/R47</f>
        <v>1.6362340379637619</v>
      </c>
      <c r="S48"/>
      <c r="T48" s="256"/>
    </row>
    <row r="49" spans="2:23" s="230" customFormat="1" ht="17.399999999999999" x14ac:dyDescent="0.35">
      <c r="G49"/>
      <c r="H49" s="259"/>
      <c r="I49" s="259"/>
      <c r="J49" s="259"/>
      <c r="K49" s="230">
        <v>70970</v>
      </c>
      <c r="L49" s="249"/>
      <c r="M49" s="14"/>
      <c r="N49" s="12"/>
      <c r="O49" s="12">
        <f>O48/P37</f>
        <v>92766.891348203921</v>
      </c>
      <c r="P49" s="45" t="s">
        <v>24</v>
      </c>
      <c r="Q49" s="14"/>
      <c r="R49" s="14"/>
      <c r="S49"/>
      <c r="T49" s="238"/>
      <c r="U49" s="59" t="s">
        <v>155</v>
      </c>
      <c r="V49" s="291">
        <v>43650</v>
      </c>
    </row>
    <row r="50" spans="2:23" s="230" customFormat="1" ht="17.399999999999999" x14ac:dyDescent="0.35">
      <c r="G50"/>
      <c r="K50" s="230">
        <f>K49/1.19</f>
        <v>59638.655462184877</v>
      </c>
      <c r="L50" s="249"/>
      <c r="M50" s="13"/>
      <c r="N50" s="14"/>
      <c r="O50" s="17">
        <f>O48/O47</f>
        <v>2.2000000000000002</v>
      </c>
      <c r="P50" s="15"/>
      <c r="Q50"/>
      <c r="R50"/>
      <c r="S50"/>
      <c r="T50" s="238"/>
      <c r="U50" s="59" t="s">
        <v>157</v>
      </c>
      <c r="V50" s="292" t="s">
        <v>156</v>
      </c>
      <c r="W50" s="59">
        <v>2.4</v>
      </c>
    </row>
    <row r="51" spans="2:23" s="230" customFormat="1" ht="17.399999999999999" x14ac:dyDescent="0.35">
      <c r="G51" s="23"/>
      <c r="L51" s="12"/>
      <c r="T51" s="238"/>
      <c r="U51" s="59" t="s">
        <v>158</v>
      </c>
      <c r="V51" s="293">
        <v>395.37</v>
      </c>
    </row>
    <row r="52" spans="2:23" s="230" customFormat="1" ht="17.399999999999999" x14ac:dyDescent="0.35">
      <c r="B52"/>
      <c r="C52" s="228"/>
      <c r="D52" s="22"/>
      <c r="E52" s="22"/>
      <c r="F52" s="21"/>
      <c r="G52" s="23"/>
      <c r="L52" s="12"/>
      <c r="T52" s="238"/>
      <c r="U52" s="59" t="s">
        <v>153</v>
      </c>
      <c r="V52" s="59">
        <v>474.45</v>
      </c>
    </row>
    <row r="53" spans="2:23" ht="14.4" customHeight="1" x14ac:dyDescent="0.3">
      <c r="L53" s="12"/>
      <c r="U53" s="59"/>
      <c r="V53" s="59"/>
    </row>
    <row r="54" spans="2:23" x14ac:dyDescent="0.3">
      <c r="L54" s="249"/>
    </row>
    <row r="55" spans="2:23" x14ac:dyDescent="0.3">
      <c r="L55" s="249"/>
      <c r="T55" s="269"/>
    </row>
    <row r="56" spans="2:23" x14ac:dyDescent="0.3">
      <c r="L56" s="249"/>
    </row>
    <row r="57" spans="2:23" ht="15" customHeight="1" x14ac:dyDescent="0.3"/>
    <row r="59" spans="2:23" x14ac:dyDescent="0.3">
      <c r="O59">
        <v>40935</v>
      </c>
      <c r="P59" t="s">
        <v>16</v>
      </c>
      <c r="Q59" t="s">
        <v>26</v>
      </c>
    </row>
    <row r="61" spans="2:23" x14ac:dyDescent="0.3">
      <c r="O61" s="54"/>
      <c r="P61" s="54"/>
    </row>
    <row r="62" spans="2:23" x14ac:dyDescent="0.3">
      <c r="S62" s="18"/>
      <c r="T62" s="18"/>
    </row>
    <row r="63" spans="2:23" x14ac:dyDescent="0.3">
      <c r="S63" s="18"/>
      <c r="T63" s="18"/>
    </row>
    <row r="64" spans="2:23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3" spans="15:20" x14ac:dyDescent="0.3">
      <c r="O73" s="43"/>
    </row>
    <row r="74" spans="15:20" x14ac:dyDescent="0.3">
      <c r="O74" s="43"/>
    </row>
    <row r="75" spans="15:20" x14ac:dyDescent="0.3">
      <c r="O75" s="6"/>
    </row>
    <row r="76" spans="15:20" x14ac:dyDescent="0.3">
      <c r="O76" s="6"/>
    </row>
    <row r="84" spans="3:3" x14ac:dyDescent="0.3">
      <c r="C84" t="s">
        <v>145</v>
      </c>
    </row>
    <row r="85" spans="3:3" x14ac:dyDescent="0.3">
      <c r="C85" t="s">
        <v>144</v>
      </c>
    </row>
    <row r="88" spans="3:3" x14ac:dyDescent="0.3">
      <c r="C88" t="s">
        <v>144</v>
      </c>
    </row>
    <row r="165" spans="3:3" x14ac:dyDescent="0.3">
      <c r="C165" t="s">
        <v>144</v>
      </c>
    </row>
    <row r="166" spans="3:3" x14ac:dyDescent="0.3">
      <c r="C166" t="s">
        <v>146</v>
      </c>
    </row>
    <row r="167" spans="3:3" x14ac:dyDescent="0.3">
      <c r="C167" t="s">
        <v>147</v>
      </c>
    </row>
    <row r="592" spans="3:3" x14ac:dyDescent="0.3">
      <c r="C592" t="s">
        <v>144</v>
      </c>
    </row>
  </sheetData>
  <mergeCells count="1">
    <mergeCell ref="B19:H19"/>
  </mergeCells>
  <phoneticPr fontId="32" type="noConversion"/>
  <hyperlinks>
    <hyperlink ref="F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opLeftCell="A31" workbookViewId="0">
      <selection activeCell="D18" sqref="D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46058</v>
      </c>
    </row>
    <row r="6" spans="2:31" ht="16.2" thickBot="1" x14ac:dyDescent="0.35">
      <c r="B6" s="140" t="s">
        <v>2</v>
      </c>
      <c r="C6" s="139" t="str">
        <f>'2229'!C10</f>
        <v>ENRIQUE GUTIERREZ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6" t="s">
        <v>98</v>
      </c>
      <c r="I7" s="447"/>
      <c r="J7" s="447"/>
      <c r="K7" s="448"/>
      <c r="N7" s="75"/>
      <c r="O7" s="445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11873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5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-24009.694924705585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'2229'!H35</f>
        <v>545129.80356750882</v>
      </c>
      <c r="E11" s="132">
        <f>D11*0.19</f>
        <v>103574.66267782668</v>
      </c>
      <c r="F11" s="131">
        <f>E11+D11</f>
        <v>648704.46624533553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81980.305075294411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243073.71758743961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63980.305075294411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302056.08598006924</v>
      </c>
      <c r="E13" s="221">
        <f>(D11/D12)-1</f>
        <v>1.2426521837821163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54980.305075294411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15980.305075294415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401071.63401927531</v>
      </c>
      <c r="F15" s="216">
        <f>E15-D12</f>
        <v>157997.91643183571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15980.305075294415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55980.305075294411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289</v>
      </c>
      <c r="D19" s="122">
        <f>'2229'!O44</f>
        <v>102000</v>
      </c>
      <c r="E19" s="123">
        <f>D19*0.19</f>
        <v>19380</v>
      </c>
      <c r="F19" s="120">
        <f>SUM(D19:E19)</f>
        <v>121380</v>
      </c>
      <c r="H19" s="192"/>
      <c r="I19" s="202"/>
      <c r="J19" s="184"/>
      <c r="K19" s="158"/>
      <c r="L19" s="61"/>
      <c r="Q19" s="16"/>
      <c r="R19" s="21"/>
      <c r="S19" s="22"/>
      <c r="T19" s="22"/>
      <c r="U19" s="5"/>
      <c r="V19" s="441"/>
      <c r="W19" s="441"/>
      <c r="X19" s="106"/>
    </row>
    <row r="20" spans="1:31" x14ac:dyDescent="0.3">
      <c r="C20" s="79" t="s">
        <v>31</v>
      </c>
      <c r="D20" s="122">
        <f>'2229'!O42</f>
        <v>90000</v>
      </c>
      <c r="E20" s="123">
        <f>D20*0.19</f>
        <v>17100</v>
      </c>
      <c r="F20" s="120">
        <f>SUM(D20:E20)</f>
        <v>107100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'2229'!O41</f>
        <v>21239.626800000002</v>
      </c>
      <c r="E21" s="121">
        <f>D21*0.19</f>
        <v>4035.5290920000002</v>
      </c>
      <c r="F21" s="120">
        <f>SUM(D21:E21)</f>
        <v>25275.155892000002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213239.6268</v>
      </c>
      <c r="E22" s="116">
        <f>SUM(E18:E21)</f>
        <v>40515.529091999997</v>
      </c>
      <c r="F22" s="115">
        <f>SUM(F18:F21)</f>
        <v>253755.15589200001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63059.133585826683</v>
      </c>
    </row>
    <row r="42" spans="1:16" ht="15" thickBot="1" x14ac:dyDescent="0.35">
      <c r="H42" s="449" t="s">
        <v>60</v>
      </c>
      <c r="I42" s="450"/>
      <c r="J42" s="450"/>
      <c r="K42" s="450"/>
      <c r="L42" s="450"/>
      <c r="M42" s="451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545129.80356750882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213239.6268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302056.08598006924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302056.08598006924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11873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ENRIQUE GUTIERREZ</v>
      </c>
      <c r="D10" s="350"/>
      <c r="E10" s="350"/>
      <c r="F10" s="351" t="s">
        <v>167</v>
      </c>
      <c r="G10" s="352">
        <f>'2229'!G10</f>
        <v>46058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46065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+569 7865 8972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2" t="s">
        <v>175</v>
      </c>
      <c r="G17" s="452"/>
      <c r="H17" s="453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4" t="s">
        <v>176</v>
      </c>
      <c r="C20" s="455"/>
      <c r="D20" s="455"/>
      <c r="E20" s="455"/>
      <c r="F20" s="455"/>
      <c r="G20" s="455"/>
      <c r="H20" s="456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PR6</v>
      </c>
      <c r="D22" s="321">
        <f>'2229'!D21*1000</f>
        <v>732</v>
      </c>
      <c r="E22" s="321">
        <f>'2229'!E21*1000</f>
        <v>414</v>
      </c>
      <c r="F22" s="322" t="str">
        <f>'2229'!F21</f>
        <v>MINT 2236 MT</v>
      </c>
      <c r="G22" s="314">
        <f>'2229'!G21</f>
        <v>35033.095540198323</v>
      </c>
      <c r="H22" s="323">
        <f>G22*B22</f>
        <v>35033.095540198323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35033.095540198323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6656.2881526376814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41689.383692836003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8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7" t="s">
        <v>182</v>
      </c>
      <c r="C2" s="457"/>
      <c r="D2" s="457"/>
      <c r="E2" s="361"/>
      <c r="G2" s="457" t="s">
        <v>183</v>
      </c>
      <c r="H2" s="457"/>
      <c r="I2" s="457"/>
      <c r="P2" s="458" t="s">
        <v>184</v>
      </c>
      <c r="Q2" s="458"/>
      <c r="R2" s="458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8" t="s">
        <v>184</v>
      </c>
      <c r="M8" s="458"/>
      <c r="N8" s="458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3" t="s">
        <v>265</v>
      </c>
      <c r="L3" s="463"/>
      <c r="M3" s="463" t="s">
        <v>266</v>
      </c>
      <c r="N3" s="463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ENRIQUE GUTIERREZ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46058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46065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4" t="s">
        <v>265</v>
      </c>
      <c r="B10" s="464"/>
      <c r="C10" s="464"/>
      <c r="D10" s="464"/>
      <c r="E10" s="464"/>
      <c r="F10" s="464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4" t="s">
        <v>266</v>
      </c>
      <c r="B17" s="464"/>
      <c r="C17" s="464"/>
      <c r="D17" s="464"/>
      <c r="E17" s="464"/>
      <c r="F17" s="464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4" t="s">
        <v>272</v>
      </c>
      <c r="B45" s="464"/>
      <c r="C45" s="464"/>
      <c r="D45" s="464"/>
      <c r="E45" s="464"/>
      <c r="F45" s="464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9" t="s">
        <v>95</v>
      </c>
      <c r="C47" s="460"/>
      <c r="D47" s="461"/>
      <c r="E47" s="461"/>
      <c r="F47" s="462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11873</v>
      </c>
      <c r="C2" s="1">
        <f>'NOTA DE VENTA'!$G$10</f>
        <v>46058</v>
      </c>
      <c r="D2" s="1">
        <f>'NOTA DE VENTA'!$G$11</f>
        <v>46065</v>
      </c>
      <c r="E2" t="str">
        <f>'NOTA DE VENTA'!$C$10</f>
        <v>ENRIQUE GUTIERREZ</v>
      </c>
      <c r="F2" t="str">
        <f>'NOTA DE VENTA'!$C$22</f>
        <v>PR6</v>
      </c>
      <c r="G2" t="str">
        <f>'NOTA DE VENTA'!$F$22</f>
        <v>MINT 2236 MT</v>
      </c>
      <c r="H2" s="416">
        <f>'NOTA DE VENTA'!$H$25</f>
        <v>35033.095540198323</v>
      </c>
      <c r="I2" s="416">
        <f>H2*0.19</f>
        <v>6656.2881526376814</v>
      </c>
      <c r="J2" s="416">
        <f>I2+H2</f>
        <v>41689.383692836003</v>
      </c>
      <c r="L2" s="61">
        <f>J2-K2</f>
        <v>41689.383692836003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2026-02-05T11:52:42Z</cp:lastPrinted>
  <dcterms:created xsi:type="dcterms:W3CDTF">2013-03-18T13:35:42Z</dcterms:created>
  <dcterms:modified xsi:type="dcterms:W3CDTF">2026-02-06T12:27:30Z</dcterms:modified>
</cp:coreProperties>
</file>