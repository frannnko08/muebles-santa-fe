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5FDE0444-0A13-4510-96B0-02D8EFF745E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M24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D21" i="3" l="1"/>
  <c r="E21" i="3" s="1"/>
  <c r="E22" i="3" s="1"/>
  <c r="O37" i="1" l="1"/>
  <c r="Q20" i="1" s="1"/>
  <c r="D22" i="3"/>
  <c r="M44" i="3" s="1"/>
  <c r="D12" i="3" s="1"/>
  <c r="F21" i="3"/>
  <c r="F22" i="3" s="1"/>
  <c r="O38" i="1" l="1"/>
  <c r="E15" i="3"/>
  <c r="Q21" i="1" l="1"/>
  <c r="F15" i="3"/>
  <c r="R21" i="1" l="1"/>
  <c r="G21" i="1" s="1"/>
  <c r="H21" i="1" l="1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1" i="3" s="1"/>
  <c r="X16" i="3"/>
  <c r="E13" i="3"/>
  <c r="D13" i="3"/>
  <c r="M43" i="3"/>
  <c r="M47" i="3" s="1"/>
  <c r="M50" i="3" s="1"/>
  <c r="X14" i="3"/>
  <c r="X12" i="3"/>
  <c r="X11" i="3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<sst xmlns="http://schemas.openxmlformats.org/spreadsheetml/2006/main" count="487" uniqueCount="295">
  <si>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</si>
  <si>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</si>
  <si>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</si>
  <si>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</si>
  <si>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</si>
  <si>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</si>
  <si>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</si>
  <si>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</si>
  <si>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</si>
  <si>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</si>
  <si>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</si>
  <si>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</si>
  <si>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</si>
  <si>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</si>
  <si>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</si>
  <si>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</si>
  <si>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</si>
  <si>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</si>
  <si>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</si>
  <si>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</si>
  <si>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</si>
  <si>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</si>
  <si>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</si>
  <si>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</si>
  <si>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</si>
  <si>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</si>
  <si>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</si>
  <si>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</si>
  <si>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</si>
  <si>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</si>
  <si>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</si>
  <si>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</si>
  <si>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</si>
  <si>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</si>
  <si>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</si>
  <si>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</si>
  <si>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</si>
  <si>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</si>
  <si>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</si>
  <si>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</si>
  <si>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</si>
  <si>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</si>
  <si>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</si>
  <si>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</si>
  <si>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</si>
  <si>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</si>
  <si>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</si>
  <si>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</si>
  <si>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</si>
  <si>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</si>
  <si>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</si>
  <si>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</si>
  <si>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</si>
  <si>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</si>
  <si>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</si>
  <si>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</si>
  <si>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</si>
  <si>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</si>
  <si>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</si>
  <si>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</si>
  <si>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</si>
  <si>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</si>
  <si>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</si>
  <si>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</si>
  <si>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</si>
  <si>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</si>
  <si>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</si>
  <si>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</si>
  <si>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</si>
  <si>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</si>
  <si>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</si>
  <si>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</si>
  <si>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</si>
  <si>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</si>
  <si>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</si>
  <si>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</si>
  <si>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</si>
  <si>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</si>
  <si>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</si>
  <si>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</si>
  <si>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</si>
  <si>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</si>
  <si>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</si>
  <si>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</si>
  <si>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</si>
  <si>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</si>
  <si>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</si>
  <si>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</si>
  <si>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</si>
  <si>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</si>
  <si>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</si>
  <si>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</si>
  <si>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</si>
  <si>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</si>
  <si>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</si>
  <si>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</si>
  <si>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</si>
  <si>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</si>
  <si>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</si>
  <si>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</si>
  <si>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</si>
  <si>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</si>
  <si>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</si>
  <si>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</si>
  <si>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</si>
  <si>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</si>
  <si>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</si>
  <si>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</si>
  <si>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</si>
  <si>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</si>
  <si>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</si>
  <si>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</si>
  <si>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</si>
  <si>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</si>
  <si>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</si>
  <si>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</si>
  <si>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</si>
  <si>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</si>
  <si>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</si>
  <si>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</si>
  <si>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</si>
  <si>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</si>
  <si>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</si>
  <si>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</si>
  <si>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</si>
  <si>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</si>
  <si>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</si>
  <si>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</si>
  <si>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</si>
  <si>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</si>
  <si>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</si>
  <si>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</si>
  <si>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</si>
  <si>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</si>
  <si>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</si>
  <si>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</si>
  <si>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</si>
  <si>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</si>
  <si>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</si>
  <si>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</si>
  <si>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</si>
  <si>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</si>
  <si>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</si>
  <si>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</si>
  <si>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</si>
  <si>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</si>
  <si>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</si>
  <si>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</si>
  <si>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</si>
  <si>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</si>
  <si>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</si>
  <si>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</si>
  <si>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</si>
  <si>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</si>
  <si>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</si>
  <si>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</si>
  <si>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</si>
  <si>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</si>
  <si>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</si>
  <si>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</si>
  <si>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</si>
  <si>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</si>
  <si>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</si>
  <si>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</si>
  <si>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</si>
  <si>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</si>
  <si>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</si>
  <si>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</si>
  <si>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</si>
  <si>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</si>
  <si>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</si>
  <si>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</si>
  <si>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</si>
  <si>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</si>
  <si>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</si>
  <si>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</si>
  <si>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</si>
  <si>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</si>
  <si>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</si>
  <si>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</si>
  <si>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</si>
  <si>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</si>
  <si>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</si>
  <si>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</si>
  <si>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</si>
  <si>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</si>
  <si>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</si>
  <si>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</si>
  <si>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</si>
  <si>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</si>
  <si>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</si>
  <si>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</si>
  <si>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</si>
  <si>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</si>
  <si>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</si>
  <si>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</si>
  <si>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</si>
  <si>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</si>
  <si>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</si>
  <si>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</si>
  <si>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</si>
  <si>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</si>
  <si>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</si>
  <si>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</si>
  <si>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</si>
  <si>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</si>
  <si>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</si>
  <si>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</si>
  <si>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</si>
  <si>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</si>
  <si>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</si>
  <si>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</si>
  <si>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</si>
  <si>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</si>
  <si>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</si>
  <si>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</si>
  <si>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</si>
  <si>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</si>
  <si>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</si>
  <si>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</si>
  <si>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</si>
  <si>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</si>
  <si>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</si>
  <si>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</si>
  <si>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</si>
  <si>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</si>
  <si>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</si>
  <si>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</si>
  <si>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</si>
  <si>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</si>
  <si>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</si>
  <si>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</si>
  <si>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</si>
  <si>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</si>
  <si>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</si>
  <si>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</si>
  <si>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</si>
  <si>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</si>
  <si>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</si>
  <si>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</si>
  <si>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</si>
  <si>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</si>
  <si>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</si>
  <si>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</si>
  <si>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</si>
  <si>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</si>
  <si>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</si>
  <si>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</si>
  <si>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</si>
  <si>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</si>
  <si>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</si>
  <si>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</si>
  <si>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</si>
  <si>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</si>
  <si>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</si>
  <si>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</si>
  <si>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</si>
  <si>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</si>
  <si>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</si>
  <si>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</si>
  <si>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</si>
  <si>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</si>
  <si>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</si>
  <si>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</si>
  <si>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</si>
  <si>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</si>
  <si>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</si>
  <si>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</si>
  <si>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</si>
  <si>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</si>
  <si>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</si>
  <si>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</si>
  <si>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</si>
  <si>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</si>
  <si>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</si>
  <si>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</si>
  <si>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</si>
  <si>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</si>
  <si>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</si>
  <si>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</si>
  <si>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</si>
  <si>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</si>
  <si>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</si>
  <si>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</si>
  <si>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</si>
  <si>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</si>
  <si>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</si>
  <si>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</si>
  <si>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</si>
  <si>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LAMINA CHICA</t>
  </si>
  <si>
    <t>CLAUDIO</t>
  </si>
  <si>
    <t>N° 11874</t>
  </si>
  <si>
    <t>+56 9 8686 2073</t>
  </si>
  <si>
    <t>ROBLE SEPIA MT 1556</t>
  </si>
  <si>
    <t>CUB CON RESPALDO FTE 90°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</si>
</sst>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CORTADA</a:t>
          </a:r>
          <a:r>
            <a:rPr lang="es-CL" sz="1200" b="1" baseline="0"/>
            <a:t> A LA MEDIDA Y ENCHAPADA EN EL COSTADO DERECHO MIRANDOLA DESDE EL FRENTE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D14" zoomScale="93" zoomScaleNormal="93" workbookViewId="0">
      <selection activeCell="K26" sqref="K26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0" t="s">
        <v>290</v>
      </c>
      <c r="D10" s="243"/>
      <c r="E10" s="243"/>
      <c r="F10" s="418" t="s">
        <v>277</v>
      </c>
      <c r="G10" s="275">
        <v>46059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74879.344262295097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313" t="s">
        <v>294</v>
      </c>
      <c r="D21" s="431">
        <v>3</v>
      </c>
      <c r="E21" s="431">
        <v>0.6</v>
      </c>
      <c r="F21" s="313" t="s">
        <v>293</v>
      </c>
      <c r="G21" s="314">
        <f>R21</f>
        <v>140029.20000000001</v>
      </c>
      <c r="H21" s="432">
        <f>G21*B21</f>
        <v>140029.20000000001</v>
      </c>
      <c r="I21" s="306"/>
      <c r="J21" s="264"/>
      <c r="K21" s="47"/>
      <c r="L21" s="47">
        <f>B21</f>
        <v>1</v>
      </c>
      <c r="M21" s="39">
        <f>D21+M$19</f>
        <v>3.05</v>
      </c>
      <c r="N21" s="39">
        <f>E21+$N$19</f>
        <v>0.6</v>
      </c>
      <c r="O21" s="260">
        <f t="shared" ref="O21" si="0">M21*N21</f>
        <v>1.8299999999999998</v>
      </c>
      <c r="P21" s="258">
        <f t="shared" ref="P21" si="1">O21*L21</f>
        <v>1.8299999999999998</v>
      </c>
      <c r="Q21" s="251">
        <f t="shared" ref="Q21" si="2">Q$20*O21</f>
        <v>137029.20000000001</v>
      </c>
      <c r="R21" s="305">
        <f t="shared" ref="R21" si="3">Q21+R$20</f>
        <v>140029.20000000001</v>
      </c>
      <c r="S21" s="290">
        <f>M21*L21</f>
        <v>3.05</v>
      </c>
      <c r="T21" s="46">
        <f>N21*2*L21*2</f>
        <v>2.4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305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140029.20000000001</v>
      </c>
      <c r="I23" s="308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>
        <f>SUM(T21:T22)</f>
        <v>2.4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H23*0.19</f>
        <v>26605.548000000003</v>
      </c>
      <c r="I24" s="308"/>
      <c r="J24" s="264"/>
      <c r="K24" s="47"/>
      <c r="L24" s="47"/>
      <c r="M24" s="39">
        <f>SUM(M22:M23)</f>
        <v>0</v>
      </c>
      <c r="N24" s="12"/>
      <c r="O24" s="12"/>
      <c r="P24" s="252">
        <f>SUM(P21:P21)</f>
        <v>1.8299999999999998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H24+H23</f>
        <v>166634.74800000002</v>
      </c>
      <c r="I25" s="308"/>
      <c r="J25" s="264"/>
      <c r="K25" s="47"/>
      <c r="L25" s="47"/>
      <c r="M25" s="39"/>
      <c r="N25" s="12"/>
      <c r="O25" s="12"/>
      <c r="P25" s="252">
        <f>P24</f>
        <v>1.8299999999999998</v>
      </c>
      <c r="Q25" s="14"/>
      <c r="R25" s="12"/>
      <c r="S25" s="239">
        <f>SUM(S21:S24)</f>
        <v>3.05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0.36599999999999999</v>
      </c>
      <c r="Q26" s="39" t="s">
        <v>129</v>
      </c>
      <c r="R26" s="42"/>
      <c r="S26" s="240">
        <f>S25+T23</f>
        <v>5.4499999999999993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2.1959999999999997</v>
      </c>
      <c r="Q27" s="14"/>
      <c r="R27" s="14"/>
      <c r="S27" s="238">
        <f>S26*20%</f>
        <v>1.0899999999999999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6.5399999999999991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2.1959999999999997</v>
      </c>
      <c r="N29" s="12">
        <v>3500</v>
      </c>
      <c r="O29" s="12">
        <f t="shared" ref="O29:O34" si="4">M29*N29</f>
        <v>7685.9999999999991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0.6</v>
      </c>
      <c r="N30" s="12">
        <v>23500</v>
      </c>
      <c r="O30" s="12">
        <f t="shared" si="4"/>
        <v>14100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36000</v>
      </c>
      <c r="O32" s="12">
        <f t="shared" si="4"/>
        <v>36000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3</v>
      </c>
      <c r="N34" s="12">
        <v>1500</v>
      </c>
      <c r="O34" s="12">
        <f t="shared" si="4"/>
        <v>4500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62286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137029.20000000001</v>
      </c>
      <c r="P36" s="14" t="s">
        <v>138</v>
      </c>
      <c r="Q36" s="14"/>
      <c r="R36" s="40">
        <f>P27/R35</f>
        <v>0.59210526315789469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74879.344262295097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46059</v>
      </c>
    </row>
    <row r="6" spans="2:31" ht="16.2" thickBot="1" x14ac:dyDescent="0.35">
      <c r="B6" s="140" t="s">
        <v>2</v>
      </c>
      <c r="C6" s="139" t="str">
        <f>'2229'!C10</f>
        <v>CLAUDIO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757.32496654589102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140029.20000000001</v>
      </c>
      <c r="E11" s="132">
        <f>D11*0.19</f>
        <v>26605.548000000003</v>
      </c>
      <c r="F11" s="131">
        <f>E11+D11</f>
        <v>166634.74800000002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106747.32496654589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87620.090787439607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88747.324966545886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52409.109212560405</v>
      </c>
      <c r="E13" s="221">
        <f>(D11/D12)-1</f>
        <v>0.59814032080497781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79747.324966545886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40747.324966545893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144573.14979927536</v>
      </c>
      <c r="F15" s="216">
        <f>E15-D12</f>
        <v>56953.05901183575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40747.324966545893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80747.324966545886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289</v>
      </c>
      <c r="D19" s="122">
        <f>'2229'!O32</f>
        <v>36000</v>
      </c>
      <c r="E19" s="123">
        <f>D19*0.19</f>
        <v>6840</v>
      </c>
      <c r="F19" s="120">
        <f>SUM(D19:E19)</f>
        <v>42840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3"/>
      <c r="W19" s="433"/>
      <c r="X19" s="106"/>
    </row>
    <row r="20" spans="1:31" x14ac:dyDescent="0.3">
      <c r="C20" s="79" t="s">
        <v>31</v>
      </c>
      <c r="D20" s="122">
        <f>'2229'!O30</f>
        <v>14100</v>
      </c>
      <c r="E20" s="123">
        <f>D20*0.19</f>
        <v>2679</v>
      </c>
      <c r="F20" s="120">
        <f>SUM(D20:E20)</f>
        <v>16779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'2229'!O29</f>
        <v>7685.9999999999991</v>
      </c>
      <c r="E21" s="121">
        <f>D21*0.19</f>
        <v>1460.34</v>
      </c>
      <c r="F21" s="120">
        <f>SUM(D21:E21)</f>
        <v>9146.3399999999983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57786</v>
      </c>
      <c r="E22" s="116">
        <f>SUM(E18:E21)</f>
        <v>10979.34</v>
      </c>
      <c r="F22" s="115">
        <f>SUM(F18:F21)</f>
        <v>68765.34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15626.208000000002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140029.20000000001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57786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52409.109212560405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52409.109212560405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CLAUDIO</v>
      </c>
      <c r="D10" s="350"/>
      <c r="E10" s="350"/>
      <c r="F10" s="351" t="s">
        <v>167</v>
      </c>
      <c r="G10" s="352">
        <f>'2229'!G10</f>
        <v>46059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+56 9 8686 2073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 R6</v>
      </c>
      <c r="D22" s="321">
        <f>'2229'!D21*1000</f>
        <v>3000</v>
      </c>
      <c r="E22" s="321">
        <f>'2229'!E21*1000</f>
        <v>600</v>
      </c>
      <c r="F22" s="322" t="str">
        <f>'2229'!F21</f>
        <v>ROBLE SEPIA MT 1556</v>
      </c>
      <c r="G22" s="314">
        <f>'2229'!G21</f>
        <v>140029.20000000001</v>
      </c>
      <c r="H22" s="323">
        <f>G22*B22</f>
        <v>140029.20000000001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140029.20000000001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26605.548000000003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166634.74800000002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CLAUDIO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11874</v>
      </c>
      <c r="C2" s="1">
        <f>'NOTA DE VENTA'!$G$10</f>
        <v>46059</v>
      </c>
      <c r="D2" s="1">
        <f>'NOTA DE VENTA'!$G$11</f>
        <v>46066</v>
      </c>
      <c r="E2" t="str">
        <f>'NOTA DE VENTA'!$C$10</f>
        <v>CLAUDIO</v>
      </c>
      <c r="F2" t="str">
        <f>'NOTA DE VENTA'!$C$22</f>
        <v>CUB CON RESPALDO FTE 90° R6</v>
      </c>
      <c r="G2" t="str">
        <f>'NOTA DE VENTA'!$F$22</f>
        <v>ROBLE SEPIA MT 1556</v>
      </c>
      <c r="H2" s="416">
        <f>'NOTA DE VENTA'!$H$25</f>
        <v>140029.20000000001</v>
      </c>
      <c r="I2" s="416">
        <f>H2*0.19</f>
        <v>26605.548000000003</v>
      </c>
      <c r="J2" s="416">
        <f>I2+H2</f>
        <v>166634.74800000002</v>
      </c>
      <c r="L2" s="61">
        <f>J2-K2</f>
        <v>166634.74800000002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2026-02-06T14:46:10Z</cp:lastPrinted>
  <dcterms:created xsi:type="dcterms:W3CDTF">2013-03-18T13:35:42Z</dcterms:created>
  <dcterms:modified xsi:type="dcterms:W3CDTF">2026-02-06T20:01:12Z</dcterms:modified>
</cp:coreProperties>
</file>