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9F19C316-E5D2-4B8E-9C73-BD366B96A4F2}" xr6:coauthVersionLast="47" xr6:coauthVersionMax="47" xr10:uidLastSave="{00000000-0000-0000-0000-000000000000}"/>
  <bookViews>
    <workbookView xWindow="-20610" yWindow="1635" windowWidth="20730" windowHeight="11040" activeTab="1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E19" i="3" s="1"/>
  <c r="L22" i="1"/>
  <c r="M22" i="1"/>
  <c r="N22" i="1"/>
  <c r="O22" i="1"/>
  <c r="P22" i="1" s="1"/>
  <c r="L21" i="1"/>
  <c r="J41" i="1"/>
  <c r="K35" i="1"/>
  <c r="K36" i="1" s="1"/>
  <c r="F19" i="3" l="1"/>
  <c r="M21" i="1"/>
  <c r="S21" i="1" s="1"/>
  <c r="N21" i="1"/>
  <c r="O21" i="1" l="1"/>
  <c r="P21" i="1" s="1"/>
  <c r="P26" i="1" s="1"/>
  <c r="S27" i="1"/>
  <c r="M26" i="1"/>
  <c r="T25" i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O36" i="1"/>
  <c r="O35" i="1"/>
  <c r="F18" i="3" l="1"/>
  <c r="O31" i="1" l="1"/>
  <c r="O37" i="1" s="1"/>
  <c r="O38" i="1" s="1"/>
  <c r="D21" i="3" l="1"/>
  <c r="E21" i="3" s="1"/>
  <c r="E22" i="3" s="1"/>
  <c r="O39" i="1" l="1"/>
  <c r="Q20" i="1" s="1"/>
  <c r="Q22" i="1" s="1"/>
  <c r="D22" i="3"/>
  <c r="M44" i="3" s="1"/>
  <c r="D12" i="3" s="1"/>
  <c r="F21" i="3"/>
  <c r="F22" i="3" s="1"/>
  <c r="R22" i="1" l="1"/>
  <c r="G22" i="1"/>
  <c r="H22" i="1" s="1"/>
  <c r="Q21" i="1"/>
  <c r="G21" i="1" s="1"/>
  <c r="O40" i="1"/>
  <c r="E15" i="3"/>
  <c r="R21" i="1" l="1"/>
  <c r="H21" i="1"/>
  <c r="F15" i="3"/>
  <c r="H25" i="1" l="1"/>
  <c r="H26" i="1" s="1"/>
  <c r="H27" i="1" l="1"/>
  <c r="D11" i="3"/>
  <c r="X9" i="3" s="1"/>
  <c r="X15" i="3" s="1"/>
  <c r="D13" i="3" l="1"/>
  <c r="E13" i="3"/>
  <c r="X16" i="3"/>
  <c r="X11" i="3"/>
  <c r="X14" i="3"/>
  <c r="E11" i="3"/>
  <c r="D41" i="3" s="1"/>
  <c r="X13" i="3"/>
  <c r="X12" i="3"/>
  <c r="M43" i="3"/>
  <c r="M47" i="3" s="1"/>
  <c r="M50" i="3" s="1"/>
  <c r="F11" i="3" l="1"/>
</calcChain>
</file>

<file path=xl/sharedStrings.xml><?xml version="1.0" encoding="utf-8"?>
<sst xmlns="http://schemas.openxmlformats.org/spreadsheetml/2006/main" count="233" uniqueCount="176">
  <si>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</si>
  <si>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</si>
  <si>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</si>
  <si>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</si>
  <si>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</si>
  <si>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</si>
  <si>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</si>
  <si>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</si>
  <si>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</si>
  <si>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</si>
  <si>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</si>
  <si>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</si>
  <si>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</si>
  <si>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</si>
  <si>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</si>
  <si>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</si>
  <si>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</si>
  <si>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</si>
  <si>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</si>
  <si>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</si>
  <si>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</si>
  <si>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</si>
  <si>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</si>
  <si>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</si>
  <si>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</si>
  <si>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</si>
  <si>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</si>
  <si>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</si>
  <si>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</si>
  <si>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</si>
  <si>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</si>
  <si>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</si>
  <si>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</si>
  <si>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</si>
  <si>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</si>
  <si>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</si>
  <si>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</si>
  <si>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</si>
  <si>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</si>
  <si>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</si>
  <si>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</si>
  <si>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</si>
  <si>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</si>
  <si>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</si>
  <si>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</si>
  <si>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</si>
  <si>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</si>
  <si>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</si>
  <si>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</si>
  <si>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</si>
  <si>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</si>
  <si>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</si>
  <si>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</si>
  <si>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</si>
  <si>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</si>
  <si>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</si>
  <si>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</si>
  <si>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</si>
  <si>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</si>
  <si>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</si>
  <si>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</si>
  <si>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</si>
  <si>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</si>
  <si>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</si>
  <si>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</si>
  <si>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</si>
  <si>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</si>
  <si>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</si>
  <si>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</si>
  <si>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</si>
  <si>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</si>
  <si>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</si>
  <si>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</si>
  <si>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</si>
  <si>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</si>
  <si>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</si>
  <si>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</si>
  <si>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</si>
  <si>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</si>
  <si>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</si>
  <si>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</si>
  <si>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</si>
  <si>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</si>
  <si>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</si>
  <si>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</si>
  <si>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</si>
  <si>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</si>
  <si>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</si>
  <si>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</si>
  <si>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</si>
  <si>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</si>
  <si>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</si>
  <si>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</si>
  <si>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</si>
  <si>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</si>
  <si>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</si>
  <si>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</si>
  <si>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</si>
  <si>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</si>
  <si>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</si>
  <si>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</si>
  <si>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</si>
  <si>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</si>
  <si>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</si>
  <si>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</si>
  <si>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</si>
  <si>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</si>
  <si>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</si>
  <si>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</si>
  <si>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</si>
  <si>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</si>
  <si>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</si>
  <si>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</si>
  <si>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</si>
  <si>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</si>
  <si>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</si>
  <si>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</si>
  <si>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</si>
  <si>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</si>
  <si>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</si>
  <si>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</si>
  <si>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</si>
  <si>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</si>
  <si>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</si>
  <si>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</si>
  <si>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</si>
  <si>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</si>
  <si>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</si>
  <si>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</si>
  <si>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</si>
  <si>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</si>
  <si>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</si>
  <si>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</si>
  <si>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</si>
  <si>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</si>
  <si>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</si>
  <si>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</si>
  <si>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</si>
  <si>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</si>
  <si>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</si>
  <si>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</si>
  <si>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</si>
  <si>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</si>
  <si>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</si>
  <si>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</si>
  <si>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</si>
  <si>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</si>
  <si>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</si>
  <si>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</si>
  <si>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</si>
  <si>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</si>
  <si>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</si>
  <si>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</si>
  <si>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</si>
  <si>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</si>
  <si>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</si>
  <si>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</si>
  <si>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</si>
  <si>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</si>
  <si>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</si>
  <si>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</si>
  <si>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</si>
  <si>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</si>
  <si>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</si>
  <si>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</si>
  <si>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</si>
  <si>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</si>
  <si>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</si>
  <si>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</si>
  <si>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</si>
  <si>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</si>
  <si>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5 DIAS HABILES</t>
  </si>
  <si>
    <t>CUB C/R 90° R8</t>
  </si>
  <si>
    <t>GLACIAL WHITE 22191 SF</t>
  </si>
  <si>
    <t>N° 11868</t>
  </si>
  <si>
    <t>LAMINA CHICA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</si>
</sst>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opLeftCell="A3" zoomScale="93" zoomScaleNormal="93" workbookViewId="0">
      <selection activeCell="C22" sqref="C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46057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56606.037735849059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172</v>
      </c>
      <c r="D21" s="333">
        <v>2.0499999999999998</v>
      </c>
      <c r="E21" s="333">
        <v>0.6</v>
      </c>
      <c r="F21" s="330" t="s">
        <v>173</v>
      </c>
      <c r="G21" s="331">
        <f>Q21</f>
        <v>72342.516226415086</v>
      </c>
      <c r="H21" s="331">
        <f t="shared" ref="H21" si="1">G21*B21</f>
        <v>72342.516226415086</v>
      </c>
      <c r="I21" s="320"/>
      <c r="J21" s="265"/>
      <c r="K21" s="47"/>
      <c r="L21" s="332">
        <f>B21</f>
        <v>1</v>
      </c>
      <c r="M21" s="39">
        <f t="shared" ref="M21" si="2">D21+M$19</f>
        <v>2.13</v>
      </c>
      <c r="N21" s="39">
        <f t="shared" ref="N21" si="3">E21+$N$19</f>
        <v>0.6</v>
      </c>
      <c r="O21" s="261">
        <f t="shared" ref="O21" si="4">M21*N21</f>
        <v>1.2779999999999998</v>
      </c>
      <c r="P21" s="259">
        <f t="shared" ref="P21" si="5">O21*L21</f>
        <v>1.2779999999999998</v>
      </c>
      <c r="Q21" s="252">
        <f t="shared" ref="Q21" si="6">Q$20*O21</f>
        <v>72342.516226415086</v>
      </c>
      <c r="R21" s="319">
        <f t="shared" ref="R21" si="7">Q21+R$20</f>
        <v>75342.516226415086</v>
      </c>
      <c r="S21" s="297">
        <f>L21*M21</f>
        <v>2.13</v>
      </c>
      <c r="T21" s="46"/>
      <c r="U21" s="9"/>
      <c r="X21" s="4"/>
    </row>
    <row r="22" spans="1:25" ht="17.399999999999999" x14ac:dyDescent="0.3">
      <c r="B22" s="330">
        <v>1</v>
      </c>
      <c r="C22" s="330" t="s">
        <v>172</v>
      </c>
      <c r="D22" s="333">
        <v>1.5</v>
      </c>
      <c r="E22" s="333">
        <v>0.6</v>
      </c>
      <c r="F22" s="330" t="s">
        <v>173</v>
      </c>
      <c r="G22" s="331">
        <f>Q22</f>
        <v>53662.523773584908</v>
      </c>
      <c r="H22" s="331">
        <f t="shared" ref="H22" si="8">G22*B22</f>
        <v>53662.523773584908</v>
      </c>
      <c r="I22" s="320"/>
      <c r="J22" s="265"/>
      <c r="K22" s="47"/>
      <c r="L22" s="332">
        <f>B22</f>
        <v>1</v>
      </c>
      <c r="M22" s="39">
        <f t="shared" ref="M22" si="9">D22+M$19</f>
        <v>1.58</v>
      </c>
      <c r="N22" s="39">
        <f t="shared" ref="N22" si="10">E22+$N$19</f>
        <v>0.6</v>
      </c>
      <c r="O22" s="261">
        <f t="shared" ref="O22" si="11">M22*N22</f>
        <v>0.94799999999999995</v>
      </c>
      <c r="P22" s="259">
        <f t="shared" ref="P22" si="12">O22*L22</f>
        <v>0.94799999999999995</v>
      </c>
      <c r="Q22" s="252">
        <f t="shared" ref="Q22" si="13">Q$20*O22</f>
        <v>53662.523773584908</v>
      </c>
      <c r="R22" s="319">
        <f t="shared" ref="R22" si="14">Q22+R$20</f>
        <v>56662.523773584908</v>
      </c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332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126005.04</v>
      </c>
      <c r="I25" s="322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0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23940.957599999998</v>
      </c>
      <c r="I26" s="322"/>
      <c r="J26" s="265"/>
      <c r="K26" s="47"/>
      <c r="L26" s="47"/>
      <c r="M26" s="39">
        <f>SUM(M21:M25)</f>
        <v>3.71</v>
      </c>
      <c r="N26" s="12"/>
      <c r="O26" s="12"/>
      <c r="P26" s="253">
        <f>SUM(P21:P24)</f>
        <v>2.226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149945.9976</v>
      </c>
      <c r="I27" s="322"/>
      <c r="J27" s="265"/>
      <c r="K27" s="47"/>
      <c r="L27" s="47"/>
      <c r="M27" s="39"/>
      <c r="N27" s="12"/>
      <c r="O27" s="12"/>
      <c r="P27" s="253">
        <f>P26</f>
        <v>2.226</v>
      </c>
      <c r="Q27" s="14"/>
      <c r="R27" s="12"/>
      <c r="S27" s="239">
        <f>SUM(S21:S26)</f>
        <v>2.13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0.44520000000000004</v>
      </c>
      <c r="Q28" s="39" t="s">
        <v>130</v>
      </c>
      <c r="R28" s="42"/>
      <c r="S28" s="240">
        <f>S27+T25</f>
        <v>2.13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2.6711999999999998</v>
      </c>
      <c r="Q29" s="14"/>
      <c r="R29" s="14"/>
      <c r="S29" s="238">
        <f>S28*20%</f>
        <v>0.42599999999999999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2.556</v>
      </c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2.6711999999999998</v>
      </c>
      <c r="N31" s="12">
        <v>2000</v>
      </c>
      <c r="O31" s="12">
        <f t="shared" ref="O31:O36" si="15">M31*N31</f>
        <v>5342.4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0.6</v>
      </c>
      <c r="N32" s="12">
        <v>23500</v>
      </c>
      <c r="O32" s="12">
        <f t="shared" si="15"/>
        <v>14100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/>
      <c r="K33" s="232">
        <v>1220</v>
      </c>
      <c r="L33" s="250"/>
      <c r="M33" s="14"/>
      <c r="N33" s="250">
        <v>23500</v>
      </c>
      <c r="O33" s="12">
        <f t="shared" si="15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143</v>
      </c>
      <c r="C34"/>
      <c r="D34"/>
      <c r="E34"/>
      <c r="F34"/>
      <c r="J34" s="262">
        <v>32859</v>
      </c>
      <c r="K34" s="232">
        <v>230</v>
      </c>
      <c r="L34" s="250"/>
      <c r="M34" s="14">
        <v>1</v>
      </c>
      <c r="N34" s="250">
        <v>36850</v>
      </c>
      <c r="O34" s="12">
        <f t="shared" si="15"/>
        <v>36850</v>
      </c>
      <c r="P34" s="14" t="s">
        <v>170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>
        <f>K33/K34</f>
        <v>5.3043478260869561</v>
      </c>
      <c r="L35" s="250"/>
      <c r="M35" s="249"/>
      <c r="N35" s="250">
        <v>15700</v>
      </c>
      <c r="O35" s="12">
        <f t="shared" si="15"/>
        <v>0</v>
      </c>
      <c r="P35" s="14" t="s">
        <v>32</v>
      </c>
      <c r="Q35" s="14"/>
      <c r="R35" s="230">
        <v>1.83</v>
      </c>
      <c r="S35" s="238"/>
      <c r="T35" s="238"/>
    </row>
    <row r="36" spans="2:24" s="230" customFormat="1" ht="17.399999999999999" x14ac:dyDescent="0.35">
      <c r="J36" s="293"/>
      <c r="K36" s="260" t="e">
        <f>#REF!/K35</f>
        <v>#REF!</v>
      </c>
      <c r="L36" s="250"/>
      <c r="M36" s="266">
        <v>3.71</v>
      </c>
      <c r="N36" s="12">
        <v>1000</v>
      </c>
      <c r="O36" s="12">
        <f t="shared" si="15"/>
        <v>3710</v>
      </c>
      <c r="P36" s="14" t="s">
        <v>22</v>
      </c>
      <c r="Q36" s="14"/>
      <c r="R36">
        <v>2.5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60002.400000000001</v>
      </c>
      <c r="P37" s="39" t="s">
        <v>23</v>
      </c>
      <c r="Q37" s="14"/>
      <c r="R37">
        <f>R35*R36</f>
        <v>4.5750000000000002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126005.04000000001</v>
      </c>
      <c r="P38" s="14" t="s">
        <v>140</v>
      </c>
      <c r="Q38" s="14"/>
      <c r="R38" s="40">
        <f>P29/R37</f>
        <v>0.58386885245901632</v>
      </c>
      <c r="S38"/>
      <c r="T38" s="257"/>
    </row>
    <row r="39" spans="2:24" s="230" customFormat="1" ht="17.399999999999999" x14ac:dyDescent="0.35">
      <c r="G39"/>
      <c r="H39" s="260"/>
      <c r="I39" s="260"/>
      <c r="J39" s="260">
        <v>22475</v>
      </c>
      <c r="K39" s="230">
        <v>40000</v>
      </c>
      <c r="L39" s="250"/>
      <c r="M39" s="14"/>
      <c r="N39" s="12"/>
      <c r="O39" s="12">
        <f>O38/P27</f>
        <v>56606.037735849059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J40" s="230">
        <v>6</v>
      </c>
      <c r="K40" s="230">
        <f>K39/1.19</f>
        <v>33613.445378151264</v>
      </c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J41" s="260">
        <f>J39*J40</f>
        <v>134850</v>
      </c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abSelected="1" topLeftCell="A23" workbookViewId="0">
      <selection activeCell="D18" sqref="D18:F1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46057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11868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SUM(K10:K24)</f>
        <v>2550</v>
      </c>
      <c r="S9" s="28" t="s">
        <v>9</v>
      </c>
      <c r="T9" s="28"/>
      <c r="W9" s="8"/>
      <c r="X9" s="176">
        <f>(E15-D11)/X8</f>
        <v>2683.9449665458937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126005.04</v>
      </c>
      <c r="E11" s="132">
        <f>D11*0.19</f>
        <v>23940.957599999998</v>
      </c>
      <c r="F11" s="131">
        <f>E11+D11</f>
        <v>149945.9976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108673.9449665459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SUM(M44:M46)</f>
        <v>86126.490787439616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90673.944966545896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39878.549212560378</v>
      </c>
      <c r="E13" s="221">
        <f>(D11/D12)-1</f>
        <v>0.46302303563001002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81673.944966545896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42673.944966545896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142108.70979927536</v>
      </c>
      <c r="F15" s="216">
        <f>E15-D12</f>
        <v>55982.219011835739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42673.944966545896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82673.944966545896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175</v>
      </c>
      <c r="D19" s="122">
        <f>'2229'!O34</f>
        <v>36850</v>
      </c>
      <c r="E19" s="123">
        <f>D19*0.19</f>
        <v>7001.5</v>
      </c>
      <c r="F19" s="120">
        <f>SUM(D19:E19)</f>
        <v>43851.5</v>
      </c>
      <c r="H19" s="192"/>
      <c r="I19" s="202"/>
      <c r="J19" s="184"/>
      <c r="K19" s="158"/>
      <c r="L19" s="61"/>
      <c r="Q19" s="16"/>
      <c r="R19" s="346"/>
      <c r="S19" s="347"/>
      <c r="T19" s="347"/>
      <c r="U19" s="348"/>
      <c r="V19" s="349"/>
      <c r="W19" s="349"/>
      <c r="X19" s="106"/>
    </row>
    <row r="20" spans="1:31" x14ac:dyDescent="0.3">
      <c r="C20" s="79" t="s">
        <v>31</v>
      </c>
      <c r="D20" s="122">
        <f>'2229'!O32</f>
        <v>14100</v>
      </c>
      <c r="E20" s="123">
        <f>D20*0.19</f>
        <v>2679</v>
      </c>
      <c r="F20" s="120">
        <f>SUM(D20:E20)</f>
        <v>16779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'2229'!O31</f>
        <v>5342.4</v>
      </c>
      <c r="E21" s="121">
        <f>D21*0.19</f>
        <v>1015.0559999999999</v>
      </c>
      <c r="F21" s="120">
        <f>SUM(D21:E21)</f>
        <v>6357.4559999999992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56292.4</v>
      </c>
      <c r="E22" s="116">
        <f>SUM(E18:E21)</f>
        <v>10695.556</v>
      </c>
      <c r="F22" s="115">
        <f>SUM(F18:F21)</f>
        <v>66987.956000000006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117</v>
      </c>
      <c r="I25" s="155" t="s">
        <v>115</v>
      </c>
      <c r="J25" s="181" t="s">
        <v>75</v>
      </c>
      <c r="K25" s="152" t="s">
        <v>94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108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106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120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107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109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96</v>
      </c>
      <c r="I37" s="155" t="s">
        <v>115</v>
      </c>
      <c r="J37" s="189" t="s">
        <v>66</v>
      </c>
      <c r="K37" s="152" t="s">
        <v>94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>
        <f>E11-E22</f>
        <v>13245.401599999997</v>
      </c>
    </row>
    <row r="42" spans="1:16" ht="15" thickBot="1" x14ac:dyDescent="0.35">
      <c r="H42" s="343" t="s">
        <v>60</v>
      </c>
      <c r="I42" s="344"/>
      <c r="J42" s="344"/>
      <c r="K42" s="344"/>
      <c r="L42" s="344"/>
      <c r="M42" s="345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>
        <f>D11</f>
        <v>126005.04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56292.4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>
        <f>M43-(SUM(M44:M46))</f>
        <v>39878.549212560378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>
        <f>M47-SUM(M48:M49)</f>
        <v>39878.549212560378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2026-01-23T11:43:18Z</cp:lastPrinted>
  <dcterms:created xsi:type="dcterms:W3CDTF">2013-03-18T13:35:42Z</dcterms:created>
  <dcterms:modified xsi:type="dcterms:W3CDTF">2026-02-05T19:33:39Z</dcterms:modified>
</cp:coreProperties>
</file>