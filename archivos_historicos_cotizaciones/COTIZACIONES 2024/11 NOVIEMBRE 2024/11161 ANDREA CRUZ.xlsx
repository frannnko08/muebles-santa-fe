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6F63144C-482C-4B47-845A-777041B665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N21" i="1"/>
  <c r="M21" i="1" l="1"/>
  <c r="M25" i="1" s="1"/>
  <c r="L21" i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H26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<sst xmlns="http://schemas.openxmlformats.org/spreadsheetml/2006/main" count="231" uniqueCount="176">
  <si>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</si>
  <si>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</si>
  <si>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</si>
  <si>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</si>
  <si>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</si>
  <si>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</si>
  <si>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</si>
  <si>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</si>
  <si>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</si>
  <si>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</si>
  <si>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</si>
  <si>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</si>
  <si>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</si>
  <si>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</si>
  <si>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</si>
  <si>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</si>
  <si>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</si>
  <si>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</si>
  <si>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</si>
  <si>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</si>
  <si>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</si>
  <si>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</si>
  <si>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</si>
  <si>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</si>
  <si>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</si>
  <si>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</si>
  <si>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</si>
  <si>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</si>
  <si>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</si>
  <si>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</si>
  <si>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</si>
  <si>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</si>
  <si>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</si>
  <si>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</si>
  <si>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</si>
  <si>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</si>
  <si>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</si>
  <si>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</si>
  <si>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</si>
  <si>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</si>
  <si>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</si>
  <si>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</si>
  <si>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</si>
  <si>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</si>
  <si>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</si>
  <si>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</si>
  <si>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</si>
  <si>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</si>
  <si>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</si>
  <si>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</si>
  <si>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</si>
  <si>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</si>
  <si>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</si>
  <si>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</si>
  <si>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</si>
  <si>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</si>
  <si>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</si>
  <si>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</si>
  <si>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</si>
  <si>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</si>
  <si>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</si>
  <si>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</si>
  <si>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</si>
  <si>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</si>
  <si>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</si>
  <si>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</si>
  <si>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</si>
  <si>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</si>
  <si>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</si>
  <si>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</si>
  <si>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</si>
  <si>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</si>
  <si>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</si>
  <si>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</si>
  <si>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</si>
  <si>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</si>
  <si>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</si>
  <si>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</si>
  <si>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</si>
  <si>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</si>
  <si>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</si>
  <si>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</si>
  <si>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</si>
  <si>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</si>
  <si>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</si>
  <si>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</si>
  <si>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</si>
  <si>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</si>
  <si>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</si>
  <si>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</si>
  <si>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</si>
  <si>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</si>
  <si>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</si>
  <si>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</si>
  <si>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</si>
  <si>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</si>
  <si>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</si>
  <si>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</si>
  <si>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</si>
  <si>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</si>
  <si>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</si>
  <si>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</si>
  <si>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</si>
  <si>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</si>
  <si>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</si>
  <si>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</si>
  <si>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</si>
  <si>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</si>
  <si>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</si>
  <si>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</si>
  <si>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</si>
  <si>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</si>
  <si>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</si>
  <si>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</si>
  <si>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</si>
  <si>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</si>
  <si>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</si>
  <si>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</si>
  <si>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</si>
  <si>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</si>
  <si>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</si>
  <si>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</si>
  <si>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</si>
  <si>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</si>
  <si>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</si>
  <si>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</si>
  <si>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</si>
  <si>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</si>
  <si>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</si>
  <si>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</si>
  <si>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</si>
  <si>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</si>
  <si>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</si>
  <si>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</si>
  <si>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</si>
  <si>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</si>
  <si>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</si>
  <si>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</si>
  <si>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</si>
  <si>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</si>
  <si>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</si>
  <si>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</si>
  <si>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</si>
  <si>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</si>
  <si>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</si>
  <si>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</si>
  <si>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</si>
  <si>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</si>
  <si>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</si>
  <si>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</si>
  <si>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</si>
  <si>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</si>
  <si>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</si>
  <si>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</si>
  <si>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</si>
  <si>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</si>
  <si>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</si>
  <si>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</si>
  <si>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</si>
  <si>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</si>
  <si>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</si>
  <si>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</si>
  <si>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</si>
  <si>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</si>
  <si>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</si>
  <si>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</si>
  <si>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</si>
  <si>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11161</t>
  </si>
  <si>
    <t>ANDREA CRUZ</t>
  </si>
  <si>
    <t>+569 9949 5704</t>
  </si>
  <si>
    <t>COMINA LAS CONDES</t>
  </si>
  <si>
    <t>8 DIAS HABILES</t>
  </si>
  <si>
    <t>SI</t>
  </si>
  <si>
    <t>PUERTAS ENCHAPE RECTO 1 CARA</t>
  </si>
  <si>
    <t>BLANCO 2114 OPACO</t>
  </si>
  <si>
    <t>SERVICIO 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</si>
</sst>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SE CONSIDERA</a:t>
          </a:r>
          <a:r>
            <a:rPr lang="es-CL" sz="1200" b="1" baseline="0"/>
            <a:t> TERMINADA CON TAPACNTO PVC 0,4MM POR SUS CUATRO LADOS, NO CONSIDERA TIRADORSUSTRATO MDF MELAMIL 18MM TRASCARA BLANCA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I22" sqref="I2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6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45608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172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 t="s">
        <v>170</v>
      </c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7" t="s">
        <v>165</v>
      </c>
      <c r="G17" s="337"/>
      <c r="H17" s="338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30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62863.366515095651</v>
      </c>
      <c r="R20" s="258">
        <v>10000</v>
      </c>
      <c r="S20" s="38"/>
      <c r="T20" s="14" t="s">
        <v>128</v>
      </c>
      <c r="U20" s="9"/>
      <c r="X20" s="4"/>
    </row>
    <row r="21" spans="1:25" ht="18" thickBot="1" x14ac:dyDescent="0.35">
      <c r="B21" s="331">
        <v>2</v>
      </c>
      <c r="C21" s="332" t="s">
        <v>173</v>
      </c>
      <c r="D21" s="333">
        <v>2.35</v>
      </c>
      <c r="E21" s="333">
        <v>0.495</v>
      </c>
      <c r="F21" s="332" t="s">
        <v>174</v>
      </c>
      <c r="G21" s="334">
        <v>86728</v>
      </c>
      <c r="H21" s="335">
        <f>G21*B21</f>
        <v>173456</v>
      </c>
      <c r="I21" s="320"/>
      <c r="J21" s="265"/>
      <c r="K21" s="47"/>
      <c r="L21" s="47">
        <f>B21</f>
        <v>2</v>
      </c>
      <c r="M21" s="39">
        <f>D21+M$19</f>
        <v>2.37</v>
      </c>
      <c r="N21" s="39">
        <f>E21+$N$19</f>
        <v>0.51500000000000001</v>
      </c>
      <c r="O21" s="261">
        <f t="shared" ref="O21" si="1">M21*N21</f>
        <v>1.22055</v>
      </c>
      <c r="P21" s="259">
        <f t="shared" ref="P21" si="2">O21*L21</f>
        <v>2.4411</v>
      </c>
      <c r="Q21" s="252">
        <f t="shared" ref="Q21" si="3">Q$20*O21</f>
        <v>76727.881999999998</v>
      </c>
      <c r="R21" s="319">
        <f t="shared" ref="R21" si="4">Q21+R$20</f>
        <v>86727.881999999998</v>
      </c>
      <c r="S21" s="297">
        <f>L21*M21*2</f>
        <v>9.48</v>
      </c>
      <c r="T21" s="46">
        <f>N21*2*L21*2</f>
        <v>4.12</v>
      </c>
      <c r="U21" s="9"/>
      <c r="X21" s="4"/>
    </row>
    <row r="22" spans="1:25" ht="17.399999999999999" x14ac:dyDescent="0.3">
      <c r="B22" s="328">
        <v>1</v>
      </c>
      <c r="C22" s="328" t="s">
        <v>175</v>
      </c>
      <c r="D22" s="329"/>
      <c r="E22" s="329"/>
      <c r="F22" s="328"/>
      <c r="G22" s="349">
        <v>100000</v>
      </c>
      <c r="H22" s="335">
        <f>G22*B22</f>
        <v>100000</v>
      </c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273456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4.12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51956.639999999999</v>
      </c>
      <c r="I25" s="322"/>
      <c r="J25" s="265"/>
      <c r="K25" s="47"/>
      <c r="L25" s="47"/>
      <c r="M25" s="39">
        <f>SUM(M21:M24)</f>
        <v>2.37</v>
      </c>
      <c r="N25" s="12"/>
      <c r="O25" s="12"/>
      <c r="P25" s="253">
        <f>SUM(P21:P21)</f>
        <v>2.4411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325412.64</v>
      </c>
      <c r="I26" s="322"/>
      <c r="J26" s="265"/>
      <c r="K26" s="47"/>
      <c r="L26" s="47"/>
      <c r="M26" s="39"/>
      <c r="N26" s="12"/>
      <c r="O26" s="12"/>
      <c r="P26" s="253">
        <f>P25</f>
        <v>2.4411</v>
      </c>
      <c r="Q26" s="14"/>
      <c r="R26" s="12"/>
      <c r="S26" s="239">
        <f>SUM(S21:S25)</f>
        <v>9.48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0.48822000000000004</v>
      </c>
      <c r="Q27" s="39" t="s">
        <v>130</v>
      </c>
      <c r="R27" s="42"/>
      <c r="S27" s="240">
        <f>S26+T24</f>
        <v>13.600000000000001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2.9293200000000001</v>
      </c>
      <c r="Q28" s="14"/>
      <c r="R28" s="14"/>
      <c r="S28" s="238">
        <f>S27*20%</f>
        <v>2.7200000000000006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16.32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2.9293200000000001</v>
      </c>
      <c r="N30" s="12">
        <v>3500</v>
      </c>
      <c r="O30" s="12">
        <f t="shared" ref="O30:O35" si="5">M30*N30</f>
        <v>10252.620000000001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0.8</v>
      </c>
      <c r="N31" s="12">
        <v>45000</v>
      </c>
      <c r="O31" s="12">
        <f t="shared" si="5"/>
        <v>36000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23500</v>
      </c>
      <c r="O33" s="12">
        <f t="shared" si="5"/>
        <v>23500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L36" s="250"/>
      <c r="M36" s="14"/>
      <c r="N36" s="12"/>
      <c r="O36" s="12">
        <f>SUM(O30:O35)</f>
        <v>69752.62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153455.764</v>
      </c>
      <c r="P37" s="14" t="s">
        <v>140</v>
      </c>
      <c r="Q37" s="14"/>
      <c r="R37" s="40">
        <f>P28/R36</f>
        <v>0.78982959447799828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67392</v>
      </c>
      <c r="L38" s="250"/>
      <c r="M38" s="14"/>
      <c r="N38" s="12"/>
      <c r="O38" s="12">
        <f>O37/P26</f>
        <v>62863.366515095651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56631.932773109249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45608</v>
      </c>
    </row>
    <row r="6" spans="2:31" ht="16.2" thickBot="1" x14ac:dyDescent="0.35">
      <c r="B6" s="140" t="s">
        <v>2</v>
      </c>
      <c r="C6" s="139" t="str">
        <f>'2229'!C10</f>
        <v>ANDREA CRUZ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3" t="s">
        <v>98</v>
      </c>
      <c r="I7" s="344"/>
      <c r="J7" s="344"/>
      <c r="K7" s="345"/>
      <c r="N7" s="75"/>
      <c r="O7" s="342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11161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2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-24652.154533454104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273456</v>
      </c>
      <c r="E11" s="132">
        <f>D11*0.19</f>
        <v>51956.639999999999</v>
      </c>
      <c r="F11" s="131">
        <f>E11+D11</f>
        <v>325412.64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81337.845466545899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76086.710787439617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63337.845466545899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197369.2892125604</v>
      </c>
      <c r="E13" s="221">
        <f>(D11/D12)-1</f>
        <v>2.5940047502374366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54337.845466545899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15337.845466545896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125543.07279927537</v>
      </c>
      <c r="F15" s="216">
        <f>E15-D12</f>
        <v>49456.36201183575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15337.845466545896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55337.845466545899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36000</v>
      </c>
      <c r="E19" s="123">
        <f>D19*0.19</f>
        <v>6840</v>
      </c>
      <c r="F19" s="120">
        <f>SUM(D19:E19)</f>
        <v>42840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10252.620000000001</v>
      </c>
      <c r="E20" s="121">
        <f>D20*0.19</f>
        <v>1947.9978000000001</v>
      </c>
      <c r="F20" s="120">
        <f>SUM(D20:E20)</f>
        <v>12200.6178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46252.62</v>
      </c>
      <c r="E21" s="116">
        <f>SUM(E18:E20)</f>
        <v>8787.997800000001</v>
      </c>
      <c r="F21" s="115">
        <f>SUM(F18:F20)</f>
        <v>55040.6178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43168.642200000002</v>
      </c>
    </row>
    <row r="41" spans="2:16" ht="15" thickBot="1" x14ac:dyDescent="0.35">
      <c r="H41" s="346" t="s">
        <v>60</v>
      </c>
      <c r="I41" s="347"/>
      <c r="J41" s="347"/>
      <c r="K41" s="347"/>
      <c r="L41" s="347"/>
      <c r="M41" s="348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273456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46252.62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197369.2892125604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197369.2892125604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2024-11-11T17:28:31Z</cp:lastPrinted>
  <dcterms:created xsi:type="dcterms:W3CDTF">2013-03-18T13:35:42Z</dcterms:created>
  <dcterms:modified xsi:type="dcterms:W3CDTF">2024-11-12T20:07:39Z</dcterms:modified>
</cp:coreProperties>
</file>