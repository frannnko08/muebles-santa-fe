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0A0575B6-5CE1-4989-9E60-3FD51657A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3" i="1"/>
  <c r="K34" i="1" s="1"/>
  <c r="N21" i="1"/>
  <c r="K35" i="1" l="1"/>
  <c r="K36" i="1" s="1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<sst xmlns="http://schemas.openxmlformats.org/spreadsheetml/2006/main" count="229" uniqueCount="173">
  <si>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</si>
  <si>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</si>
  <si>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</si>
  <si>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</si>
  <si>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</si>
  <si>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</si>
  <si>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</si>
  <si>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</si>
  <si>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</si>
  <si>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</si>
  <si>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</si>
  <si>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</si>
  <si>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</si>
  <si>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</si>
  <si>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</si>
  <si>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</si>
  <si>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</si>
  <si>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</si>
  <si>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</si>
  <si>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</si>
  <si>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</si>
  <si>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</si>
  <si>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</si>
  <si>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</si>
  <si>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</si>
  <si>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</si>
  <si>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</si>
  <si>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</si>
  <si>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</si>
  <si>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</si>
  <si>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</si>
  <si>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</si>
  <si>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</si>
  <si>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</si>
  <si>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</si>
  <si>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</si>
  <si>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</si>
  <si>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</si>
  <si>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</si>
  <si>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</si>
  <si>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</si>
  <si>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</si>
  <si>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</si>
  <si>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</si>
  <si>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</si>
  <si>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</si>
  <si>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</si>
  <si>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</si>
  <si>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</si>
  <si>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</si>
  <si>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</si>
  <si>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</si>
  <si>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</si>
  <si>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</si>
  <si>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</si>
  <si>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</si>
  <si>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</si>
  <si>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</si>
  <si>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</si>
  <si>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</si>
  <si>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</si>
  <si>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</si>
  <si>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</si>
  <si>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</si>
  <si>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</si>
  <si>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</si>
  <si>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</si>
  <si>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</si>
  <si>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</si>
  <si>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</si>
  <si>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</si>
  <si>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</si>
  <si>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</si>
  <si>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</si>
  <si>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</si>
  <si>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</si>
  <si>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</si>
  <si>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</si>
  <si>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</si>
  <si>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</si>
  <si>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</si>
  <si>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</si>
  <si>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</si>
  <si>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</si>
  <si>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</si>
  <si>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</si>
  <si>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</si>
  <si>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</si>
  <si>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</si>
  <si>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</si>
  <si>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</si>
  <si>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</si>
  <si>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</si>
  <si>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</si>
  <si>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</si>
  <si>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</si>
  <si>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</si>
  <si>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</si>
  <si>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</si>
  <si>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</si>
  <si>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</si>
  <si>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</si>
  <si>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</si>
  <si>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</si>
  <si>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</si>
  <si>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</si>
  <si>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</si>
  <si>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</si>
  <si>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</si>
  <si>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</si>
  <si>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</si>
  <si>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</si>
  <si>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</si>
  <si>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</si>
  <si>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</si>
  <si>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</si>
  <si>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</si>
  <si>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</si>
  <si>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</si>
  <si>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</si>
  <si>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</si>
  <si>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</si>
  <si>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</si>
  <si>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</si>
  <si>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</si>
  <si>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</si>
  <si>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</si>
  <si>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</si>
  <si>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</si>
  <si>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</si>
  <si>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</si>
  <si>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</si>
  <si>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</si>
  <si>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</si>
  <si>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</si>
  <si>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</si>
  <si>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</si>
  <si>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</si>
  <si>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</si>
  <si>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</si>
  <si>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</si>
  <si>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</si>
  <si>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</si>
  <si>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</si>
  <si>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</si>
  <si>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</si>
  <si>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</si>
  <si>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</si>
  <si>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</si>
  <si>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</si>
  <si>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</si>
  <si>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</si>
  <si>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</si>
  <si>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</si>
  <si>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</si>
  <si>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</si>
  <si>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</si>
  <si>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</si>
  <si>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</si>
  <si>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</si>
  <si>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</si>
  <si>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</si>
  <si>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</si>
  <si>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</si>
  <si>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</si>
  <si>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</si>
  <si>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</si>
  <si>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</si>
  <si>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JAIME BARRIOS</t>
  </si>
  <si>
    <t>+569 7914 1645</t>
  </si>
  <si>
    <t>CUB C/R FRENTE 90° R6</t>
  </si>
  <si>
    <t>GALAXIA GRAFITO 0491 MT</t>
  </si>
  <si>
    <t>N° 11167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</si>
</sst>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45611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106126.95282617935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170</v>
      </c>
      <c r="D21" s="331">
        <v>3.6</v>
      </c>
      <c r="E21" s="331">
        <v>0.5</v>
      </c>
      <c r="F21" s="330" t="s">
        <v>171</v>
      </c>
      <c r="G21" s="332">
        <v>199773</v>
      </c>
      <c r="H21" s="333">
        <f>G21*B21</f>
        <v>199773</v>
      </c>
      <c r="I21" s="320"/>
      <c r="J21" s="265"/>
      <c r="K21" s="47"/>
      <c r="L21" s="47">
        <f>B21</f>
        <v>1</v>
      </c>
      <c r="M21" s="39">
        <f>D21+M$19</f>
        <v>3.62</v>
      </c>
      <c r="N21" s="39">
        <f>E21+$N$19</f>
        <v>0.52</v>
      </c>
      <c r="O21" s="261">
        <f t="shared" ref="O21" si="1">M21*N21</f>
        <v>1.8824000000000001</v>
      </c>
      <c r="P21" s="259">
        <f t="shared" ref="P21" si="2">O21*L21</f>
        <v>1.8824000000000001</v>
      </c>
      <c r="Q21" s="252">
        <f t="shared" ref="Q21" si="3">Q$20*O21</f>
        <v>199773.37600000002</v>
      </c>
      <c r="R21" s="319">
        <f t="shared" ref="R21" si="4">Q21+R$20</f>
        <v>204773.37600000002</v>
      </c>
      <c r="S21" s="297">
        <f>L21*M21*2</f>
        <v>7.24</v>
      </c>
      <c r="T21" s="46">
        <f>N21*2*L21*2</f>
        <v>2.08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199773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2.08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37956.870000000003</v>
      </c>
      <c r="I25" s="322"/>
      <c r="J25" s="265"/>
      <c r="K25" s="47"/>
      <c r="L25" s="47"/>
      <c r="M25" s="39">
        <f>SUM(M21:M24)</f>
        <v>3.62</v>
      </c>
      <c r="N25" s="12"/>
      <c r="O25" s="12"/>
      <c r="P25" s="253">
        <f>SUM(P21:P21)</f>
        <v>1.8824000000000001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237729.87</v>
      </c>
      <c r="I26" s="322"/>
      <c r="J26" s="265"/>
      <c r="K26" s="47"/>
      <c r="L26" s="47"/>
      <c r="M26" s="39"/>
      <c r="N26" s="12"/>
      <c r="O26" s="12"/>
      <c r="P26" s="253">
        <f>P25</f>
        <v>1.8824000000000001</v>
      </c>
      <c r="Q26" s="14"/>
      <c r="R26" s="12"/>
      <c r="S26" s="239">
        <f>SUM(S21:S25)</f>
        <v>7.24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0.37648000000000004</v>
      </c>
      <c r="Q27" s="39" t="s">
        <v>130</v>
      </c>
      <c r="R27" s="42"/>
      <c r="S27" s="240">
        <f>S26+T24</f>
        <v>9.32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2.25888</v>
      </c>
      <c r="Q28" s="14"/>
      <c r="R28" s="14"/>
      <c r="S28" s="238">
        <f>S27*20%</f>
        <v>1.8640000000000001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11.184000000000001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2.25888</v>
      </c>
      <c r="N30" s="12">
        <v>3500</v>
      </c>
      <c r="O30" s="12">
        <f t="shared" ref="O30:O35" si="5">M30*N30</f>
        <v>7906.08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0.7</v>
      </c>
      <c r="N31" s="12">
        <v>25000</v>
      </c>
      <c r="O31" s="12">
        <f t="shared" si="5"/>
        <v>17500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71400</v>
      </c>
      <c r="L33" s="250"/>
      <c r="M33" s="14">
        <v>1</v>
      </c>
      <c r="N33" s="250">
        <v>60000</v>
      </c>
      <c r="O33" s="12">
        <f t="shared" si="5"/>
        <v>60000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99365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83500</v>
      </c>
      <c r="L35" s="250"/>
      <c r="M35" s="266">
        <v>3.6</v>
      </c>
      <c r="N35" s="12">
        <v>1500</v>
      </c>
      <c r="O35" s="12">
        <f t="shared" si="5"/>
        <v>5400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15865</v>
      </c>
      <c r="L36" s="250"/>
      <c r="M36" s="14"/>
      <c r="N36" s="12"/>
      <c r="O36" s="12">
        <f>SUM(O30:O35)</f>
        <v>90806.080000000002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199773.37600000002</v>
      </c>
      <c r="P37" s="14" t="s">
        <v>140</v>
      </c>
      <c r="Q37" s="14"/>
      <c r="R37" s="40">
        <f>P28/R36</f>
        <v>0.60905953408110436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91700</v>
      </c>
      <c r="L38" s="250"/>
      <c r="M38" s="14"/>
      <c r="N38" s="12"/>
      <c r="O38" s="12">
        <f>O37/P26</f>
        <v>106126.95282617935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77058.823529411762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45611</v>
      </c>
    </row>
    <row r="6" spans="2:31" ht="16.2" thickBot="1" x14ac:dyDescent="0.35">
      <c r="B6" s="140" t="s">
        <v>2</v>
      </c>
      <c r="C6" s="139" t="str">
        <f>'2229'!C10</f>
        <v>JAIME BARRIOS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-18104.453033454109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199773</v>
      </c>
      <c r="E11" s="132">
        <f>D11*0.19</f>
        <v>37956.870000000003</v>
      </c>
      <c r="F11" s="131">
        <f>E11+D11</f>
        <v>237729.87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87885.546966545895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55240.170787439616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69885.546966545895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144532.82921256038</v>
      </c>
      <c r="E13" s="221">
        <f>(D11/D12)-1</f>
        <v>2.6164442859656027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60885.546966545895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21885.546966545891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91146.281799275355</v>
      </c>
      <c r="F15" s="216">
        <f>E15-D12</f>
        <v>35906.111011835739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21885.546966545891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61885.546966545895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7906.08</v>
      </c>
      <c r="E20" s="121">
        <f>D20*0.19</f>
        <v>1502.1551999999999</v>
      </c>
      <c r="F20" s="120">
        <f>SUM(D20:E20)</f>
        <v>9408.2351999999992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25406.080000000002</v>
      </c>
      <c r="E21" s="116">
        <f>SUM(E18:E20)</f>
        <v>4827.1552000000001</v>
      </c>
      <c r="F21" s="115">
        <f>SUM(F18:F20)</f>
        <v>30233.235199999999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33129.714800000002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199773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25406.080000000002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144532.82921256038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144532.82921256038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2024-11-15T18:23:26Z</dcterms:modified>
</cp:coreProperties>
</file>