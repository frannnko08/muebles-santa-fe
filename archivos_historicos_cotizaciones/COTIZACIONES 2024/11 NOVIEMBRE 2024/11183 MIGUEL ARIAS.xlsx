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D197D03E-0126-4C5C-BC5C-66091F7FA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M22" i="1"/>
  <c r="N22" i="1"/>
  <c r="O22" i="1" l="1"/>
  <c r="P22" i="1"/>
  <c r="S22" i="1"/>
  <c r="H22" i="1"/>
  <c r="N21" i="1"/>
  <c r="M21" i="1" l="1"/>
  <c r="M27" i="1" s="1"/>
  <c r="L21" i="1"/>
  <c r="T21" i="1" l="1"/>
  <c r="T26" i="1" s="1"/>
  <c r="S21" i="1"/>
  <c r="S28" i="1" s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O41" i="1"/>
  <c r="E15" i="3"/>
  <c r="Q21" i="1" l="1"/>
  <c r="F15" i="3"/>
  <c r="R21" i="1" l="1"/>
  <c r="H21" i="1" l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<sst xmlns="http://schemas.openxmlformats.org/spreadsheetml/2006/main" count="231" uniqueCount="176">
  <si>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</si>
  <si>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</si>
  <si>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</si>
  <si>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</si>
  <si>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</si>
  <si>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</si>
  <si>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</si>
  <si>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</si>
  <si>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</si>
  <si>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</si>
  <si>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</si>
  <si>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</si>
  <si>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</si>
  <si>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</si>
  <si>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</si>
  <si>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</si>
  <si>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</si>
  <si>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</si>
  <si>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</si>
  <si>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</si>
  <si>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</si>
  <si>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</si>
  <si>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</si>
  <si>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</si>
  <si>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</si>
  <si>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</si>
  <si>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</si>
  <si>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</si>
  <si>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</si>
  <si>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</si>
  <si>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</si>
  <si>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</si>
  <si>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</si>
  <si>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</si>
  <si>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</si>
  <si>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</si>
  <si>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</si>
  <si>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</si>
  <si>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</si>
  <si>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</si>
  <si>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</si>
  <si>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</si>
  <si>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</si>
  <si>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</si>
  <si>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</si>
  <si>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</si>
  <si>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</si>
  <si>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</si>
  <si>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</si>
  <si>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</si>
  <si>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</si>
  <si>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</si>
  <si>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</si>
  <si>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</si>
  <si>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</si>
  <si>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</si>
  <si>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</si>
  <si>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</si>
  <si>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</si>
  <si>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</si>
  <si>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</si>
  <si>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</si>
  <si>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</si>
  <si>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</si>
  <si>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</si>
  <si>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</si>
  <si>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</si>
  <si>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</si>
  <si>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</si>
  <si>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</si>
  <si>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</si>
  <si>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</si>
  <si>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</si>
  <si>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</si>
  <si>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</si>
  <si>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</si>
  <si>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</si>
  <si>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</si>
  <si>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</si>
  <si>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</si>
  <si>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</si>
  <si>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</si>
  <si>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</si>
  <si>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</si>
  <si>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</si>
  <si>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</si>
  <si>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</si>
  <si>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</si>
  <si>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</si>
  <si>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</si>
  <si>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</si>
  <si>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</si>
  <si>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</si>
  <si>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</si>
  <si>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</si>
  <si>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</si>
  <si>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</si>
  <si>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</si>
  <si>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</si>
  <si>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</si>
  <si>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</si>
  <si>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</si>
  <si>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</si>
  <si>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</si>
  <si>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</si>
  <si>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</si>
  <si>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</si>
  <si>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</si>
  <si>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</si>
  <si>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</si>
  <si>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</si>
  <si>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</si>
  <si>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</si>
  <si>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</si>
  <si>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</si>
  <si>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</si>
  <si>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</si>
  <si>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</si>
  <si>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</si>
  <si>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</si>
  <si>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</si>
  <si>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</si>
  <si>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</si>
  <si>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</si>
  <si>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</si>
  <si>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</si>
  <si>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</si>
  <si>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</si>
  <si>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</si>
  <si>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</si>
  <si>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</si>
  <si>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</si>
  <si>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</si>
  <si>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</si>
  <si>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</si>
  <si>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</si>
  <si>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</si>
  <si>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</si>
  <si>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</si>
  <si>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</si>
  <si>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</si>
  <si>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</si>
  <si>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</si>
  <si>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</si>
  <si>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</si>
  <si>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</si>
  <si>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</si>
  <si>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</si>
  <si>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</si>
  <si>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</si>
  <si>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</si>
  <si>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</si>
  <si>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</si>
  <si>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</si>
  <si>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</si>
  <si>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</si>
  <si>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</si>
  <si>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</si>
  <si>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</si>
  <si>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</si>
  <si>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</si>
  <si>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</si>
  <si>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</si>
  <si>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</si>
  <si>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</si>
  <si>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</si>
  <si>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</si>
  <si>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11183</t>
  </si>
  <si>
    <t>CORTE PUERTA RECTA</t>
  </si>
  <si>
    <t>MELAMINA BLANCA 18MM</t>
  </si>
  <si>
    <t>BISAGRAS RECTA CIERRE SUAVE</t>
  </si>
  <si>
    <t>MIGUEL ARIAS</t>
  </si>
  <si>
    <t>+569 9887 9515</t>
  </si>
  <si>
    <t>5 DIAS HABILES</t>
  </si>
  <si>
    <t>SI</t>
  </si>
  <si>
    <t>DESPACHO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</si>
</sst>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174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9" t="s">
        <v>165</v>
      </c>
      <c r="G17" s="339"/>
      <c r="H17" s="340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51453.391246241241</v>
      </c>
      <c r="R20" s="258">
        <v>8000</v>
      </c>
      <c r="S20" s="38"/>
      <c r="T20" s="14" t="s">
        <v>128</v>
      </c>
      <c r="U20" s="9"/>
      <c r="X20" s="4"/>
    </row>
    <row r="21" spans="2:25" ht="18" thickBot="1" x14ac:dyDescent="0.35">
      <c r="B21" s="329">
        <v>2</v>
      </c>
      <c r="C21" s="330" t="s">
        <v>168</v>
      </c>
      <c r="D21" s="331">
        <v>1.97</v>
      </c>
      <c r="E21" s="331">
        <v>0.438</v>
      </c>
      <c r="F21" s="330" t="s">
        <v>169</v>
      </c>
      <c r="G21" s="332">
        <v>54200</v>
      </c>
      <c r="H21" s="333">
        <f>G21*B21</f>
        <v>108400</v>
      </c>
      <c r="I21" s="320"/>
      <c r="J21" s="265"/>
      <c r="K21" s="47"/>
      <c r="L21" s="335">
        <f>B21</f>
        <v>2</v>
      </c>
      <c r="M21" s="336">
        <f>D21+M$19</f>
        <v>2.0499999999999998</v>
      </c>
      <c r="N21" s="336">
        <f>E21+$N$19</f>
        <v>0.438</v>
      </c>
      <c r="O21" s="261">
        <f t="shared" ref="O21" si="1">M21*N21</f>
        <v>0.89789999999999992</v>
      </c>
      <c r="P21" s="259">
        <f t="shared" ref="P21" si="2">O21*L21</f>
        <v>1.7957999999999998</v>
      </c>
      <c r="Q21" s="252">
        <f t="shared" ref="Q21" si="3">Q$20*O21</f>
        <v>46200.000000000007</v>
      </c>
      <c r="R21" s="319">
        <f t="shared" ref="R21" si="4">Q21+R$20</f>
        <v>54200.000000000007</v>
      </c>
      <c r="S21" s="297">
        <f>L21*M21*2</f>
        <v>8.1999999999999993</v>
      </c>
      <c r="T21" s="46">
        <f>N21*2*L21*2</f>
        <v>3.504</v>
      </c>
      <c r="U21" s="9"/>
      <c r="X21" s="4"/>
    </row>
    <row r="22" spans="2:25" ht="18" thickBot="1" x14ac:dyDescent="0.35">
      <c r="B22" s="329">
        <v>8</v>
      </c>
      <c r="C22" s="330" t="s">
        <v>170</v>
      </c>
      <c r="D22" s="331"/>
      <c r="E22" s="331"/>
      <c r="F22" s="330"/>
      <c r="G22" s="332">
        <v>2500</v>
      </c>
      <c r="H22" s="333">
        <f t="shared" ref="H22" si="5">G22*B22</f>
        <v>20000</v>
      </c>
      <c r="I22" s="320"/>
      <c r="J22" s="265"/>
      <c r="K22" s="47"/>
      <c r="L22" s="337"/>
      <c r="M22" s="338">
        <f t="shared" ref="M22" si="6">D22+M$19</f>
        <v>0.08</v>
      </c>
      <c r="N22" s="338">
        <f t="shared" ref="N22" si="7">E22+$N$19</f>
        <v>0</v>
      </c>
      <c r="O22" s="261">
        <f t="shared" ref="O22" si="8">M22*N22</f>
        <v>0</v>
      </c>
      <c r="P22" s="259">
        <f t="shared" ref="P22" si="9">O22*L22</f>
        <v>0</v>
      </c>
      <c r="Q22" s="252">
        <f t="shared" ref="Q22" si="10">Q$20*O22</f>
        <v>0</v>
      </c>
      <c r="R22" s="319">
        <f t="shared" ref="R22" si="11">Q22+R$20</f>
        <v>8000</v>
      </c>
      <c r="S22" s="297">
        <f t="shared" ref="S22" si="12">L22*M22*2</f>
        <v>0</v>
      </c>
      <c r="T22" s="46"/>
      <c r="U22" s="9"/>
      <c r="X22" s="4"/>
    </row>
    <row r="23" spans="2:25" ht="17.399999999999999" x14ac:dyDescent="0.3">
      <c r="B23" s="329">
        <v>1</v>
      </c>
      <c r="C23" s="330" t="s">
        <v>175</v>
      </c>
      <c r="D23" s="331"/>
      <c r="E23" s="331"/>
      <c r="F23" s="330"/>
      <c r="G23" s="332">
        <v>25000</v>
      </c>
      <c r="H23" s="333">
        <f t="shared" ref="H23" si="13">G23*B23</f>
        <v>25000</v>
      </c>
      <c r="I23" s="320"/>
      <c r="J23" s="265"/>
      <c r="K23" s="47"/>
      <c r="L23" s="337"/>
      <c r="M23" s="338"/>
      <c r="N23" s="338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153400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3.504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29146</v>
      </c>
      <c r="I27" s="322"/>
      <c r="J27" s="265"/>
      <c r="K27" s="47"/>
      <c r="L27" s="47"/>
      <c r="M27" s="39">
        <f>SUM(M21:M22)</f>
        <v>2.13</v>
      </c>
      <c r="N27" s="12"/>
      <c r="O27" s="12"/>
      <c r="P27" s="253">
        <f>SUM(P21:P22)</f>
        <v>1.7957999999999998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182546</v>
      </c>
      <c r="I28" s="322"/>
      <c r="J28" s="265"/>
      <c r="K28" s="47"/>
      <c r="L28" s="47"/>
      <c r="M28" s="39"/>
      <c r="N28" s="12"/>
      <c r="O28" s="12"/>
      <c r="P28" s="253">
        <f>P27</f>
        <v>1.7957999999999998</v>
      </c>
      <c r="Q28" s="14"/>
      <c r="R28" s="12"/>
      <c r="S28" s="239">
        <f>SUM(S21:S27)</f>
        <v>8.1999999999999993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0.35915999999999998</v>
      </c>
      <c r="Q29" s="39" t="s">
        <v>130</v>
      </c>
      <c r="R29" s="42"/>
      <c r="S29" s="240">
        <f>S28+T26</f>
        <v>11.703999999999999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2.15496</v>
      </c>
      <c r="Q30" s="14"/>
      <c r="R30" s="14"/>
      <c r="S30" s="238">
        <f>S29*20%</f>
        <v>2.3407999999999998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14.044799999999999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/>
      <c r="N32" s="12">
        <v>3500</v>
      </c>
      <c r="O32" s="12">
        <f t="shared" ref="O32:O37" si="14">M32*N32</f>
        <v>0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/>
      <c r="N33" s="12">
        <v>25000</v>
      </c>
      <c r="O33" s="12">
        <f t="shared" si="14"/>
        <v>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71000</v>
      </c>
      <c r="O34" s="12">
        <f t="shared" si="1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1</v>
      </c>
      <c r="N35" s="250">
        <v>42000</v>
      </c>
      <c r="O35" s="12">
        <f t="shared" si="14"/>
        <v>42000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/>
      <c r="N37" s="12">
        <v>1500</v>
      </c>
      <c r="O37" s="12">
        <f t="shared" si="1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42000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92400.000000000015</v>
      </c>
      <c r="P39" s="14" t="s">
        <v>140</v>
      </c>
      <c r="Q39" s="14"/>
      <c r="R39" s="40">
        <f>P30/R38</f>
        <v>0.58103968938740291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49480</v>
      </c>
      <c r="L40" s="250"/>
      <c r="M40" s="14"/>
      <c r="N40" s="12"/>
      <c r="O40" s="12">
        <f>O39/P28</f>
        <v>51453.391246241241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41579.831932773108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MIGUEL ARIAS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-17362.291700120772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153400</v>
      </c>
      <c r="E11" s="132">
        <f>D11*0.19</f>
        <v>29146</v>
      </c>
      <c r="F11" s="131">
        <f>E11+D11</f>
        <v>182546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88627.708299879232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29834.090787439614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70627.708299879232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123565.90921256039</v>
      </c>
      <c r="E13" s="221">
        <f>(D11/D12)-1</f>
        <v>4.1417688942805855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61627.708299879232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22627.708299879228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49226.249799275363</v>
      </c>
      <c r="F15" s="216">
        <f>E15-D12</f>
        <v>19392.159011835749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22627.708299879228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62627.708299879232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0</v>
      </c>
      <c r="E21" s="116">
        <f>SUM(E18:E20)</f>
        <v>0</v>
      </c>
      <c r="F21" s="115">
        <f>SUM(F18:F20)</f>
        <v>0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29146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153400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123565.90921256039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123565.90921256039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2024-11-26T21:02:52Z</dcterms:modified>
</cp:coreProperties>
</file>