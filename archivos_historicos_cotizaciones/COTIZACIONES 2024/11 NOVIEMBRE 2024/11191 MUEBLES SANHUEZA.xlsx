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40D751F9-0F96-4516-BB05-64CEF58BF2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L22" i="1"/>
  <c r="M22" i="1"/>
  <c r="N22" i="1"/>
  <c r="L23" i="1"/>
  <c r="M23" i="1"/>
  <c r="N23" i="1"/>
  <c r="H22" i="1"/>
  <c r="N21" i="1"/>
  <c r="O22" i="1" l="1"/>
  <c r="P22" i="1" s="1"/>
  <c r="O23" i="1"/>
  <c r="P23" i="1" s="1"/>
  <c r="M21" i="1"/>
  <c r="M26" i="1" s="1"/>
  <c r="L21" i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1" i="1" l="1"/>
  <c r="Q23" i="1"/>
  <c r="R23" i="1" s="1"/>
  <c r="Q22" i="1"/>
  <c r="R22" i="1" s="1"/>
  <c r="O40" i="1"/>
  <c r="E15" i="3"/>
  <c r="F15" i="3" l="1"/>
  <c r="R21" i="1" l="1"/>
  <c r="H21" i="1" l="1"/>
  <c r="H25" i="1" s="1"/>
  <c r="H27" i="1" l="1"/>
  <c r="D11" i="3"/>
  <c r="X9" i="3" s="1"/>
  <c r="X15" i="3" s="1"/>
  <c r="M42" i="3" l="1"/>
  <c r="M46" i="3" s="1"/>
  <c r="M49" i="3" s="1"/>
  <c r="E11" i="3"/>
  <c r="D40" i="3" s="1"/>
  <c r="E13" i="3"/>
  <c r="X12" i="3"/>
  <c r="X11" i="3"/>
  <c r="X16" i="3"/>
  <c r="X13" i="3"/>
  <c r="X14" i="3"/>
  <c r="D13" i="3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<sst xmlns="http://schemas.openxmlformats.org/spreadsheetml/2006/main" count="233" uniqueCount="175">
  <si>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</si>
  <si>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</si>
  <si>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</si>
  <si>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</si>
  <si>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</si>
  <si>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</si>
  <si>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</si>
  <si>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</si>
  <si>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</si>
  <si>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</si>
  <si>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</si>
  <si>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</si>
  <si>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</si>
  <si>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</si>
  <si>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</si>
  <si>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</si>
  <si>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</si>
  <si>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</si>
  <si>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</si>
  <si>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</si>
  <si>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</si>
  <si>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</si>
  <si>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</si>
  <si>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</si>
  <si>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</si>
  <si>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</si>
  <si>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</si>
  <si>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</si>
  <si>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</si>
  <si>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</si>
  <si>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</si>
  <si>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</si>
  <si>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</si>
  <si>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</si>
  <si>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</si>
  <si>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</si>
  <si>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</si>
  <si>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</si>
  <si>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</si>
  <si>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</si>
  <si>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</si>
  <si>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</si>
  <si>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</si>
  <si>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</si>
  <si>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</si>
  <si>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</si>
  <si>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</si>
  <si>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</si>
  <si>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</si>
  <si>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</si>
  <si>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</si>
  <si>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</si>
  <si>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</si>
  <si>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</si>
  <si>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</si>
  <si>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</si>
  <si>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</si>
  <si>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</si>
  <si>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</si>
  <si>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</si>
  <si>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</si>
  <si>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</si>
  <si>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</si>
  <si>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</si>
  <si>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</si>
  <si>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</si>
  <si>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</si>
  <si>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</si>
  <si>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</si>
  <si>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</si>
  <si>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</si>
  <si>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</si>
  <si>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</si>
  <si>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</si>
  <si>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</si>
  <si>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</si>
  <si>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</si>
  <si>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</si>
  <si>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</si>
  <si>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</si>
  <si>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</si>
  <si>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</si>
  <si>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</si>
  <si>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</si>
  <si>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</si>
  <si>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</si>
  <si>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</si>
  <si>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</si>
  <si>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</si>
  <si>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</si>
  <si>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</si>
  <si>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</si>
  <si>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</si>
  <si>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</si>
  <si>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</si>
  <si>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</si>
  <si>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</si>
  <si>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</si>
  <si>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</si>
  <si>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</si>
  <si>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</si>
  <si>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</si>
  <si>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</si>
  <si>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</si>
  <si>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</si>
  <si>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</si>
  <si>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</si>
  <si>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</si>
  <si>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</si>
  <si>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</si>
  <si>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</si>
  <si>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</si>
  <si>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</si>
  <si>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</si>
  <si>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</si>
  <si>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</si>
  <si>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</si>
  <si>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</si>
  <si>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</si>
  <si>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</si>
  <si>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</si>
  <si>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</si>
  <si>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</si>
  <si>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</si>
  <si>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</si>
  <si>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</si>
  <si>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</si>
  <si>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</si>
  <si>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</si>
  <si>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</si>
  <si>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</si>
  <si>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</si>
  <si>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</si>
  <si>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</si>
  <si>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</si>
  <si>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</si>
  <si>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</si>
  <si>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</si>
  <si>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</si>
  <si>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</si>
  <si>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</si>
  <si>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</si>
  <si>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</si>
  <si>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</si>
  <si>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</si>
  <si>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</si>
  <si>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</si>
  <si>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</si>
  <si>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</si>
  <si>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</si>
  <si>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</si>
  <si>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</si>
  <si>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</si>
  <si>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</si>
  <si>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</si>
  <si>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</si>
  <si>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</si>
  <si>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</si>
  <si>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</si>
  <si>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</si>
  <si>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</si>
  <si>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</si>
  <si>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</si>
  <si>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</si>
  <si>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</si>
  <si>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</si>
  <si>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</si>
  <si>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</si>
  <si>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N° 11191</t>
  </si>
  <si>
    <t>MUEBLES SANHUEZA</t>
  </si>
  <si>
    <t>569 62567896</t>
  </si>
  <si>
    <t>GRANITO KOMBI 0670 BR F6</t>
  </si>
  <si>
    <t>CUB S/R 90° R8</t>
  </si>
  <si>
    <t>CUB MESA 90° R8 4 LADOS</t>
  </si>
  <si>
    <t>RESPALDOS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</si>
</sst>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</a:t>
          </a:r>
          <a:r>
            <a:rPr lang="es-CL" sz="1200" b="1" baseline="0"/>
            <a:t> EL LARGO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14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45628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63780.598290598304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2">
        <v>2</v>
      </c>
      <c r="C21" s="332" t="s">
        <v>172</v>
      </c>
      <c r="D21" s="333">
        <v>2</v>
      </c>
      <c r="E21" s="333">
        <v>0.6</v>
      </c>
      <c r="F21" s="332" t="s">
        <v>171</v>
      </c>
      <c r="G21" s="334">
        <v>82598</v>
      </c>
      <c r="H21" s="334">
        <f>G21*B21</f>
        <v>165196</v>
      </c>
      <c r="I21" s="320"/>
      <c r="J21" s="265"/>
      <c r="K21" s="47"/>
      <c r="L21" s="330">
        <f>B21</f>
        <v>2</v>
      </c>
      <c r="M21" s="331">
        <f>D21+M$19</f>
        <v>2.08</v>
      </c>
      <c r="N21" s="331">
        <f>E21+$N$19</f>
        <v>0.6</v>
      </c>
      <c r="O21" s="261">
        <f t="shared" ref="O21" si="1">M21*N21</f>
        <v>1.248</v>
      </c>
      <c r="P21" s="259">
        <f t="shared" ref="P21" si="2">O21*L21</f>
        <v>2.496</v>
      </c>
      <c r="Q21" s="252">
        <f t="shared" ref="Q21" si="3">Q$20*O21</f>
        <v>79598.18666666669</v>
      </c>
      <c r="R21" s="319">
        <f t="shared" ref="R21" si="4">Q21+R$20</f>
        <v>82598.18666666669</v>
      </c>
      <c r="S21" s="297">
        <f>L21*M21*2</f>
        <v>8.32</v>
      </c>
      <c r="T21" s="46">
        <f>N21*2*L21*2</f>
        <v>4.8</v>
      </c>
      <c r="U21" s="9"/>
      <c r="X21" s="4"/>
    </row>
    <row r="22" spans="1:25" ht="17.399999999999999" x14ac:dyDescent="0.3">
      <c r="B22" s="332">
        <v>1</v>
      </c>
      <c r="C22" s="332" t="s">
        <v>173</v>
      </c>
      <c r="D22" s="333">
        <v>2</v>
      </c>
      <c r="E22" s="333">
        <v>0.6</v>
      </c>
      <c r="F22" s="332" t="s">
        <v>171</v>
      </c>
      <c r="G22" s="334">
        <v>92500</v>
      </c>
      <c r="H22" s="334">
        <f>G22*B22</f>
        <v>92500</v>
      </c>
      <c r="I22" s="320"/>
      <c r="J22" s="265"/>
      <c r="K22" s="47"/>
      <c r="L22" s="330">
        <f t="shared" ref="L22:L23" si="5">B22</f>
        <v>1</v>
      </c>
      <c r="M22" s="331">
        <f t="shared" ref="M22:M23" si="6">D22+M$19</f>
        <v>2.08</v>
      </c>
      <c r="N22" s="331">
        <f t="shared" ref="N22:N23" si="7">E22+$N$19</f>
        <v>0.6</v>
      </c>
      <c r="O22" s="261">
        <f t="shared" ref="O22:O23" si="8">M22*N22</f>
        <v>1.248</v>
      </c>
      <c r="P22" s="259">
        <f t="shared" ref="P22:P23" si="9">O22*L22</f>
        <v>1.248</v>
      </c>
      <c r="Q22" s="252">
        <f t="shared" ref="Q22:Q23" si="10">Q$20*O22</f>
        <v>79598.18666666669</v>
      </c>
      <c r="R22" s="319">
        <f t="shared" ref="R22:R23" si="11">Q22+R$20</f>
        <v>82598.18666666669</v>
      </c>
      <c r="S22" s="297"/>
      <c r="T22" s="46"/>
      <c r="U22" s="9"/>
      <c r="X22" s="4"/>
    </row>
    <row r="23" spans="1:25" ht="17.399999999999999" x14ac:dyDescent="0.3">
      <c r="B23" s="332">
        <v>3</v>
      </c>
      <c r="C23" s="332" t="s">
        <v>174</v>
      </c>
      <c r="D23" s="333">
        <v>2</v>
      </c>
      <c r="E23" s="333">
        <v>0.06</v>
      </c>
      <c r="F23" s="332" t="s">
        <v>171</v>
      </c>
      <c r="G23" s="334">
        <v>10960</v>
      </c>
      <c r="H23" s="334">
        <f t="shared" ref="H23" si="12">G23*B23</f>
        <v>32880</v>
      </c>
      <c r="I23" s="320"/>
      <c r="J23" s="265"/>
      <c r="K23" s="47"/>
      <c r="L23" s="330">
        <f t="shared" si="5"/>
        <v>3</v>
      </c>
      <c r="M23" s="331">
        <f t="shared" si="6"/>
        <v>2.08</v>
      </c>
      <c r="N23" s="331">
        <f t="shared" si="7"/>
        <v>0.06</v>
      </c>
      <c r="O23" s="261">
        <f t="shared" si="8"/>
        <v>0.12479999999999999</v>
      </c>
      <c r="P23" s="259">
        <f t="shared" si="9"/>
        <v>0.37439999999999996</v>
      </c>
      <c r="Q23" s="252">
        <f t="shared" si="10"/>
        <v>7959.8186666666679</v>
      </c>
      <c r="R23" s="319">
        <f t="shared" si="11"/>
        <v>10959.818666666668</v>
      </c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290576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4.8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/>
      <c r="I26" s="322"/>
      <c r="J26" s="265"/>
      <c r="K26" s="47"/>
      <c r="L26" s="47"/>
      <c r="M26" s="39">
        <f>SUM(M21:M21)</f>
        <v>2.08</v>
      </c>
      <c r="N26" s="12"/>
      <c r="O26" s="12"/>
      <c r="P26" s="253">
        <f>SUM(P21:P23)</f>
        <v>4.1183999999999994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290576</v>
      </c>
      <c r="I27" s="322"/>
      <c r="J27" s="265"/>
      <c r="K27" s="47"/>
      <c r="L27" s="47"/>
      <c r="M27" s="39"/>
      <c r="N27" s="12"/>
      <c r="O27" s="12"/>
      <c r="P27" s="253">
        <f>P26</f>
        <v>4.1183999999999994</v>
      </c>
      <c r="Q27" s="14"/>
      <c r="R27" s="12"/>
      <c r="S27" s="239">
        <f>SUM(S21:S26)</f>
        <v>8.32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0.82367999999999997</v>
      </c>
      <c r="Q28" s="39" t="s">
        <v>130</v>
      </c>
      <c r="R28" s="42"/>
      <c r="S28" s="240">
        <f>S27+T25</f>
        <v>13.120000000000001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4.9420799999999989</v>
      </c>
      <c r="Q29" s="14"/>
      <c r="R29" s="14"/>
      <c r="S29" s="238">
        <f>S28*20%</f>
        <v>2.6240000000000006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15.744000000000002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4.9420799999999989</v>
      </c>
      <c r="N31" s="12">
        <v>3500</v>
      </c>
      <c r="O31" s="12">
        <f t="shared" ref="O31:O36" si="13">M31*N31</f>
        <v>17297.279999999995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25000</v>
      </c>
      <c r="O32" s="12">
        <f t="shared" si="13"/>
        <v>25000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86100</v>
      </c>
      <c r="O33" s="12">
        <f t="shared" si="13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3</v>
      </c>
      <c r="N34" s="250">
        <v>25700</v>
      </c>
      <c r="O34" s="12">
        <f t="shared" si="13"/>
        <v>77100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3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1500</v>
      </c>
      <c r="O36" s="12">
        <f t="shared" si="13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119397.28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262674.016</v>
      </c>
      <c r="P38" s="14" t="s">
        <v>140</v>
      </c>
      <c r="Q38" s="14"/>
      <c r="R38" s="40">
        <f>P29/R37</f>
        <v>1.3325280414150127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30570</v>
      </c>
      <c r="L39" s="250"/>
      <c r="M39" s="14"/>
      <c r="N39" s="12"/>
      <c r="O39" s="12">
        <f>O38/P27</f>
        <v>63780.598290598304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25689.0756302521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45628</v>
      </c>
    </row>
    <row r="6" spans="2:31" ht="16.2" thickBot="1" x14ac:dyDescent="0.35">
      <c r="B6" s="140" t="s">
        <v>2</v>
      </c>
      <c r="C6" s="139" t="str">
        <f>'2229'!C10</f>
        <v>MUEBLES SANHUEZA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11191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-28593.206366787443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290576</v>
      </c>
      <c r="E11" s="132">
        <f>D11*0.19</f>
        <v>55209.440000000002</v>
      </c>
      <c r="F11" s="131">
        <f>E11+D11</f>
        <v>345785.44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77396.793633212554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72131.370787439606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59396.793633212554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218444.62921256039</v>
      </c>
      <c r="E13" s="221">
        <f>(D11/D12)-1</f>
        <v>3.0284275319858285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50396.793633212554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11396.793633212557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119016.76179927534</v>
      </c>
      <c r="F15" s="216">
        <f>E15-D12</f>
        <v>46885.391011835731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11396.793633212557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51396.793633212554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17297.279999999995</v>
      </c>
      <c r="E20" s="121">
        <f>D20*0.19</f>
        <v>3286.4831999999992</v>
      </c>
      <c r="F20" s="120">
        <f>SUM(D20:E20)</f>
        <v>20583.763199999994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42297.279999999999</v>
      </c>
      <c r="E21" s="116">
        <f>SUM(E18:E20)</f>
        <v>8036.4831999999988</v>
      </c>
      <c r="F21" s="115">
        <f>SUM(F18:F20)</f>
        <v>50333.763199999994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47172.9568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290576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42297.279999999999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218444.62921256039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218444.62921256039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2024-12-04T14:33:19Z</cp:lastPrinted>
  <dcterms:created xsi:type="dcterms:W3CDTF">2013-03-18T13:35:42Z</dcterms:created>
  <dcterms:modified xsi:type="dcterms:W3CDTF">2024-12-04T14:34:15Z</dcterms:modified>
</cp:coreProperties>
</file>