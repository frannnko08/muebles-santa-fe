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6DF83AB5-625A-4912-8ED4-0588751DD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K33" i="1"/>
  <c r="N21" i="1"/>
  <c r="K34" i="1" l="1"/>
  <c r="K35" i="1" s="1"/>
  <c r="K36" i="1" s="1"/>
  <c r="M21" i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<sst xmlns="http://schemas.openxmlformats.org/spreadsheetml/2006/main" count="229" uniqueCount="173">
  <si>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</si>
  <si>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</si>
  <si>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</si>
  <si>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</si>
  <si>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</si>
  <si>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</si>
  <si>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</si>
  <si>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</si>
  <si>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</si>
  <si>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</si>
  <si>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</si>
  <si>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</si>
  <si>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</si>
  <si>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</si>
  <si>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</si>
  <si>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</si>
  <si>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</si>
  <si>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</si>
  <si>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</si>
  <si>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</si>
  <si>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</si>
  <si>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</si>
  <si>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</si>
  <si>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</si>
  <si>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</si>
  <si>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</si>
  <si>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</si>
  <si>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</si>
  <si>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</si>
  <si>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</si>
  <si>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</si>
  <si>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</si>
  <si>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</si>
  <si>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</si>
  <si>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</si>
  <si>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</si>
  <si>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</si>
  <si>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</si>
  <si>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</si>
  <si>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</si>
  <si>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</si>
  <si>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</si>
  <si>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</si>
  <si>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</si>
  <si>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</si>
  <si>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</si>
  <si>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</si>
  <si>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</si>
  <si>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</si>
  <si>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</si>
  <si>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</si>
  <si>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</si>
  <si>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</si>
  <si>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</si>
  <si>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</si>
  <si>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</si>
  <si>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</si>
  <si>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</si>
  <si>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</si>
  <si>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</si>
  <si>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</si>
  <si>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</si>
  <si>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</si>
  <si>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</si>
  <si>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</si>
  <si>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</si>
  <si>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</si>
  <si>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</si>
  <si>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</si>
  <si>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</si>
  <si>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</si>
  <si>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</si>
  <si>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</si>
  <si>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</si>
  <si>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</si>
  <si>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</si>
  <si>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</si>
  <si>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</si>
  <si>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</si>
  <si>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</si>
  <si>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</si>
  <si>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</si>
  <si>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</si>
  <si>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</si>
  <si>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</si>
  <si>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</si>
  <si>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</si>
  <si>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</si>
  <si>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</si>
  <si>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</si>
  <si>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</si>
  <si>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</si>
  <si>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</si>
  <si>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</si>
  <si>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</si>
  <si>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</si>
  <si>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</si>
  <si>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</si>
  <si>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</si>
  <si>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</si>
  <si>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</si>
  <si>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</si>
  <si>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</si>
  <si>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</si>
  <si>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</si>
  <si>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</si>
  <si>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</si>
  <si>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</si>
  <si>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</si>
  <si>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</si>
  <si>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</si>
  <si>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</si>
  <si>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</si>
  <si>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</si>
  <si>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</si>
  <si>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</si>
  <si>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</si>
  <si>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</si>
  <si>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</si>
  <si>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</si>
  <si>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</si>
  <si>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</si>
  <si>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</si>
  <si>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</si>
  <si>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</si>
  <si>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</si>
  <si>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</si>
  <si>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</si>
  <si>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</si>
  <si>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</si>
  <si>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</si>
  <si>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</si>
  <si>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</si>
  <si>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</si>
  <si>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</si>
  <si>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</si>
  <si>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</si>
  <si>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</si>
  <si>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</si>
  <si>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</si>
  <si>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</si>
  <si>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</si>
  <si>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</si>
  <si>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</si>
  <si>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</si>
  <si>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</si>
  <si>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</si>
  <si>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</si>
  <si>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</si>
  <si>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</si>
  <si>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</si>
  <si>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</si>
  <si>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</si>
  <si>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</si>
  <si>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</si>
  <si>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</si>
  <si>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</si>
  <si>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</si>
  <si>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</si>
  <si>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</si>
  <si>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</si>
  <si>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</si>
  <si>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</si>
  <si>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</si>
  <si>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</si>
  <si>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</si>
  <si>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</si>
  <si>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</si>
  <si>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CATHERINE SALINAS</t>
  </si>
  <si>
    <t>+569 9449 0390</t>
  </si>
  <si>
    <t>N° 11180</t>
  </si>
  <si>
    <t>PR8 VIDRIADAS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</si>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</sst>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INCLUYE</a:t>
          </a:r>
          <a:r>
            <a:rPr lang="es-CL" sz="1200" b="1" baseline="0"/>
            <a:t> VIDRIOS DE 4MM BLANCO TRASPARENTES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45622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94746.727471450664</v>
      </c>
      <c r="R20" s="258">
        <v>20000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2</v>
      </c>
      <c r="C21" s="330" t="s">
        <v>171</v>
      </c>
      <c r="D21" s="331">
        <v>0.59599999999999997</v>
      </c>
      <c r="E21" s="331">
        <v>0.314</v>
      </c>
      <c r="F21" s="330" t="s">
        <v>172</v>
      </c>
      <c r="G21" s="332">
        <v>40111</v>
      </c>
      <c r="H21" s="333">
        <f>G21*B21</f>
        <v>80222</v>
      </c>
      <c r="I21" s="320"/>
      <c r="J21" s="265"/>
      <c r="K21" s="47"/>
      <c r="L21" s="47">
        <f>B21</f>
        <v>2</v>
      </c>
      <c r="M21" s="39">
        <f>D21+M$19</f>
        <v>0.67599999999999993</v>
      </c>
      <c r="N21" s="39">
        <f>E21+$N$19</f>
        <v>0.314</v>
      </c>
      <c r="O21" s="261">
        <f t="shared" ref="O21" si="1">M21*N21</f>
        <v>0.21226399999999998</v>
      </c>
      <c r="P21" s="259">
        <f t="shared" ref="P21" si="2">O21*L21</f>
        <v>0.42452799999999996</v>
      </c>
      <c r="Q21" s="252">
        <f t="shared" ref="Q21" si="3">Q$20*O21</f>
        <v>20111.319360000001</v>
      </c>
      <c r="R21" s="319">
        <f t="shared" ref="R21" si="4">Q21+R$20</f>
        <v>40111.319360000001</v>
      </c>
      <c r="S21" s="297">
        <f>L21*M21*2</f>
        <v>2.7039999999999997</v>
      </c>
      <c r="T21" s="46">
        <f>N21*2*L21*2</f>
        <v>2.512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80222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2.512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/>
      <c r="I25" s="322"/>
      <c r="J25" s="265"/>
      <c r="K25" s="47"/>
      <c r="L25" s="47"/>
      <c r="M25" s="39">
        <f>SUM(M21:M24)</f>
        <v>0.67599999999999993</v>
      </c>
      <c r="N25" s="12"/>
      <c r="O25" s="12"/>
      <c r="P25" s="253">
        <f>SUM(P21:P21)</f>
        <v>0.42452799999999996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80222</v>
      </c>
      <c r="I26" s="322"/>
      <c r="J26" s="265"/>
      <c r="K26" s="47"/>
      <c r="L26" s="47"/>
      <c r="M26" s="39"/>
      <c r="N26" s="12"/>
      <c r="O26" s="12"/>
      <c r="P26" s="253">
        <f>P25</f>
        <v>0.42452799999999996</v>
      </c>
      <c r="Q26" s="14"/>
      <c r="R26" s="12"/>
      <c r="S26" s="239">
        <f>SUM(S21:S25)</f>
        <v>2.7039999999999997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8.4905599999999998E-2</v>
      </c>
      <c r="Q27" s="39" t="s">
        <v>130</v>
      </c>
      <c r="R27" s="42"/>
      <c r="S27" s="240">
        <f>S26+T24</f>
        <v>5.2159999999999993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0.50943359999999993</v>
      </c>
      <c r="Q28" s="14"/>
      <c r="R28" s="14"/>
      <c r="S28" s="238">
        <f>S27*20%</f>
        <v>1.0431999999999999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6.259199999999999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0.50943359999999993</v>
      </c>
      <c r="N30" s="12">
        <v>3500</v>
      </c>
      <c r="O30" s="12">
        <f t="shared" ref="O30:O35" si="5">M30*N30</f>
        <v>1783.0175999999997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0.2</v>
      </c>
      <c r="N31" s="12">
        <v>45000</v>
      </c>
      <c r="O31" s="12">
        <f t="shared" si="5"/>
        <v>9000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71000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29750</v>
      </c>
      <c r="L33" s="250"/>
      <c r="M33" s="14">
        <v>0.3</v>
      </c>
      <c r="N33" s="250">
        <v>25000</v>
      </c>
      <c r="O33" s="12">
        <f t="shared" si="5"/>
        <v>7500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57715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48500</v>
      </c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9215</v>
      </c>
      <c r="L36" s="250"/>
      <c r="M36" s="14"/>
      <c r="N36" s="12"/>
      <c r="O36" s="12">
        <f>SUM(O30:O35)</f>
        <v>18283.017599999999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40222.638720000003</v>
      </c>
      <c r="P37" s="14" t="s">
        <v>140</v>
      </c>
      <c r="Q37" s="14"/>
      <c r="R37" s="40">
        <f>P28/R36</f>
        <v>0.13735806729939601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91700</v>
      </c>
      <c r="L38" s="250"/>
      <c r="M38" s="14"/>
      <c r="N38" s="12"/>
      <c r="O38" s="12">
        <f>O37/P26</f>
        <v>94746.727471450664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77058.823529411762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45622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11180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-2200.6285267874409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80222</v>
      </c>
      <c r="E11" s="132">
        <f>D11*0.19</f>
        <v>15242.18</v>
      </c>
      <c r="F11" s="131">
        <f>E11+D11</f>
        <v>95464.18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103789.37147321255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40617.108387439614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85789.371473212552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39604.891612560386</v>
      </c>
      <c r="E13" s="221">
        <f>(D11/D12)-1</f>
        <v>0.97507905375183612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76789.371473212552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37789.371473212559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67018.228839275354</v>
      </c>
      <c r="F15" s="216">
        <f>E15-D12</f>
        <v>26401.120451835741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37789.371473212559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77789.371473212552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9000</v>
      </c>
      <c r="E19" s="123">
        <f>D19*0.19</f>
        <v>1710</v>
      </c>
      <c r="F19" s="120">
        <f>SUM(D19:E19)</f>
        <v>10710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1783.0175999999997</v>
      </c>
      <c r="E20" s="121">
        <f>D20*0.19</f>
        <v>338.77334399999995</v>
      </c>
      <c r="F20" s="120">
        <f>SUM(D20:E20)</f>
        <v>2121.7909439999994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10783.017599999999</v>
      </c>
      <c r="E21" s="116">
        <f>SUM(E18:E20)</f>
        <v>2048.7733440000002</v>
      </c>
      <c r="F21" s="115">
        <f>SUM(F18:F20)</f>
        <v>12831.790944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13193.406655999999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80222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10783.017599999999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39604.891612560386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39604.891612560386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2024-11-25T14:19:05Z</cp:lastPrinted>
  <dcterms:created xsi:type="dcterms:W3CDTF">2013-03-18T13:35:42Z</dcterms:created>
  <dcterms:modified xsi:type="dcterms:W3CDTF">2024-11-26T13:24:18Z</dcterms:modified>
</cp:coreProperties>
</file>