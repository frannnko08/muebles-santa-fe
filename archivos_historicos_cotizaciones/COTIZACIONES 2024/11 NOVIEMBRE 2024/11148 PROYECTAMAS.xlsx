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EA72F6DC-7A0E-40F1-B304-997FA83882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5" i="1"/>
  <c r="L28" i="1"/>
  <c r="O27" i="1"/>
  <c r="L24" i="1"/>
  <c r="N24" i="1" s="1"/>
  <c r="M24" i="1"/>
  <c r="K25" i="1"/>
  <c r="K24" i="1"/>
  <c r="K21" i="1"/>
  <c r="K22" i="1"/>
  <c r="K23" i="1"/>
  <c r="L23" i="1"/>
  <c r="M23" i="1"/>
  <c r="L22" i="1"/>
  <c r="M22" i="1"/>
  <c r="W43" i="1"/>
  <c r="W39" i="1"/>
  <c r="V36" i="1"/>
  <c r="X26" i="1"/>
  <c r="O24" i="1" l="1"/>
  <c r="R24" i="1"/>
  <c r="R23" i="1"/>
  <c r="N23" i="1"/>
  <c r="O23" i="1" s="1"/>
  <c r="N22" i="1"/>
  <c r="O22" i="1" s="1"/>
  <c r="R22" i="1"/>
  <c r="K10" i="1"/>
  <c r="J42" i="1" l="1"/>
  <c r="L21" i="1" l="1"/>
  <c r="M21" i="1"/>
  <c r="N21" i="1" l="1"/>
  <c r="O21" i="1" s="1"/>
  <c r="R21" i="1"/>
  <c r="U21" i="1" s="1"/>
  <c r="N35" i="1"/>
  <c r="S47" i="1" l="1"/>
  <c r="O28" i="1" l="1"/>
  <c r="O29" i="1" s="1"/>
  <c r="M20" i="1"/>
  <c r="K20" i="1"/>
  <c r="N36" i="1" l="1"/>
  <c r="Q40" i="1"/>
  <c r="Q41" i="1" s="1"/>
  <c r="N37" i="1" l="1"/>
  <c r="S40" i="1" l="1"/>
  <c r="S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O30" i="1" l="1"/>
  <c r="L34" i="1" s="1"/>
  <c r="N34" i="1" l="1"/>
  <c r="S48" i="1"/>
  <c r="N40" i="1" l="1"/>
  <c r="D20" i="3"/>
  <c r="E20" i="3" s="1"/>
  <c r="E21" i="3" s="1"/>
  <c r="N41" i="1" l="1"/>
  <c r="N42" i="1" s="1"/>
  <c r="N43" i="1"/>
  <c r="D21" i="3"/>
  <c r="M43" i="3" s="1"/>
  <c r="D12" i="3" s="1"/>
  <c r="F20" i="3"/>
  <c r="F21" i="3" s="1"/>
  <c r="E15" i="3" l="1"/>
  <c r="P20" i="1" l="1"/>
  <c r="P24" i="1" s="1"/>
  <c r="Q24" i="1" s="1"/>
  <c r="F15" i="3"/>
  <c r="P22" i="1" l="1"/>
  <c r="Q22" i="1" s="1"/>
  <c r="P23" i="1"/>
  <c r="Q23" i="1" s="1"/>
  <c r="P21" i="1"/>
  <c r="R30" i="1"/>
  <c r="G23" i="1" l="1"/>
  <c r="H23" i="1" s="1"/>
  <c r="G22" i="1"/>
  <c r="H22" i="1" s="1"/>
  <c r="T20" i="1"/>
  <c r="Q21" i="1"/>
  <c r="G21" i="1" s="1"/>
  <c r="H21" i="1" l="1"/>
  <c r="H27" i="1" s="1"/>
  <c r="H28" i="1" l="1"/>
  <c r="H29" i="1" s="1"/>
  <c r="D11" i="3"/>
  <c r="M42" i="3" s="1"/>
  <c r="M46" i="3" s="1"/>
  <c r="M49" i="3" s="1"/>
  <c r="E13" i="3" l="1"/>
  <c r="D13" i="3"/>
  <c r="E11" i="3"/>
  <c r="X9" i="3"/>
  <c r="D40" i="3" l="1"/>
  <c r="F11" i="3"/>
  <c r="X12" i="3"/>
  <c r="X13" i="3"/>
  <c r="X11" i="3"/>
  <c r="X15" i="3"/>
  <c r="X14" i="3"/>
  <c r="X16" i="3"/>
</calcChain>
</file>

<file path=xl/sharedStrings.xml><?xml version="1.0" encoding="utf-8"?>
<sst xmlns="http://schemas.openxmlformats.org/spreadsheetml/2006/main" count="229" uniqueCount="168">
  <si>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</si>
  <si>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</si>
  <si>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</si>
  <si>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</si>
  <si>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</si>
  <si>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</si>
  <si>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</si>
  <si>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</si>
  <si>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</si>
  <si>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</si>
  <si>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</si>
  <si>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</si>
  <si>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</si>
  <si>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</si>
  <si>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</si>
  <si>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</si>
  <si>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</si>
  <si>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</si>
  <si>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</si>
  <si>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</si>
  <si>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</si>
  <si>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</si>
  <si>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</si>
  <si>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</si>
  <si>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</si>
  <si>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</si>
  <si>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</si>
  <si>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</si>
  <si>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</si>
  <si>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</si>
  <si>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</si>
  <si>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</si>
  <si>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</si>
  <si>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</si>
  <si>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</si>
  <si>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</si>
  <si>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</si>
  <si>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</si>
  <si>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</si>
  <si>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</si>
  <si>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</si>
  <si>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</si>
  <si>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</si>
  <si>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</si>
  <si>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</si>
  <si>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</si>
  <si>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</si>
  <si>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</si>
  <si>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</si>
  <si>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</si>
  <si>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</si>
  <si>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</si>
  <si>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</si>
  <si>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</si>
  <si>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</si>
  <si>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</si>
  <si>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</si>
  <si>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</si>
  <si>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</si>
  <si>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</si>
  <si>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</si>
  <si>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</si>
  <si>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</si>
  <si>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</si>
  <si>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</si>
  <si>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</si>
  <si>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</si>
  <si>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</si>
  <si>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</si>
  <si>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</si>
  <si>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</si>
  <si>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</si>
  <si>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</si>
  <si>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</si>
  <si>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</si>
  <si>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</si>
  <si>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</si>
  <si>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</si>
  <si>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</si>
  <si>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</si>
  <si>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</si>
  <si>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</si>
  <si>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</si>
  <si>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</si>
  <si>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</si>
  <si>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</si>
  <si>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</si>
  <si>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</si>
  <si>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</si>
  <si>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</si>
  <si>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</si>
  <si>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</si>
  <si>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</si>
  <si>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</si>
  <si>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</si>
  <si>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</si>
  <si>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</si>
  <si>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</si>
  <si>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</si>
  <si>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</si>
  <si>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</si>
  <si>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</si>
  <si>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</si>
  <si>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</si>
  <si>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</si>
  <si>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</si>
  <si>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</si>
  <si>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</si>
  <si>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</si>
  <si>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</si>
  <si>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</si>
  <si>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</si>
  <si>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</si>
  <si>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</si>
  <si>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</si>
  <si>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</si>
  <si>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</si>
  <si>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</si>
  <si>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</si>
  <si>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</si>
  <si>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</si>
  <si>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</si>
  <si>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</si>
  <si>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</si>
  <si>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</si>
  <si>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</si>
  <si>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</si>
  <si>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</si>
  <si>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</si>
  <si>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</si>
  <si>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</si>
  <si>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</si>
  <si>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</si>
  <si>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</si>
  <si>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</si>
  <si>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</si>
  <si>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</si>
  <si>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</si>
  <si>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</si>
  <si>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</si>
  <si>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</si>
  <si>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</si>
  <si>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</si>
  <si>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</si>
  <si>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</si>
  <si>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</si>
  <si>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</si>
  <si>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</si>
  <si>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</si>
  <si>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</si>
  <si>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</si>
  <si>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</si>
  <si>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</si>
  <si>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</si>
  <si>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</si>
  <si>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ABONO 50%, SALDO C/E</t>
  </si>
  <si>
    <t>MTL</t>
  </si>
  <si>
    <t>MDF30MM</t>
  </si>
  <si>
    <t>SANTIAGO</t>
  </si>
  <si>
    <t>MDF18MM</t>
  </si>
  <si>
    <t>5 DIAS HABILES</t>
  </si>
  <si>
    <t>PROYECTAMAS</t>
  </si>
  <si>
    <t>DANIELA SEPULVEDA</t>
  </si>
  <si>
    <t>+569 78505612</t>
  </si>
  <si>
    <t>CUB C/R R2</t>
  </si>
  <si>
    <t>SERVICIO CORTE TIPO 45°</t>
  </si>
  <si>
    <t>GALAXIA GRAFITO 0491 MT</t>
  </si>
  <si>
    <t>N° 11148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</si>
</sst>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166" fontId="3" fillId="7" borderId="0" xfId="0" applyNumberFormat="1" applyFont="1" applyFill="1"/>
    <xf numFmtId="41" fontId="0" fillId="0" borderId="0" xfId="4" applyFont="1"/>
    <xf numFmtId="0" fontId="35" fillId="0" borderId="0" xfId="0" applyFont="1"/>
    <xf numFmtId="0" fontId="36" fillId="0" borderId="0" xfId="0" applyFont="1"/>
    <xf numFmtId="167" fontId="0" fillId="21" borderId="0" xfId="0" applyNumberFormat="1" applyFill="1"/>
    <xf numFmtId="166" fontId="32" fillId="0" borderId="6" xfId="0" applyNumberFormat="1" applyFont="1" applyBorder="1" applyAlignment="1">
      <alignment horizontal="center" vertical="center"/>
    </xf>
    <xf numFmtId="42" fontId="33" fillId="0" borderId="0" xfId="8" applyFont="1" applyFill="1" applyBorder="1"/>
    <xf numFmtId="0" fontId="11" fillId="0" borderId="28" xfId="0" applyFont="1" applyBorder="1" applyAlignment="1">
      <alignment horizontal="center"/>
    </xf>
    <xf numFmtId="42" fontId="1" fillId="0" borderId="27" xfId="0" applyNumberFormat="1" applyFont="1" applyBorder="1"/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6" fillId="0" borderId="0" xfId="0" quotePrefix="1" applyFont="1" applyAlignment="1">
      <alignment horizontal="left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25" xfId="0" applyFont="1" applyBorder="1" applyAlignment="1">
      <alignment horizontal="center" vertical="center"/>
    </xf>
    <xf numFmtId="0" fontId="32" fillId="0" borderId="39" xfId="0" applyFont="1" applyBorder="1" applyAlignment="1">
      <alignment horizontal="center" vertical="center"/>
    </xf>
    <xf numFmtId="166" fontId="32" fillId="0" borderId="4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99FF33"/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2682</xdr:colOff>
      <xdr:row>31</xdr:row>
      <xdr:rowOff>13024</xdr:rowOff>
    </xdr:from>
    <xdr:to>
      <xdr:col>7</xdr:col>
      <xdr:colOff>1049694</xdr:colOff>
      <xdr:row>34</xdr:row>
      <xdr:rowOff>13025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708213" y="5906861"/>
          <a:ext cx="2003399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1866123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903362"/>
          <a:ext cx="7027312" cy="662668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7776</xdr:colOff>
      <xdr:row>26</xdr:row>
      <xdr:rowOff>1</xdr:rowOff>
    </xdr:from>
    <xdr:to>
      <xdr:col>5</xdr:col>
      <xdr:colOff>1849560</xdr:colOff>
      <xdr:row>29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9878" y="4789715"/>
          <a:ext cx="6981396" cy="68603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</a:t>
          </a:r>
          <a:r>
            <a:rPr lang="es-CL" sz="1200" b="1" baseline="0"/>
            <a:t> SOBRE MEDIDA EN EL LARGO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5"/>
  <sheetViews>
    <sheetView tabSelected="1" topLeftCell="A6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2.77734375" customWidth="1"/>
    <col min="4" max="4" width="11.109375" customWidth="1"/>
    <col min="5" max="5" width="10.5546875" customWidth="1"/>
    <col min="6" max="6" width="31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0" t="s">
        <v>167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161</v>
      </c>
      <c r="D10" s="243"/>
      <c r="E10" s="243"/>
      <c r="F10" s="244" t="s">
        <v>0</v>
      </c>
      <c r="G10" s="276">
        <v>45600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5.6" x14ac:dyDescent="0.3">
      <c r="B11" s="287" t="s">
        <v>12</v>
      </c>
      <c r="C11" s="138"/>
      <c r="F11" t="s">
        <v>125</v>
      </c>
      <c r="G11" s="288" t="s">
        <v>160</v>
      </c>
      <c r="H11" s="289"/>
      <c r="P11" s="19"/>
      <c r="Q11" s="25" t="s">
        <v>19</v>
      </c>
      <c r="R11" s="19"/>
    </row>
    <row r="12" spans="2:23" x14ac:dyDescent="0.3">
      <c r="B12" s="246" t="s">
        <v>147</v>
      </c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ht="15.6" x14ac:dyDescent="0.3">
      <c r="B13" s="246" t="s">
        <v>148</v>
      </c>
      <c r="C13" s="313" t="s">
        <v>162</v>
      </c>
      <c r="D13" s="247"/>
      <c r="E13" s="247"/>
      <c r="F13" s="247"/>
      <c r="G13" s="277"/>
      <c r="H13" s="248"/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6" t="s">
        <v>163</v>
      </c>
      <c r="D15" s="294"/>
      <c r="E15" s="247"/>
      <c r="F15" s="247" t="s">
        <v>136</v>
      </c>
      <c r="G15" s="295" t="s">
        <v>137</v>
      </c>
      <c r="H15" s="248"/>
    </row>
    <row r="16" spans="2:23" ht="15.6" x14ac:dyDescent="0.3">
      <c r="B16" s="291" t="s">
        <v>3</v>
      </c>
      <c r="C16" s="314"/>
      <c r="F16" s="292" t="s">
        <v>131</v>
      </c>
      <c r="G16" s="293" t="s">
        <v>155</v>
      </c>
      <c r="H16" s="289"/>
    </row>
    <row r="17" spans="2:24" ht="15" thickBot="1" x14ac:dyDescent="0.35">
      <c r="B17" s="296" t="s">
        <v>13</v>
      </c>
      <c r="C17" s="297" t="s">
        <v>158</v>
      </c>
      <c r="D17" s="298"/>
      <c r="E17" s="299"/>
      <c r="F17" s="327" t="s">
        <v>154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 t="s">
        <v>130</v>
      </c>
      <c r="W18" s="6"/>
      <c r="X18" s="6"/>
    </row>
    <row r="19" spans="2:24" ht="13.5" customHeight="1" thickBot="1" x14ac:dyDescent="0.35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>
        <v>15000</v>
      </c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45" t="s">
        <v>8</v>
      </c>
      <c r="G20" s="345" t="s">
        <v>5</v>
      </c>
      <c r="H20" s="346" t="s">
        <v>6</v>
      </c>
      <c r="I20" s="265"/>
      <c r="J20" s="47"/>
      <c r="K20" s="268" t="str">
        <f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N42</f>
        <v>123350.52375997223</v>
      </c>
      <c r="Q20" s="258">
        <v>2000</v>
      </c>
      <c r="R20" s="38"/>
      <c r="S20" s="14" t="s">
        <v>130</v>
      </c>
      <c r="T20" s="9">
        <f>P21/3</f>
        <v>54274.230454387776</v>
      </c>
      <c r="W20" s="44">
        <v>2.44</v>
      </c>
      <c r="X20">
        <v>1.52</v>
      </c>
    </row>
    <row r="21" spans="2:24" ht="18" thickBot="1" x14ac:dyDescent="0.35">
      <c r="B21" s="322">
        <v>1</v>
      </c>
      <c r="C21" s="323" t="s">
        <v>164</v>
      </c>
      <c r="D21" s="324">
        <v>2.15</v>
      </c>
      <c r="E21" s="324">
        <v>0.6</v>
      </c>
      <c r="F21" s="342" t="s">
        <v>166</v>
      </c>
      <c r="G21" s="344">
        <f>Q21</f>
        <v>164822.69136316332</v>
      </c>
      <c r="H21" s="344">
        <f>G21*B21</f>
        <v>164822.69136316332</v>
      </c>
      <c r="I21" s="265"/>
      <c r="J21" s="47"/>
      <c r="K21" s="315">
        <f>B21</f>
        <v>1</v>
      </c>
      <c r="L21" s="311">
        <f t="shared" ref="L21:M23" si="0">D21+L$19</f>
        <v>2.1999999999999997</v>
      </c>
      <c r="M21" s="311">
        <f t="shared" si="0"/>
        <v>0.6</v>
      </c>
      <c r="N21" s="261">
        <f>L21*M21</f>
        <v>1.3199999999999998</v>
      </c>
      <c r="O21" s="259">
        <f>N21*K21</f>
        <v>1.3199999999999998</v>
      </c>
      <c r="P21" s="252">
        <f>P$20*N21</f>
        <v>162822.69136316332</v>
      </c>
      <c r="Q21" s="258">
        <f>P21+Q$20</f>
        <v>164822.69136316332</v>
      </c>
      <c r="R21" s="307">
        <f>K21*L21</f>
        <v>2.1999999999999997</v>
      </c>
      <c r="S21" s="14"/>
      <c r="T21" s="9"/>
      <c r="U21" s="312">
        <f>R21*U19</f>
        <v>32999.999999999993</v>
      </c>
      <c r="W21" s="4"/>
      <c r="X21">
        <v>19.8</v>
      </c>
    </row>
    <row r="22" spans="2:24" ht="18" thickBot="1" x14ac:dyDescent="0.35">
      <c r="B22" s="325">
        <v>1</v>
      </c>
      <c r="C22" s="323" t="s">
        <v>164</v>
      </c>
      <c r="D22" s="316">
        <v>1.6</v>
      </c>
      <c r="E22" s="316">
        <v>0.5</v>
      </c>
      <c r="F22" s="342" t="s">
        <v>166</v>
      </c>
      <c r="G22" s="344">
        <f>Q22</f>
        <v>103764.1821019771</v>
      </c>
      <c r="H22" s="344">
        <f t="shared" ref="H22:H25" si="1">G22*B22</f>
        <v>103764.1821019771</v>
      </c>
      <c r="I22" s="265"/>
      <c r="J22" s="47"/>
      <c r="K22" s="315">
        <f t="shared" ref="K22:K25" si="2">B22</f>
        <v>1</v>
      </c>
      <c r="L22" s="311">
        <f t="shared" si="0"/>
        <v>1.6500000000000001</v>
      </c>
      <c r="M22" s="311">
        <f t="shared" si="0"/>
        <v>0.5</v>
      </c>
      <c r="N22" s="261">
        <f>L22*M22</f>
        <v>0.82500000000000007</v>
      </c>
      <c r="O22" s="259">
        <f>N22*K22</f>
        <v>0.82500000000000007</v>
      </c>
      <c r="P22" s="252">
        <f>P$20*N22</f>
        <v>101764.1821019771</v>
      </c>
      <c r="Q22" s="258">
        <f>P22+Q$20</f>
        <v>103764.1821019771</v>
      </c>
      <c r="R22" s="307">
        <f>K22*L22</f>
        <v>1.6500000000000001</v>
      </c>
      <c r="S22" s="14"/>
      <c r="T22" s="9"/>
      <c r="U22" s="312"/>
      <c r="W22" s="4"/>
    </row>
    <row r="23" spans="2:24" ht="17.399999999999999" x14ac:dyDescent="0.3">
      <c r="B23" s="339">
        <v>1</v>
      </c>
      <c r="C23" s="340" t="s">
        <v>164</v>
      </c>
      <c r="D23" s="341">
        <v>1.06</v>
      </c>
      <c r="E23" s="341">
        <v>0.37</v>
      </c>
      <c r="F23" s="342" t="s">
        <v>166</v>
      </c>
      <c r="G23" s="344">
        <f>Q23</f>
        <v>52660.060108220598</v>
      </c>
      <c r="H23" s="344">
        <f t="shared" si="1"/>
        <v>52660.060108220598</v>
      </c>
      <c r="I23" s="265"/>
      <c r="J23" s="47"/>
      <c r="K23" s="315">
        <f t="shared" si="2"/>
        <v>1</v>
      </c>
      <c r="L23" s="311">
        <f t="shared" si="0"/>
        <v>1.1100000000000001</v>
      </c>
      <c r="M23" s="311">
        <f t="shared" si="0"/>
        <v>0.37</v>
      </c>
      <c r="N23" s="261">
        <f>L23*M23</f>
        <v>0.41070000000000001</v>
      </c>
      <c r="O23" s="259">
        <f>N23*K23</f>
        <v>0.41070000000000001</v>
      </c>
      <c r="P23" s="252">
        <f>P$20*N23</f>
        <v>50660.060108220598</v>
      </c>
      <c r="Q23" s="258">
        <f>P23+Q$20</f>
        <v>52660.060108220598</v>
      </c>
      <c r="R23" s="307">
        <f>K23*L23</f>
        <v>1.1100000000000001</v>
      </c>
      <c r="S23" s="14"/>
      <c r="T23" s="9"/>
      <c r="U23" s="312"/>
      <c r="W23" s="4"/>
    </row>
    <row r="24" spans="2:24" ht="17.399999999999999" x14ac:dyDescent="0.3">
      <c r="B24" s="342">
        <v>1</v>
      </c>
      <c r="C24" s="342" t="s">
        <v>34</v>
      </c>
      <c r="D24" s="343">
        <v>0.6</v>
      </c>
      <c r="E24" s="343">
        <v>0.06</v>
      </c>
      <c r="F24" s="342" t="s">
        <v>166</v>
      </c>
      <c r="G24" s="344">
        <v>6811</v>
      </c>
      <c r="H24" s="344">
        <f t="shared" si="1"/>
        <v>6811</v>
      </c>
      <c r="I24" s="265"/>
      <c r="J24" s="47"/>
      <c r="K24" s="315">
        <f t="shared" si="2"/>
        <v>1</v>
      </c>
      <c r="L24" s="311">
        <f t="shared" ref="L24" si="3">D24+L$19</f>
        <v>0.65</v>
      </c>
      <c r="M24" s="311">
        <f t="shared" ref="M24" si="4">E24+M$19</f>
        <v>0.06</v>
      </c>
      <c r="N24" s="261">
        <f>L24*M24</f>
        <v>3.9E-2</v>
      </c>
      <c r="O24" s="259">
        <f>N24*K24</f>
        <v>3.9E-2</v>
      </c>
      <c r="P24" s="252">
        <f>P$20*N24</f>
        <v>4810.670426638917</v>
      </c>
      <c r="Q24" s="258">
        <f>P24+Q$20</f>
        <v>6810.670426638917</v>
      </c>
      <c r="R24" s="307">
        <f>K24*L24</f>
        <v>0.65</v>
      </c>
      <c r="S24" s="14"/>
      <c r="T24" s="9"/>
      <c r="U24" s="312"/>
      <c r="W24" s="4"/>
    </row>
    <row r="25" spans="2:24" ht="17.399999999999999" x14ac:dyDescent="0.3">
      <c r="B25" s="342">
        <v>2</v>
      </c>
      <c r="C25" s="342" t="s">
        <v>165</v>
      </c>
      <c r="D25" s="343"/>
      <c r="E25" s="343"/>
      <c r="F25" s="342"/>
      <c r="G25" s="344">
        <v>10000</v>
      </c>
      <c r="H25" s="344">
        <f t="shared" si="1"/>
        <v>20000</v>
      </c>
      <c r="I25" s="265"/>
      <c r="J25" s="47"/>
      <c r="K25" s="315">
        <f t="shared" si="2"/>
        <v>2</v>
      </c>
      <c r="L25" s="311"/>
      <c r="M25" s="311"/>
      <c r="N25" s="261"/>
      <c r="O25" s="259"/>
      <c r="P25" s="252"/>
      <c r="Q25" s="258"/>
      <c r="R25" s="307"/>
      <c r="S25" s="14"/>
      <c r="T25" s="9"/>
      <c r="U25" s="312"/>
      <c r="W25" s="4"/>
    </row>
    <row r="26" spans="2:24" ht="18" thickBot="1" x14ac:dyDescent="0.35">
      <c r="B26" s="285"/>
      <c r="C26" s="285"/>
      <c r="D26" s="286"/>
      <c r="E26" s="286"/>
      <c r="F26" s="285"/>
      <c r="G26" s="52"/>
      <c r="H26" s="317"/>
      <c r="I26" s="265"/>
      <c r="J26" s="47"/>
      <c r="K26" s="47"/>
      <c r="L26" s="39"/>
      <c r="M26" s="39"/>
      <c r="N26" s="261"/>
      <c r="O26" s="259"/>
      <c r="P26" s="252"/>
      <c r="Q26" s="258"/>
      <c r="R26" s="307"/>
      <c r="S26" s="14"/>
      <c r="T26" s="9"/>
      <c r="W26" s="4"/>
      <c r="X26">
        <f>SUM(X21:X21)</f>
        <v>19.8</v>
      </c>
    </row>
    <row r="27" spans="2:24" ht="18" x14ac:dyDescent="0.35">
      <c r="B27" s="285"/>
      <c r="C27" s="285"/>
      <c r="D27" s="286"/>
      <c r="E27" s="286"/>
      <c r="F27" s="285"/>
      <c r="G27" s="318" t="s">
        <v>30</v>
      </c>
      <c r="H27" s="319">
        <f>SUM(H21:H26)</f>
        <v>348057.93357336102</v>
      </c>
      <c r="I27" s="232"/>
      <c r="J27" s="47"/>
      <c r="K27" s="47"/>
      <c r="L27" s="39"/>
      <c r="M27" s="39"/>
      <c r="N27" s="261"/>
      <c r="O27" s="253">
        <f>SUM(O21:O24)</f>
        <v>2.5947</v>
      </c>
      <c r="P27" s="252"/>
      <c r="Q27" s="258"/>
      <c r="R27" s="307"/>
      <c r="S27" s="14"/>
      <c r="T27" s="9"/>
      <c r="W27" s="4"/>
    </row>
    <row r="28" spans="2:24" ht="17.399999999999999" x14ac:dyDescent="0.3">
      <c r="B28" s="279"/>
      <c r="C28" s="282"/>
      <c r="D28" s="283"/>
      <c r="E28" s="283"/>
      <c r="F28" s="284"/>
      <c r="G28" s="306" t="s">
        <v>53</v>
      </c>
      <c r="H28" s="303">
        <f>H27*19%</f>
        <v>66131.007378938593</v>
      </c>
      <c r="I28" s="265"/>
      <c r="J28" s="47">
        <v>8698974</v>
      </c>
      <c r="K28" s="47"/>
      <c r="L28" s="39">
        <f>SUM(L21:L23)</f>
        <v>4.96</v>
      </c>
      <c r="M28" s="39"/>
      <c r="N28" s="261"/>
      <c r="O28" s="253">
        <f>O27</f>
        <v>2.5947</v>
      </c>
      <c r="P28" s="252"/>
      <c r="Q28" s="258"/>
      <c r="R28" s="307"/>
      <c r="S28" s="14"/>
      <c r="T28" s="9"/>
      <c r="W28" s="4"/>
    </row>
    <row r="29" spans="2:24" ht="18" thickBot="1" x14ac:dyDescent="0.35">
      <c r="B29" s="275"/>
      <c r="C29" s="281"/>
      <c r="D29" s="272"/>
      <c r="E29" s="272"/>
      <c r="F29" s="273"/>
      <c r="G29" s="280" t="s">
        <v>6</v>
      </c>
      <c r="H29" s="304">
        <f>H27+H28</f>
        <v>414188.94095229963</v>
      </c>
      <c r="I29" s="265"/>
      <c r="J29" s="47"/>
      <c r="K29" s="47"/>
      <c r="L29" s="39"/>
      <c r="M29" s="12"/>
      <c r="N29" s="12"/>
      <c r="O29" s="39">
        <f>O28*20%</f>
        <v>0.51894000000000007</v>
      </c>
      <c r="P29" s="14"/>
      <c r="Q29" s="12"/>
      <c r="R29" s="238"/>
      <c r="S29" s="14"/>
      <c r="T29" s="9"/>
      <c r="W29" s="4"/>
    </row>
    <row r="30" spans="2:24" ht="17.399999999999999" x14ac:dyDescent="0.3">
      <c r="I30" s="265"/>
      <c r="J30" s="47"/>
      <c r="K30" s="47"/>
      <c r="L30" s="39"/>
      <c r="M30" s="12"/>
      <c r="N30" s="12"/>
      <c r="O30" s="46">
        <f>O28+O29</f>
        <v>3.1136400000000002</v>
      </c>
      <c r="P30" s="14"/>
      <c r="Q30" s="12"/>
      <c r="R30" s="238">
        <f>SUM(R21:R29)</f>
        <v>5.61</v>
      </c>
      <c r="S30" s="14"/>
      <c r="T30" s="9"/>
      <c r="W30" s="4"/>
    </row>
    <row r="31" spans="2:24" ht="17.399999999999999" x14ac:dyDescent="0.3">
      <c r="B31" s="275"/>
      <c r="C31" s="271"/>
      <c r="D31" s="272"/>
      <c r="E31" s="272"/>
      <c r="F31" s="273"/>
      <c r="H31" s="47"/>
      <c r="I31" s="265"/>
      <c r="J31" s="47"/>
      <c r="K31" s="47"/>
      <c r="L31" s="39"/>
      <c r="M31" s="12"/>
      <c r="N31" s="12"/>
      <c r="P31" s="39" t="s">
        <v>132</v>
      </c>
      <c r="Q31" s="42"/>
      <c r="R31" s="239"/>
      <c r="S31" s="14"/>
      <c r="T31" s="9"/>
      <c r="W31" s="4"/>
    </row>
    <row r="32" spans="2:24" ht="17.399999999999999" x14ac:dyDescent="0.35">
      <c r="B32" s="269"/>
      <c r="C32" s="230"/>
      <c r="D32" s="230"/>
      <c r="E32" s="232"/>
      <c r="F32" s="233"/>
      <c r="G32" s="230"/>
      <c r="H32" s="274"/>
      <c r="I32" s="265"/>
      <c r="J32" s="309"/>
      <c r="K32" s="47"/>
      <c r="L32" s="14"/>
      <c r="M32" s="12"/>
      <c r="N32" s="12"/>
      <c r="P32" s="14"/>
      <c r="Q32" s="14"/>
      <c r="R32" s="237">
        <v>40</v>
      </c>
      <c r="S32" s="14"/>
      <c r="T32" s="9"/>
      <c r="W32" s="4"/>
    </row>
    <row r="33" spans="1:23" ht="17.399999999999999" x14ac:dyDescent="0.35">
      <c r="B33" s="234"/>
      <c r="C33" s="235"/>
      <c r="D33" s="236"/>
      <c r="E33" s="234"/>
      <c r="F33" s="230"/>
      <c r="G33" s="230"/>
      <c r="I33" s="265"/>
      <c r="J33" s="309"/>
      <c r="K33" s="47"/>
      <c r="L33" s="14"/>
      <c r="M33" s="14"/>
      <c r="N33" s="14"/>
      <c r="O33" s="14"/>
      <c r="P33" s="14"/>
      <c r="Q33" s="14"/>
      <c r="R33" s="237"/>
      <c r="S33" s="14"/>
      <c r="T33" s="9"/>
      <c r="W33" s="4"/>
    </row>
    <row r="34" spans="1:23" ht="17.399999999999999" x14ac:dyDescent="0.35">
      <c r="B34" s="230"/>
      <c r="C34" s="230"/>
      <c r="D34" s="230"/>
      <c r="E34" s="230"/>
      <c r="F34" s="230"/>
      <c r="G34" s="230"/>
      <c r="I34" s="265"/>
      <c r="J34" s="47"/>
      <c r="K34" s="47"/>
      <c r="L34" s="39">
        <f>O30*2</f>
        <v>6.2272800000000004</v>
      </c>
      <c r="M34" s="12">
        <v>3500</v>
      </c>
      <c r="N34" s="12">
        <f t="shared" ref="N34:N39" si="5">L34*M34</f>
        <v>21795.48</v>
      </c>
      <c r="O34" s="14" t="s">
        <v>22</v>
      </c>
      <c r="P34" s="14" t="s">
        <v>23</v>
      </c>
      <c r="Q34" s="14"/>
      <c r="R34" s="240"/>
      <c r="S34" s="14"/>
      <c r="T34" s="9"/>
      <c r="W34" s="4"/>
    </row>
    <row r="35" spans="1:23" ht="17.399999999999999" x14ac:dyDescent="0.35">
      <c r="A35" s="230"/>
      <c r="B35" s="230"/>
      <c r="C35" s="230"/>
      <c r="D35" s="230"/>
      <c r="E35" s="230"/>
      <c r="F35" s="230"/>
      <c r="G35" s="230"/>
      <c r="H35" s="230"/>
      <c r="I35" s="265"/>
      <c r="J35" s="47"/>
      <c r="K35" s="47"/>
      <c r="L35" s="249">
        <v>1</v>
      </c>
      <c r="M35" s="12">
        <v>25000</v>
      </c>
      <c r="N35" s="12">
        <f t="shared" si="5"/>
        <v>25000</v>
      </c>
      <c r="O35" s="39" t="s">
        <v>159</v>
      </c>
      <c r="P35" s="42"/>
      <c r="Q35" s="14"/>
      <c r="R35" s="239"/>
      <c r="S35" s="14"/>
      <c r="T35" s="9"/>
      <c r="V35">
        <v>1520</v>
      </c>
      <c r="W35" s="9" t="s">
        <v>156</v>
      </c>
    </row>
    <row r="36" spans="1:23" s="230" customFormat="1" ht="17.399999999999999" x14ac:dyDescent="0.35">
      <c r="B36" s="24" t="s">
        <v>153</v>
      </c>
      <c r="I36" s="262"/>
      <c r="J36" s="47"/>
      <c r="K36" s="250"/>
      <c r="L36" s="14"/>
      <c r="M36" s="250">
        <v>55000</v>
      </c>
      <c r="N36" s="12">
        <f t="shared" si="5"/>
        <v>0</v>
      </c>
      <c r="O36" s="39" t="s">
        <v>32</v>
      </c>
      <c r="P36" s="42"/>
      <c r="R36" s="239"/>
      <c r="S36" s="256"/>
      <c r="V36" s="231">
        <f>V35/33</f>
        <v>46.060606060606062</v>
      </c>
      <c r="W36" s="230">
        <v>112.24</v>
      </c>
    </row>
    <row r="37" spans="1:23" s="230" customFormat="1" ht="17.399999999999999" x14ac:dyDescent="0.35">
      <c r="B37" s="24" t="s">
        <v>146</v>
      </c>
      <c r="C37"/>
      <c r="D37"/>
      <c r="E37"/>
      <c r="F37"/>
      <c r="I37" s="262"/>
      <c r="J37" s="308"/>
      <c r="K37" s="250"/>
      <c r="L37" s="14">
        <v>1</v>
      </c>
      <c r="M37" s="250">
        <v>75000</v>
      </c>
      <c r="N37" s="12">
        <f t="shared" si="5"/>
        <v>75000</v>
      </c>
      <c r="O37" s="14" t="s">
        <v>143</v>
      </c>
      <c r="P37" s="17"/>
      <c r="R37" s="237"/>
      <c r="S37" s="256"/>
      <c r="V37" s="231"/>
      <c r="W37" s="230">
        <v>112.24</v>
      </c>
    </row>
    <row r="38" spans="1:23" s="230" customFormat="1" ht="17.399999999999999" x14ac:dyDescent="0.35">
      <c r="B38" s="29" t="s">
        <v>127</v>
      </c>
      <c r="C38"/>
      <c r="D38"/>
      <c r="E38"/>
      <c r="F38" s="229" t="s">
        <v>16</v>
      </c>
      <c r="I38" s="262"/>
      <c r="J38" s="308"/>
      <c r="K38" s="250"/>
      <c r="L38" s="249"/>
      <c r="M38" s="250">
        <v>800</v>
      </c>
      <c r="N38" s="12">
        <f t="shared" si="5"/>
        <v>0</v>
      </c>
      <c r="O38" s="14" t="s">
        <v>34</v>
      </c>
      <c r="P38" s="14"/>
      <c r="Q38" s="230">
        <v>1.52</v>
      </c>
      <c r="R38" s="237"/>
      <c r="S38" s="237"/>
      <c r="W38" s="230">
        <v>112.24</v>
      </c>
    </row>
    <row r="39" spans="1:23" s="230" customFormat="1" ht="17.399999999999999" x14ac:dyDescent="0.35">
      <c r="I39" s="302"/>
      <c r="J39" s="47"/>
      <c r="K39" s="250"/>
      <c r="L39" s="266">
        <v>4.96</v>
      </c>
      <c r="M39" s="12">
        <v>3500</v>
      </c>
      <c r="N39" s="12">
        <f t="shared" si="5"/>
        <v>17360</v>
      </c>
      <c r="O39" s="14" t="s">
        <v>24</v>
      </c>
      <c r="P39" s="14"/>
      <c r="Q39">
        <v>2.44</v>
      </c>
      <c r="R39"/>
      <c r="S39" s="237">
        <v>1500</v>
      </c>
      <c r="W39" s="231">
        <f>SUM(W36:W38)</f>
        <v>336.71999999999997</v>
      </c>
    </row>
    <row r="40" spans="1:23" s="230" customFormat="1" ht="17.399999999999999" x14ac:dyDescent="0.35">
      <c r="J40" s="47"/>
      <c r="K40" s="250"/>
      <c r="L40" s="14"/>
      <c r="M40" s="12"/>
      <c r="N40" s="12">
        <f>SUM(N34:N39)</f>
        <v>139155.47999999998</v>
      </c>
      <c r="O40" s="39" t="s">
        <v>25</v>
      </c>
      <c r="P40" s="14"/>
      <c r="Q40">
        <f>Q38*Q39</f>
        <v>3.7088000000000001</v>
      </c>
      <c r="R40"/>
      <c r="S40" s="237">
        <f>R32*S39</f>
        <v>60000</v>
      </c>
      <c r="W40" s="231"/>
    </row>
    <row r="41" spans="1:23" s="230" customFormat="1" ht="17.399999999999999" x14ac:dyDescent="0.35">
      <c r="J41" s="47">
        <v>48040</v>
      </c>
      <c r="K41" s="250"/>
      <c r="L41" s="254" t="s">
        <v>35</v>
      </c>
      <c r="M41" s="12"/>
      <c r="N41" s="255">
        <f>N40*2.3</f>
        <v>320057.60399999993</v>
      </c>
      <c r="O41" s="14" t="s">
        <v>142</v>
      </c>
      <c r="P41" s="14"/>
      <c r="Q41" s="46">
        <f>O28/Q40</f>
        <v>0.69960634167385671</v>
      </c>
      <c r="R41"/>
      <c r="S41" s="257" t="e">
        <f>S40/#REF!</f>
        <v>#REF!</v>
      </c>
      <c r="V41" s="230" t="s">
        <v>157</v>
      </c>
      <c r="W41" s="230">
        <v>4</v>
      </c>
    </row>
    <row r="42" spans="1:23" s="230" customFormat="1" ht="17.399999999999999" x14ac:dyDescent="0.35">
      <c r="G42"/>
      <c r="H42" s="260"/>
      <c r="I42" s="260"/>
      <c r="J42" s="47">
        <f>J41/1.19</f>
        <v>40369.747899159665</v>
      </c>
      <c r="K42" s="250"/>
      <c r="L42" s="14"/>
      <c r="M42" s="12"/>
      <c r="N42" s="12">
        <f>N41/O28</f>
        <v>123350.52375997223</v>
      </c>
      <c r="O42" s="45" t="s">
        <v>26</v>
      </c>
      <c r="P42" s="14"/>
      <c r="Q42" s="14"/>
      <c r="R42"/>
      <c r="S42" s="237"/>
      <c r="V42" s="230">
        <v>48000</v>
      </c>
    </row>
    <row r="43" spans="1:23" s="230" customFormat="1" ht="17.399999999999999" x14ac:dyDescent="0.35">
      <c r="G43"/>
      <c r="J43" s="47"/>
      <c r="K43" s="250"/>
      <c r="L43" s="13"/>
      <c r="M43" s="14"/>
      <c r="N43" s="17">
        <f>N41/N40</f>
        <v>2.2999999999999998</v>
      </c>
      <c r="O43" s="15"/>
      <c r="P43"/>
      <c r="Q43"/>
      <c r="R43"/>
      <c r="S43" s="237"/>
      <c r="W43" s="230">
        <f>V42*W41</f>
        <v>192000</v>
      </c>
    </row>
    <row r="44" spans="1:23" s="230" customFormat="1" ht="17.399999999999999" x14ac:dyDescent="0.35">
      <c r="G44" s="23"/>
      <c r="J44" s="47"/>
      <c r="K44" s="12"/>
      <c r="S44" s="237"/>
    </row>
    <row r="45" spans="1:23" s="230" customFormat="1" ht="17.399999999999999" x14ac:dyDescent="0.35">
      <c r="B45"/>
      <c r="C45" s="228"/>
      <c r="D45" s="22"/>
      <c r="E45" s="22"/>
      <c r="F45" s="21"/>
      <c r="G45" s="23"/>
      <c r="J45" s="47"/>
      <c r="K45" s="12"/>
      <c r="S45" s="237">
        <v>1.83</v>
      </c>
    </row>
    <row r="46" spans="1:23" ht="14.4" customHeight="1" x14ac:dyDescent="0.3">
      <c r="J46" s="47"/>
      <c r="K46" s="12"/>
      <c r="S46">
        <v>2.5</v>
      </c>
    </row>
    <row r="47" spans="1:23" x14ac:dyDescent="0.3">
      <c r="J47" s="47"/>
      <c r="K47" s="250"/>
      <c r="S47">
        <f>S45*S46</f>
        <v>4.5750000000000002</v>
      </c>
    </row>
    <row r="48" spans="1:23" x14ac:dyDescent="0.3">
      <c r="K48" s="250"/>
      <c r="S48" s="270">
        <f>O30/S47</f>
        <v>0.68057704918032791</v>
      </c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28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150</v>
      </c>
    </row>
    <row r="78" spans="3:14" x14ac:dyDescent="0.3">
      <c r="C78" t="s">
        <v>149</v>
      </c>
    </row>
    <row r="81" spans="3:3" x14ac:dyDescent="0.3">
      <c r="C81" t="s">
        <v>149</v>
      </c>
    </row>
    <row r="158" spans="3:3" x14ac:dyDescent="0.3">
      <c r="C158" t="s">
        <v>149</v>
      </c>
    </row>
    <row r="159" spans="3:3" x14ac:dyDescent="0.3">
      <c r="C159" t="s">
        <v>151</v>
      </c>
    </row>
    <row r="160" spans="3:3" x14ac:dyDescent="0.3">
      <c r="C160" t="s">
        <v>152</v>
      </c>
    </row>
    <row r="585" spans="3:3" x14ac:dyDescent="0.3">
      <c r="C585" t="s">
        <v>149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45600</v>
      </c>
    </row>
    <row r="6" spans="2:31" ht="16.2" thickBot="1" x14ac:dyDescent="0.35">
      <c r="B6" s="140" t="s">
        <v>2</v>
      </c>
      <c r="C6" s="139" t="str">
        <f>'2229'!C10</f>
        <v>PROYECTAMAS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11148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21073.131966545894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0</v>
      </c>
      <c r="E11" s="132">
        <f>D11*0.19</f>
        <v>0</v>
      </c>
      <c r="F11" s="131">
        <f>E11+D11</f>
        <v>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127063.13196654589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76629.570787439618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109063.13196654589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-76629.570787439618</v>
      </c>
      <c r="E13" s="221">
        <f>(D11/D12)-1</f>
        <v>-1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100063.13196654589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61063.131966545894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126438.79179927536</v>
      </c>
      <c r="F15" s="216">
        <f>E15-D12</f>
        <v>49809.221011835747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61063.131966545894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101063.13196654589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'2229'!N35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21795.48</v>
      </c>
      <c r="E20" s="121">
        <f>D20*0.19</f>
        <v>4141.1412</v>
      </c>
      <c r="F20" s="120">
        <f>SUM(D20:E20)</f>
        <v>25936.621200000001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46795.479999999996</v>
      </c>
      <c r="E21" s="116">
        <f>SUM(E18:E20)</f>
        <v>8891.1412</v>
      </c>
      <c r="F21" s="115">
        <f>SUM(F18:F20)</f>
        <v>55686.621200000001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-8891.1412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46795.479999999996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-76629.570787439618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-76629.570787439618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2024-10-29T20:35:19Z</cp:lastPrinted>
  <dcterms:created xsi:type="dcterms:W3CDTF">2013-03-18T13:35:42Z</dcterms:created>
  <dcterms:modified xsi:type="dcterms:W3CDTF">2024-11-04T19:35:32Z</dcterms:modified>
</cp:coreProperties>
</file>