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1 NOVIEMBRE 2024\"/>
    </mc:Choice>
  </mc:AlternateContent>
  <xr:revisionPtr revIDLastSave="0" documentId="13_ncr:1_{6909CC2C-0FBE-4EB6-8CD5-223CB136C6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1" l="1"/>
  <c r="K34" i="1"/>
  <c r="N21" i="1"/>
  <c r="K35" i="1" l="1"/>
  <c r="K36" i="1" s="1"/>
  <c r="K37" i="1" s="1"/>
  <c r="M21" i="1"/>
  <c r="M26" i="1" s="1"/>
  <c r="L21" i="1"/>
  <c r="T21" i="1" l="1"/>
  <c r="T25" i="1" s="1"/>
  <c r="S21" i="1"/>
  <c r="S27" i="1" s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l="1"/>
  <c r="H27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<sst xmlns="http://schemas.openxmlformats.org/spreadsheetml/2006/main" count="230" uniqueCount="174">
  <si>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</si>
  <si>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</si>
  <si>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</si>
  <si>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</si>
  <si>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</si>
  <si>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</si>
  <si>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</si>
  <si>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</si>
  <si>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</si>
  <si>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</si>
  <si>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</si>
  <si>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</si>
  <si>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</si>
  <si>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</si>
  <si>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</si>
  <si>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</si>
  <si>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</si>
  <si>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</si>
  <si>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</si>
  <si>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</si>
  <si>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</si>
  <si>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</si>
  <si>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</si>
  <si>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</si>
  <si>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</si>
  <si>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</si>
  <si>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</si>
  <si>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</si>
  <si>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</si>
  <si>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</si>
  <si>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</si>
  <si>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</si>
  <si>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</si>
  <si>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</si>
  <si>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</si>
  <si>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</si>
  <si>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</si>
  <si>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</si>
  <si>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</si>
  <si>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</si>
  <si>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</si>
  <si>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</si>
  <si>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</si>
  <si>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</si>
  <si>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</si>
  <si>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</si>
  <si>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</si>
  <si>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</si>
  <si>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</si>
  <si>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</si>
  <si>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</si>
  <si>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</si>
  <si>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</si>
  <si>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</si>
  <si>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</si>
  <si>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</si>
  <si>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</si>
  <si>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</si>
  <si>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</si>
  <si>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</si>
  <si>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</si>
  <si>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</si>
  <si>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</si>
  <si>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</si>
  <si>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</si>
  <si>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</si>
  <si>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</si>
  <si>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</si>
  <si>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</si>
  <si>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</si>
  <si>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</si>
  <si>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</si>
  <si>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</si>
  <si>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</si>
  <si>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</si>
  <si>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</si>
  <si>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</si>
  <si>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</si>
  <si>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</si>
  <si>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</si>
  <si>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</si>
  <si>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</si>
  <si>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</si>
  <si>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</si>
  <si>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</si>
  <si>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</si>
  <si>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</si>
  <si>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</si>
  <si>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</si>
  <si>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</si>
  <si>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</si>
  <si>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</si>
  <si>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</si>
  <si>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</si>
  <si>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</si>
  <si>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</si>
  <si>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</si>
  <si>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</si>
  <si>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</si>
  <si>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</si>
  <si>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</si>
  <si>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</si>
  <si>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</si>
  <si>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</si>
  <si>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</si>
  <si>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</si>
  <si>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</si>
  <si>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</si>
  <si>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</si>
  <si>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</si>
  <si>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</si>
  <si>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</si>
  <si>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</si>
  <si>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</si>
  <si>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</si>
  <si>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</si>
  <si>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</si>
  <si>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</si>
  <si>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</si>
  <si>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</si>
  <si>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</si>
  <si>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</si>
  <si>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</si>
  <si>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</si>
  <si>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</si>
  <si>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</si>
  <si>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</si>
  <si>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</si>
  <si>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</si>
  <si>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</si>
  <si>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</si>
  <si>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</si>
  <si>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</si>
  <si>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</si>
  <si>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</si>
  <si>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</si>
  <si>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</si>
  <si>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</si>
  <si>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</si>
  <si>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</si>
  <si>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</si>
  <si>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</si>
  <si>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</si>
  <si>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</si>
  <si>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</si>
  <si>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</si>
  <si>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</si>
  <si>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</si>
  <si>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</si>
  <si>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</si>
  <si>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</si>
  <si>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</si>
  <si>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</si>
  <si>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</si>
  <si>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</si>
  <si>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</si>
  <si>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</si>
  <si>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</si>
  <si>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</si>
  <si>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</si>
  <si>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</si>
  <si>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</si>
  <si>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</si>
  <si>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</si>
  <si>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</si>
  <si>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</si>
  <si>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</si>
  <si>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CRISTIAN FIGUEROA</t>
  </si>
  <si>
    <t>+569 7715 0000</t>
  </si>
  <si>
    <t>N° 11177</t>
  </si>
  <si>
    <t>ESTRUCTURAS VINET</t>
  </si>
  <si>
    <t>7 DIAS HABILES</t>
  </si>
  <si>
    <t>CUB PT 1 LADO MDF 30MM</t>
  </si>
  <si>
    <t>MADERA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</si>
</sst>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SOBREMEDIDAS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D19" zoomScale="93" zoomScaleNormal="93" workbookViewId="0">
      <selection activeCell="J35" sqref="J35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170</v>
      </c>
      <c r="D10" s="243"/>
      <c r="E10" s="243"/>
      <c r="F10" s="244" t="s">
        <v>0</v>
      </c>
      <c r="G10" s="276">
        <v>45618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167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168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80288.63221884497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30" t="s">
        <v>172</v>
      </c>
      <c r="D21" s="331">
        <v>2.27</v>
      </c>
      <c r="E21" s="331">
        <v>0.56000000000000005</v>
      </c>
      <c r="F21" s="330" t="s">
        <v>173</v>
      </c>
      <c r="G21" s="332">
        <v>55576</v>
      </c>
      <c r="H21" s="333">
        <f>G21*B21</f>
        <v>55576</v>
      </c>
      <c r="I21" s="320"/>
      <c r="J21" s="265"/>
      <c r="K21" s="47"/>
      <c r="L21" s="47">
        <f>B21</f>
        <v>1</v>
      </c>
      <c r="M21" s="39">
        <f>D21+M$19</f>
        <v>2.35</v>
      </c>
      <c r="N21" s="39">
        <f>E21+$N$19</f>
        <v>0.56000000000000005</v>
      </c>
      <c r="O21" s="261">
        <f t="shared" ref="O21" si="1">M21*N21</f>
        <v>1.3160000000000003</v>
      </c>
      <c r="P21" s="259">
        <f t="shared" ref="P21" si="2">O21*L21</f>
        <v>1.3160000000000003</v>
      </c>
      <c r="Q21" s="252">
        <f t="shared" ref="Q21" si="3">Q$20*O21</f>
        <v>105659.84</v>
      </c>
      <c r="R21" s="319">
        <f t="shared" ref="R21" si="4">Q21+R$20</f>
        <v>108659.84</v>
      </c>
      <c r="S21" s="297">
        <f>L21*M21*2</f>
        <v>4.7</v>
      </c>
      <c r="T21" s="46">
        <f>N21*2*L21*2</f>
        <v>2.2400000000000002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55576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2.2400000000000002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10559.44</v>
      </c>
      <c r="I26" s="322"/>
      <c r="J26" s="265"/>
      <c r="K26" s="47"/>
      <c r="L26" s="47"/>
      <c r="M26" s="39">
        <f>SUM(M21:M25)</f>
        <v>2.35</v>
      </c>
      <c r="N26" s="12"/>
      <c r="O26" s="12"/>
      <c r="P26" s="253">
        <f>SUM(P21:P22)</f>
        <v>1.3160000000000003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66135.44</v>
      </c>
      <c r="I27" s="322"/>
      <c r="J27" s="265"/>
      <c r="K27" s="47"/>
      <c r="L27" s="47"/>
      <c r="M27" s="39"/>
      <c r="N27" s="12"/>
      <c r="O27" s="12"/>
      <c r="P27" s="253">
        <f>P26</f>
        <v>1.3160000000000003</v>
      </c>
      <c r="Q27" s="14"/>
      <c r="R27" s="12"/>
      <c r="S27" s="239">
        <f>SUM(S21:S26)</f>
        <v>4.7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0.26320000000000005</v>
      </c>
      <c r="Q28" s="39" t="s">
        <v>130</v>
      </c>
      <c r="R28" s="42"/>
      <c r="S28" s="240">
        <f>S27+T25</f>
        <v>6.94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1.5792000000000004</v>
      </c>
      <c r="Q29" s="14"/>
      <c r="R29" s="14"/>
      <c r="S29" s="238">
        <f>S28*20%</f>
        <v>1.3880000000000001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8.3280000000000012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1.5792000000000004</v>
      </c>
      <c r="N31" s="12">
        <v>3500</v>
      </c>
      <c r="O31" s="12">
        <f t="shared" ref="O31:O36" si="5">M31*N31</f>
        <v>5527.2000000000016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>
        <f>23500*1.19</f>
        <v>27965</v>
      </c>
      <c r="L32" s="47"/>
      <c r="M32" s="249">
        <v>0.5</v>
      </c>
      <c r="N32" s="12">
        <v>45000</v>
      </c>
      <c r="O32" s="12">
        <f t="shared" si="5"/>
        <v>22500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61840</v>
      </c>
      <c r="O33" s="12">
        <f t="shared" si="5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>
        <f>N34*1.19</f>
        <v>23800</v>
      </c>
      <c r="L34" s="250"/>
      <c r="M34" s="14">
        <v>1</v>
      </c>
      <c r="N34" s="250">
        <v>20000</v>
      </c>
      <c r="O34" s="12">
        <f t="shared" si="5"/>
        <v>20000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>
        <f>SUM(K32:K34)</f>
        <v>51765</v>
      </c>
      <c r="L35" s="250"/>
      <c r="M35" s="249"/>
      <c r="N35" s="250">
        <v>900</v>
      </c>
      <c r="O35" s="12">
        <f t="shared" si="5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>
        <f>K35/1.19</f>
        <v>43500</v>
      </c>
      <c r="L36" s="250"/>
      <c r="M36" s="266"/>
      <c r="N36" s="12">
        <v>1500</v>
      </c>
      <c r="O36" s="12">
        <f t="shared" si="5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>
        <f>K35-K36</f>
        <v>8265</v>
      </c>
      <c r="L37" s="250"/>
      <c r="M37" s="14"/>
      <c r="N37" s="12"/>
      <c r="O37" s="12">
        <f>SUM(O31:O36)</f>
        <v>48027.199999999997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105659.84</v>
      </c>
      <c r="P38" s="14" t="s">
        <v>140</v>
      </c>
      <c r="Q38" s="14"/>
      <c r="R38" s="40">
        <f>P29/R37</f>
        <v>0.42579810181190691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91700</v>
      </c>
      <c r="L39" s="250"/>
      <c r="M39" s="14"/>
      <c r="N39" s="12"/>
      <c r="O39" s="12">
        <f>O38/P27</f>
        <v>80288.63221884497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77058.823529411762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45618</v>
      </c>
    </row>
    <row r="6" spans="2:31" ht="16.2" thickBot="1" x14ac:dyDescent="0.35">
      <c r="B6" s="140" t="s">
        <v>2</v>
      </c>
      <c r="C6" s="139" t="str">
        <f>'2229'!C10</f>
        <v>ESTRUCTURAS VINET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11177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6649.188299879228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55576</v>
      </c>
      <c r="E11" s="132">
        <f>D11*0.19</f>
        <v>10559.44</v>
      </c>
      <c r="F11" s="131">
        <f>E11+D11</f>
        <v>66135.44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112639.18829987923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57861.290787439619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94639.188299879228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-2285.2907874396187</v>
      </c>
      <c r="E13" s="221">
        <f>(D11/D12)-1</f>
        <v>-3.949602154288101E-2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85639.188299879228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46639.188299879228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95471.129799275368</v>
      </c>
      <c r="F15" s="216">
        <f>E15-D12</f>
        <v>37609.839011835749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46639.188299879228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86639.188299879228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22500</v>
      </c>
      <c r="E19" s="123">
        <f>D19*0.19</f>
        <v>4275</v>
      </c>
      <c r="F19" s="120">
        <f>SUM(D19:E19)</f>
        <v>26775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5527.2000000000016</v>
      </c>
      <c r="E20" s="121">
        <f>D20*0.19</f>
        <v>1050.1680000000003</v>
      </c>
      <c r="F20" s="120">
        <f>SUM(D20:E20)</f>
        <v>6577.3680000000022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28027.200000000001</v>
      </c>
      <c r="E21" s="116">
        <f>SUM(E18:E20)</f>
        <v>5325.1680000000006</v>
      </c>
      <c r="F21" s="115">
        <f>SUM(F18:F20)</f>
        <v>33352.368000000002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5234.2719999999999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55576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28027.200000000001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-2285.2907874396187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-2285.2907874396187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2024-11-19T14:26:01Z</cp:lastPrinted>
  <dcterms:created xsi:type="dcterms:W3CDTF">2013-03-18T13:35:42Z</dcterms:created>
  <dcterms:modified xsi:type="dcterms:W3CDTF">2024-11-22T18:41:46Z</dcterms:modified>
</cp:coreProperties>
</file>