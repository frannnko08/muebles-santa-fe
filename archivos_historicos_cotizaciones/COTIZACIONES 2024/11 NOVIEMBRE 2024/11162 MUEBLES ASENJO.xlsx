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F5752FE8-C048-41CA-A7CB-296AD8A36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K21" i="1"/>
  <c r="N32" i="1"/>
  <c r="J33" i="1"/>
  <c r="L21" i="1"/>
  <c r="M21" i="1"/>
  <c r="L25" i="1"/>
  <c r="N21" i="1" l="1"/>
  <c r="O21" i="1" s="1"/>
  <c r="R27" i="1" l="1"/>
  <c r="O26" i="1"/>
  <c r="J39" i="1"/>
  <c r="O27" i="1" l="1"/>
  <c r="O28" i="1" s="1"/>
  <c r="O29" i="1" s="1"/>
  <c r="L31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G21" i="1"/>
  <c r="H21" i="1" s="1"/>
  <c r="H23" i="1" l="1"/>
  <c r="D11" i="3"/>
  <c r="X9" i="3" s="1"/>
  <c r="X15" i="3" s="1"/>
  <c r="H24" i="1" l="1"/>
  <c r="H25" i="1" s="1"/>
  <c r="K15" i="1"/>
  <c r="D13" i="3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<sst xmlns="http://schemas.openxmlformats.org/spreadsheetml/2006/main" count="220" uniqueCount="166">
  <si>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</si>
  <si>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</si>
  <si>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</si>
  <si>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</si>
  <si>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</si>
  <si>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</si>
  <si>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</si>
  <si>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</si>
  <si>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</si>
  <si>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</si>
  <si>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</si>
  <si>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</si>
  <si>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</si>
  <si>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</si>
  <si>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</si>
  <si>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</si>
  <si>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</si>
  <si>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</si>
  <si>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</si>
  <si>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</si>
  <si>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</si>
  <si>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</si>
  <si>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</si>
  <si>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</si>
  <si>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</si>
  <si>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</si>
  <si>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</si>
  <si>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</si>
  <si>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</si>
  <si>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</si>
  <si>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</si>
  <si>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</si>
  <si>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</si>
  <si>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</si>
  <si>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</si>
  <si>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</si>
  <si>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</si>
  <si>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</si>
  <si>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</si>
  <si>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</si>
  <si>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</si>
  <si>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</si>
  <si>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</si>
  <si>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</si>
  <si>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</si>
  <si>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</si>
  <si>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</si>
  <si>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</si>
  <si>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</si>
  <si>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</si>
  <si>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</si>
  <si>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</si>
  <si>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</si>
  <si>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</si>
  <si>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</si>
  <si>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</si>
  <si>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</si>
  <si>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</si>
  <si>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</si>
  <si>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</si>
  <si>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</si>
  <si>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</si>
  <si>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</si>
  <si>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</si>
  <si>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</si>
  <si>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</si>
  <si>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</si>
  <si>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</si>
  <si>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</si>
  <si>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</si>
  <si>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</si>
  <si>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</si>
  <si>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</si>
  <si>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</si>
  <si>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</si>
  <si>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</si>
  <si>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</si>
  <si>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</si>
  <si>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</si>
  <si>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</si>
  <si>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</si>
  <si>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</si>
  <si>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</si>
  <si>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</si>
  <si>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</si>
  <si>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</si>
  <si>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</si>
  <si>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</si>
  <si>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</si>
  <si>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</si>
  <si>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</si>
  <si>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</si>
  <si>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</si>
  <si>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</si>
  <si>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</si>
  <si>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</si>
  <si>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</si>
  <si>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</si>
  <si>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</si>
  <si>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</si>
  <si>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</si>
  <si>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</si>
  <si>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</si>
  <si>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</si>
  <si>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</si>
  <si>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</si>
  <si>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</si>
  <si>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</si>
  <si>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</si>
  <si>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</si>
  <si>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</si>
  <si>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</si>
  <si>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</si>
  <si>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</si>
  <si>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</si>
  <si>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</si>
  <si>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</si>
  <si>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</si>
  <si>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</si>
  <si>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</si>
  <si>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</si>
  <si>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</si>
  <si>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</si>
  <si>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</si>
  <si>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</si>
  <si>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</si>
  <si>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</si>
  <si>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</si>
  <si>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</si>
  <si>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</si>
  <si>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</si>
  <si>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</si>
  <si>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</si>
  <si>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</si>
  <si>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</si>
  <si>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</si>
  <si>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</si>
  <si>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</si>
  <si>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</si>
  <si>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</si>
  <si>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</si>
  <si>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</si>
  <si>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</si>
  <si>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</si>
  <si>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</si>
  <si>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</si>
  <si>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</si>
  <si>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</si>
  <si>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</si>
  <si>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</si>
  <si>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</si>
  <si>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</si>
  <si>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</si>
  <si>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</si>
  <si>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</si>
  <si>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</si>
  <si>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</si>
  <si>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</si>
  <si>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</si>
  <si>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LORENA QUEZADA</t>
  </si>
  <si>
    <t>MDF30MM</t>
  </si>
  <si>
    <t>BLANCO MERINO</t>
  </si>
  <si>
    <t>CUB C/R R6</t>
  </si>
  <si>
    <t>SI</t>
  </si>
  <si>
    <t>N° 11162</t>
  </si>
  <si>
    <t>3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</si>
</sst>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37" fillId="0" borderId="0" xfId="0" applyFont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8" xfId="0" applyFont="1" applyFill="1" applyBorder="1" applyAlignment="1">
      <alignment horizontal="center" vertical="center"/>
    </xf>
    <xf numFmtId="0" fontId="37" fillId="0" borderId="36" xfId="0" applyFont="1" applyFill="1" applyBorder="1" applyAlignment="1">
      <alignment horizontal="center" vertical="center"/>
    </xf>
    <xf numFmtId="166" fontId="32" fillId="0" borderId="3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0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A36" sqref="A36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45610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165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2" t="s">
        <v>157</v>
      </c>
      <c r="D15" s="294"/>
      <c r="E15" s="247"/>
      <c r="F15" s="247" t="s">
        <v>136</v>
      </c>
      <c r="G15" s="295" t="s">
        <v>163</v>
      </c>
      <c r="H15" s="248"/>
      <c r="K15" s="18">
        <f>H23/L13</f>
        <v>4230.5003032140694</v>
      </c>
    </row>
    <row r="16" spans="2:23" ht="16.8" x14ac:dyDescent="0.4">
      <c r="B16" s="291" t="s">
        <v>3</v>
      </c>
      <c r="C16" s="308"/>
      <c r="F16" s="292" t="s">
        <v>131</v>
      </c>
      <c r="G16" s="293" t="s">
        <v>156</v>
      </c>
      <c r="H16" s="289"/>
    </row>
    <row r="17" spans="1:24" ht="15" thickBot="1" x14ac:dyDescent="0.35">
      <c r="B17" s="296" t="s">
        <v>13</v>
      </c>
      <c r="C17" s="297" t="s">
        <v>152</v>
      </c>
      <c r="D17" s="298"/>
      <c r="E17" s="299"/>
      <c r="F17" s="324" t="s">
        <v>153</v>
      </c>
      <c r="G17" s="324"/>
      <c r="H17" s="325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6" t="s">
        <v>148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3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53456.666666666664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36">
        <v>3</v>
      </c>
      <c r="C21" s="337" t="s">
        <v>162</v>
      </c>
      <c r="D21" s="338">
        <v>1.4</v>
      </c>
      <c r="E21" s="338">
        <v>0.6</v>
      </c>
      <c r="F21" s="316" t="s">
        <v>161</v>
      </c>
      <c r="G21" s="317">
        <f>P21</f>
        <v>46507.299999999996</v>
      </c>
      <c r="H21" s="318">
        <f t="shared" ref="H21" si="1">G21*B21</f>
        <v>139521.9</v>
      </c>
      <c r="I21" s="265"/>
      <c r="J21" s="47"/>
      <c r="K21" s="47">
        <f>B21</f>
        <v>3</v>
      </c>
      <c r="L21" s="39">
        <f t="shared" ref="L21" si="2">D21+L$19</f>
        <v>1.45</v>
      </c>
      <c r="M21" s="39">
        <f t="shared" ref="M21" si="3">E21+M$19</f>
        <v>0.6</v>
      </c>
      <c r="N21" s="261">
        <f t="shared" ref="N21" si="4">L21*M21</f>
        <v>0.87</v>
      </c>
      <c r="O21" s="259">
        <f t="shared" ref="O21" si="5">N21*K21</f>
        <v>2.61</v>
      </c>
      <c r="P21" s="252">
        <f t="shared" ref="P21" si="6">P$20*N21</f>
        <v>46507.299999999996</v>
      </c>
      <c r="Q21" s="258">
        <f t="shared" ref="Q21" si="7">P21+Q$20</f>
        <v>49507.299999999996</v>
      </c>
      <c r="R21" s="307">
        <f>K21*L21</f>
        <v>4.3499999999999996</v>
      </c>
      <c r="S21" s="14"/>
      <c r="T21" s="9"/>
      <c r="W21" s="4"/>
    </row>
    <row r="22" spans="1:24" ht="17.399999999999999" x14ac:dyDescent="0.3">
      <c r="B22" s="285"/>
      <c r="C22" s="321"/>
      <c r="D22" s="286"/>
      <c r="E22" s="286"/>
      <c r="F22" s="285"/>
      <c r="G22" s="322"/>
      <c r="H22" s="323"/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19" t="s">
        <v>30</v>
      </c>
      <c r="H23" s="320">
        <f>SUM(H21:H22)</f>
        <v>139521.9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H23*19%</f>
        <v>26509.161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166031.06099999999</v>
      </c>
      <c r="I25" s="265"/>
      <c r="J25" s="47"/>
      <c r="K25" s="47"/>
      <c r="L25" s="39" t="e">
        <f>SUM(#REF!)*2</f>
        <v>#REF!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2.61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2.61</v>
      </c>
      <c r="P27" s="14"/>
      <c r="Q27" s="12"/>
      <c r="R27" s="238">
        <f>SUM(R21:R26)</f>
        <v>4.3499999999999996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0.52200000000000002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0"/>
      <c r="K29" s="47"/>
      <c r="L29" s="14"/>
      <c r="M29" s="12"/>
      <c r="N29" s="12"/>
      <c r="O29" s="46">
        <f>O27+O28</f>
        <v>3.1319999999999997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154</v>
      </c>
      <c r="C31" s="230"/>
      <c r="D31" s="230"/>
      <c r="E31" s="230"/>
      <c r="F31" s="230"/>
      <c r="G31" s="230"/>
      <c r="H31" s="230"/>
      <c r="I31" s="265"/>
      <c r="J31" s="47">
        <v>123</v>
      </c>
      <c r="K31" s="47"/>
      <c r="L31" s="39">
        <f>O29</f>
        <v>3.1319999999999997</v>
      </c>
      <c r="M31" s="12">
        <v>2000</v>
      </c>
      <c r="N31" s="12">
        <f t="shared" ref="N31:N36" si="8">L31*M31</f>
        <v>6263.9999999999991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155</v>
      </c>
      <c r="G32" s="230"/>
      <c r="H32" s="230"/>
      <c r="I32" s="265"/>
      <c r="J32" s="47">
        <v>76</v>
      </c>
      <c r="K32" s="47"/>
      <c r="L32" s="249">
        <v>1</v>
      </c>
      <c r="M32" s="12">
        <v>23000</v>
      </c>
      <c r="N32" s="12">
        <f t="shared" si="8"/>
        <v>23000</v>
      </c>
      <c r="O32" s="39" t="s">
        <v>160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>
        <f>J31-J32</f>
        <v>47</v>
      </c>
      <c r="K33" s="250"/>
      <c r="L33" s="14"/>
      <c r="M33" s="250">
        <v>35108</v>
      </c>
      <c r="N33" s="12">
        <f t="shared" si="8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09"/>
      <c r="K34" s="250"/>
      <c r="L34" s="14">
        <v>1</v>
      </c>
      <c r="M34" s="250">
        <v>35000</v>
      </c>
      <c r="N34" s="12">
        <f t="shared" si="8"/>
        <v>35000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09"/>
      <c r="K35" s="250"/>
      <c r="L35" s="249"/>
      <c r="M35" s="250">
        <v>800</v>
      </c>
      <c r="N35" s="12">
        <f t="shared" si="8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4.3499999999999996</v>
      </c>
      <c r="M36" s="12">
        <v>500</v>
      </c>
      <c r="N36" s="12">
        <f t="shared" si="8"/>
        <v>2175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66439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40820</v>
      </c>
      <c r="K38" s="250"/>
      <c r="L38" s="254" t="s">
        <v>35</v>
      </c>
      <c r="M38" s="12"/>
      <c r="N38" s="255">
        <f>N37*2.1</f>
        <v>139521.9</v>
      </c>
      <c r="O38" s="14" t="s">
        <v>142</v>
      </c>
      <c r="P38" s="14"/>
      <c r="Q38" s="46">
        <f>O29/Q37</f>
        <v>0.84447799827437431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34302.521008403361</v>
      </c>
      <c r="K39" s="250"/>
      <c r="L39" s="14"/>
      <c r="M39" s="12"/>
      <c r="N39" s="12">
        <f>N38/O27</f>
        <v>53456.666666666664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0.68459016393442618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11162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-7001.6750334541066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139521.9</v>
      </c>
      <c r="E11" s="132">
        <f>D11*0.19</f>
        <v>26509.161</v>
      </c>
      <c r="F11" s="131">
        <f>E11+D11</f>
        <v>166031.06099999999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98988.324966545886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59098.090787439614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80988.324966545886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80423.809212560387</v>
      </c>
      <c r="E13" s="221">
        <f>(D11/D12)-1</f>
        <v>1.3608529165827674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71988.324966545886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32988.324966545893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97511.849799275355</v>
      </c>
      <c r="F15" s="216">
        <f>E15-D12</f>
        <v>38413.75901183574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32988.324966545893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72988.324966545886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23000</v>
      </c>
      <c r="E19" s="123">
        <f>D19*0.19</f>
        <v>4370</v>
      </c>
      <c r="F19" s="120">
        <f>SUM(D19:E19)</f>
        <v>27370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6263.9999999999991</v>
      </c>
      <c r="E20" s="121">
        <f>D20*0.19</f>
        <v>1190.1599999999999</v>
      </c>
      <c r="F20" s="120">
        <f>SUM(D20:E20)</f>
        <v>7454.1599999999989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29264</v>
      </c>
      <c r="E21" s="116">
        <f>SUM(E18:E20)</f>
        <v>5560.16</v>
      </c>
      <c r="F21" s="115">
        <f>SUM(F18:F20)</f>
        <v>34824.159999999996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20949.001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139521.9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29264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80423.809212560387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80423.809212560387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2024-09-27T18:52:53Z</cp:lastPrinted>
  <dcterms:created xsi:type="dcterms:W3CDTF">2013-03-18T13:35:42Z</dcterms:created>
  <dcterms:modified xsi:type="dcterms:W3CDTF">2024-11-14T11:56:20Z</dcterms:modified>
</cp:coreProperties>
</file>