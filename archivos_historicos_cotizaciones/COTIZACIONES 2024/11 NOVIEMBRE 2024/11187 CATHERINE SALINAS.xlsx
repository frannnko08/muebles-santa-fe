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B4D22D3B-E39A-4848-A42C-8C6B6125C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P22" i="1" s="1"/>
  <c r="S22" i="1"/>
  <c r="H22" i="1"/>
  <c r="N21" i="1"/>
  <c r="M21" i="1" l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7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<sst xmlns="http://schemas.openxmlformats.org/spreadsheetml/2006/main" count="231" uniqueCount="174">
  <si>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</si>
  <si>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</si>
  <si>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</si>
  <si>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</si>
  <si>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</si>
  <si>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</si>
  <si>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</si>
  <si>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</si>
  <si>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</si>
  <si>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</si>
  <si>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</si>
  <si>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</si>
  <si>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</si>
  <si>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</si>
  <si>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</si>
  <si>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</si>
  <si>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</si>
  <si>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</si>
  <si>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</si>
  <si>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</si>
  <si>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</si>
  <si>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</si>
  <si>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</si>
  <si>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</si>
  <si>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</si>
  <si>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</si>
  <si>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</si>
  <si>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</si>
  <si>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</si>
  <si>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</si>
  <si>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</si>
  <si>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</si>
  <si>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</si>
  <si>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</si>
  <si>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</si>
  <si>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</si>
  <si>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</si>
  <si>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</si>
  <si>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</si>
  <si>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</si>
  <si>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</si>
  <si>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</si>
  <si>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</si>
  <si>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</si>
  <si>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</si>
  <si>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</si>
  <si>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</si>
  <si>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</si>
  <si>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</si>
  <si>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</si>
  <si>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</si>
  <si>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</si>
  <si>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</si>
  <si>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</si>
  <si>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</si>
  <si>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</si>
  <si>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</si>
  <si>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</si>
  <si>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</si>
  <si>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</si>
  <si>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</si>
  <si>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</si>
  <si>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</si>
  <si>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</si>
  <si>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</si>
  <si>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</si>
  <si>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</si>
  <si>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</si>
  <si>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</si>
  <si>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</si>
  <si>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</si>
  <si>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</si>
  <si>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</si>
  <si>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</si>
  <si>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</si>
  <si>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</si>
  <si>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</si>
  <si>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</si>
  <si>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</si>
  <si>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</si>
  <si>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</si>
  <si>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</si>
  <si>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</si>
  <si>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</si>
  <si>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</si>
  <si>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</si>
  <si>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</si>
  <si>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</si>
  <si>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</si>
  <si>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</si>
  <si>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</si>
  <si>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</si>
  <si>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</si>
  <si>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</si>
  <si>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</si>
  <si>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</si>
  <si>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</si>
  <si>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</si>
  <si>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</si>
  <si>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</si>
  <si>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</si>
  <si>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</si>
  <si>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</si>
  <si>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</si>
  <si>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</si>
  <si>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</si>
  <si>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</si>
  <si>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</si>
  <si>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</si>
  <si>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</si>
  <si>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</si>
  <si>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</si>
  <si>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</si>
  <si>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</si>
  <si>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</si>
  <si>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</si>
  <si>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</si>
  <si>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</si>
  <si>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</si>
  <si>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</si>
  <si>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</si>
  <si>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</si>
  <si>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</si>
  <si>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</si>
  <si>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</si>
  <si>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</si>
  <si>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</si>
  <si>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</si>
  <si>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</si>
  <si>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</si>
  <si>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</si>
  <si>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</si>
  <si>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</si>
  <si>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</si>
  <si>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</si>
  <si>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</si>
  <si>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</si>
  <si>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</si>
  <si>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</si>
  <si>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</si>
  <si>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</si>
  <si>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</si>
  <si>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</si>
  <si>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</si>
  <si>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</si>
  <si>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</si>
  <si>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</si>
  <si>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</si>
  <si>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</si>
  <si>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</si>
  <si>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</si>
  <si>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</si>
  <si>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</si>
  <si>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</si>
  <si>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</si>
  <si>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</si>
  <si>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</si>
  <si>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</si>
  <si>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</si>
  <si>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</si>
  <si>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</si>
  <si>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</si>
  <si>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</si>
  <si>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</si>
  <si>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</si>
  <si>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</si>
  <si>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</si>
  <si>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</si>
  <si>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11187</t>
  </si>
  <si>
    <t>CATHERINE SALINAS</t>
  </si>
  <si>
    <t>569 9449 0390</t>
  </si>
  <si>
    <t>E/R 1 CARA MELAMIL 18MM</t>
  </si>
  <si>
    <t>HUMO 2108 MT</t>
  </si>
  <si>
    <t>CLIENTE APORTA SUSTRATO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</si>
</sst>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ENCHAPADA CON</a:t>
          </a:r>
          <a:r>
            <a:rPr lang="es-CL" sz="1200" b="1" baseline="0"/>
            <a:t> TAPACANTO PVC 0,4MM POR SUS CUATRO LADOS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H26" sqref="H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45623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v>30000</v>
      </c>
      <c r="R20" s="258">
        <v>3000</v>
      </c>
      <c r="S20" s="38"/>
      <c r="T20" s="14" t="s">
        <v>128</v>
      </c>
      <c r="U20" s="9"/>
      <c r="X20" s="4"/>
    </row>
    <row r="21" spans="1:25" ht="18" thickBot="1" x14ac:dyDescent="0.35">
      <c r="B21" s="329">
        <v>1</v>
      </c>
      <c r="C21" s="330" t="s">
        <v>171</v>
      </c>
      <c r="D21" s="331">
        <v>0.77</v>
      </c>
      <c r="E21" s="331">
        <v>0.42699999999999999</v>
      </c>
      <c r="F21" s="330" t="s">
        <v>172</v>
      </c>
      <c r="G21" s="332">
        <v>32094</v>
      </c>
      <c r="H21" s="333">
        <f>G21*B21</f>
        <v>32094</v>
      </c>
      <c r="I21" s="320"/>
      <c r="J21" s="265"/>
      <c r="K21" s="47"/>
      <c r="L21" s="335">
        <f>B21</f>
        <v>1</v>
      </c>
      <c r="M21" s="336">
        <f>D21+M$19</f>
        <v>0.85</v>
      </c>
      <c r="N21" s="336">
        <f>E21+$N$19</f>
        <v>0.42699999999999999</v>
      </c>
      <c r="O21" s="261">
        <f t="shared" ref="O21" si="1">M21*N21</f>
        <v>0.36294999999999999</v>
      </c>
      <c r="P21" s="259">
        <f t="shared" ref="P21" si="2">O21*L21</f>
        <v>0.36294999999999999</v>
      </c>
      <c r="Q21" s="252">
        <f t="shared" ref="Q21" si="3">Q$20*O21</f>
        <v>10888.5</v>
      </c>
      <c r="R21" s="319">
        <f t="shared" ref="R21" si="4">Q21+R$20</f>
        <v>13888.5</v>
      </c>
      <c r="S21" s="297">
        <f>L21*M21*2</f>
        <v>1.7</v>
      </c>
      <c r="T21" s="46">
        <f>N21*2*L21*2</f>
        <v>1.708</v>
      </c>
      <c r="U21" s="9"/>
      <c r="X21" s="4"/>
    </row>
    <row r="22" spans="1:25" ht="17.399999999999999" x14ac:dyDescent="0.3">
      <c r="B22" s="329">
        <v>1</v>
      </c>
      <c r="C22" s="330" t="s">
        <v>173</v>
      </c>
      <c r="D22" s="331">
        <v>0.77</v>
      </c>
      <c r="E22" s="331">
        <v>0.42699999999999999</v>
      </c>
      <c r="F22" s="330" t="s">
        <v>172</v>
      </c>
      <c r="G22" s="332">
        <v>16889</v>
      </c>
      <c r="H22" s="333">
        <f t="shared" ref="H22" si="5">G22*B22</f>
        <v>16889</v>
      </c>
      <c r="I22" s="320"/>
      <c r="J22" s="265"/>
      <c r="K22" s="47"/>
      <c r="L22" s="335"/>
      <c r="M22" s="336"/>
      <c r="N22" s="336"/>
      <c r="O22" s="261">
        <f t="shared" ref="O22" si="6">M22*N22</f>
        <v>0</v>
      </c>
      <c r="P22" s="259">
        <f t="shared" ref="P22" si="7">O22*L22</f>
        <v>0</v>
      </c>
      <c r="Q22" s="252">
        <f t="shared" ref="Q22" si="8">Q$20*O22</f>
        <v>0</v>
      </c>
      <c r="R22" s="319">
        <f t="shared" ref="R22" si="9">Q22+R$20</f>
        <v>3000</v>
      </c>
      <c r="S22" s="297">
        <f t="shared" ref="S22" si="10">L22*M22*2</f>
        <v>0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48983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1.708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SUM(M21:M22)</f>
        <v>0.85</v>
      </c>
      <c r="N26" s="12"/>
      <c r="O26" s="12"/>
      <c r="P26" s="253">
        <f>SUM(P21:P22)</f>
        <v>0.36294999999999999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48983</v>
      </c>
      <c r="I27" s="322"/>
      <c r="J27" s="265"/>
      <c r="K27" s="47"/>
      <c r="L27" s="47"/>
      <c r="M27" s="39"/>
      <c r="N27" s="12"/>
      <c r="O27" s="12"/>
      <c r="P27" s="253">
        <f>P26</f>
        <v>0.36294999999999999</v>
      </c>
      <c r="Q27" s="14"/>
      <c r="R27" s="12"/>
      <c r="S27" s="239">
        <f>SUM(S21:S26)</f>
        <v>1.7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7.2590000000000002E-2</v>
      </c>
      <c r="Q28" s="39" t="s">
        <v>130</v>
      </c>
      <c r="R28" s="42"/>
      <c r="S28" s="240">
        <f>S27+T25</f>
        <v>3.4079999999999999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0.43553999999999998</v>
      </c>
      <c r="Q29" s="14"/>
      <c r="R29" s="14"/>
      <c r="S29" s="238">
        <f>S28*20%</f>
        <v>0.68159999999999998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4.0895999999999999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0.43553999999999998</v>
      </c>
      <c r="N31" s="12">
        <v>3500</v>
      </c>
      <c r="O31" s="12">
        <f t="shared" ref="O31:O36" si="11">M31*N31</f>
        <v>1524.3899999999999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0.12</v>
      </c>
      <c r="N32" s="12">
        <v>45000</v>
      </c>
      <c r="O32" s="12">
        <f t="shared" si="11"/>
        <v>5400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49250</v>
      </c>
      <c r="O33" s="12">
        <f t="shared" si="11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0.18</v>
      </c>
      <c r="N34" s="250">
        <v>35000</v>
      </c>
      <c r="O34" s="12">
        <f t="shared" si="11"/>
        <v>6300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1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1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13224.39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29093.657999999999</v>
      </c>
      <c r="P38" s="14" t="s">
        <v>140</v>
      </c>
      <c r="Q38" s="14"/>
      <c r="R38" s="40">
        <f>P29/R37</f>
        <v>0.11743421052631578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58560</v>
      </c>
      <c r="L39" s="250"/>
      <c r="M39" s="14"/>
      <c r="N39" s="12"/>
      <c r="O39" s="12">
        <f>O38/P27</f>
        <v>80158.859347017496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49210.08403361345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45623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1944.74888321256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48983</v>
      </c>
      <c r="E11" s="132">
        <f>D11*0.19</f>
        <v>9306.77</v>
      </c>
      <c r="F11" s="131">
        <f>E11+D11</f>
        <v>58289.770000000004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107934.74888321257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36758.480787439614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89934.748883212567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12224.519212560386</v>
      </c>
      <c r="E13" s="221">
        <f>(D11/D12)-1</f>
        <v>0.33256323304682134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80934.748883212567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41934.74888321256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60651.49329927536</v>
      </c>
      <c r="F15" s="216">
        <f>E15-D12</f>
        <v>23893.012511835746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41934.74888321256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81934.748883212567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5400</v>
      </c>
      <c r="E19" s="123">
        <f>D19*0.19</f>
        <v>1026</v>
      </c>
      <c r="F19" s="120">
        <f>SUM(D19:E19)</f>
        <v>6426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1524.3899999999999</v>
      </c>
      <c r="E20" s="121">
        <f>D20*0.19</f>
        <v>289.63409999999999</v>
      </c>
      <c r="F20" s="120">
        <f>SUM(D20:E20)</f>
        <v>1814.0240999999999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6924.3899999999994</v>
      </c>
      <c r="E21" s="116">
        <f>SUM(E18:E20)</f>
        <v>1315.6341</v>
      </c>
      <c r="F21" s="115">
        <f>SUM(F18:F20)</f>
        <v>8240.0241000000005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7991.1359000000002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48983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6924.3899999999994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12224.519212560386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12224.519212560386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2024-11-28T20:51:14Z</cp:lastPrinted>
  <dcterms:created xsi:type="dcterms:W3CDTF">2013-03-18T13:35:42Z</dcterms:created>
  <dcterms:modified xsi:type="dcterms:W3CDTF">2024-11-28T21:10:54Z</dcterms:modified>
</cp:coreProperties>
</file>