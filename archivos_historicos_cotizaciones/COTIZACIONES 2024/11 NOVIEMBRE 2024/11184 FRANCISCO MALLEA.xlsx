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D3949F88-F650-46EF-A44A-FA8247EEB9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22" i="1"/>
  <c r="M22" i="1"/>
  <c r="N22" i="1"/>
  <c r="O22" i="1"/>
  <c r="P22" i="1" s="1"/>
  <c r="S22" i="1" l="1"/>
  <c r="H22" i="1"/>
  <c r="N21" i="1"/>
  <c r="M21" i="1" l="1"/>
  <c r="M26" i="1" s="1"/>
  <c r="L21" i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l="1"/>
  <c r="H27" i="1" s="1"/>
  <c r="D11" i="3" l="1"/>
  <c r="X9" i="3" s="1"/>
  <c r="X15" i="3" s="1"/>
  <c r="M42" i="3" l="1"/>
  <c r="M46" i="3" s="1"/>
  <c r="M49" i="3" s="1"/>
  <c r="E11" i="3"/>
  <c r="D40" i="3" s="1"/>
  <c r="E13" i="3"/>
  <c r="X12" i="3"/>
  <c r="X11" i="3"/>
  <c r="X16" i="3"/>
  <c r="X13" i="3"/>
  <c r="X14" i="3"/>
  <c r="D13" i="3"/>
  <c r="F11" i="3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<sst xmlns="http://schemas.openxmlformats.org/spreadsheetml/2006/main" count="231" uniqueCount="173">
  <si>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</si>
  <si>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</si>
  <si>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</si>
  <si>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</si>
  <si>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</si>
  <si>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</si>
  <si>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</si>
  <si>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</si>
  <si>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</si>
  <si>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</si>
  <si>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</si>
  <si>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</si>
  <si>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</si>
  <si>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</si>
  <si>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</si>
  <si>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</si>
  <si>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</si>
  <si>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</si>
  <si>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</si>
  <si>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</si>
  <si>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</si>
  <si>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</si>
  <si>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</si>
  <si>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</si>
  <si>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</si>
  <si>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</si>
  <si>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</si>
  <si>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</si>
  <si>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</si>
  <si>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</si>
  <si>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</si>
  <si>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</si>
  <si>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</si>
  <si>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</si>
  <si>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</si>
  <si>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</si>
  <si>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</si>
  <si>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</si>
  <si>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</si>
  <si>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</si>
  <si>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</si>
  <si>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</si>
  <si>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</si>
  <si>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</si>
  <si>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</si>
  <si>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</si>
  <si>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</si>
  <si>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</si>
  <si>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</si>
  <si>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</si>
  <si>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</si>
  <si>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</si>
  <si>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</si>
  <si>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</si>
  <si>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</si>
  <si>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</si>
  <si>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</si>
  <si>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</si>
  <si>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</si>
  <si>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</si>
  <si>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</si>
  <si>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</si>
  <si>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</si>
  <si>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</si>
  <si>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</si>
  <si>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</si>
  <si>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</si>
  <si>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</si>
  <si>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</si>
  <si>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</si>
  <si>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</si>
  <si>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</si>
  <si>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</si>
  <si>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</si>
  <si>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</si>
  <si>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</si>
  <si>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</si>
  <si>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</si>
  <si>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</si>
  <si>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</si>
  <si>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</si>
  <si>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</si>
  <si>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</si>
  <si>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</si>
  <si>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</si>
  <si>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</si>
  <si>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</si>
  <si>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</si>
  <si>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</si>
  <si>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</si>
  <si>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</si>
  <si>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</si>
  <si>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</si>
  <si>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</si>
  <si>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</si>
  <si>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</si>
  <si>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</si>
  <si>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</si>
  <si>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</si>
  <si>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</si>
  <si>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</si>
  <si>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</si>
  <si>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</si>
  <si>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</si>
  <si>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</si>
  <si>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</si>
  <si>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</si>
  <si>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</si>
  <si>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</si>
  <si>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</si>
  <si>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</si>
  <si>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</si>
  <si>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</si>
  <si>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</si>
  <si>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</si>
  <si>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</si>
  <si>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</si>
  <si>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</si>
  <si>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</si>
  <si>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</si>
  <si>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</si>
  <si>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</si>
  <si>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</si>
  <si>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</si>
  <si>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</si>
  <si>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</si>
  <si>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</si>
  <si>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</si>
  <si>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</si>
  <si>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</si>
  <si>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</si>
  <si>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</si>
  <si>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</si>
  <si>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</si>
  <si>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</si>
  <si>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</si>
  <si>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</si>
  <si>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</si>
  <si>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</si>
  <si>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</si>
  <si>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</si>
  <si>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</si>
  <si>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</si>
  <si>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</si>
  <si>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</si>
  <si>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</si>
  <si>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</si>
  <si>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</si>
  <si>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</si>
  <si>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</si>
  <si>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</si>
  <si>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</si>
  <si>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</si>
  <si>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</si>
  <si>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</si>
  <si>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</si>
  <si>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</si>
  <si>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</si>
  <si>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</si>
  <si>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</si>
  <si>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</si>
  <si>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</si>
  <si>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</si>
  <si>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</si>
  <si>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</si>
  <si>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</si>
  <si>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</si>
  <si>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</si>
  <si>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11184</t>
  </si>
  <si>
    <t>FRANCISCO MALLEA</t>
  </si>
  <si>
    <t>569 8451 4974</t>
  </si>
  <si>
    <t>CUB C/R 90° R8</t>
  </si>
  <si>
    <t>WHITE MARBLE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</si>
</sst>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G36" sqref="G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45622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7" t="s">
        <v>165</v>
      </c>
      <c r="G17" s="337"/>
      <c r="H17" s="338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9" t="s">
        <v>95</v>
      </c>
      <c r="C19" s="340"/>
      <c r="D19" s="340"/>
      <c r="E19" s="340"/>
      <c r="F19" s="340"/>
      <c r="G19" s="340"/>
      <c r="H19" s="341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76973.984940005088</v>
      </c>
      <c r="R20" s="258">
        <v>3000</v>
      </c>
      <c r="S20" s="38"/>
      <c r="T20" s="14" t="s">
        <v>128</v>
      </c>
      <c r="U20" s="9"/>
      <c r="X20" s="4"/>
    </row>
    <row r="21" spans="1:25" ht="18" thickBot="1" x14ac:dyDescent="0.35">
      <c r="B21" s="329">
        <v>1</v>
      </c>
      <c r="C21" s="330" t="s">
        <v>171</v>
      </c>
      <c r="D21" s="331">
        <v>1.534</v>
      </c>
      <c r="E21" s="331">
        <v>0.73</v>
      </c>
      <c r="F21" s="330" t="s">
        <v>172</v>
      </c>
      <c r="G21" s="332">
        <v>93692</v>
      </c>
      <c r="H21" s="333">
        <f>G21*B21</f>
        <v>93692</v>
      </c>
      <c r="I21" s="320"/>
      <c r="J21" s="265"/>
      <c r="K21" s="47"/>
      <c r="L21" s="335">
        <f>B21</f>
        <v>1</v>
      </c>
      <c r="M21" s="336">
        <f>D21+M$19</f>
        <v>1.6140000000000001</v>
      </c>
      <c r="N21" s="336">
        <f>E21+$N$19</f>
        <v>0.73</v>
      </c>
      <c r="O21" s="261">
        <f t="shared" ref="O21" si="1">M21*N21</f>
        <v>1.17822</v>
      </c>
      <c r="P21" s="259">
        <f t="shared" ref="P21" si="2">O21*L21</f>
        <v>1.17822</v>
      </c>
      <c r="Q21" s="252">
        <f t="shared" ref="Q21" si="3">Q$20*O21</f>
        <v>90692.288536012798</v>
      </c>
      <c r="R21" s="319">
        <f t="shared" ref="R21" si="4">Q21+R$20</f>
        <v>93692.288536012798</v>
      </c>
      <c r="S21" s="297">
        <f>L21*M21*2</f>
        <v>3.2280000000000002</v>
      </c>
      <c r="T21" s="46">
        <f>N21*2*L21*2</f>
        <v>2.92</v>
      </c>
      <c r="U21" s="9"/>
      <c r="X21" s="4"/>
    </row>
    <row r="22" spans="1:25" ht="17.399999999999999" x14ac:dyDescent="0.3">
      <c r="B22" s="329">
        <v>1</v>
      </c>
      <c r="C22" s="330" t="s">
        <v>171</v>
      </c>
      <c r="D22" s="331">
        <v>1.353</v>
      </c>
      <c r="E22" s="331">
        <v>0.63</v>
      </c>
      <c r="F22" s="330" t="s">
        <v>172</v>
      </c>
      <c r="G22" s="332">
        <v>72491</v>
      </c>
      <c r="H22" s="333">
        <f t="shared" ref="H22" si="5">G22*B22</f>
        <v>72491</v>
      </c>
      <c r="I22" s="320"/>
      <c r="J22" s="265"/>
      <c r="K22" s="47"/>
      <c r="L22" s="335">
        <f>B22</f>
        <v>1</v>
      </c>
      <c r="M22" s="336">
        <f>D22+M$19</f>
        <v>1.4330000000000001</v>
      </c>
      <c r="N22" s="336">
        <f>E22+$N$19</f>
        <v>0.63</v>
      </c>
      <c r="O22" s="261">
        <f t="shared" ref="O22" si="6">M22*N22</f>
        <v>0.90279000000000009</v>
      </c>
      <c r="P22" s="259">
        <f t="shared" ref="P22" si="7">O22*L22</f>
        <v>0.90279000000000009</v>
      </c>
      <c r="Q22" s="252">
        <f t="shared" ref="Q22" si="8">Q$20*O22</f>
        <v>69491.343863987204</v>
      </c>
      <c r="R22" s="319">
        <f t="shared" ref="R22" si="9">Q22+R$20</f>
        <v>72491.343863987204</v>
      </c>
      <c r="S22" s="297">
        <f t="shared" ref="S22" si="10">L22*M22*2</f>
        <v>2.8660000000000001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166183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2.92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/>
      <c r="I26" s="322"/>
      <c r="J26" s="265"/>
      <c r="K26" s="47"/>
      <c r="L26" s="47"/>
      <c r="M26" s="39">
        <f>SUM(M21:M22)</f>
        <v>3.0470000000000002</v>
      </c>
      <c r="N26" s="12"/>
      <c r="O26" s="12"/>
      <c r="P26" s="253">
        <f>SUM(P21:P22)</f>
        <v>2.08101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166183</v>
      </c>
      <c r="I27" s="322"/>
      <c r="J27" s="265"/>
      <c r="K27" s="47"/>
      <c r="L27" s="47"/>
      <c r="M27" s="39"/>
      <c r="N27" s="12"/>
      <c r="O27" s="12"/>
      <c r="P27" s="253">
        <f>P26</f>
        <v>2.08101</v>
      </c>
      <c r="Q27" s="14"/>
      <c r="R27" s="12"/>
      <c r="S27" s="239">
        <f>SUM(S21:S26)</f>
        <v>6.0940000000000003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0.41620200000000002</v>
      </c>
      <c r="Q28" s="39" t="s">
        <v>130</v>
      </c>
      <c r="R28" s="42"/>
      <c r="S28" s="240">
        <f>S27+T25</f>
        <v>9.0139999999999993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2.4972120000000002</v>
      </c>
      <c r="Q29" s="14"/>
      <c r="R29" s="14"/>
      <c r="S29" s="238">
        <f>S28*20%</f>
        <v>1.8028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10.816799999999999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2.4972120000000002</v>
      </c>
      <c r="N31" s="12">
        <v>3500</v>
      </c>
      <c r="O31" s="12">
        <f t="shared" ref="O31:O36" si="11">M31*N31</f>
        <v>8740.2420000000002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25000</v>
      </c>
      <c r="O32" s="12">
        <f t="shared" si="11"/>
        <v>17500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71000</v>
      </c>
      <c r="O33" s="12">
        <f t="shared" si="11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2</v>
      </c>
      <c r="N34" s="250">
        <v>21000</v>
      </c>
      <c r="O34" s="12">
        <f t="shared" si="11"/>
        <v>42000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1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3.0470000000000002</v>
      </c>
      <c r="N36" s="12">
        <v>1500</v>
      </c>
      <c r="O36" s="12">
        <f t="shared" si="11"/>
        <v>4570.5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72810.741999999998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160183.6324</v>
      </c>
      <c r="P38" s="14" t="s">
        <v>140</v>
      </c>
      <c r="Q38" s="14"/>
      <c r="R38" s="40">
        <f>P29/R37</f>
        <v>0.67332075064710961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49480</v>
      </c>
      <c r="L39" s="250"/>
      <c r="M39" s="14"/>
      <c r="N39" s="12"/>
      <c r="O39" s="12">
        <f>O38/P27</f>
        <v>76973.984940005088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41579.831932773108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45622</v>
      </c>
    </row>
    <row r="6" spans="2:31" ht="16.2" thickBot="1" x14ac:dyDescent="0.35">
      <c r="B6" s="140" t="s">
        <v>2</v>
      </c>
      <c r="C6" s="139" t="str">
        <f>'2229'!C10</f>
        <v>FRANCISCO MALLEA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3" t="s">
        <v>98</v>
      </c>
      <c r="I7" s="344"/>
      <c r="J7" s="344"/>
      <c r="K7" s="345"/>
      <c r="N7" s="75"/>
      <c r="O7" s="3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11184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-12276.725150120774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166183</v>
      </c>
      <c r="E11" s="132">
        <f>D11*0.19</f>
        <v>31574.77</v>
      </c>
      <c r="F11" s="131">
        <f>E11+D11</f>
        <v>197757.77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93713.274849879221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56074.332787439613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75713.274849879221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110108.66721256039</v>
      </c>
      <c r="E13" s="221">
        <f>(D11/D12)-1</f>
        <v>1.9636197479147572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66713.274849879221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27713.274849879228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92522.649099275353</v>
      </c>
      <c r="F15" s="216">
        <f>E15-D12</f>
        <v>36448.316311835741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27713.274849879228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67713.274849879221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8740.2420000000002</v>
      </c>
      <c r="E20" s="121">
        <f>D20*0.19</f>
        <v>1660.64598</v>
      </c>
      <c r="F20" s="120">
        <f>SUM(D20:E20)</f>
        <v>10400.88798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26240.241999999998</v>
      </c>
      <c r="E21" s="116">
        <f>SUM(E18:E20)</f>
        <v>4985.6459800000002</v>
      </c>
      <c r="F21" s="115">
        <f>SUM(F18:F20)</f>
        <v>31225.88798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26589.124019999999</v>
      </c>
    </row>
    <row r="41" spans="2:16" ht="15" thickBot="1" x14ac:dyDescent="0.35">
      <c r="H41" s="346" t="s">
        <v>60</v>
      </c>
      <c r="I41" s="347"/>
      <c r="J41" s="347"/>
      <c r="K41" s="347"/>
      <c r="L41" s="347"/>
      <c r="M41" s="3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166183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26240.241999999998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110108.66721256039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110108.66721256039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2024-11-26T15:43:10Z</cp:lastPrinted>
  <dcterms:created xsi:type="dcterms:W3CDTF">2013-03-18T13:35:42Z</dcterms:created>
  <dcterms:modified xsi:type="dcterms:W3CDTF">2024-11-27T20:55:23Z</dcterms:modified>
</cp:coreProperties>
</file>