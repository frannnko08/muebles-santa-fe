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4\"/>
    </mc:Choice>
  </mc:AlternateContent>
  <xr:revisionPtr revIDLastSave="0" documentId="13_ncr:1_{63170F13-91EF-47B8-852C-A992E0A077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Q21" i="1"/>
  <c r="Q20" i="1"/>
  <c r="N21" i="1"/>
  <c r="M21" i="1" l="1"/>
  <c r="M25" i="1" s="1"/>
  <c r="L21" i="1"/>
  <c r="T21" i="1" l="1"/>
  <c r="T24" i="1" s="1"/>
  <c r="S21" i="1"/>
  <c r="S26" i="1" s="1"/>
  <c r="O21" i="1"/>
  <c r="P21" i="1" s="1"/>
  <c r="P25" i="1" s="1"/>
  <c r="K39" i="1"/>
  <c r="S27" i="1" l="1"/>
  <c r="S28" i="1" s="1"/>
  <c r="S29" i="1" s="1"/>
  <c r="V32" i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D21" i="3"/>
  <c r="M43" i="3" s="1"/>
  <c r="D12" i="3" s="1"/>
  <c r="F20" i="3"/>
  <c r="F21" i="3" s="1"/>
  <c r="O39" i="1" l="1"/>
  <c r="E15" i="3"/>
  <c r="F15" i="3" l="1"/>
  <c r="R21" i="1" l="1"/>
  <c r="H21" i="1" l="1"/>
  <c r="H24" i="1" s="1"/>
  <c r="H26" i="1" l="1"/>
  <c r="D11" i="3"/>
  <c r="X9" i="3" s="1"/>
  <c r="X15" i="3" s="1"/>
  <c r="M42" i="3" l="1"/>
  <c r="M46" i="3" s="1"/>
  <c r="M49" i="3" s="1"/>
  <c r="E11" i="3"/>
  <c r="D40" i="3" s="1"/>
  <c r="E13" i="3"/>
  <c r="X12" i="3"/>
  <c r="X11" i="3"/>
  <c r="X16" i="3"/>
  <c r="X13" i="3"/>
  <c r="X14" i="3"/>
  <c r="D13" i="3"/>
  <c r="F11" i="3" l="1"/>
</calcChain>
</file>

<file path=xl/sharedStrings.xml><?xml version="1.0" encoding="utf-8"?>
<sst xmlns="http://schemas.openxmlformats.org/spreadsheetml/2006/main" count="229" uniqueCount="173">
  <si>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</si>
  <si>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</si>
  <si>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</si>
  <si>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</si>
  <si>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</si>
  <si>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</si>
  <si>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</si>
  <si>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</si>
  <si>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</si>
  <si>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</si>
  <si>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</si>
  <si>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</si>
  <si>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</si>
  <si>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</si>
  <si>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</si>
  <si>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</si>
  <si>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</si>
  <si>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</si>
  <si>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</si>
  <si>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</si>
  <si>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</si>
  <si>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</si>
  <si>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</si>
  <si>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</si>
  <si>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</si>
  <si>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</si>
  <si>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</si>
  <si>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</si>
  <si>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</si>
  <si>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</si>
  <si>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</si>
  <si>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</si>
  <si>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</si>
  <si>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</si>
  <si>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</si>
  <si>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</si>
  <si>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</si>
  <si>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</si>
  <si>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</si>
  <si>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</si>
  <si>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</si>
  <si>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</si>
  <si>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</si>
  <si>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</si>
  <si>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</si>
  <si>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</si>
  <si>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</si>
  <si>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</si>
  <si>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</si>
  <si>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</si>
  <si>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</si>
  <si>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</si>
  <si>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</si>
  <si>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</si>
  <si>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</si>
  <si>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</si>
  <si>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</si>
  <si>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</si>
  <si>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</si>
  <si>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</si>
  <si>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</si>
  <si>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</si>
  <si>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</si>
  <si>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</si>
  <si>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</si>
  <si>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</si>
  <si>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</si>
  <si>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</si>
  <si>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</si>
  <si>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</si>
  <si>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</si>
  <si>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</si>
  <si>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</si>
  <si>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</si>
  <si>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</si>
  <si>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</si>
  <si>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</si>
  <si>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</si>
  <si>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</si>
  <si>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</si>
  <si>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</si>
  <si>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</si>
  <si>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</si>
  <si>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</si>
  <si>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</si>
  <si>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</si>
  <si>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</si>
  <si>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</si>
  <si>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</si>
  <si>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</si>
  <si>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</si>
  <si>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</si>
  <si>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</si>
  <si>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</si>
  <si>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</si>
  <si>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</si>
  <si>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</si>
  <si>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</si>
  <si>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</si>
  <si>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</si>
  <si>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</si>
  <si>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</si>
  <si>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</si>
  <si>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</si>
  <si>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</si>
  <si>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</si>
  <si>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</si>
  <si>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</si>
  <si>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</si>
  <si>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</si>
  <si>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</si>
  <si>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</si>
  <si>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</si>
  <si>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</si>
  <si>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</si>
  <si>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</si>
  <si>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</si>
  <si>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</si>
  <si>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</si>
  <si>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</si>
  <si>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</si>
  <si>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</si>
  <si>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</si>
  <si>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</si>
  <si>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</si>
  <si>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</si>
  <si>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</si>
  <si>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</si>
  <si>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</si>
  <si>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</si>
  <si>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</si>
  <si>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</si>
  <si>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</si>
  <si>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</si>
  <si>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</si>
  <si>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</si>
  <si>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</si>
  <si>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</si>
  <si>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</si>
  <si>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</si>
  <si>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</si>
  <si>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</si>
  <si>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</si>
  <si>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</si>
  <si>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</si>
  <si>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</si>
  <si>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</si>
  <si>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</si>
  <si>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</si>
  <si>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</si>
  <si>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</si>
  <si>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</si>
  <si>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</si>
  <si>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</si>
  <si>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</si>
  <si>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</si>
  <si>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</si>
  <si>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</si>
  <si>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</si>
  <si>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</si>
  <si>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</si>
  <si>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</si>
  <si>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</si>
  <si>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</si>
  <si>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</si>
  <si>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</si>
  <si>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</si>
  <si>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N° 11188</t>
  </si>
  <si>
    <t>SERGIO PONCE</t>
  </si>
  <si>
    <t>569 7541 6533</t>
  </si>
  <si>
    <t>7 DIAS HABILES</t>
  </si>
  <si>
    <t>CUB C/R 90° R8</t>
  </si>
  <si>
    <t>TIPO MARMOL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</si>
</sst>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167" fontId="0" fillId="10" borderId="0" xfId="0" applyNumberFormat="1" applyFill="1"/>
    <xf numFmtId="166" fontId="3" fillId="10" borderId="0" xfId="0" applyNumberFormat="1" applyFon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</a:t>
          </a:r>
          <a:r>
            <a:rPr lang="es-CL" sz="12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MDF18MM</a:t>
          </a:r>
        </a:p>
        <a:p>
          <a:pPr algn="l"/>
          <a:r>
            <a:rPr lang="es-CL" sz="12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CONSIDERA DESFONDADOS PARA ENCIMERA Y LAVAPLATOS, NO INCLUYE INSTALACION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7" zoomScale="93" zoomScaleNormal="93" workbookViewId="0">
      <selection activeCell="F34" sqref="F34"/>
    </sheetView>
  </sheetViews>
  <sheetFormatPr baseColWidth="10" defaultRowHeight="14.4" x14ac:dyDescent="0.3"/>
  <cols>
    <col min="1" max="1" width="6" customWidth="1"/>
    <col min="2" max="2" width="10.5546875" customWidth="1"/>
    <col min="3" max="3" width="34.21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34" t="s">
        <v>167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168</v>
      </c>
      <c r="D10" s="243"/>
      <c r="E10" s="243"/>
      <c r="F10" s="244" t="s">
        <v>0</v>
      </c>
      <c r="G10" s="276">
        <v>45628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170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169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7" t="s">
        <v>165</v>
      </c>
      <c r="G17" s="337"/>
      <c r="H17" s="338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9" t="s">
        <v>95</v>
      </c>
      <c r="C19" s="340"/>
      <c r="D19" s="340"/>
      <c r="E19" s="340"/>
      <c r="F19" s="340"/>
      <c r="G19" s="340"/>
      <c r="H19" s="341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8" thickBot="1" x14ac:dyDescent="0.35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106816.85110932909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29">
        <v>1</v>
      </c>
      <c r="C21" s="330" t="s">
        <v>171</v>
      </c>
      <c r="D21" s="331">
        <v>2.5</v>
      </c>
      <c r="E21" s="331">
        <v>0.57999999999999996</v>
      </c>
      <c r="F21" s="330" t="s">
        <v>172</v>
      </c>
      <c r="G21" s="332">
        <v>172841</v>
      </c>
      <c r="H21" s="333">
        <f>G21*B21</f>
        <v>172841</v>
      </c>
      <c r="I21" s="320"/>
      <c r="J21" s="265"/>
      <c r="K21" s="47"/>
      <c r="L21" s="335">
        <f>B21</f>
        <v>1</v>
      </c>
      <c r="M21" s="336">
        <f>D21+M$19</f>
        <v>2.58</v>
      </c>
      <c r="N21" s="336">
        <f>E21+$N$19</f>
        <v>0.57999999999999996</v>
      </c>
      <c r="O21" s="261">
        <f t="shared" ref="O21" si="1">M21*N21</f>
        <v>1.4964</v>
      </c>
      <c r="P21" s="259">
        <f t="shared" ref="P21" si="2">O21*L21</f>
        <v>1.4964</v>
      </c>
      <c r="Q21" s="252">
        <f t="shared" ref="Q21" si="3">Q$20*O21</f>
        <v>159840.73600000003</v>
      </c>
      <c r="R21" s="319">
        <f t="shared" ref="R21" si="4">Q21+R$20</f>
        <v>162840.73600000003</v>
      </c>
      <c r="S21" s="297">
        <f>L21*M21*2</f>
        <v>5.16</v>
      </c>
      <c r="T21" s="46">
        <f>N21*2*L21*2</f>
        <v>2.3199999999999998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20"/>
      <c r="H22" s="320"/>
      <c r="I22" s="320"/>
      <c r="J22" s="265"/>
      <c r="K22" s="47"/>
      <c r="L22" s="47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SUM(H21:H23)</f>
        <v>172841</v>
      </c>
      <c r="I24" s="322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7"/>
      <c r="T24" s="46">
        <f>SUM(T21:T23)</f>
        <v>2.3199999999999998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32839.79</v>
      </c>
      <c r="I25" s="322"/>
      <c r="J25" s="265"/>
      <c r="K25" s="47"/>
      <c r="L25" s="47"/>
      <c r="M25" s="39">
        <f>SUM(M21:M21)</f>
        <v>2.58</v>
      </c>
      <c r="N25" s="12"/>
      <c r="O25" s="12"/>
      <c r="P25" s="253">
        <f>SUM(P21:P21)</f>
        <v>1.4964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205680.79</v>
      </c>
      <c r="I26" s="322"/>
      <c r="J26" s="265"/>
      <c r="K26" s="47"/>
      <c r="L26" s="47"/>
      <c r="M26" s="39"/>
      <c r="N26" s="12"/>
      <c r="O26" s="12"/>
      <c r="P26" s="253">
        <f>P25</f>
        <v>1.4964</v>
      </c>
      <c r="Q26" s="14"/>
      <c r="R26" s="12"/>
      <c r="S26" s="239">
        <f>SUM(S21:S25)</f>
        <v>5.16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0.29927999999999999</v>
      </c>
      <c r="Q27" s="39" t="s">
        <v>130</v>
      </c>
      <c r="R27" s="42"/>
      <c r="S27" s="240">
        <f>S26+T24</f>
        <v>7.48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1.7956799999999999</v>
      </c>
      <c r="Q28" s="14"/>
      <c r="R28" s="14"/>
      <c r="S28" s="238">
        <f>S27*20%</f>
        <v>1.4960000000000002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8.9760000000000009</v>
      </c>
      <c r="T29" s="14"/>
      <c r="U29" s="302" t="s">
        <v>21</v>
      </c>
      <c r="V29" s="299" t="s">
        <v>152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1.7956799999999999</v>
      </c>
      <c r="N30" s="12">
        <v>3500</v>
      </c>
      <c r="O30" s="12">
        <f t="shared" ref="O30:O35" si="5">M30*N30</f>
        <v>6284.88</v>
      </c>
      <c r="P30" s="14" t="s">
        <v>21</v>
      </c>
      <c r="Q30" s="14"/>
      <c r="R30" s="14"/>
      <c r="S30" s="241"/>
      <c r="T30" s="14"/>
      <c r="U30" s="302" t="s">
        <v>153</v>
      </c>
      <c r="V30" s="299">
        <v>3625</v>
      </c>
      <c r="W30" s="59" t="s">
        <v>154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0.5</v>
      </c>
      <c r="N31" s="12">
        <v>25000</v>
      </c>
      <c r="O31" s="12">
        <f t="shared" si="5"/>
        <v>12500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155</v>
      </c>
      <c r="X31" s="304"/>
    </row>
    <row r="32" spans="1:25" s="230" customFormat="1" ht="17.399999999999999" x14ac:dyDescent="0.35">
      <c r="B32" s="24" t="s">
        <v>151</v>
      </c>
      <c r="J32" s="262"/>
      <c r="K32" s="232"/>
      <c r="L32" s="250"/>
      <c r="M32" s="14"/>
      <c r="N32" s="250">
        <v>49250</v>
      </c>
      <c r="O32" s="12">
        <f t="shared" si="5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156</v>
      </c>
      <c r="X32" s="59"/>
    </row>
    <row r="33" spans="2:24" s="230" customFormat="1" ht="17.399999999999999" x14ac:dyDescent="0.35">
      <c r="B33" s="24" t="s">
        <v>144</v>
      </c>
      <c r="C33"/>
      <c r="D33"/>
      <c r="E33"/>
      <c r="F33"/>
      <c r="J33" s="262"/>
      <c r="K33" s="232"/>
      <c r="L33" s="250"/>
      <c r="M33" s="14">
        <v>1</v>
      </c>
      <c r="N33" s="250">
        <v>50000</v>
      </c>
      <c r="O33" s="12">
        <f t="shared" si="5"/>
        <v>50000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157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/>
      <c r="L34" s="250"/>
      <c r="M34" s="249"/>
      <c r="N34" s="250">
        <v>900</v>
      </c>
      <c r="O34" s="12">
        <f t="shared" si="5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60"/>
      <c r="L35" s="250"/>
      <c r="M35" s="266">
        <v>2.58</v>
      </c>
      <c r="N35" s="12">
        <v>1500</v>
      </c>
      <c r="O35" s="12">
        <f t="shared" si="5"/>
        <v>3870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72654.880000000005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O36*2.2</f>
        <v>159840.73600000003</v>
      </c>
      <c r="P37" s="14" t="s">
        <v>140</v>
      </c>
      <c r="Q37" s="14"/>
      <c r="R37" s="40">
        <f>P28/R36</f>
        <v>0.48416738567730799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58560</v>
      </c>
      <c r="L38" s="250"/>
      <c r="M38" s="14"/>
      <c r="N38" s="12"/>
      <c r="O38" s="12">
        <f>O37/P26</f>
        <v>106816.85110932909</v>
      </c>
      <c r="P38" s="45" t="s">
        <v>24</v>
      </c>
      <c r="Q38" s="14"/>
      <c r="R38" s="14"/>
      <c r="S38"/>
      <c r="T38" s="238"/>
      <c r="U38" s="59" t="s">
        <v>158</v>
      </c>
      <c r="V38" s="299">
        <v>43650</v>
      </c>
    </row>
    <row r="39" spans="2:24" s="230" customFormat="1" ht="17.399999999999999" x14ac:dyDescent="0.35">
      <c r="G39"/>
      <c r="K39" s="230">
        <f>K38/1.19</f>
        <v>49210.08403361345</v>
      </c>
      <c r="L39" s="250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160</v>
      </c>
      <c r="V39" s="300" t="s">
        <v>159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161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156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148</v>
      </c>
    </row>
    <row r="74" spans="3:15" x14ac:dyDescent="0.3">
      <c r="C74" t="s">
        <v>147</v>
      </c>
    </row>
    <row r="77" spans="3:15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45628</v>
      </c>
    </row>
    <row r="6" spans="2:31" ht="16.2" thickBot="1" x14ac:dyDescent="0.35">
      <c r="B6" s="140" t="s">
        <v>2</v>
      </c>
      <c r="C6" s="139" t="str">
        <f>'2229'!C10</f>
        <v>SERGIO PONCE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3" t="s">
        <v>98</v>
      </c>
      <c r="I7" s="344"/>
      <c r="J7" s="344"/>
      <c r="K7" s="345"/>
      <c r="N7" s="75"/>
      <c r="O7" s="342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11188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2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-15436.616366787441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172841</v>
      </c>
      <c r="E11" s="132">
        <f>D11*0.19</f>
        <v>32839.79</v>
      </c>
      <c r="F11" s="131">
        <f>E11+D11</f>
        <v>205680.79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90553.383633212565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48618.970787439612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72553.383633212565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124222.02921256039</v>
      </c>
      <c r="E13" s="221">
        <f>(D11/D12)-1</f>
        <v>2.555011494497788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63553.383633212557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24553.383633212557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80221.301799275359</v>
      </c>
      <c r="F15" s="216">
        <f>E15-D12</f>
        <v>31602.331011835748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24553.383633212557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64553.383633212557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12500</v>
      </c>
      <c r="E19" s="123">
        <f>D19*0.19</f>
        <v>2375</v>
      </c>
      <c r="F19" s="120">
        <f>SUM(D19:E19)</f>
        <v>14875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6284.88</v>
      </c>
      <c r="E20" s="121">
        <f>D20*0.19</f>
        <v>1194.1272000000001</v>
      </c>
      <c r="F20" s="120">
        <f>SUM(D20:E20)</f>
        <v>7479.0072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18784.88</v>
      </c>
      <c r="E21" s="116">
        <f>SUM(E18:E20)</f>
        <v>3569.1271999999999</v>
      </c>
      <c r="F21" s="115">
        <f>SUM(F18:F20)</f>
        <v>22354.0072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29270.662800000002</v>
      </c>
    </row>
    <row r="41" spans="2:16" ht="15" thickBot="1" x14ac:dyDescent="0.35">
      <c r="H41" s="346" t="s">
        <v>60</v>
      </c>
      <c r="I41" s="347"/>
      <c r="J41" s="347"/>
      <c r="K41" s="347"/>
      <c r="L41" s="347"/>
      <c r="M41" s="348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172841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18784.88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124222.02921256039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124222.02921256039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2024-11-28T20:51:14Z</cp:lastPrinted>
  <dcterms:created xsi:type="dcterms:W3CDTF">2013-03-18T13:35:42Z</dcterms:created>
  <dcterms:modified xsi:type="dcterms:W3CDTF">2024-12-02T12:52:42Z</dcterms:modified>
</cp:coreProperties>
</file>