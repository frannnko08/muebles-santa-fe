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458AC210-59AD-4541-9F48-F7802F17F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 (2)" sheetId="4" r:id="rId1"/>
    <sheet name="2229" sheetId="1" r:id="rId2"/>
    <sheet name="COSTOS" sheetId="3" r:id="rId3"/>
  </sheets>
  <definedNames>
    <definedName name="_xlnm.Print_Area" localSheetId="1">'2229'!$B$1:$H$35</definedName>
    <definedName name="_xlnm.Print_Area" localSheetId="0">'2229 (2)'!$B$1:$H$35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4" l="1"/>
  <c r="R36" i="4"/>
  <c r="O35" i="4"/>
  <c r="O34" i="4"/>
  <c r="O33" i="4"/>
  <c r="V32" i="4"/>
  <c r="V33" i="4" s="1"/>
  <c r="O32" i="4"/>
  <c r="O31" i="4"/>
  <c r="S21" i="4"/>
  <c r="S26" i="4" s="1"/>
  <c r="O21" i="4"/>
  <c r="P21" i="4" s="1"/>
  <c r="P25" i="4" s="1"/>
  <c r="P26" i="4" s="1"/>
  <c r="N21" i="4"/>
  <c r="T21" i="4" s="1"/>
  <c r="T24" i="4" s="1"/>
  <c r="M21" i="4"/>
  <c r="M25" i="4" s="1"/>
  <c r="L21" i="4"/>
  <c r="H21" i="4"/>
  <c r="H24" i="4" s="1"/>
  <c r="N20" i="4"/>
  <c r="L20" i="4"/>
  <c r="P27" i="4" l="1"/>
  <c r="P28" i="4"/>
  <c r="H25" i="4"/>
  <c r="H26" i="4" s="1"/>
  <c r="S27" i="4"/>
  <c r="N21" i="1"/>
  <c r="R37" i="4" l="1"/>
  <c r="M30" i="4"/>
  <c r="O30" i="4" s="1"/>
  <c r="O36" i="4" s="1"/>
  <c r="O37" i="4" s="1"/>
  <c r="S28" i="4"/>
  <c r="S29" i="4" s="1"/>
  <c r="M21" i="1"/>
  <c r="M25" i="1" s="1"/>
  <c r="L21" i="1"/>
  <c r="O39" i="4" l="1"/>
  <c r="O38" i="4"/>
  <c r="Q20" i="4" s="1"/>
  <c r="Q21" i="4" s="1"/>
  <c r="R21" i="4" s="1"/>
  <c r="T21" i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<sst xmlns="http://schemas.openxmlformats.org/spreadsheetml/2006/main" count="320" uniqueCount="177">
  <si>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</si>
  <si>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</si>
  <si>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</si>
  <si>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</si>
  <si>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</si>
  <si>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</si>
  <si>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</si>
  <si>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</si>
  <si>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</si>
  <si>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</si>
  <si>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</si>
  <si>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</si>
  <si>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</si>
  <si>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</si>
  <si>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</si>
  <si>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</si>
  <si>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</si>
  <si>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</si>
  <si>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</si>
  <si>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</si>
  <si>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</si>
  <si>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</si>
  <si>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</si>
  <si>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</si>
  <si>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</si>
  <si>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</si>
  <si>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</si>
  <si>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</si>
  <si>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</si>
  <si>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</si>
  <si>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</si>
  <si>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</si>
  <si>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</si>
  <si>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</si>
  <si>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</si>
  <si>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</si>
  <si>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</si>
  <si>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</si>
  <si>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</si>
  <si>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</si>
  <si>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</si>
  <si>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</si>
  <si>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</si>
  <si>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</si>
  <si>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</si>
  <si>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</si>
  <si>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</si>
  <si>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</si>
  <si>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</si>
  <si>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</si>
  <si>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</si>
  <si>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</si>
  <si>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</si>
  <si>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</si>
  <si>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</si>
  <si>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</si>
  <si>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</si>
  <si>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</si>
  <si>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</si>
  <si>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</si>
  <si>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</si>
  <si>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</si>
  <si>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</si>
  <si>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</si>
  <si>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</si>
  <si>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</si>
  <si>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</si>
  <si>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</si>
  <si>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</si>
  <si>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</si>
  <si>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</si>
  <si>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</si>
  <si>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</si>
  <si>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</si>
  <si>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</si>
  <si>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</si>
  <si>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</si>
  <si>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</si>
  <si>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</si>
  <si>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</si>
  <si>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</si>
  <si>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</si>
  <si>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</si>
  <si>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</si>
  <si>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</si>
  <si>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</si>
  <si>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</si>
  <si>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</si>
  <si>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</si>
  <si>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</si>
  <si>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</si>
  <si>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</si>
  <si>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</si>
  <si>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</si>
  <si>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</si>
  <si>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</si>
  <si>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</si>
  <si>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</si>
  <si>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</si>
  <si>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</si>
  <si>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</si>
  <si>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</si>
  <si>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</si>
  <si>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</si>
  <si>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</si>
  <si>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</si>
  <si>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</si>
  <si>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</si>
  <si>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</si>
  <si>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</si>
  <si>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</si>
  <si>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</si>
  <si>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</si>
  <si>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</si>
  <si>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</si>
  <si>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</si>
  <si>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</si>
  <si>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</si>
  <si>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</si>
  <si>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</si>
  <si>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</si>
  <si>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</si>
  <si>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</si>
  <si>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</si>
  <si>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</si>
  <si>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</si>
  <si>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</si>
  <si>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</si>
  <si>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</si>
  <si>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</si>
  <si>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</si>
  <si>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</si>
  <si>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</si>
  <si>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</si>
  <si>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</si>
  <si>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</si>
  <si>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</si>
  <si>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</si>
  <si>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</si>
  <si>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</si>
  <si>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</si>
  <si>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</si>
  <si>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</si>
  <si>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</si>
  <si>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</si>
  <si>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</si>
  <si>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</si>
  <si>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</si>
  <si>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</si>
  <si>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</si>
  <si>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</si>
  <si>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</si>
  <si>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</si>
  <si>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</si>
  <si>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</si>
  <si>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</si>
  <si>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</si>
  <si>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</si>
  <si>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</si>
  <si>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</si>
  <si>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</si>
  <si>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</si>
  <si>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</si>
  <si>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</si>
  <si>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</si>
  <si>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</si>
  <si>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</si>
  <si>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</si>
  <si>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11185</t>
  </si>
  <si>
    <t>SI</t>
  </si>
  <si>
    <t>ANGEL MIRANDA</t>
  </si>
  <si>
    <t>CUB C/R 90° R6</t>
  </si>
  <si>
    <t>MOUSE 2193</t>
  </si>
  <si>
    <t>+569 6575 0468</t>
  </si>
  <si>
    <t>MARCOS.VARELA.575@GMAIL.COM</t>
  </si>
  <si>
    <t>N° 12039</t>
  </si>
  <si>
    <t>BELLA NOCE 10491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</si>
</sst>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A7E078C-D7F0-4EC5-B4EC-64CE1DB147AE}"/>
            </a:ext>
          </a:extLst>
        </xdr:cNvPr>
        <xdr:cNvSpPr/>
      </xdr:nvSpPr>
      <xdr:spPr>
        <a:xfrm>
          <a:off x="7315200" y="55250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1475BF7-C104-4DB1-A991-3492D9934937}"/>
            </a:ext>
          </a:extLst>
        </xdr:cNvPr>
        <xdr:cNvCxnSpPr/>
      </xdr:nvCxnSpPr>
      <xdr:spPr>
        <a:xfrm>
          <a:off x="7538085" y="61131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41AA421-83C9-4BC2-BD69-B8D8830F7308}"/>
            </a:ext>
          </a:extLst>
        </xdr:cNvPr>
        <xdr:cNvSpPr/>
      </xdr:nvSpPr>
      <xdr:spPr>
        <a:xfrm>
          <a:off x="390525" y="5526405"/>
          <a:ext cx="6322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C3C2AA6-9DC3-4FAF-8DE7-9F67C13EAC0E}"/>
            </a:ext>
          </a:extLst>
        </xdr:cNvPr>
        <xdr:cNvSpPr/>
      </xdr:nvSpPr>
      <xdr:spPr>
        <a:xfrm>
          <a:off x="411480" y="4634865"/>
          <a:ext cx="6285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SOBREMEDIDAS.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D87246-97AF-40C5-B365-5973D382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" y="0"/>
          <a:ext cx="1516511" cy="1156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CORTADA A LA MEDIDA</a:t>
          </a:r>
          <a:r>
            <a:rPr lang="es-CL" sz="1200" b="1" baseline="0"/>
            <a:t> Y ENCHAPADA MISMA LAMINA SIN REGRUESO LADO DERECHO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COS.VARELA.575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47C5-21AF-4F2C-AFB3-8DE1909F897F}">
  <sheetPr>
    <pageSetUpPr fitToPage="1"/>
  </sheetPr>
  <dimension ref="A2:Y581"/>
  <sheetViews>
    <sheetView tabSelected="1" topLeftCell="A5" zoomScale="93" zoomScaleNormal="93" workbookViewId="0">
      <selection activeCell="J14" sqref="J1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45639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 t="s">
        <v>174</v>
      </c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89868.611864606675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2.7</v>
      </c>
      <c r="E21" s="331">
        <v>0.61</v>
      </c>
      <c r="F21" s="330" t="s">
        <v>176</v>
      </c>
      <c r="G21" s="332">
        <v>152399</v>
      </c>
      <c r="H21" s="333">
        <f>G21*B21</f>
        <v>152399</v>
      </c>
      <c r="I21" s="320"/>
      <c r="J21" s="265"/>
      <c r="K21" s="47"/>
      <c r="L21" s="335">
        <f>B21</f>
        <v>1</v>
      </c>
      <c r="M21" s="336">
        <f>D21+M$19</f>
        <v>2.7800000000000002</v>
      </c>
      <c r="N21" s="336">
        <f>E21+$N$19</f>
        <v>0.61</v>
      </c>
      <c r="O21" s="261">
        <f t="shared" ref="O21" si="1">M21*N21</f>
        <v>1.6958000000000002</v>
      </c>
      <c r="P21" s="259">
        <f t="shared" ref="P21" si="2">O21*L21</f>
        <v>1.6958000000000002</v>
      </c>
      <c r="Q21" s="252">
        <f t="shared" ref="Q21" si="3">Q$20*O21</f>
        <v>152399.19200000001</v>
      </c>
      <c r="R21" s="319">
        <f t="shared" ref="R21" si="4">Q21+R$20</f>
        <v>157399.19200000001</v>
      </c>
      <c r="S21" s="297">
        <f>L21*M21*2</f>
        <v>5.5600000000000005</v>
      </c>
      <c r="T21" s="46">
        <f>N21*2*L21*2</f>
        <v>2.44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H21</f>
        <v>152399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H24*0.19</f>
        <v>28955.81</v>
      </c>
      <c r="I25" s="322"/>
      <c r="J25" s="265"/>
      <c r="K25" s="47"/>
      <c r="L25" s="47"/>
      <c r="M25" s="39">
        <f>SUM(M21:M21)</f>
        <v>2.7800000000000002</v>
      </c>
      <c r="N25" s="12"/>
      <c r="O25" s="12"/>
      <c r="P25" s="253">
        <f>SUM(P21:P21)</f>
        <v>1.6958000000000002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181354.81</v>
      </c>
      <c r="I26" s="322"/>
      <c r="J26" s="265"/>
      <c r="K26" s="47"/>
      <c r="L26" s="47"/>
      <c r="M26" s="39"/>
      <c r="N26" s="12"/>
      <c r="O26" s="12"/>
      <c r="P26" s="253">
        <f>P25</f>
        <v>1.6958000000000002</v>
      </c>
      <c r="Q26" s="14"/>
      <c r="R26" s="12"/>
      <c r="S26" s="239">
        <f>SUM(S21:S25)</f>
        <v>5.5600000000000005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0.33916000000000007</v>
      </c>
      <c r="Q27" s="39" t="s">
        <v>130</v>
      </c>
      <c r="R27" s="42"/>
      <c r="S27" s="240">
        <f>S26+T24</f>
        <v>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2.0349600000000003</v>
      </c>
      <c r="Q28" s="14"/>
      <c r="R28" s="14"/>
      <c r="S28" s="238">
        <f>S27*20%</f>
        <v>1.6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9.6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2.0349600000000003</v>
      </c>
      <c r="N30" s="12">
        <v>3500</v>
      </c>
      <c r="O30" s="12">
        <f t="shared" ref="O30:O35" si="5">M30*N30</f>
        <v>7122.3600000000015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25000</v>
      </c>
      <c r="O31" s="12">
        <f t="shared" si="5"/>
        <v>15000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43100</v>
      </c>
      <c r="O33" s="12">
        <f t="shared" si="5"/>
        <v>43100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2.7</v>
      </c>
      <c r="N35" s="12">
        <v>1500</v>
      </c>
      <c r="O35" s="12">
        <f t="shared" si="5"/>
        <v>4050.0000000000005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69272.36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152399.19200000001</v>
      </c>
      <c r="P37" s="14" t="s">
        <v>140</v>
      </c>
      <c r="Q37" s="14"/>
      <c r="R37" s="40">
        <f>P28/R36</f>
        <v>0.54868421052631589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59760</v>
      </c>
      <c r="L38" s="250"/>
      <c r="M38" s="14"/>
      <c r="N38" s="12"/>
      <c r="O38" s="12">
        <f>O37/P26</f>
        <v>89868.611864606675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50218.487394957985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hyperlinks>
    <hyperlink ref="F34" r:id="rId1" xr:uid="{F6532BB8-CCC8-486E-9CAA-616A88F958F3}"/>
    <hyperlink ref="C14" r:id="rId2" xr:uid="{7535C855-FB19-4FB9-9368-96657968F32E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opLeftCell="A12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45623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169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81423.040452883593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2.7</v>
      </c>
      <c r="E21" s="331">
        <v>0.61</v>
      </c>
      <c r="F21" s="330" t="s">
        <v>172</v>
      </c>
      <c r="G21" s="332">
        <v>138077</v>
      </c>
      <c r="H21" s="333">
        <f>G21*B21</f>
        <v>138077</v>
      </c>
      <c r="I21" s="320"/>
      <c r="J21" s="265"/>
      <c r="K21" s="47"/>
      <c r="L21" s="335">
        <f>B21</f>
        <v>1</v>
      </c>
      <c r="M21" s="336">
        <f>D21+M$19</f>
        <v>2.7800000000000002</v>
      </c>
      <c r="N21" s="336">
        <f>E21+$N$19</f>
        <v>0.61</v>
      </c>
      <c r="O21" s="261">
        <f t="shared" ref="O21" si="1">M21*N21</f>
        <v>1.6958000000000002</v>
      </c>
      <c r="P21" s="259">
        <f t="shared" ref="P21" si="2">O21*L21</f>
        <v>1.6958000000000002</v>
      </c>
      <c r="Q21" s="252">
        <f t="shared" ref="Q21" si="3">Q$20*O21</f>
        <v>138077.19200000001</v>
      </c>
      <c r="R21" s="319">
        <f t="shared" ref="R21" si="4">Q21+R$20</f>
        <v>143077.19200000001</v>
      </c>
      <c r="S21" s="297">
        <f>L21*M21*2</f>
        <v>5.5600000000000005</v>
      </c>
      <c r="T21" s="46">
        <f>N21*2*L21*2</f>
        <v>2.44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H21</f>
        <v>138077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H24*0.19</f>
        <v>26234.63</v>
      </c>
      <c r="I25" s="322"/>
      <c r="J25" s="265"/>
      <c r="K25" s="47"/>
      <c r="L25" s="47"/>
      <c r="M25" s="39">
        <f>SUM(M21:M21)</f>
        <v>2.7800000000000002</v>
      </c>
      <c r="N25" s="12"/>
      <c r="O25" s="12"/>
      <c r="P25" s="253">
        <f>SUM(P21:P21)</f>
        <v>1.6958000000000002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164311.63</v>
      </c>
      <c r="I26" s="322"/>
      <c r="J26" s="265"/>
      <c r="K26" s="47"/>
      <c r="L26" s="47"/>
      <c r="M26" s="39"/>
      <c r="N26" s="12"/>
      <c r="O26" s="12"/>
      <c r="P26" s="253">
        <f>P25</f>
        <v>1.6958000000000002</v>
      </c>
      <c r="Q26" s="14"/>
      <c r="R26" s="12"/>
      <c r="S26" s="239">
        <f>SUM(S21:S25)</f>
        <v>5.5600000000000005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0.33916000000000007</v>
      </c>
      <c r="Q27" s="39" t="s">
        <v>130</v>
      </c>
      <c r="R27" s="42"/>
      <c r="S27" s="240">
        <f>S26+T24</f>
        <v>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2.0349600000000003</v>
      </c>
      <c r="Q28" s="14"/>
      <c r="R28" s="14"/>
      <c r="S28" s="238">
        <f>S27*20%</f>
        <v>1.6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9.6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2.0349600000000003</v>
      </c>
      <c r="N30" s="12">
        <v>3500</v>
      </c>
      <c r="O30" s="12">
        <f t="shared" ref="O30:O35" si="5">M30*N30</f>
        <v>7122.3600000000015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25000</v>
      </c>
      <c r="O31" s="12">
        <f t="shared" si="5"/>
        <v>15000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36590</v>
      </c>
      <c r="O33" s="12">
        <f t="shared" si="5"/>
        <v>36590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2.7</v>
      </c>
      <c r="N35" s="12">
        <v>1500</v>
      </c>
      <c r="O35" s="12">
        <f t="shared" si="5"/>
        <v>4050.0000000000005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62762.36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138077.19200000001</v>
      </c>
      <c r="P37" s="14" t="s">
        <v>140</v>
      </c>
      <c r="Q37" s="14"/>
      <c r="R37" s="40">
        <f>P28/R36</f>
        <v>0.54868421052631589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59760</v>
      </c>
      <c r="L38" s="250"/>
      <c r="M38" s="14"/>
      <c r="N38" s="12"/>
      <c r="O38" s="12">
        <f>O37/P26</f>
        <v>81423.040452883593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50218.487394957985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45623</v>
      </c>
    </row>
    <row r="6" spans="2:31" ht="16.2" thickBot="1" x14ac:dyDescent="0.35">
      <c r="B6" s="140" t="s">
        <v>2</v>
      </c>
      <c r="C6" s="139" t="str">
        <f>'2229'!C10</f>
        <v>ANGEL MIRANDA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-8724.80936678744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138077</v>
      </c>
      <c r="E11" s="132">
        <f>D11*0.19</f>
        <v>26234.63</v>
      </c>
      <c r="F11" s="131">
        <f>E11+D11</f>
        <v>164311.63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97265.190633212565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51956.450787439615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79265.190633212565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86120.549212560378</v>
      </c>
      <c r="E13" s="221">
        <f>(D11/D12)-1</f>
        <v>1.6575525831217841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70265.190633212565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31265.190633212558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85728.143799275364</v>
      </c>
      <c r="F15" s="216">
        <f>E15-D12</f>
        <v>33771.693011835749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31265.190633212558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71265.190633212565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7122.3600000000015</v>
      </c>
      <c r="E20" s="121">
        <f>D20*0.19</f>
        <v>1353.2484000000004</v>
      </c>
      <c r="F20" s="120">
        <f>SUM(D20:E20)</f>
        <v>8475.608400000001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22122.36</v>
      </c>
      <c r="E21" s="116">
        <f>SUM(E18:E20)</f>
        <v>4203.2484000000004</v>
      </c>
      <c r="F21" s="115">
        <f>SUM(F18:F20)</f>
        <v>26325.608400000001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22031.381600000001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138077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22122.36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86120.549212560378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86120.549212560378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2229 (2)</vt:lpstr>
      <vt:lpstr>2229</vt:lpstr>
      <vt:lpstr>COSTOS</vt:lpstr>
      <vt:lpstr>'2229'!Área_de_impresión</vt:lpstr>
      <vt:lpstr>'2229 (2)'!Área_de_impresión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2024-12-13T14:39:03Z</cp:lastPrinted>
  <dcterms:created xsi:type="dcterms:W3CDTF">2013-03-18T13:35:42Z</dcterms:created>
  <dcterms:modified xsi:type="dcterms:W3CDTF">2024-12-18T11:51:01Z</dcterms:modified>
</cp:coreProperties>
</file>