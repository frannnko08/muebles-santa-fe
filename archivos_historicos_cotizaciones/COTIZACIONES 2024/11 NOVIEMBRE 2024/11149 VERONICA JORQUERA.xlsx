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6A98A2EE-406E-4E58-B849-479B47C821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G24" i="1"/>
  <c r="G25" i="1"/>
  <c r="H25" i="1" s="1"/>
  <c r="L34" i="1"/>
  <c r="O27" i="1"/>
  <c r="M25" i="1"/>
  <c r="N25" i="1" s="1"/>
  <c r="O25" i="1" s="1"/>
  <c r="L25" i="1"/>
  <c r="H24" i="1"/>
  <c r="L24" i="1"/>
  <c r="M24" i="1"/>
  <c r="K25" i="1"/>
  <c r="K24" i="1"/>
  <c r="K21" i="1"/>
  <c r="K22" i="1"/>
  <c r="K23" i="1"/>
  <c r="L23" i="1"/>
  <c r="M23" i="1"/>
  <c r="L22" i="1"/>
  <c r="M22" i="1"/>
  <c r="W43" i="1"/>
  <c r="W39" i="1"/>
  <c r="V36" i="1"/>
  <c r="X26" i="1"/>
  <c r="R25" i="1" l="1"/>
  <c r="N24" i="1"/>
  <c r="O24" i="1" s="1"/>
  <c r="R24" i="1"/>
  <c r="R23" i="1"/>
  <c r="N23" i="1"/>
  <c r="O23" i="1" s="1"/>
  <c r="N22" i="1"/>
  <c r="O22" i="1" s="1"/>
  <c r="R22" i="1"/>
  <c r="K10" i="1"/>
  <c r="J42" i="1" l="1"/>
  <c r="L21" i="1" l="1"/>
  <c r="L28" i="1" s="1"/>
  <c r="M21" i="1"/>
  <c r="N21" i="1" l="1"/>
  <c r="O21" i="1" s="1"/>
  <c r="R21" i="1"/>
  <c r="U21" i="1" s="1"/>
  <c r="N35" i="1"/>
  <c r="S47" i="1" l="1"/>
  <c r="O28" i="1" l="1"/>
  <c r="O29" i="1" s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0" i="1" l="1"/>
  <c r="N34" i="1" l="1"/>
  <c r="S48" i="1"/>
  <c r="N40" i="1" l="1"/>
  <c r="N41" i="1" s="1"/>
  <c r="D20" i="3"/>
  <c r="E20" i="3" s="1"/>
  <c r="E21" i="3" s="1"/>
  <c r="N42" i="1" l="1"/>
  <c r="D21" i="3"/>
  <c r="M43" i="3" s="1"/>
  <c r="D12" i="3" s="1"/>
  <c r="F20" i="3"/>
  <c r="F21" i="3" s="1"/>
  <c r="N43" i="1" l="1"/>
  <c r="E15" i="3"/>
  <c r="P20" i="1" l="1"/>
  <c r="F15" i="3"/>
  <c r="P24" i="1" l="1"/>
  <c r="Q24" i="1" s="1"/>
  <c r="P25" i="1"/>
  <c r="Q25" i="1" s="1"/>
  <c r="P22" i="1"/>
  <c r="Q22" i="1" s="1"/>
  <c r="P23" i="1"/>
  <c r="Q23" i="1" s="1"/>
  <c r="P21" i="1"/>
  <c r="R30" i="1"/>
  <c r="H23" i="1" l="1"/>
  <c r="H22" i="1"/>
  <c r="T20" i="1"/>
  <c r="Q21" i="1"/>
  <c r="G21" i="1" s="1"/>
  <c r="H21" i="1" l="1"/>
  <c r="H27" i="1" s="1"/>
  <c r="H28" i="1" l="1"/>
  <c r="H29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<sst xmlns="http://schemas.openxmlformats.org/spreadsheetml/2006/main" count="229" uniqueCount="166">
  <si>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</si>
  <si>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</si>
  <si>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</si>
  <si>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</si>
  <si>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</si>
  <si>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</si>
  <si>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</si>
  <si>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</si>
  <si>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</si>
  <si>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</si>
  <si>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</si>
  <si>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</si>
  <si>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</si>
  <si>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</si>
  <si>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</si>
  <si>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</si>
  <si>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</si>
  <si>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</si>
  <si>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</si>
  <si>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</si>
  <si>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</si>
  <si>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</si>
  <si>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</si>
  <si>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</si>
  <si>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</si>
  <si>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</si>
  <si>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</si>
  <si>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</si>
  <si>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</si>
  <si>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</si>
  <si>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</si>
  <si>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</si>
  <si>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</si>
  <si>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</si>
  <si>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</si>
  <si>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</si>
  <si>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</si>
  <si>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</si>
  <si>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</si>
  <si>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</si>
  <si>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</si>
  <si>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</si>
  <si>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</si>
  <si>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</si>
  <si>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</si>
  <si>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</si>
  <si>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</si>
  <si>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</si>
  <si>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</si>
  <si>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</si>
  <si>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</si>
  <si>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</si>
  <si>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</si>
  <si>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</si>
  <si>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</si>
  <si>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</si>
  <si>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</si>
  <si>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</si>
  <si>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</si>
  <si>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</si>
  <si>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</si>
  <si>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</si>
  <si>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</si>
  <si>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</si>
  <si>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</si>
  <si>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</si>
  <si>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</si>
  <si>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</si>
  <si>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</si>
  <si>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</si>
  <si>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</si>
  <si>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</si>
  <si>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</si>
  <si>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</si>
  <si>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</si>
  <si>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</si>
  <si>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</si>
  <si>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</si>
  <si>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</si>
  <si>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</si>
  <si>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</si>
  <si>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</si>
  <si>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</si>
  <si>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</si>
  <si>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</si>
  <si>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</si>
  <si>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</si>
  <si>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</si>
  <si>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</si>
  <si>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</si>
  <si>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</si>
  <si>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</si>
  <si>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</si>
  <si>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</si>
  <si>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</si>
  <si>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</si>
  <si>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</si>
  <si>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</si>
  <si>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</si>
  <si>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</si>
  <si>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</si>
  <si>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</si>
  <si>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</si>
  <si>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</si>
  <si>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</si>
  <si>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</si>
  <si>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</si>
  <si>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</si>
  <si>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</si>
  <si>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</si>
  <si>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</si>
  <si>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</si>
  <si>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</si>
  <si>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</si>
  <si>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</si>
  <si>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</si>
  <si>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</si>
  <si>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</si>
  <si>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</si>
  <si>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</si>
  <si>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</si>
  <si>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</si>
  <si>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</si>
  <si>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</si>
  <si>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</si>
  <si>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</si>
  <si>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</si>
  <si>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</si>
  <si>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</si>
  <si>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</si>
  <si>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</si>
  <si>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</si>
  <si>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</si>
  <si>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</si>
  <si>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</si>
  <si>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</si>
  <si>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</si>
  <si>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</si>
  <si>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</si>
  <si>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</si>
  <si>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</si>
  <si>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</si>
  <si>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</si>
  <si>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</si>
  <si>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</si>
  <si>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</si>
  <si>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</si>
  <si>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</si>
  <si>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</si>
  <si>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</si>
  <si>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</si>
  <si>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</si>
  <si>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</si>
  <si>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</si>
  <si>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</si>
  <si>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ABONO 50%, SALDO C/E</t>
  </si>
  <si>
    <t>MTL</t>
  </si>
  <si>
    <t>MDF30MM</t>
  </si>
  <si>
    <t>SANTIAGO</t>
  </si>
  <si>
    <t>MDF18MM</t>
  </si>
  <si>
    <t>5 DIAS HABILES</t>
  </si>
  <si>
    <t>+569 78505612</t>
  </si>
  <si>
    <t>N° 11149</t>
  </si>
  <si>
    <t>VERONICA JORQUERA</t>
  </si>
  <si>
    <t>NATURAL ELM 1499 MT</t>
  </si>
  <si>
    <t>PR6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</si>
</sst>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/>
    <xf numFmtId="167" fontId="0" fillId="21" borderId="0" xfId="0" applyNumberFormat="1" applyFill="1"/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0" fontId="11" fillId="0" borderId="28" xfId="0" applyFont="1" applyBorder="1" applyAlignment="1">
      <alignment horizontal="center"/>
    </xf>
    <xf numFmtId="42" fontId="1" fillId="0" borderId="27" xfId="0" applyNumberFormat="1" applyFont="1" applyBorder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6" fillId="0" borderId="0" xfId="0" quotePrefix="1" applyFont="1" applyAlignment="1">
      <alignment horizontal="left"/>
    </xf>
    <xf numFmtId="0" fontId="32" fillId="0" borderId="25" xfId="0" applyFont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2682</xdr:colOff>
      <xdr:row>31</xdr:row>
      <xdr:rowOff>13024</xdr:rowOff>
    </xdr:from>
    <xdr:to>
      <xdr:col>7</xdr:col>
      <xdr:colOff>1049694</xdr:colOff>
      <xdr:row>34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08213" y="5906861"/>
          <a:ext cx="2003399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1866123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903362"/>
          <a:ext cx="7027312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7776</xdr:colOff>
      <xdr:row>26</xdr:row>
      <xdr:rowOff>1</xdr:rowOff>
    </xdr:from>
    <xdr:to>
      <xdr:col>5</xdr:col>
      <xdr:colOff>1849560</xdr:colOff>
      <xdr:row>29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9878" y="4789715"/>
          <a:ext cx="6981396" cy="68603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</a:t>
          </a:r>
          <a:r>
            <a:rPr lang="es-CL" sz="1200" b="1" baseline="0"/>
            <a:t>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5"/>
  <sheetViews>
    <sheetView tabSelected="1" topLeftCell="D17" zoomScale="98" zoomScaleNormal="98" workbookViewId="0">
      <selection activeCell="H27" sqref="H27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0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163</v>
      </c>
      <c r="D10" s="243"/>
      <c r="E10" s="243"/>
      <c r="F10" s="244" t="s">
        <v>0</v>
      </c>
      <c r="G10" s="276">
        <v>45600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7" t="s">
        <v>12</v>
      </c>
      <c r="C11" s="138"/>
      <c r="F11" t="s">
        <v>125</v>
      </c>
      <c r="G11" s="288" t="s">
        <v>160</v>
      </c>
      <c r="H11" s="289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13"/>
      <c r="D13" s="247"/>
      <c r="E13" s="247"/>
      <c r="F13" s="247"/>
      <c r="G13" s="277"/>
      <c r="H13" s="248"/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6" t="s">
        <v>161</v>
      </c>
      <c r="D15" s="294"/>
      <c r="E15" s="247"/>
      <c r="F15" s="247" t="s">
        <v>136</v>
      </c>
      <c r="G15" s="295" t="s">
        <v>137</v>
      </c>
      <c r="H15" s="248"/>
    </row>
    <row r="16" spans="2:23" ht="15.6" x14ac:dyDescent="0.3">
      <c r="B16" s="291" t="s">
        <v>3</v>
      </c>
      <c r="C16" s="314"/>
      <c r="F16" s="292" t="s">
        <v>131</v>
      </c>
      <c r="G16" s="293" t="s">
        <v>155</v>
      </c>
      <c r="H16" s="289"/>
    </row>
    <row r="17" spans="2:24" ht="15" thickBot="1" x14ac:dyDescent="0.35">
      <c r="B17" s="296" t="s">
        <v>13</v>
      </c>
      <c r="C17" s="297" t="s">
        <v>158</v>
      </c>
      <c r="D17" s="298"/>
      <c r="E17" s="299"/>
      <c r="F17" s="334" t="s">
        <v>154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thickBot="1" x14ac:dyDescent="0.35">
      <c r="B19" s="336" t="s">
        <v>149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32" t="s">
        <v>8</v>
      </c>
      <c r="G20" s="332" t="s">
        <v>5</v>
      </c>
      <c r="H20" s="333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130990.54361666701</v>
      </c>
      <c r="Q20" s="258">
        <v>3000</v>
      </c>
      <c r="R20" s="38"/>
      <c r="S20" s="14" t="s">
        <v>130</v>
      </c>
      <c r="T20" s="9">
        <f>P21/3</f>
        <v>18544.331259811548</v>
      </c>
      <c r="W20" s="44">
        <v>2.44</v>
      </c>
      <c r="X20">
        <v>1.52</v>
      </c>
    </row>
    <row r="21" spans="2:24" ht="18" thickBot="1" x14ac:dyDescent="0.35">
      <c r="B21" s="322">
        <v>1</v>
      </c>
      <c r="C21" s="323" t="s">
        <v>165</v>
      </c>
      <c r="D21" s="324">
        <v>1.38</v>
      </c>
      <c r="E21" s="324">
        <v>0.29699999999999999</v>
      </c>
      <c r="F21" s="329" t="s">
        <v>164</v>
      </c>
      <c r="G21" s="331">
        <f>Q21</f>
        <v>58632.993779434641</v>
      </c>
      <c r="H21" s="331">
        <f>G21*B21</f>
        <v>58632.993779434641</v>
      </c>
      <c r="I21" s="265"/>
      <c r="J21" s="47"/>
      <c r="K21" s="315">
        <f>B21</f>
        <v>1</v>
      </c>
      <c r="L21" s="311">
        <f t="shared" ref="L21:M23" si="0">D21+L$19</f>
        <v>1.43</v>
      </c>
      <c r="M21" s="311">
        <f t="shared" si="0"/>
        <v>0.29699999999999999</v>
      </c>
      <c r="N21" s="261">
        <f>L21*M21</f>
        <v>0.42470999999999998</v>
      </c>
      <c r="O21" s="259">
        <f>N21*K21</f>
        <v>0.42470999999999998</v>
      </c>
      <c r="P21" s="252">
        <f>P$20*N21</f>
        <v>55632.993779434641</v>
      </c>
      <c r="Q21" s="258">
        <f>P21+Q$20</f>
        <v>58632.993779434641</v>
      </c>
      <c r="R21" s="307">
        <f>K21*L21</f>
        <v>1.43</v>
      </c>
      <c r="S21" s="14"/>
      <c r="T21" s="9"/>
      <c r="U21" s="312">
        <f>R21*U19</f>
        <v>21450</v>
      </c>
      <c r="W21" s="4"/>
      <c r="X21">
        <v>19.8</v>
      </c>
    </row>
    <row r="22" spans="2:24" ht="18" thickBot="1" x14ac:dyDescent="0.35">
      <c r="B22" s="325">
        <v>1</v>
      </c>
      <c r="C22" s="323" t="s">
        <v>165</v>
      </c>
      <c r="D22" s="316">
        <v>0.59</v>
      </c>
      <c r="E22" s="316">
        <v>0.29699999999999999</v>
      </c>
      <c r="F22" s="329" t="s">
        <v>164</v>
      </c>
      <c r="G22" s="331">
        <f t="shared" ref="G22:G25" si="1">Q22</f>
        <v>27898.682530656064</v>
      </c>
      <c r="H22" s="331">
        <f t="shared" ref="H22:H25" si="2">G22*B22</f>
        <v>27898.682530656064</v>
      </c>
      <c r="I22" s="265"/>
      <c r="J22" s="47"/>
      <c r="K22" s="315">
        <f t="shared" ref="K22:K25" si="3">B22</f>
        <v>1</v>
      </c>
      <c r="L22" s="311">
        <f t="shared" si="0"/>
        <v>0.64</v>
      </c>
      <c r="M22" s="311">
        <f t="shared" si="0"/>
        <v>0.29699999999999999</v>
      </c>
      <c r="N22" s="261">
        <f>L22*M22</f>
        <v>0.19008</v>
      </c>
      <c r="O22" s="259">
        <f>N22*K22</f>
        <v>0.19008</v>
      </c>
      <c r="P22" s="252">
        <f>P$20*N22</f>
        <v>24898.682530656064</v>
      </c>
      <c r="Q22" s="258">
        <f>P22+Q$20</f>
        <v>27898.682530656064</v>
      </c>
      <c r="R22" s="307">
        <f>K22*L22</f>
        <v>0.64</v>
      </c>
      <c r="S22" s="14"/>
      <c r="T22" s="9"/>
      <c r="U22" s="312"/>
      <c r="W22" s="4"/>
    </row>
    <row r="23" spans="2:24" ht="18" thickBot="1" x14ac:dyDescent="0.35">
      <c r="B23" s="327">
        <v>2</v>
      </c>
      <c r="C23" s="323" t="s">
        <v>165</v>
      </c>
      <c r="D23" s="328">
        <v>0.32400000000000001</v>
      </c>
      <c r="E23" s="328">
        <v>0.3</v>
      </c>
      <c r="F23" s="329" t="s">
        <v>164</v>
      </c>
      <c r="G23" s="331">
        <f t="shared" si="1"/>
        <v>17697.138993790039</v>
      </c>
      <c r="H23" s="331">
        <f t="shared" si="2"/>
        <v>35394.277987580077</v>
      </c>
      <c r="I23" s="265"/>
      <c r="J23" s="47"/>
      <c r="K23" s="315">
        <f t="shared" si="3"/>
        <v>2</v>
      </c>
      <c r="L23" s="311">
        <f t="shared" si="0"/>
        <v>0.374</v>
      </c>
      <c r="M23" s="311">
        <f t="shared" si="0"/>
        <v>0.3</v>
      </c>
      <c r="N23" s="261">
        <f>L23*M23</f>
        <v>0.11219999999999999</v>
      </c>
      <c r="O23" s="259">
        <f>N23*K23</f>
        <v>0.22439999999999999</v>
      </c>
      <c r="P23" s="252">
        <f>P$20*N23</f>
        <v>14697.138993790039</v>
      </c>
      <c r="Q23" s="258">
        <f>P23+Q$20</f>
        <v>17697.138993790039</v>
      </c>
      <c r="R23" s="307">
        <f>K23*L23</f>
        <v>0.748</v>
      </c>
      <c r="S23" s="14"/>
      <c r="T23" s="9"/>
      <c r="U23" s="312"/>
      <c r="W23" s="4"/>
    </row>
    <row r="24" spans="2:24" ht="18" thickBot="1" x14ac:dyDescent="0.35">
      <c r="B24" s="329">
        <v>1</v>
      </c>
      <c r="C24" s="323" t="s">
        <v>165</v>
      </c>
      <c r="D24" s="330">
        <v>0.124</v>
      </c>
      <c r="E24" s="330">
        <v>0.6</v>
      </c>
      <c r="F24" s="329" t="s">
        <v>164</v>
      </c>
      <c r="G24" s="331">
        <f t="shared" si="1"/>
        <v>16675.412753580036</v>
      </c>
      <c r="H24" s="331">
        <f t="shared" si="2"/>
        <v>16675.412753580036</v>
      </c>
      <c r="I24" s="265"/>
      <c r="J24" s="47"/>
      <c r="K24" s="315">
        <f t="shared" si="3"/>
        <v>1</v>
      </c>
      <c r="L24" s="311">
        <f t="shared" ref="L24:L25" si="4">D24+L$19</f>
        <v>0.17399999999999999</v>
      </c>
      <c r="M24" s="311">
        <f t="shared" ref="M24:M25" si="5">E24+M$19</f>
        <v>0.6</v>
      </c>
      <c r="N24" s="261">
        <f>L24*M24</f>
        <v>0.10439999999999999</v>
      </c>
      <c r="O24" s="259">
        <f>N24*K24</f>
        <v>0.10439999999999999</v>
      </c>
      <c r="P24" s="252">
        <f>P$20*N24</f>
        <v>13675.412753580034</v>
      </c>
      <c r="Q24" s="258">
        <f>P24+Q$20</f>
        <v>16675.412753580036</v>
      </c>
      <c r="R24" s="307">
        <f>K24*L24</f>
        <v>0.17399999999999999</v>
      </c>
      <c r="S24" s="14"/>
      <c r="T24" s="9"/>
      <c r="U24" s="312"/>
      <c r="W24" s="4"/>
    </row>
    <row r="25" spans="2:24" ht="17.399999999999999" x14ac:dyDescent="0.3">
      <c r="B25" s="329">
        <v>1</v>
      </c>
      <c r="C25" s="323" t="s">
        <v>165</v>
      </c>
      <c r="D25" s="330">
        <v>0.08</v>
      </c>
      <c r="E25" s="330">
        <v>0.59499999999999997</v>
      </c>
      <c r="F25" s="329" t="s">
        <v>164</v>
      </c>
      <c r="G25" s="331">
        <f t="shared" si="1"/>
        <v>13132.118548749193</v>
      </c>
      <c r="H25" s="331">
        <f t="shared" si="2"/>
        <v>13132.118548749193</v>
      </c>
      <c r="I25" s="265"/>
      <c r="J25" s="47"/>
      <c r="K25" s="315">
        <f t="shared" si="3"/>
        <v>1</v>
      </c>
      <c r="L25" s="311">
        <f t="shared" si="4"/>
        <v>0.13</v>
      </c>
      <c r="M25" s="311">
        <f t="shared" si="5"/>
        <v>0.59499999999999997</v>
      </c>
      <c r="N25" s="261">
        <f>L25*M25</f>
        <v>7.7350000000000002E-2</v>
      </c>
      <c r="O25" s="259">
        <f>N25*K25</f>
        <v>7.7350000000000002E-2</v>
      </c>
      <c r="P25" s="252">
        <f>P$20*N25</f>
        <v>10132.118548749193</v>
      </c>
      <c r="Q25" s="258">
        <f>P25+Q$20</f>
        <v>13132.118548749193</v>
      </c>
      <c r="R25" s="307">
        <f>K25*L25</f>
        <v>0.13</v>
      </c>
      <c r="S25" s="14"/>
      <c r="T25" s="9"/>
      <c r="U25" s="312"/>
      <c r="W25" s="4"/>
    </row>
    <row r="26" spans="2:24" ht="18" thickBot="1" x14ac:dyDescent="0.35">
      <c r="B26" s="285"/>
      <c r="C26" s="285"/>
      <c r="D26" s="286"/>
      <c r="E26" s="286"/>
      <c r="F26" s="285"/>
      <c r="G26" s="52"/>
      <c r="H26" s="317"/>
      <c r="I26" s="265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  <c r="X26">
        <f>SUM(X21:X21)</f>
        <v>19.8</v>
      </c>
    </row>
    <row r="27" spans="2:24" ht="18" x14ac:dyDescent="0.35">
      <c r="B27" s="285"/>
      <c r="C27" s="285"/>
      <c r="D27" s="286"/>
      <c r="E27" s="286"/>
      <c r="F27" s="285"/>
      <c r="G27" s="318" t="s">
        <v>30</v>
      </c>
      <c r="H27" s="319">
        <f>SUM(H21:H26)</f>
        <v>151733.48560000001</v>
      </c>
      <c r="I27" s="232"/>
      <c r="J27" s="47"/>
      <c r="K27" s="47"/>
      <c r="L27" s="39"/>
      <c r="M27" s="39"/>
      <c r="N27" s="261"/>
      <c r="O27" s="253">
        <f>SUM(O21:O25)</f>
        <v>1.02094</v>
      </c>
      <c r="P27" s="252"/>
      <c r="Q27" s="258"/>
      <c r="R27" s="307"/>
      <c r="S27" s="14"/>
      <c r="T27" s="9"/>
      <c r="W27" s="4"/>
    </row>
    <row r="28" spans="2:24" ht="17.399999999999999" x14ac:dyDescent="0.3">
      <c r="B28" s="279"/>
      <c r="C28" s="282"/>
      <c r="D28" s="283"/>
      <c r="E28" s="283"/>
      <c r="F28" s="284"/>
      <c r="G28" s="306" t="s">
        <v>53</v>
      </c>
      <c r="H28" s="303">
        <f>H27*19%</f>
        <v>28829.362264000003</v>
      </c>
      <c r="I28" s="265"/>
      <c r="J28" s="47">
        <v>8698974</v>
      </c>
      <c r="K28" s="47"/>
      <c r="L28" s="39">
        <f>SUM(L21:L23)</f>
        <v>2.444</v>
      </c>
      <c r="M28" s="39"/>
      <c r="N28" s="261"/>
      <c r="O28" s="253">
        <f>O27</f>
        <v>1.02094</v>
      </c>
      <c r="P28" s="252"/>
      <c r="Q28" s="258"/>
      <c r="R28" s="307"/>
      <c r="S28" s="14"/>
      <c r="T28" s="9"/>
      <c r="W28" s="4"/>
    </row>
    <row r="29" spans="2:24" ht="18" thickBot="1" x14ac:dyDescent="0.35">
      <c r="B29" s="275"/>
      <c r="C29" s="281"/>
      <c r="D29" s="272"/>
      <c r="E29" s="272"/>
      <c r="F29" s="273"/>
      <c r="G29" s="280" t="s">
        <v>6</v>
      </c>
      <c r="H29" s="304">
        <f>H27+H28</f>
        <v>180562.84786400001</v>
      </c>
      <c r="I29" s="265"/>
      <c r="J29" s="47"/>
      <c r="K29" s="47"/>
      <c r="L29" s="39"/>
      <c r="M29" s="12"/>
      <c r="N29" s="12"/>
      <c r="O29" s="39">
        <f>O28*20%</f>
        <v>0.20418800000000001</v>
      </c>
      <c r="P29" s="14"/>
      <c r="Q29" s="12"/>
      <c r="R29" s="238"/>
      <c r="S29" s="14"/>
      <c r="T29" s="9"/>
      <c r="W29" s="4"/>
    </row>
    <row r="30" spans="2:24" ht="17.399999999999999" x14ac:dyDescent="0.3">
      <c r="I30" s="265"/>
      <c r="J30" s="47"/>
      <c r="K30" s="47"/>
      <c r="L30" s="39"/>
      <c r="M30" s="12"/>
      <c r="N30" s="12"/>
      <c r="O30" s="46">
        <f>O28+O29</f>
        <v>1.225128</v>
      </c>
      <c r="P30" s="14"/>
      <c r="Q30" s="12"/>
      <c r="R30" s="238">
        <f>SUM(R21:R29)</f>
        <v>3.1219999999999994</v>
      </c>
      <c r="S30" s="14"/>
      <c r="T30" s="9"/>
      <c r="W30" s="4"/>
    </row>
    <row r="31" spans="2:24" ht="17.399999999999999" x14ac:dyDescent="0.3">
      <c r="B31" s="275"/>
      <c r="C31" s="271"/>
      <c r="D31" s="272"/>
      <c r="E31" s="272"/>
      <c r="F31" s="273"/>
      <c r="H31" s="47"/>
      <c r="I31" s="265"/>
      <c r="J31" s="47"/>
      <c r="K31" s="47"/>
      <c r="L31" s="39"/>
      <c r="M31" s="12"/>
      <c r="N31" s="12"/>
      <c r="P31" s="39" t="s">
        <v>132</v>
      </c>
      <c r="Q31" s="42"/>
      <c r="R31" s="239"/>
      <c r="S31" s="14"/>
      <c r="T31" s="9"/>
      <c r="W31" s="4"/>
    </row>
    <row r="32" spans="2:24" ht="17.399999999999999" x14ac:dyDescent="0.35">
      <c r="B32" s="269"/>
      <c r="C32" s="230"/>
      <c r="D32" s="230"/>
      <c r="E32" s="232"/>
      <c r="F32" s="233"/>
      <c r="G32" s="230"/>
      <c r="H32" s="274"/>
      <c r="I32" s="265"/>
      <c r="J32" s="309"/>
      <c r="K32" s="47"/>
      <c r="L32" s="14"/>
      <c r="M32" s="12"/>
      <c r="N32" s="12"/>
      <c r="P32" s="14"/>
      <c r="Q32" s="14"/>
      <c r="R32" s="237">
        <v>40</v>
      </c>
      <c r="S32" s="14"/>
      <c r="T32" s="9"/>
      <c r="W32" s="4"/>
    </row>
    <row r="33" spans="1:23" ht="17.399999999999999" x14ac:dyDescent="0.35">
      <c r="B33" s="234"/>
      <c r="C33" s="235"/>
      <c r="D33" s="236"/>
      <c r="E33" s="234"/>
      <c r="F33" s="230"/>
      <c r="G33" s="230"/>
      <c r="I33" s="265"/>
      <c r="J33" s="309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1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39">
        <f>O30</f>
        <v>1.225128</v>
      </c>
      <c r="M34" s="12">
        <v>3500</v>
      </c>
      <c r="N34" s="12">
        <f t="shared" ref="N34:N39" si="6">L34*M34</f>
        <v>4287.9480000000003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1:23" ht="17.399999999999999" x14ac:dyDescent="0.35">
      <c r="A35" s="230"/>
      <c r="B35" s="230"/>
      <c r="C35" s="230"/>
      <c r="D35" s="230"/>
      <c r="E35" s="230"/>
      <c r="F35" s="230"/>
      <c r="G35" s="230"/>
      <c r="H35" s="230"/>
      <c r="I35" s="265"/>
      <c r="J35" s="47"/>
      <c r="K35" s="47"/>
      <c r="L35" s="249">
        <v>0.3</v>
      </c>
      <c r="M35" s="12">
        <v>45000</v>
      </c>
      <c r="N35" s="12">
        <f t="shared" si="6"/>
        <v>13500</v>
      </c>
      <c r="O35" s="39" t="s">
        <v>159</v>
      </c>
      <c r="P35" s="42"/>
      <c r="Q35" s="14"/>
      <c r="R35" s="239"/>
      <c r="S35" s="14"/>
      <c r="T35" s="9"/>
      <c r="V35">
        <v>1520</v>
      </c>
      <c r="W35" s="9" t="s">
        <v>156</v>
      </c>
    </row>
    <row r="36" spans="1:23" s="230" customFormat="1" ht="17.399999999999999" x14ac:dyDescent="0.35">
      <c r="B36" s="24" t="s">
        <v>153</v>
      </c>
      <c r="I36" s="262"/>
      <c r="J36" s="47"/>
      <c r="K36" s="250"/>
      <c r="L36" s="14"/>
      <c r="M36" s="250">
        <v>55000</v>
      </c>
      <c r="N36" s="12">
        <f t="shared" si="6"/>
        <v>0</v>
      </c>
      <c r="O36" s="39" t="s">
        <v>32</v>
      </c>
      <c r="P36" s="42"/>
      <c r="R36" s="239"/>
      <c r="S36" s="256"/>
      <c r="V36" s="231">
        <f>V35/33</f>
        <v>46.060606060606062</v>
      </c>
      <c r="W36" s="230">
        <v>112.24</v>
      </c>
    </row>
    <row r="37" spans="1:23" s="230" customFormat="1" ht="17.399999999999999" x14ac:dyDescent="0.35">
      <c r="B37" s="24" t="s">
        <v>146</v>
      </c>
      <c r="C37"/>
      <c r="D37"/>
      <c r="E37"/>
      <c r="F37"/>
      <c r="I37" s="262"/>
      <c r="J37" s="308"/>
      <c r="K37" s="250"/>
      <c r="L37" s="14">
        <v>1</v>
      </c>
      <c r="M37" s="250">
        <v>43000</v>
      </c>
      <c r="N37" s="12">
        <f t="shared" si="6"/>
        <v>43000</v>
      </c>
      <c r="O37" s="14" t="s">
        <v>143</v>
      </c>
      <c r="P37" s="17"/>
      <c r="R37" s="237"/>
      <c r="S37" s="256"/>
      <c r="V37" s="231"/>
      <c r="W37" s="230">
        <v>112.24</v>
      </c>
    </row>
    <row r="38" spans="1:23" s="230" customFormat="1" ht="17.399999999999999" x14ac:dyDescent="0.35">
      <c r="B38" s="29" t="s">
        <v>127</v>
      </c>
      <c r="C38"/>
      <c r="D38"/>
      <c r="E38"/>
      <c r="F38" s="229" t="s">
        <v>16</v>
      </c>
      <c r="I38" s="262"/>
      <c r="J38" s="308"/>
      <c r="K38" s="250"/>
      <c r="L38" s="249"/>
      <c r="M38" s="250">
        <v>800</v>
      </c>
      <c r="N38" s="12">
        <f t="shared" si="6"/>
        <v>0</v>
      </c>
      <c r="O38" s="14" t="s">
        <v>34</v>
      </c>
      <c r="P38" s="14"/>
      <c r="Q38" s="230">
        <v>1.52</v>
      </c>
      <c r="R38" s="237"/>
      <c r="S38" s="237"/>
      <c r="W38" s="230">
        <v>112.24</v>
      </c>
    </row>
    <row r="39" spans="1:23" s="230" customFormat="1" ht="17.399999999999999" x14ac:dyDescent="0.35">
      <c r="I39" s="302"/>
      <c r="J39" s="47"/>
      <c r="K39" s="250"/>
      <c r="L39" s="266"/>
      <c r="M39" s="12">
        <v>3500</v>
      </c>
      <c r="N39" s="12">
        <f t="shared" si="6"/>
        <v>0</v>
      </c>
      <c r="O39" s="14" t="s">
        <v>24</v>
      </c>
      <c r="P39" s="14"/>
      <c r="Q39">
        <v>2.44</v>
      </c>
      <c r="R39"/>
      <c r="S39" s="237">
        <v>1500</v>
      </c>
      <c r="W39" s="231">
        <f>SUM(W36:W38)</f>
        <v>336.71999999999997</v>
      </c>
    </row>
    <row r="40" spans="1:23" s="230" customFormat="1" ht="17.399999999999999" x14ac:dyDescent="0.35">
      <c r="J40" s="47"/>
      <c r="K40" s="250"/>
      <c r="L40" s="14"/>
      <c r="M40" s="12"/>
      <c r="N40" s="12">
        <f>SUM(N34:N39)</f>
        <v>60787.948000000004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1:23" s="230" customFormat="1" ht="17.399999999999999" x14ac:dyDescent="0.35">
      <c r="J41" s="47">
        <v>48040</v>
      </c>
      <c r="K41" s="250"/>
      <c r="L41" s="254" t="s">
        <v>35</v>
      </c>
      <c r="M41" s="12"/>
      <c r="N41" s="255">
        <f>N40*2.2</f>
        <v>133733.48560000001</v>
      </c>
      <c r="O41" s="14" t="s">
        <v>142</v>
      </c>
      <c r="P41" s="14"/>
      <c r="Q41" s="46">
        <f>O28/Q40</f>
        <v>0.27527502157031924</v>
      </c>
      <c r="R41"/>
      <c r="S41" s="257" t="e">
        <f>S40/#REF!</f>
        <v>#REF!</v>
      </c>
      <c r="V41" s="230" t="s">
        <v>157</v>
      </c>
      <c r="W41" s="230">
        <v>4</v>
      </c>
    </row>
    <row r="42" spans="1:23" s="230" customFormat="1" ht="17.399999999999999" x14ac:dyDescent="0.35">
      <c r="G42"/>
      <c r="H42" s="260"/>
      <c r="I42" s="260"/>
      <c r="J42" s="47">
        <f>J41/1.19</f>
        <v>40369.747899159665</v>
      </c>
      <c r="K42" s="250"/>
      <c r="L42" s="14"/>
      <c r="M42" s="12"/>
      <c r="N42" s="12">
        <f>N41/O28</f>
        <v>130990.54361666701</v>
      </c>
      <c r="O42" s="45" t="s">
        <v>26</v>
      </c>
      <c r="P42" s="14"/>
      <c r="Q42" s="14"/>
      <c r="R42"/>
      <c r="S42" s="237"/>
      <c r="V42" s="230">
        <v>48000</v>
      </c>
    </row>
    <row r="43" spans="1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  <c r="W43" s="230">
        <f>V42*W41</f>
        <v>192000</v>
      </c>
    </row>
    <row r="44" spans="1:23" s="230" customFormat="1" ht="17.399999999999999" x14ac:dyDescent="0.35">
      <c r="G44" s="23"/>
      <c r="J44" s="47"/>
      <c r="K44" s="12"/>
      <c r="S44" s="237"/>
    </row>
    <row r="45" spans="1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1:23" ht="14.4" customHeight="1" x14ac:dyDescent="0.3">
      <c r="J46" s="47"/>
      <c r="K46" s="12"/>
      <c r="S46">
        <v>2.5</v>
      </c>
    </row>
    <row r="47" spans="1:23" x14ac:dyDescent="0.3">
      <c r="J47" s="47"/>
      <c r="K47" s="250"/>
      <c r="S47">
        <f>S45*S46</f>
        <v>4.5750000000000002</v>
      </c>
    </row>
    <row r="48" spans="1:23" x14ac:dyDescent="0.3">
      <c r="K48" s="250"/>
      <c r="S48" s="270">
        <f>O30/S47</f>
        <v>0.26778754098360652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45600</v>
      </c>
    </row>
    <row r="6" spans="2:31" ht="16.2" thickBot="1" x14ac:dyDescent="0.35">
      <c r="B6" s="140" t="s">
        <v>2</v>
      </c>
      <c r="C6" s="139" t="str">
        <f>'2229'!C10</f>
        <v>VERONICA JORQUERA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100</v>
      </c>
      <c r="I7" s="341"/>
      <c r="J7" s="341"/>
      <c r="K7" s="342"/>
      <c r="N7" s="75"/>
      <c r="O7" s="33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11149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13096.060666545893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119086.06066654589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47622.038787439611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101086.06066654589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-47622.038787439611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92086.060666545891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53086.060666545891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78576.36399927536</v>
      </c>
      <c r="F15" s="216">
        <f>E15-D12</f>
        <v>30954.325211835749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53086.060666545891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93086.060666545891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13500</v>
      </c>
      <c r="E19" s="123">
        <f>D19*0.19</f>
        <v>2565</v>
      </c>
      <c r="F19" s="120">
        <f>SUM(D19:E19)</f>
        <v>16065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4287.9480000000003</v>
      </c>
      <c r="E20" s="121">
        <f>D20*0.19</f>
        <v>814.71012000000007</v>
      </c>
      <c r="F20" s="120">
        <f>SUM(D20:E20)</f>
        <v>5102.6581200000001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17787.948</v>
      </c>
      <c r="E21" s="116">
        <f>SUM(E18:E20)</f>
        <v>3379.7101200000002</v>
      </c>
      <c r="F21" s="115">
        <f>SUM(F18:F20)</f>
        <v>21167.65812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-3379.7101200000002</v>
      </c>
    </row>
    <row r="41" spans="2:16" ht="15" thickBot="1" x14ac:dyDescent="0.35">
      <c r="H41" s="343" t="s">
        <v>62</v>
      </c>
      <c r="I41" s="344"/>
      <c r="J41" s="344"/>
      <c r="K41" s="344"/>
      <c r="L41" s="344"/>
      <c r="M41" s="34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17787.948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-47622.038787439611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-47622.038787439611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2024-10-29T20:35:19Z</cp:lastPrinted>
  <dcterms:created xsi:type="dcterms:W3CDTF">2013-03-18T13:35:42Z</dcterms:created>
  <dcterms:modified xsi:type="dcterms:W3CDTF">2024-11-04T19:57:38Z</dcterms:modified>
</cp:coreProperties>
</file>