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A8CE8BF5-C85A-4FFA-8A3D-9A60163E0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M21" i="1" l="1"/>
  <c r="M26" i="1" s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H27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<sst xmlns="http://schemas.openxmlformats.org/spreadsheetml/2006/main" count="230" uniqueCount="175">
  <si>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</si>
  <si>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</si>
  <si>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</si>
  <si>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</si>
  <si>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</si>
  <si>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</si>
  <si>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</si>
  <si>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</si>
  <si>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</si>
  <si>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</si>
  <si>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</si>
  <si>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</si>
  <si>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</si>
  <si>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</si>
  <si>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</si>
  <si>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</si>
  <si>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</si>
  <si>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</si>
  <si>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</si>
  <si>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</si>
  <si>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</si>
  <si>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</si>
  <si>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</si>
  <si>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</si>
  <si>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</si>
  <si>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</si>
  <si>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</si>
  <si>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</si>
  <si>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</si>
  <si>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</si>
  <si>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</si>
  <si>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</si>
  <si>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</si>
  <si>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</si>
  <si>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</si>
  <si>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</si>
  <si>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</si>
  <si>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</si>
  <si>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</si>
  <si>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</si>
  <si>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</si>
  <si>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</si>
  <si>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</si>
  <si>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</si>
  <si>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</si>
  <si>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</si>
  <si>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</si>
  <si>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</si>
  <si>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</si>
  <si>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</si>
  <si>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</si>
  <si>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</si>
  <si>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</si>
  <si>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</si>
  <si>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</si>
  <si>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</si>
  <si>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</si>
  <si>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</si>
  <si>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</si>
  <si>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</si>
  <si>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</si>
  <si>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</si>
  <si>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</si>
  <si>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</si>
  <si>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</si>
  <si>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</si>
  <si>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</si>
  <si>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</si>
  <si>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</si>
  <si>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</si>
  <si>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</si>
  <si>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</si>
  <si>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</si>
  <si>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</si>
  <si>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</si>
  <si>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</si>
  <si>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</si>
  <si>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</si>
  <si>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</si>
  <si>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</si>
  <si>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</si>
  <si>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</si>
  <si>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</si>
  <si>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</si>
  <si>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</si>
  <si>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</si>
  <si>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</si>
  <si>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</si>
  <si>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</si>
  <si>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</si>
  <si>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</si>
  <si>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</si>
  <si>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</si>
  <si>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</si>
  <si>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</si>
  <si>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</si>
  <si>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</si>
  <si>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</si>
  <si>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</si>
  <si>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</si>
  <si>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</si>
  <si>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</si>
  <si>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</si>
  <si>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</si>
  <si>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</si>
  <si>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</si>
  <si>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</si>
  <si>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</si>
  <si>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</si>
  <si>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</si>
  <si>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</si>
  <si>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</si>
  <si>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</si>
  <si>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</si>
  <si>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</si>
  <si>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</si>
  <si>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</si>
  <si>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</si>
  <si>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</si>
  <si>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</si>
  <si>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</si>
  <si>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</si>
  <si>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</si>
  <si>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</si>
  <si>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</si>
  <si>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</si>
  <si>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</si>
  <si>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</si>
  <si>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</si>
  <si>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</si>
  <si>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</si>
  <si>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</si>
  <si>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</si>
  <si>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</si>
  <si>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</si>
  <si>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</si>
  <si>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</si>
  <si>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</si>
  <si>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</si>
  <si>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</si>
  <si>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</si>
  <si>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</si>
  <si>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</si>
  <si>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</si>
  <si>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</si>
  <si>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</si>
  <si>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</si>
  <si>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</si>
  <si>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</si>
  <si>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</si>
  <si>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</si>
  <si>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</si>
  <si>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</si>
  <si>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</si>
  <si>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</si>
  <si>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</si>
  <si>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</si>
  <si>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</si>
  <si>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</si>
  <si>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</si>
  <si>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</si>
  <si>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</si>
  <si>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</si>
  <si>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</si>
  <si>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</si>
  <si>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</si>
  <si>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</si>
  <si>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MDF 30mm</t>
  </si>
  <si>
    <t>N° 11175</t>
  </si>
  <si>
    <t>MUEBLES ME</t>
  </si>
  <si>
    <t>CHRISTIAN</t>
  </si>
  <si>
    <t>+569 5015 6493</t>
  </si>
  <si>
    <t>3 DIAS HABILES</t>
  </si>
  <si>
    <t>CUB C/R 90° R6</t>
  </si>
  <si>
    <t>QUARZITE 3044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</si>
</sst>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SE ENTREGA CON SOBRE MEDIDA EN EL LARGO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18MM, DESPUNTE DE LA LAMINA SE ENTREGA AL CLIENTE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F24" sqref="F2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45616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170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148875.02109704644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30" t="s">
        <v>173</v>
      </c>
      <c r="D21" s="331">
        <v>1.5</v>
      </c>
      <c r="E21" s="331">
        <v>0.6</v>
      </c>
      <c r="F21" s="330" t="s">
        <v>174</v>
      </c>
      <c r="G21" s="332">
        <v>141134</v>
      </c>
      <c r="H21" s="333">
        <f>G21*B21</f>
        <v>141134</v>
      </c>
      <c r="I21" s="320"/>
      <c r="J21" s="265"/>
      <c r="K21" s="47"/>
      <c r="L21" s="47">
        <v>1</v>
      </c>
      <c r="M21" s="39">
        <f>D21+M$19</f>
        <v>1.58</v>
      </c>
      <c r="N21" s="39">
        <f>E21+$N$19</f>
        <v>0.6</v>
      </c>
      <c r="O21" s="261">
        <f t="shared" ref="O21" si="1">M21*N21</f>
        <v>0.94799999999999995</v>
      </c>
      <c r="P21" s="259">
        <f t="shared" ref="P21" si="2">O21*L21</f>
        <v>0.94799999999999995</v>
      </c>
      <c r="Q21" s="252">
        <f t="shared" ref="Q21" si="3">Q$20*O21</f>
        <v>141133.52000000002</v>
      </c>
      <c r="R21" s="319">
        <f t="shared" ref="R21" si="4">Q21+R$20</f>
        <v>144133.52000000002</v>
      </c>
      <c r="S21" s="297">
        <f>L21*M21*2</f>
        <v>3.16</v>
      </c>
      <c r="T21" s="46">
        <f>N21*2*L21*2</f>
        <v>2.4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141134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26815.46</v>
      </c>
      <c r="I26" s="322"/>
      <c r="J26" s="265"/>
      <c r="K26" s="47"/>
      <c r="L26" s="47"/>
      <c r="M26" s="39">
        <f>SUM(M21:M25)</f>
        <v>1.58</v>
      </c>
      <c r="N26" s="12"/>
      <c r="O26" s="12"/>
      <c r="P26" s="253">
        <f>SUM(P21:P21)</f>
        <v>0.94799999999999995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167949.46</v>
      </c>
      <c r="I27" s="322"/>
      <c r="J27" s="265"/>
      <c r="K27" s="47"/>
      <c r="L27" s="47"/>
      <c r="M27" s="39"/>
      <c r="N27" s="12"/>
      <c r="O27" s="12"/>
      <c r="P27" s="253">
        <f>P26</f>
        <v>0.94799999999999995</v>
      </c>
      <c r="Q27" s="14"/>
      <c r="R27" s="12"/>
      <c r="S27" s="239">
        <f>SUM(S21:S26)</f>
        <v>3.16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0.18959999999999999</v>
      </c>
      <c r="Q28" s="39" t="s">
        <v>130</v>
      </c>
      <c r="R28" s="42"/>
      <c r="S28" s="240">
        <f>S27+T25</f>
        <v>5.5600000000000005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1.1375999999999999</v>
      </c>
      <c r="Q29" s="14"/>
      <c r="R29" s="14"/>
      <c r="S29" s="238">
        <f>S28*20%</f>
        <v>1.1120000000000001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6.6720000000000006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1.1375999999999999</v>
      </c>
      <c r="N31" s="12">
        <v>3500</v>
      </c>
      <c r="O31" s="12">
        <f t="shared" ref="O31:O36" si="5">M31*N31</f>
        <v>3981.6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0.4</v>
      </c>
      <c r="N32" s="12">
        <v>40000</v>
      </c>
      <c r="O32" s="12">
        <f t="shared" si="5"/>
        <v>16000</v>
      </c>
      <c r="P32" s="39" t="s">
        <v>167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61840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41800</v>
      </c>
      <c r="O34" s="12">
        <f t="shared" si="5"/>
        <v>41800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1.58</v>
      </c>
      <c r="N36" s="12">
        <v>1500</v>
      </c>
      <c r="O36" s="12">
        <f t="shared" si="5"/>
        <v>2370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64151.6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141133.52000000002</v>
      </c>
      <c r="P38" s="14" t="s">
        <v>140</v>
      </c>
      <c r="Q38" s="14"/>
      <c r="R38" s="40">
        <f>P29/R37</f>
        <v>0.30672993960310613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59440</v>
      </c>
      <c r="L39" s="250"/>
      <c r="M39" s="14"/>
      <c r="N39" s="12"/>
      <c r="O39" s="12">
        <f>O38/P27</f>
        <v>148875.02109704644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49949.579831932773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45616</v>
      </c>
    </row>
    <row r="6" spans="2:31" ht="16.2" thickBot="1" x14ac:dyDescent="0.35">
      <c r="B6" s="140" t="s">
        <v>2</v>
      </c>
      <c r="C6" s="139" t="str">
        <f>'2229'!C10</f>
        <v>MUEBLES ME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11175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-9823.0183667874389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141134</v>
      </c>
      <c r="E11" s="132">
        <f>D11*0.19</f>
        <v>26815.46</v>
      </c>
      <c r="F11" s="131">
        <f>E11+D11</f>
        <v>167949.46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96166.981633212563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49815.690787439613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78166.981633212563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91318.309212560387</v>
      </c>
      <c r="E13" s="221">
        <f>(D11/D12)-1</f>
        <v>1.8331234149137829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69166.981633212563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30166.981633212563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82195.889799275363</v>
      </c>
      <c r="F15" s="216">
        <f>E15-D12</f>
        <v>32380.19901183575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30166.981633212563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70166.981633212563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16000</v>
      </c>
      <c r="E19" s="123">
        <f>D19*0.19</f>
        <v>3040</v>
      </c>
      <c r="F19" s="120">
        <f>SUM(D19:E19)</f>
        <v>19040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3981.6</v>
      </c>
      <c r="E20" s="121">
        <f>D20*0.19</f>
        <v>756.50400000000002</v>
      </c>
      <c r="F20" s="120">
        <f>SUM(D20:E20)</f>
        <v>4738.1040000000003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19981.599999999999</v>
      </c>
      <c r="E21" s="116">
        <f>SUM(E18:E20)</f>
        <v>3796.5039999999999</v>
      </c>
      <c r="F21" s="115">
        <f>SUM(F18:F20)</f>
        <v>23778.103999999999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23018.955999999998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141134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19981.599999999999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91318.309212560387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91318.309212560387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2024-11-19T14:26:01Z</cp:lastPrinted>
  <dcterms:created xsi:type="dcterms:W3CDTF">2013-03-18T13:35:42Z</dcterms:created>
  <dcterms:modified xsi:type="dcterms:W3CDTF">2024-11-20T19:05:40Z</dcterms:modified>
</cp:coreProperties>
</file>