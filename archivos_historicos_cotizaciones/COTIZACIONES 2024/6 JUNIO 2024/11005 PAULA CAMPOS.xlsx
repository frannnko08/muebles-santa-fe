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29C7AC01-FAC3-4172-BAF5-C2218A9CA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L27" i="1"/>
  <c r="O28" i="1"/>
  <c r="H24" i="1"/>
  <c r="K22" i="1"/>
  <c r="L22" i="1"/>
  <c r="M22" i="1"/>
  <c r="N22" i="1"/>
  <c r="O22" i="1" s="1"/>
  <c r="R22" i="1"/>
  <c r="K23" i="1"/>
  <c r="R23" i="1" s="1"/>
  <c r="L23" i="1"/>
  <c r="M23" i="1"/>
  <c r="N23" i="1"/>
  <c r="O23" i="1"/>
  <c r="K24" i="1"/>
  <c r="R24" i="1" s="1"/>
  <c r="L24" i="1"/>
  <c r="M24" i="1"/>
  <c r="N24" i="1"/>
  <c r="O24" i="1"/>
  <c r="H22" i="1"/>
  <c r="H23" i="1"/>
  <c r="K21" i="1"/>
  <c r="H21" i="1"/>
  <c r="J33" i="1"/>
  <c r="K10" i="1"/>
  <c r="H27" i="1" l="1"/>
  <c r="H28" i="1" s="1"/>
  <c r="J41" i="1"/>
  <c r="L21" i="1" l="1"/>
  <c r="M21" i="1"/>
  <c r="N21" i="1" l="1"/>
  <c r="O21" i="1" s="1"/>
  <c r="R21" i="1"/>
  <c r="N34" i="1"/>
  <c r="O29" i="1" l="1"/>
  <c r="S46" i="1"/>
  <c r="O30" i="1" l="1"/>
  <c r="M20" i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O31" i="1" l="1"/>
  <c r="L33" i="1" s="1"/>
  <c r="N33" i="1" l="1"/>
  <c r="S47" i="1"/>
  <c r="N39" i="1" l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4" i="1" l="1"/>
  <c r="Q24" i="1" s="1"/>
  <c r="P23" i="1"/>
  <c r="Q23" i="1" s="1"/>
  <c r="P22" i="1"/>
  <c r="Q22" i="1" s="1"/>
  <c r="P21" i="1"/>
  <c r="F15" i="3"/>
  <c r="Q21" i="1" l="1"/>
  <c r="R29" i="1"/>
  <c r="H29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<sst xmlns="http://schemas.openxmlformats.org/spreadsheetml/2006/main" count="225" uniqueCount="166">
  <si>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</si>
  <si>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</si>
  <si>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</si>
  <si>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</si>
  <si>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</si>
  <si>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</si>
  <si>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</si>
  <si>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</si>
  <si>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</si>
  <si>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</si>
  <si>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</si>
  <si>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</si>
  <si>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</si>
  <si>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</si>
  <si>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</si>
  <si>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</si>
  <si>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</si>
  <si>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</si>
  <si>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</si>
  <si>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</si>
  <si>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</si>
  <si>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</si>
  <si>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</si>
  <si>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</si>
  <si>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</si>
  <si>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</si>
  <si>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</si>
  <si>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</si>
  <si>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</si>
  <si>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</si>
  <si>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</si>
  <si>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</si>
  <si>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</si>
  <si>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</si>
  <si>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</si>
  <si>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</si>
  <si>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</si>
  <si>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</si>
  <si>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</si>
  <si>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</si>
  <si>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</si>
  <si>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</si>
  <si>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</si>
  <si>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</si>
  <si>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</si>
  <si>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</si>
  <si>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</si>
  <si>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</si>
  <si>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</si>
  <si>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</si>
  <si>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</si>
  <si>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</si>
  <si>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</si>
  <si>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</si>
  <si>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</si>
  <si>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</si>
  <si>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</si>
  <si>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</si>
  <si>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</si>
  <si>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</si>
  <si>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</si>
  <si>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</si>
  <si>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</si>
  <si>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</si>
  <si>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</si>
  <si>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</si>
  <si>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</si>
  <si>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</si>
  <si>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</si>
  <si>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</si>
  <si>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</si>
  <si>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</si>
  <si>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</si>
  <si>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</si>
  <si>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</si>
  <si>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</si>
  <si>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</si>
  <si>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</si>
  <si>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</si>
  <si>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</si>
  <si>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</si>
  <si>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</si>
  <si>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</si>
  <si>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</si>
  <si>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</si>
  <si>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</si>
  <si>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</si>
  <si>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</si>
  <si>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</si>
  <si>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</si>
  <si>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</si>
  <si>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</si>
  <si>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</si>
  <si>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</si>
  <si>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</si>
  <si>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</si>
  <si>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</si>
  <si>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</si>
  <si>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</si>
  <si>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</si>
  <si>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</si>
  <si>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</si>
  <si>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</si>
  <si>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</si>
  <si>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</si>
  <si>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</si>
  <si>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</si>
  <si>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</si>
  <si>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</si>
  <si>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</si>
  <si>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</si>
  <si>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</si>
  <si>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</si>
  <si>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</si>
  <si>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</si>
  <si>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</si>
  <si>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</si>
  <si>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</si>
  <si>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</si>
  <si>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</si>
  <si>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</si>
  <si>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</si>
  <si>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</si>
  <si>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</si>
  <si>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</si>
  <si>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</si>
  <si>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</si>
  <si>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</si>
  <si>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</si>
  <si>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</si>
  <si>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</si>
  <si>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</si>
  <si>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</si>
  <si>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</si>
  <si>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</si>
  <si>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</si>
  <si>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</si>
  <si>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</si>
  <si>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</si>
  <si>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</si>
  <si>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</si>
  <si>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</si>
  <si>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</si>
  <si>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</si>
  <si>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</si>
  <si>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</si>
  <si>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</si>
  <si>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</si>
  <si>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</si>
  <si>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</si>
  <si>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</si>
  <si>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</si>
  <si>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</si>
  <si>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</si>
  <si>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</si>
  <si>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</si>
  <si>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</si>
  <si>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</si>
  <si>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</si>
  <si>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N° 11005</t>
  </si>
  <si>
    <t>PAULA CAMPOS</t>
  </si>
  <si>
    <t>PROYECTAMA</t>
  </si>
  <si>
    <t xml:space="preserve">+569 </t>
  </si>
  <si>
    <t>CUB C/R 7 CMS R8</t>
  </si>
  <si>
    <t>BLANCO 2114 MT</t>
  </si>
  <si>
    <t>CUB MESA R8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</si>
</sst>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31</xdr:row>
      <xdr:rowOff>28575</xdr:rowOff>
    </xdr:from>
    <xdr:to>
      <xdr:col>8</xdr:col>
      <xdr:colOff>100890</xdr:colOff>
      <xdr:row>34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25</xdr:row>
      <xdr:rowOff>84014</xdr:rowOff>
    </xdr:from>
    <xdr:to>
      <xdr:col>5</xdr:col>
      <xdr:colOff>1849560</xdr:colOff>
      <xdr:row>29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4" zoomScale="98" zoomScaleNormal="98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45467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58321.533865623802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27" t="s">
        <v>163</v>
      </c>
      <c r="D21" s="313">
        <v>2.61</v>
      </c>
      <c r="E21" s="313">
        <v>0.6</v>
      </c>
      <c r="F21" s="312" t="s">
        <v>164</v>
      </c>
      <c r="G21" s="314">
        <v>96081</v>
      </c>
      <c r="H21" s="315">
        <f t="shared" ref="H21" si="1">G21*B21</f>
        <v>96081</v>
      </c>
      <c r="I21" s="265"/>
      <c r="J21" s="47"/>
      <c r="K21" s="325">
        <f>B21</f>
        <v>1</v>
      </c>
      <c r="L21" s="326">
        <f t="shared" ref="L21:M21" si="2">D21+L$19</f>
        <v>2.6599999999999997</v>
      </c>
      <c r="M21" s="326">
        <f t="shared" si="2"/>
        <v>0.6</v>
      </c>
      <c r="N21" s="261">
        <f>L21*M21</f>
        <v>1.5959999999999999</v>
      </c>
      <c r="O21" s="259">
        <f>N21*K21</f>
        <v>1.5959999999999999</v>
      </c>
      <c r="P21" s="252">
        <f>P$20*N21</f>
        <v>93081.168049535583</v>
      </c>
      <c r="Q21" s="258">
        <f>P21+Q$20</f>
        <v>96081.168049535583</v>
      </c>
      <c r="R21" s="308">
        <f>K21*L21</f>
        <v>2.6599999999999997</v>
      </c>
      <c r="S21" s="14"/>
      <c r="T21" s="9"/>
      <c r="W21" s="4"/>
    </row>
    <row r="22" spans="2:24" ht="17.399999999999999" x14ac:dyDescent="0.3">
      <c r="B22" s="323">
        <v>1</v>
      </c>
      <c r="C22" s="327" t="s">
        <v>163</v>
      </c>
      <c r="D22" s="313">
        <v>1.05</v>
      </c>
      <c r="E22" s="313">
        <v>0.4</v>
      </c>
      <c r="F22" s="312" t="s">
        <v>164</v>
      </c>
      <c r="G22" s="314">
        <v>28661</v>
      </c>
      <c r="H22" s="315">
        <f t="shared" ref="H22:H23" si="3">G22*B22</f>
        <v>28661</v>
      </c>
      <c r="I22" s="265"/>
      <c r="J22" s="47"/>
      <c r="K22" s="325">
        <f t="shared" ref="K22:K24" si="4">B22</f>
        <v>1</v>
      </c>
      <c r="L22" s="326">
        <f t="shared" ref="L22:L24" si="5">D22+L$19</f>
        <v>1.1000000000000001</v>
      </c>
      <c r="M22" s="326">
        <f t="shared" ref="M22:M24" si="6">E22+M$19</f>
        <v>0.4</v>
      </c>
      <c r="N22" s="261">
        <f t="shared" ref="N22:N24" si="7">L22*M22</f>
        <v>0.44000000000000006</v>
      </c>
      <c r="O22" s="259">
        <f t="shared" ref="O22:O24" si="8">N22*K22</f>
        <v>0.44000000000000006</v>
      </c>
      <c r="P22" s="252">
        <f t="shared" ref="P22:P24" si="9">P$20*N22</f>
        <v>25661.474900874477</v>
      </c>
      <c r="Q22" s="258">
        <f t="shared" ref="Q22:Q24" si="10">P22+Q$20</f>
        <v>28661.474900874477</v>
      </c>
      <c r="R22" s="308">
        <f t="shared" ref="R22:R24" si="11">K22*L22</f>
        <v>1.1000000000000001</v>
      </c>
      <c r="S22" s="14"/>
      <c r="T22" s="9"/>
      <c r="W22" s="4"/>
    </row>
    <row r="23" spans="2:24" ht="17.399999999999999" x14ac:dyDescent="0.3">
      <c r="B23" s="323">
        <v>1</v>
      </c>
      <c r="C23" s="327" t="s">
        <v>165</v>
      </c>
      <c r="D23" s="313">
        <v>1</v>
      </c>
      <c r="E23" s="313">
        <v>0.82</v>
      </c>
      <c r="F23" s="312" t="s">
        <v>164</v>
      </c>
      <c r="G23" s="314">
        <v>53215</v>
      </c>
      <c r="H23" s="315">
        <f t="shared" si="3"/>
        <v>53215</v>
      </c>
      <c r="I23" s="265"/>
      <c r="J23" s="47"/>
      <c r="K23" s="325">
        <f t="shared" si="4"/>
        <v>1</v>
      </c>
      <c r="L23" s="326">
        <f t="shared" si="5"/>
        <v>1.05</v>
      </c>
      <c r="M23" s="326">
        <f t="shared" si="6"/>
        <v>0.82</v>
      </c>
      <c r="N23" s="261">
        <f t="shared" si="7"/>
        <v>0.86099999999999999</v>
      </c>
      <c r="O23" s="259">
        <f t="shared" si="8"/>
        <v>0.86099999999999999</v>
      </c>
      <c r="P23" s="252">
        <f t="shared" si="9"/>
        <v>50214.840658302091</v>
      </c>
      <c r="Q23" s="258">
        <f t="shared" si="10"/>
        <v>53214.840658302091</v>
      </c>
      <c r="R23" s="308">
        <f t="shared" si="11"/>
        <v>1.05</v>
      </c>
      <c r="S23" s="14"/>
      <c r="T23" s="9"/>
      <c r="W23" s="4"/>
    </row>
    <row r="24" spans="2:24" ht="17.399999999999999" x14ac:dyDescent="0.3">
      <c r="B24" s="323">
        <v>1</v>
      </c>
      <c r="C24" s="340" t="s">
        <v>163</v>
      </c>
      <c r="D24" s="341">
        <v>1.46</v>
      </c>
      <c r="E24" s="341">
        <v>0.52</v>
      </c>
      <c r="F24" s="312" t="s">
        <v>164</v>
      </c>
      <c r="G24" s="314">
        <v>48794</v>
      </c>
      <c r="H24" s="315">
        <f t="shared" ref="H24" si="12">G24*B24</f>
        <v>48794</v>
      </c>
      <c r="I24" s="265"/>
      <c r="J24" s="47"/>
      <c r="K24" s="325">
        <f t="shared" si="4"/>
        <v>1</v>
      </c>
      <c r="L24" s="326">
        <f t="shared" si="5"/>
        <v>1.51</v>
      </c>
      <c r="M24" s="326">
        <f t="shared" si="6"/>
        <v>0.52</v>
      </c>
      <c r="N24" s="261">
        <f t="shared" si="7"/>
        <v>0.78520000000000001</v>
      </c>
      <c r="O24" s="259">
        <f t="shared" si="8"/>
        <v>0.78520000000000001</v>
      </c>
      <c r="P24" s="252">
        <f t="shared" si="9"/>
        <v>45794.068391287808</v>
      </c>
      <c r="Q24" s="258">
        <f t="shared" si="10"/>
        <v>48794.068391287808</v>
      </c>
      <c r="R24" s="308">
        <f t="shared" si="11"/>
        <v>1.51</v>
      </c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8"/>
      <c r="H25" s="318"/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2"/>
      <c r="I26" s="232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9" t="s">
        <v>30</v>
      </c>
      <c r="H27" s="310">
        <f>SUM(H21:H26)</f>
        <v>226751</v>
      </c>
      <c r="I27" s="265"/>
      <c r="J27" s="47"/>
      <c r="K27" s="47"/>
      <c r="L27" s="39">
        <f>SUM(L21:L26)-L23</f>
        <v>5.27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53</v>
      </c>
      <c r="H28" s="304">
        <f>H27*19%</f>
        <v>43082.69</v>
      </c>
      <c r="I28" s="265"/>
      <c r="J28" s="47"/>
      <c r="K28" s="47"/>
      <c r="L28" s="39"/>
      <c r="M28" s="12"/>
      <c r="N28" s="12"/>
      <c r="O28" s="253">
        <f>SUM(O21:O24)</f>
        <v>3.6822000000000004</v>
      </c>
      <c r="P28" s="14"/>
      <c r="Q28" s="12"/>
      <c r="R28" s="238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269833.69</v>
      </c>
      <c r="I29" s="265"/>
      <c r="J29" s="47"/>
      <c r="K29" s="47"/>
      <c r="L29" s="39"/>
      <c r="M29" s="12"/>
      <c r="N29" s="12"/>
      <c r="O29" s="253">
        <f>O28</f>
        <v>3.6822000000000004</v>
      </c>
      <c r="P29" s="14"/>
      <c r="Q29" s="12"/>
      <c r="R29" s="238">
        <f>SUM(R21:R28)</f>
        <v>6.3199999999999994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>
        <v>32</v>
      </c>
      <c r="K30" s="47"/>
      <c r="L30" s="39"/>
      <c r="M30" s="12"/>
      <c r="N30" s="12"/>
      <c r="O30" s="39">
        <f>O29*20%</f>
        <v>0.73644000000000009</v>
      </c>
      <c r="P30" s="39" t="s">
        <v>132</v>
      </c>
      <c r="Q30" s="42"/>
      <c r="R30" s="239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320">
        <v>32</v>
      </c>
      <c r="K31" s="47"/>
      <c r="L31" s="14"/>
      <c r="M31" s="12"/>
      <c r="N31" s="12"/>
      <c r="O31" s="46">
        <f>O29+O30</f>
        <v>4.4186400000000008</v>
      </c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5"/>
      <c r="I32" s="265"/>
      <c r="J32" s="320">
        <v>55</v>
      </c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2:23" ht="17.399999999999999" x14ac:dyDescent="0.35">
      <c r="B33" s="234"/>
      <c r="C33" s="235"/>
      <c r="D33" s="236"/>
      <c r="E33" s="234"/>
      <c r="F33" s="230"/>
      <c r="G33" s="230"/>
      <c r="I33" s="265"/>
      <c r="J33" s="47">
        <f>SUM(J30:J32)</f>
        <v>119</v>
      </c>
      <c r="K33" s="47"/>
      <c r="L33" s="39">
        <f>O31</f>
        <v>4.4186400000000008</v>
      </c>
      <c r="M33" s="12">
        <v>3500</v>
      </c>
      <c r="N33" s="12">
        <f t="shared" ref="N33:N38" si="13">L33*M33</f>
        <v>15465.240000000003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</v>
      </c>
      <c r="M34" s="12">
        <v>25000</v>
      </c>
      <c r="N34" s="12">
        <f t="shared" si="13"/>
        <v>25000</v>
      </c>
      <c r="O34" s="39" t="s">
        <v>156</v>
      </c>
      <c r="P34" s="42"/>
      <c r="Q34" s="14"/>
      <c r="R34" s="239"/>
      <c r="S34" s="14"/>
      <c r="T34" s="9"/>
      <c r="W34" s="4"/>
    </row>
    <row r="35" spans="2:23" s="230" customFormat="1" ht="17.399999999999999" x14ac:dyDescent="0.35">
      <c r="I35" s="262"/>
      <c r="J35" s="47"/>
      <c r="K35" s="250"/>
      <c r="L35" s="14"/>
      <c r="M35" s="250">
        <v>55000</v>
      </c>
      <c r="N35" s="12">
        <f t="shared" si="13"/>
        <v>0</v>
      </c>
      <c r="O35" s="39" t="s">
        <v>32</v>
      </c>
      <c r="P35" s="42"/>
      <c r="R35" s="239"/>
      <c r="S35" s="256"/>
      <c r="V35" s="231"/>
    </row>
    <row r="36" spans="2:23" s="230" customFormat="1" ht="17.399999999999999" x14ac:dyDescent="0.35">
      <c r="B36" s="24" t="s">
        <v>153</v>
      </c>
      <c r="I36" s="262"/>
      <c r="J36" s="319"/>
      <c r="K36" s="250"/>
      <c r="L36" s="14">
        <v>2</v>
      </c>
      <c r="M36" s="250">
        <v>22500</v>
      </c>
      <c r="N36" s="12">
        <f t="shared" si="13"/>
        <v>45000</v>
      </c>
      <c r="O36" s="14" t="s">
        <v>143</v>
      </c>
      <c r="P36" s="17"/>
      <c r="R36" s="237"/>
      <c r="S36" s="256"/>
      <c r="V36" s="231"/>
    </row>
    <row r="37" spans="2:23" s="230" customFormat="1" ht="17.399999999999999" x14ac:dyDescent="0.35">
      <c r="B37" s="24" t="s">
        <v>146</v>
      </c>
      <c r="C37"/>
      <c r="D37"/>
      <c r="E37"/>
      <c r="F37"/>
      <c r="I37" s="262"/>
      <c r="J37" s="319"/>
      <c r="K37" s="250"/>
      <c r="L37" s="249"/>
      <c r="M37" s="250">
        <v>800</v>
      </c>
      <c r="N37" s="12">
        <f t="shared" si="13"/>
        <v>0</v>
      </c>
      <c r="O37" s="14" t="s">
        <v>34</v>
      </c>
      <c r="P37" s="14"/>
      <c r="Q37" s="230">
        <v>1.52</v>
      </c>
      <c r="R37" s="237"/>
      <c r="S37" s="237"/>
    </row>
    <row r="38" spans="2:23" s="230" customFormat="1" ht="17.399999999999999" x14ac:dyDescent="0.35">
      <c r="B38" s="29" t="s">
        <v>127</v>
      </c>
      <c r="C38"/>
      <c r="D38"/>
      <c r="E38"/>
      <c r="F38" s="229" t="s">
        <v>16</v>
      </c>
      <c r="I38" s="303"/>
      <c r="J38" s="47"/>
      <c r="K38" s="250"/>
      <c r="L38" s="266">
        <v>5.27</v>
      </c>
      <c r="M38" s="12">
        <v>1500</v>
      </c>
      <c r="N38" s="12">
        <f t="shared" si="13"/>
        <v>7904.9999999999991</v>
      </c>
      <c r="O38" s="14" t="s">
        <v>24</v>
      </c>
      <c r="P38" s="14"/>
      <c r="Q38">
        <v>2.44</v>
      </c>
      <c r="R38"/>
      <c r="S38" s="237">
        <v>1500</v>
      </c>
      <c r="W38" s="231"/>
    </row>
    <row r="39" spans="2:23" s="230" customFormat="1" ht="17.399999999999999" x14ac:dyDescent="0.35">
      <c r="J39" s="47"/>
      <c r="K39" s="250"/>
      <c r="L39" s="14"/>
      <c r="M39" s="12"/>
      <c r="N39" s="12">
        <f>SUM(N33:N38)</f>
        <v>93370.240000000005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2:23" s="230" customFormat="1" ht="17.399999999999999" x14ac:dyDescent="0.35">
      <c r="J40" s="47">
        <v>49930</v>
      </c>
      <c r="K40" s="250"/>
      <c r="L40" s="254" t="s">
        <v>35</v>
      </c>
      <c r="M40" s="12"/>
      <c r="N40" s="255">
        <f>N39*2.3</f>
        <v>214751.552</v>
      </c>
      <c r="O40" s="14" t="s">
        <v>142</v>
      </c>
      <c r="P40" s="14"/>
      <c r="Q40" s="46">
        <f>O29/Q39</f>
        <v>0.99282786885245911</v>
      </c>
      <c r="R40"/>
      <c r="S40" s="257" t="e">
        <f>S39/#REF!</f>
        <v>#REF!</v>
      </c>
    </row>
    <row r="41" spans="2:23" s="230" customFormat="1" ht="17.399999999999999" x14ac:dyDescent="0.35">
      <c r="G41"/>
      <c r="H41" s="260"/>
      <c r="I41" s="260"/>
      <c r="J41" s="47">
        <f>J40/1.19</f>
        <v>41957.983193277316</v>
      </c>
      <c r="K41" s="250"/>
      <c r="L41" s="14"/>
      <c r="M41" s="12"/>
      <c r="N41" s="12">
        <f>N40/O29</f>
        <v>58321.533865623802</v>
      </c>
      <c r="O41" s="45" t="s">
        <v>26</v>
      </c>
      <c r="P41" s="14"/>
      <c r="Q41" s="14"/>
      <c r="R41"/>
      <c r="S41" s="237"/>
    </row>
    <row r="42" spans="2:23" s="230" customFormat="1" ht="17.399999999999999" x14ac:dyDescent="0.35">
      <c r="G42"/>
      <c r="J42" s="47"/>
      <c r="K42" s="250"/>
      <c r="L42" s="13"/>
      <c r="M42" s="14"/>
      <c r="N42" s="17">
        <f>N40/N39</f>
        <v>2.2999999999999998</v>
      </c>
      <c r="O42" s="15"/>
      <c r="P42"/>
      <c r="Q42"/>
      <c r="R42"/>
      <c r="S42" s="237"/>
    </row>
    <row r="43" spans="2:23" s="230" customFormat="1" ht="17.399999999999999" x14ac:dyDescent="0.35">
      <c r="G43" s="23"/>
      <c r="J43" s="47"/>
      <c r="K43" s="12"/>
      <c r="S43" s="237"/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2:23" ht="14.4" customHeight="1" x14ac:dyDescent="0.3">
      <c r="J45" s="47"/>
      <c r="K45" s="12"/>
      <c r="S45">
        <v>2.5</v>
      </c>
    </row>
    <row r="46" spans="2:23" x14ac:dyDescent="0.3">
      <c r="J46" s="47"/>
      <c r="K46" s="250"/>
      <c r="S46">
        <f>S44*S45</f>
        <v>4.5750000000000002</v>
      </c>
    </row>
    <row r="47" spans="2:23" x14ac:dyDescent="0.3">
      <c r="K47" s="250"/>
      <c r="S47" s="270">
        <f>O31/S46</f>
        <v>0.96582295081967229</v>
      </c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45467</v>
      </c>
    </row>
    <row r="6" spans="2:31" ht="16.2" thickBot="1" x14ac:dyDescent="0.35">
      <c r="B6" s="140" t="s">
        <v>2</v>
      </c>
      <c r="C6" s="139" t="str">
        <f>'2229'!C10</f>
        <v>PROYECTAMA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11005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-18459.517366787437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226751</v>
      </c>
      <c r="E11" s="132">
        <f>D11*0.19</f>
        <v>43082.69</v>
      </c>
      <c r="F11" s="131">
        <f>E11+D11</f>
        <v>269833.69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87530.482633212567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70299.330787439627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69530.482633212567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156451.66921256037</v>
      </c>
      <c r="E13" s="221">
        <f>(D11/D12)-1</f>
        <v>2.2255072339965087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60530.482633212567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21530.482633212563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115993.89579927537</v>
      </c>
      <c r="F15" s="216">
        <f>E15-D12</f>
        <v>45694.565011835744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21530.482633212563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61530.482633212567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15465.240000000003</v>
      </c>
      <c r="E20" s="121">
        <f>D20*0.19</f>
        <v>2938.3956000000007</v>
      </c>
      <c r="F20" s="120">
        <f>SUM(D20:E20)</f>
        <v>18403.635600000005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40465.240000000005</v>
      </c>
      <c r="E21" s="116">
        <f>SUM(E18:E20)</f>
        <v>7688.3956000000007</v>
      </c>
      <c r="F21" s="115">
        <f>SUM(F18:F20)</f>
        <v>48153.635600000009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35394.294399999999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226751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40465.240000000005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156451.66921256037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156451.66921256037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2024-06-24T14:14:34Z</cp:lastPrinted>
  <dcterms:created xsi:type="dcterms:W3CDTF">2013-03-18T13:35:42Z</dcterms:created>
  <dcterms:modified xsi:type="dcterms:W3CDTF">2024-06-24T21:26:56Z</dcterms:modified>
</cp:coreProperties>
</file>