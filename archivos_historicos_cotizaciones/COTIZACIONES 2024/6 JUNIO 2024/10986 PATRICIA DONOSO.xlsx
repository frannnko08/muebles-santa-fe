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BB4AD589-72E6-4312-B553-5BD07D6E78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1" l="1"/>
  <c r="H48" i="1"/>
  <c r="H44" i="1"/>
  <c r="H43" i="1"/>
  <c r="H42" i="1"/>
  <c r="K43" i="1"/>
  <c r="L43" i="1"/>
  <c r="M43" i="1"/>
  <c r="K44" i="1"/>
  <c r="L44" i="1"/>
  <c r="M44" i="1"/>
  <c r="M42" i="1"/>
  <c r="L42" i="1"/>
  <c r="K42" i="1"/>
  <c r="H41" i="1"/>
  <c r="H40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H39" i="1"/>
  <c r="M28" i="1"/>
  <c r="L28" i="1"/>
  <c r="L25" i="1"/>
  <c r="M25" i="1"/>
  <c r="L26" i="1"/>
  <c r="M26" i="1"/>
  <c r="L27" i="1"/>
  <c r="M27" i="1"/>
  <c r="N36" i="1" l="1"/>
  <c r="O36" i="1" s="1"/>
  <c r="N43" i="1"/>
  <c r="O43" i="1" s="1"/>
  <c r="N39" i="1"/>
  <c r="O39" i="1" s="1"/>
  <c r="N44" i="1"/>
  <c r="O44" i="1" s="1"/>
  <c r="N29" i="1"/>
  <c r="O29" i="1" s="1"/>
  <c r="N38" i="1"/>
  <c r="O38" i="1" s="1"/>
  <c r="N34" i="1"/>
  <c r="O34" i="1" s="1"/>
  <c r="N42" i="1"/>
  <c r="O42" i="1" s="1"/>
  <c r="N27" i="1"/>
  <c r="O27" i="1" s="1"/>
  <c r="N25" i="1"/>
  <c r="O25" i="1" s="1"/>
  <c r="N40" i="1"/>
  <c r="O40" i="1" s="1"/>
  <c r="N30" i="1"/>
  <c r="O30" i="1" s="1"/>
  <c r="N28" i="1"/>
  <c r="O28" i="1" s="1"/>
  <c r="N31" i="1"/>
  <c r="O31" i="1" s="1"/>
  <c r="N32" i="1"/>
  <c r="O32" i="1" s="1"/>
  <c r="N41" i="1"/>
  <c r="O41" i="1" s="1"/>
  <c r="N33" i="1"/>
  <c r="O33" i="1" s="1"/>
  <c r="N35" i="1"/>
  <c r="O35" i="1" s="1"/>
  <c r="N37" i="1"/>
  <c r="O37" i="1" s="1"/>
  <c r="N26" i="1"/>
  <c r="O26" i="1" s="1"/>
  <c r="H25" i="1" l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L22" i="1"/>
  <c r="M22" i="1"/>
  <c r="L23" i="1"/>
  <c r="M23" i="1"/>
  <c r="L24" i="1"/>
  <c r="M24" i="1"/>
  <c r="H22" i="1"/>
  <c r="H23" i="1"/>
  <c r="H24" i="1"/>
  <c r="R22" i="1" l="1"/>
  <c r="N22" i="1"/>
  <c r="O22" i="1" s="1"/>
  <c r="N24" i="1"/>
  <c r="O24" i="1" s="1"/>
  <c r="N23" i="1"/>
  <c r="O23" i="1" s="1"/>
  <c r="R24" i="1"/>
  <c r="R23" i="1"/>
  <c r="L21" i="1"/>
  <c r="L50" i="1" s="1"/>
  <c r="M21" i="1"/>
  <c r="R21" i="1" l="1"/>
  <c r="N21" i="1"/>
  <c r="O21" i="1" s="1"/>
  <c r="O51" i="1" s="1"/>
  <c r="J64" i="1" l="1"/>
  <c r="N57" i="1" l="1"/>
  <c r="O52" i="1" l="1"/>
  <c r="O53" i="1" s="1"/>
  <c r="O54" i="1" s="1"/>
  <c r="S69" i="1"/>
  <c r="M20" i="1" l="1"/>
  <c r="K20" i="1"/>
  <c r="N58" i="1" l="1"/>
  <c r="Q62" i="1"/>
  <c r="Q63" i="1" s="1"/>
  <c r="N59" i="1" l="1"/>
  <c r="S62" i="1" l="1"/>
  <c r="S6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61" i="1"/>
  <c r="N60" i="1"/>
  <c r="F18" i="3" l="1"/>
  <c r="L56" i="1" l="1"/>
  <c r="N56" i="1" l="1"/>
  <c r="N62" i="1" s="1"/>
  <c r="N63" i="1" s="1"/>
  <c r="S70" i="1"/>
  <c r="D20" i="3" l="1"/>
  <c r="E20" i="3" s="1"/>
  <c r="E21" i="3" s="1"/>
  <c r="N65" i="1" l="1"/>
  <c r="D21" i="3"/>
  <c r="M43" i="3" s="1"/>
  <c r="D12" i="3" s="1"/>
  <c r="F20" i="3"/>
  <c r="F21" i="3" s="1"/>
  <c r="N64" i="1" l="1"/>
  <c r="P20" i="1" s="1"/>
  <c r="E15" i="3"/>
  <c r="P42" i="1" l="1"/>
  <c r="Q42" i="1" s="1"/>
  <c r="P44" i="1"/>
  <c r="Q44" i="1" s="1"/>
  <c r="P43" i="1"/>
  <c r="Q43" i="1" s="1"/>
  <c r="P28" i="1"/>
  <c r="Q28" i="1" s="1"/>
  <c r="P30" i="1"/>
  <c r="Q30" i="1" s="1"/>
  <c r="P32" i="1"/>
  <c r="Q32" i="1" s="1"/>
  <c r="P34" i="1"/>
  <c r="Q34" i="1" s="1"/>
  <c r="P36" i="1"/>
  <c r="Q36" i="1" s="1"/>
  <c r="P38" i="1"/>
  <c r="Q38" i="1" s="1"/>
  <c r="P40" i="1"/>
  <c r="Q40" i="1" s="1"/>
  <c r="P29" i="1"/>
  <c r="Q29" i="1" s="1"/>
  <c r="P31" i="1"/>
  <c r="Q31" i="1" s="1"/>
  <c r="P33" i="1"/>
  <c r="Q33" i="1" s="1"/>
  <c r="P35" i="1"/>
  <c r="Q35" i="1" s="1"/>
  <c r="P37" i="1"/>
  <c r="Q37" i="1" s="1"/>
  <c r="P39" i="1"/>
  <c r="Q39" i="1" s="1"/>
  <c r="P41" i="1"/>
  <c r="Q41" i="1" s="1"/>
  <c r="P26" i="1"/>
  <c r="Q26" i="1" s="1"/>
  <c r="P25" i="1"/>
  <c r="Q25" i="1" s="1"/>
  <c r="P27" i="1"/>
  <c r="Q27" i="1" s="1"/>
  <c r="P22" i="1"/>
  <c r="Q22" i="1" s="1"/>
  <c r="P23" i="1"/>
  <c r="Q23" i="1" s="1"/>
  <c r="P24" i="1"/>
  <c r="Q24" i="1" s="1"/>
  <c r="P21" i="1"/>
  <c r="F15" i="3"/>
  <c r="Q21" i="1" l="1"/>
  <c r="H21" i="1" s="1"/>
  <c r="R52" i="1"/>
  <c r="K15" i="1" l="1"/>
  <c r="H50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<sst xmlns="http://schemas.openxmlformats.org/spreadsheetml/2006/main" count="266" uniqueCount="175">
  <si>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</si>
  <si>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</si>
  <si>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</si>
  <si>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</si>
  <si>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</si>
  <si>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</si>
  <si>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</si>
  <si>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</si>
  <si>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</si>
  <si>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</si>
  <si>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</si>
  <si>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</si>
  <si>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</si>
  <si>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</si>
  <si>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</si>
  <si>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</si>
  <si>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</si>
  <si>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</si>
  <si>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</si>
  <si>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</si>
  <si>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</si>
  <si>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</si>
  <si>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</si>
  <si>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</si>
  <si>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</si>
  <si>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</si>
  <si>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</si>
  <si>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</si>
  <si>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</si>
  <si>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</si>
  <si>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</si>
  <si>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</si>
  <si>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</si>
  <si>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</si>
  <si>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</si>
  <si>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</si>
  <si>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</si>
  <si>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</si>
  <si>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</si>
  <si>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</si>
  <si>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</si>
  <si>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</si>
  <si>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</si>
  <si>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</si>
  <si>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</si>
  <si>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</si>
  <si>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</si>
  <si>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</si>
  <si>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</si>
  <si>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</si>
  <si>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</si>
  <si>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</si>
  <si>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</si>
  <si>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</si>
  <si>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</si>
  <si>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</si>
  <si>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</si>
  <si>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</si>
  <si>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</si>
  <si>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</si>
  <si>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</si>
  <si>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</si>
  <si>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</si>
  <si>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</si>
  <si>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</si>
  <si>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</si>
  <si>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</si>
  <si>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</si>
  <si>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</si>
  <si>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</si>
  <si>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</si>
  <si>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</si>
  <si>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</si>
  <si>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</si>
  <si>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</si>
  <si>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</si>
  <si>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</si>
  <si>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</si>
  <si>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</si>
  <si>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</si>
  <si>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</si>
  <si>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</si>
  <si>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</si>
  <si>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</si>
  <si>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</si>
  <si>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</si>
  <si>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</si>
  <si>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</si>
  <si>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</si>
  <si>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</si>
  <si>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</si>
  <si>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</si>
  <si>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</si>
  <si>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</si>
  <si>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</si>
  <si>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</si>
  <si>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</si>
  <si>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</si>
  <si>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</si>
  <si>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</si>
  <si>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</si>
  <si>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</si>
  <si>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</si>
  <si>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</si>
  <si>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</si>
  <si>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</si>
  <si>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</si>
  <si>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</si>
  <si>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</si>
  <si>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</si>
  <si>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</si>
  <si>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</si>
  <si>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</si>
  <si>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</si>
  <si>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</si>
  <si>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</si>
  <si>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</si>
  <si>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</si>
  <si>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</si>
  <si>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</si>
  <si>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</si>
  <si>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</si>
  <si>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</si>
  <si>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</si>
  <si>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</si>
  <si>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</si>
  <si>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</si>
  <si>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</si>
  <si>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</si>
  <si>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</si>
  <si>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</si>
  <si>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</si>
  <si>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</si>
  <si>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</si>
  <si>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</si>
  <si>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</si>
  <si>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</si>
  <si>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</si>
  <si>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</si>
  <si>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</si>
  <si>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</si>
  <si>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</si>
  <si>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</si>
  <si>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</si>
  <si>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</si>
  <si>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</si>
  <si>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</si>
  <si>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</si>
  <si>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</si>
  <si>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</si>
  <si>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</si>
  <si>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</si>
  <si>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</si>
  <si>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</si>
  <si>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</si>
  <si>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</si>
  <si>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ABONO 50%, SALDO C/ENTREGA</t>
  </si>
  <si>
    <t xml:space="preserve">+569 </t>
  </si>
  <si>
    <t>7 DIAS HABILES</t>
  </si>
  <si>
    <t>BCO BRILLO</t>
  </si>
  <si>
    <t>N° 10986</t>
  </si>
  <si>
    <t>RENE AGUIRRE</t>
  </si>
  <si>
    <t>LA SERENA</t>
  </si>
  <si>
    <t>PR6</t>
  </si>
  <si>
    <t>LISTON DE AJUSTE</t>
  </si>
  <si>
    <t>PR6 / 3 FRENTES</t>
  </si>
  <si>
    <t>PR6 / 2 FRENTES</t>
  </si>
  <si>
    <t>TERMINAL</t>
  </si>
  <si>
    <t>MELAMINA BLANCA</t>
  </si>
  <si>
    <t>MUEBLE PARA OLLAS 2 CAJONES</t>
  </si>
  <si>
    <t>SKY 2320 MT</t>
  </si>
  <si>
    <t>CENEFAS R6 1V</t>
  </si>
  <si>
    <t>CUB S/R R6</t>
  </si>
  <si>
    <t>PALAZZO 3171 BR</t>
  </si>
  <si>
    <t>DESPACHO E INSTALACION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</si>
</sst>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41" fontId="5" fillId="2" borderId="0" xfId="4" applyFont="1" applyFill="1" applyBorder="1" applyAlignment="1">
      <alignment horizontal="center"/>
    </xf>
    <xf numFmtId="167" fontId="5" fillId="0" borderId="0" xfId="2" applyNumberFormat="1" applyFont="1" applyFill="1" applyBorder="1"/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51</xdr:row>
      <xdr:rowOff>5249</xdr:rowOff>
    </xdr:from>
    <xdr:to>
      <xdr:col>8</xdr:col>
      <xdr:colOff>7776</xdr:colOff>
      <xdr:row>54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53</xdr:row>
      <xdr:rowOff>154305</xdr:rowOff>
    </xdr:from>
    <xdr:to>
      <xdr:col>7</xdr:col>
      <xdr:colOff>853440</xdr:colOff>
      <xdr:row>53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51</xdr:row>
      <xdr:rowOff>9525</xdr:rowOff>
    </xdr:from>
    <xdr:to>
      <xdr:col>5</xdr:col>
      <xdr:colOff>1679511</xdr:colOff>
      <xdr:row>54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46</xdr:row>
      <xdr:rowOff>225489</xdr:rowOff>
    </xdr:from>
    <xdr:to>
      <xdr:col>5</xdr:col>
      <xdr:colOff>1656183</xdr:colOff>
      <xdr:row>50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PIE DE 380.000.-</a:t>
          </a:r>
          <a:r>
            <a:rPr lang="es-CL" sz="1200" b="1" baseline="0"/>
            <a:t> MAS 2 CUOTAS DE 380.000.- SE DEBE CONSIDERAR EL COSTO DE LA INSTALACION QUE ES CONTADO, UNA VEZ QUE SE VAYA A INSTALAR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607"/>
  <sheetViews>
    <sheetView tabSelected="1" topLeftCell="A33" zoomScale="98" zoomScaleNormal="98" workbookViewId="0">
      <selection activeCell="G41" sqref="G41"/>
    </sheetView>
  </sheetViews>
  <sheetFormatPr baseColWidth="10" defaultRowHeight="14.4" x14ac:dyDescent="0.3"/>
  <cols>
    <col min="1" max="1" width="6" customWidth="1"/>
    <col min="2" max="2" width="10.5546875" customWidth="1"/>
    <col min="3" max="3" width="28" customWidth="1"/>
    <col min="4" max="4" width="11.109375" customWidth="1"/>
    <col min="5" max="5" width="10.5546875" customWidth="1"/>
    <col min="6" max="6" width="2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160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161</v>
      </c>
      <c r="D10" s="243"/>
      <c r="E10" s="243"/>
      <c r="F10" s="244" t="s">
        <v>0</v>
      </c>
      <c r="G10" s="276">
        <v>45447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158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157</v>
      </c>
      <c r="D15" s="294"/>
      <c r="E15" s="247"/>
      <c r="F15" s="247" t="s">
        <v>136</v>
      </c>
      <c r="G15" s="295" t="s">
        <v>137</v>
      </c>
      <c r="H15" s="248"/>
      <c r="K15" s="18">
        <f>H48/L13</f>
        <v>45178.896300788358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156</v>
      </c>
      <c r="H16" s="289"/>
    </row>
    <row r="17" spans="2:24" ht="15" thickBot="1" x14ac:dyDescent="0.35">
      <c r="B17" s="296" t="s">
        <v>13</v>
      </c>
      <c r="C17" s="297" t="s">
        <v>162</v>
      </c>
      <c r="D17" s="298"/>
      <c r="E17" s="299"/>
      <c r="F17" s="319" t="s">
        <v>153</v>
      </c>
      <c r="G17" s="319"/>
      <c r="H17" s="32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21" t="s">
        <v>148</v>
      </c>
      <c r="C19" s="322"/>
      <c r="D19" s="322"/>
      <c r="E19" s="322"/>
      <c r="F19" s="322"/>
      <c r="G19" s="322"/>
      <c r="H19" s="32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N64</f>
        <v>79128.422081094308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34">
        <v>2</v>
      </c>
      <c r="C21" s="335" t="s">
        <v>163</v>
      </c>
      <c r="D21" s="336">
        <v>0.71</v>
      </c>
      <c r="E21" s="336">
        <v>0.44700000000000001</v>
      </c>
      <c r="F21" s="334" t="s">
        <v>159</v>
      </c>
      <c r="G21" s="339">
        <v>30071</v>
      </c>
      <c r="H21" s="339">
        <f t="shared" ref="H21" si="1">G21*B21</f>
        <v>60142</v>
      </c>
      <c r="I21" s="265"/>
      <c r="J21" s="47"/>
      <c r="K21" s="47"/>
      <c r="L21" s="39">
        <f t="shared" ref="L21" si="2">D21+L$19</f>
        <v>0.76</v>
      </c>
      <c r="M21" s="39">
        <f t="shared" ref="M21" si="3">E21+M$19</f>
        <v>0.44700000000000001</v>
      </c>
      <c r="N21" s="261">
        <f t="shared" ref="N21" si="4">L21*M21</f>
        <v>0.33972000000000002</v>
      </c>
      <c r="O21" s="259">
        <f t="shared" ref="O21" si="5">N21*K21</f>
        <v>0</v>
      </c>
      <c r="P21" s="252">
        <f t="shared" ref="P21" si="6">P$20*N21</f>
        <v>26881.50754938936</v>
      </c>
      <c r="Q21" s="337">
        <f t="shared" ref="Q21" si="7">P21+Q$20</f>
        <v>29881.50754938936</v>
      </c>
      <c r="R21" s="307">
        <f t="shared" ref="R21" si="8">K21*L21</f>
        <v>0</v>
      </c>
      <c r="S21" s="14"/>
      <c r="T21" s="9"/>
      <c r="W21" s="4"/>
    </row>
    <row r="22" spans="2:24" ht="17.399999999999999" x14ac:dyDescent="0.3">
      <c r="B22" s="334">
        <v>1</v>
      </c>
      <c r="C22" s="335" t="s">
        <v>163</v>
      </c>
      <c r="D22" s="336">
        <v>0.71</v>
      </c>
      <c r="E22" s="336">
        <v>0.4</v>
      </c>
      <c r="F22" s="334" t="s">
        <v>159</v>
      </c>
      <c r="G22" s="339">
        <v>27225</v>
      </c>
      <c r="H22" s="339">
        <f t="shared" ref="H22:H24" si="9">G22*B22</f>
        <v>27225</v>
      </c>
      <c r="I22" s="265"/>
      <c r="J22" s="47"/>
      <c r="K22" s="47"/>
      <c r="L22" s="39">
        <f t="shared" ref="L22:L24" si="10">D22+L$19</f>
        <v>0.76</v>
      </c>
      <c r="M22" s="39">
        <f t="shared" ref="M22:M24" si="11">E22+M$19</f>
        <v>0.4</v>
      </c>
      <c r="N22" s="261">
        <f t="shared" ref="N22:N24" si="12">L22*M22</f>
        <v>0.30400000000000005</v>
      </c>
      <c r="O22" s="259">
        <f t="shared" ref="O22:O24" si="13">N22*K22</f>
        <v>0</v>
      </c>
      <c r="P22" s="252">
        <f t="shared" ref="P22:P24" si="14">P$20*N22</f>
        <v>24055.040312652673</v>
      </c>
      <c r="Q22" s="337">
        <f t="shared" ref="Q22:Q24" si="15">P22+Q$20</f>
        <v>27055.040312652673</v>
      </c>
      <c r="R22" s="307">
        <f t="shared" ref="R22:R24" si="16">K22*L22</f>
        <v>0</v>
      </c>
      <c r="S22" s="14"/>
      <c r="T22" s="9"/>
      <c r="W22" s="4"/>
    </row>
    <row r="23" spans="2:24" ht="17.399999999999999" x14ac:dyDescent="0.3">
      <c r="B23" s="334">
        <v>1</v>
      </c>
      <c r="C23" s="335" t="s">
        <v>165</v>
      </c>
      <c r="D23" s="336">
        <v>0.71</v>
      </c>
      <c r="E23" s="336">
        <v>0.4</v>
      </c>
      <c r="F23" s="334" t="s">
        <v>159</v>
      </c>
      <c r="G23" s="339">
        <v>33225</v>
      </c>
      <c r="H23" s="339">
        <f t="shared" si="9"/>
        <v>33225</v>
      </c>
      <c r="I23" s="265"/>
      <c r="J23" s="47"/>
      <c r="K23" s="47"/>
      <c r="L23" s="39">
        <f t="shared" si="10"/>
        <v>0.76</v>
      </c>
      <c r="M23" s="39">
        <f t="shared" si="11"/>
        <v>0.4</v>
      </c>
      <c r="N23" s="261">
        <f t="shared" si="12"/>
        <v>0.30400000000000005</v>
      </c>
      <c r="O23" s="259">
        <f t="shared" si="13"/>
        <v>0</v>
      </c>
      <c r="P23" s="252">
        <f t="shared" si="14"/>
        <v>24055.040312652673</v>
      </c>
      <c r="Q23" s="337">
        <f t="shared" si="15"/>
        <v>27055.040312652673</v>
      </c>
      <c r="R23" s="307">
        <f t="shared" si="16"/>
        <v>0</v>
      </c>
      <c r="S23" s="14"/>
      <c r="T23" s="9"/>
      <c r="W23" s="4"/>
    </row>
    <row r="24" spans="2:24" ht="17.399999999999999" x14ac:dyDescent="0.3">
      <c r="B24" s="334">
        <v>1</v>
      </c>
      <c r="C24" s="335" t="s">
        <v>166</v>
      </c>
      <c r="D24" s="336">
        <v>0.71</v>
      </c>
      <c r="E24" s="336">
        <v>0.60499999999999998</v>
      </c>
      <c r="F24" s="334" t="s">
        <v>159</v>
      </c>
      <c r="G24" s="339">
        <v>42640</v>
      </c>
      <c r="H24" s="339">
        <f t="shared" si="9"/>
        <v>42640</v>
      </c>
      <c r="I24" s="265"/>
      <c r="J24" s="47"/>
      <c r="K24" s="47"/>
      <c r="L24" s="39">
        <f t="shared" si="10"/>
        <v>0.76</v>
      </c>
      <c r="M24" s="39">
        <f t="shared" si="11"/>
        <v>0.60499999999999998</v>
      </c>
      <c r="N24" s="261">
        <f t="shared" si="12"/>
        <v>0.45979999999999999</v>
      </c>
      <c r="O24" s="259">
        <f t="shared" si="13"/>
        <v>0</v>
      </c>
      <c r="P24" s="252">
        <f t="shared" si="14"/>
        <v>36383.248472887164</v>
      </c>
      <c r="Q24" s="337">
        <f t="shared" si="15"/>
        <v>39383.248472887164</v>
      </c>
      <c r="R24" s="307">
        <f t="shared" si="16"/>
        <v>0</v>
      </c>
      <c r="S24" s="14"/>
      <c r="T24" s="9"/>
      <c r="W24" s="4"/>
    </row>
    <row r="25" spans="2:24" ht="17.399999999999999" x14ac:dyDescent="0.3">
      <c r="B25" s="334">
        <v>6</v>
      </c>
      <c r="C25" s="335" t="s">
        <v>163</v>
      </c>
      <c r="D25" s="336">
        <v>0.23</v>
      </c>
      <c r="E25" s="336">
        <v>0.747</v>
      </c>
      <c r="F25" s="334" t="s">
        <v>159</v>
      </c>
      <c r="G25" s="339">
        <v>19667</v>
      </c>
      <c r="H25" s="339">
        <f t="shared" ref="H25:H45" si="17">G25*B25</f>
        <v>118002</v>
      </c>
      <c r="I25" s="265"/>
      <c r="J25" s="47"/>
      <c r="K25" s="47"/>
      <c r="L25" s="39">
        <f t="shared" ref="L25:L28" si="18">D25+L$19</f>
        <v>0.28000000000000003</v>
      </c>
      <c r="M25" s="39">
        <f t="shared" ref="M25:M28" si="19">E25+M$19</f>
        <v>0.747</v>
      </c>
      <c r="N25" s="261">
        <f t="shared" ref="N25:N28" si="20">L25*M25</f>
        <v>0.20916000000000001</v>
      </c>
      <c r="O25" s="259">
        <f t="shared" ref="O25:O42" si="21">N25*K25</f>
        <v>0</v>
      </c>
      <c r="P25" s="252">
        <f t="shared" ref="P25:P28" si="22">P$20*N25</f>
        <v>16550.500762481686</v>
      </c>
      <c r="Q25" s="337">
        <f t="shared" ref="Q25:Q28" si="23">P25+Q$20</f>
        <v>19550.500762481686</v>
      </c>
      <c r="R25" s="307"/>
      <c r="S25" s="14"/>
      <c r="T25" s="9"/>
      <c r="W25" s="4"/>
    </row>
    <row r="26" spans="2:24" ht="17.399999999999999" x14ac:dyDescent="0.3">
      <c r="B26" s="334">
        <v>1</v>
      </c>
      <c r="C26" s="335" t="s">
        <v>163</v>
      </c>
      <c r="D26" s="336">
        <v>0.1</v>
      </c>
      <c r="E26" s="336">
        <v>0.6</v>
      </c>
      <c r="F26" s="334" t="s">
        <v>159</v>
      </c>
      <c r="G26" s="339">
        <v>10172</v>
      </c>
      <c r="H26" s="339">
        <f t="shared" si="17"/>
        <v>10172</v>
      </c>
      <c r="I26" s="265"/>
      <c r="J26" s="47"/>
      <c r="K26" s="47"/>
      <c r="L26" s="39">
        <f t="shared" si="18"/>
        <v>0.15000000000000002</v>
      </c>
      <c r="M26" s="39">
        <f t="shared" si="19"/>
        <v>0.6</v>
      </c>
      <c r="N26" s="261">
        <f t="shared" si="20"/>
        <v>9.0000000000000011E-2</v>
      </c>
      <c r="O26" s="259">
        <f t="shared" si="21"/>
        <v>0</v>
      </c>
      <c r="P26" s="252">
        <f t="shared" si="22"/>
        <v>7121.5579872984881</v>
      </c>
      <c r="Q26" s="337">
        <f t="shared" si="23"/>
        <v>10121.557987298489</v>
      </c>
      <c r="R26" s="307"/>
      <c r="S26" s="14"/>
      <c r="T26" s="9"/>
      <c r="W26" s="4"/>
    </row>
    <row r="27" spans="2:24" ht="17.399999999999999" x14ac:dyDescent="0.3">
      <c r="B27" s="334">
        <v>1</v>
      </c>
      <c r="C27" s="335" t="s">
        <v>164</v>
      </c>
      <c r="D27" s="336">
        <v>0.75</v>
      </c>
      <c r="E27" s="336">
        <v>3.5000000000000003E-2</v>
      </c>
      <c r="F27" s="334" t="s">
        <v>159</v>
      </c>
      <c r="G27" s="339">
        <v>5231</v>
      </c>
      <c r="H27" s="339">
        <f t="shared" si="17"/>
        <v>5231</v>
      </c>
      <c r="I27" s="265"/>
      <c r="J27" s="47"/>
      <c r="K27" s="47"/>
      <c r="L27" s="39">
        <f t="shared" si="18"/>
        <v>0.8</v>
      </c>
      <c r="M27" s="39">
        <f t="shared" si="19"/>
        <v>3.5000000000000003E-2</v>
      </c>
      <c r="N27" s="261">
        <f t="shared" si="20"/>
        <v>2.8000000000000004E-2</v>
      </c>
      <c r="O27" s="259">
        <f t="shared" si="21"/>
        <v>0</v>
      </c>
      <c r="P27" s="252">
        <f t="shared" si="22"/>
        <v>2215.5958182706408</v>
      </c>
      <c r="Q27" s="337">
        <f t="shared" si="23"/>
        <v>5215.5958182706408</v>
      </c>
      <c r="R27" s="307"/>
      <c r="S27" s="14"/>
      <c r="T27" s="9"/>
      <c r="W27" s="4"/>
    </row>
    <row r="28" spans="2:24" ht="17.399999999999999" x14ac:dyDescent="0.3">
      <c r="B28" s="334">
        <v>1</v>
      </c>
      <c r="C28" s="335" t="s">
        <v>167</v>
      </c>
      <c r="D28" s="336">
        <v>0.68</v>
      </c>
      <c r="E28" s="336">
        <v>0.45</v>
      </c>
      <c r="F28" s="334" t="s">
        <v>159</v>
      </c>
      <c r="G28" s="339">
        <v>35000</v>
      </c>
      <c r="H28" s="339">
        <f t="shared" si="17"/>
        <v>35000</v>
      </c>
      <c r="I28" s="265"/>
      <c r="J28" s="47"/>
      <c r="K28" s="47"/>
      <c r="L28" s="39">
        <f t="shared" si="18"/>
        <v>0.73000000000000009</v>
      </c>
      <c r="M28" s="39">
        <f t="shared" si="19"/>
        <v>0.45</v>
      </c>
      <c r="N28" s="261">
        <f t="shared" si="20"/>
        <v>0.32850000000000007</v>
      </c>
      <c r="O28" s="259">
        <f t="shared" si="21"/>
        <v>0</v>
      </c>
      <c r="P28" s="252">
        <f t="shared" si="22"/>
        <v>25993.686653639485</v>
      </c>
      <c r="Q28" s="337">
        <f t="shared" si="23"/>
        <v>28993.686653639485</v>
      </c>
      <c r="R28" s="307"/>
      <c r="S28" s="14"/>
      <c r="T28" s="9"/>
      <c r="W28" s="4"/>
    </row>
    <row r="29" spans="2:24" ht="17.399999999999999" x14ac:dyDescent="0.3">
      <c r="B29" s="334">
        <v>1</v>
      </c>
      <c r="C29" s="335" t="s">
        <v>169</v>
      </c>
      <c r="D29" s="336">
        <v>0.74</v>
      </c>
      <c r="E29" s="336">
        <v>0.66700000000000004</v>
      </c>
      <c r="F29" s="334" t="s">
        <v>168</v>
      </c>
      <c r="G29" s="339">
        <v>135000</v>
      </c>
      <c r="H29" s="339">
        <f t="shared" si="17"/>
        <v>135000</v>
      </c>
      <c r="I29" s="265"/>
      <c r="J29" s="47"/>
      <c r="K29" s="47"/>
      <c r="L29" s="39">
        <f t="shared" ref="L29:L42" si="24">D29+L$19</f>
        <v>0.79</v>
      </c>
      <c r="M29" s="39">
        <f t="shared" ref="M29:M42" si="25">E29+M$19</f>
        <v>0.66700000000000004</v>
      </c>
      <c r="N29" s="261">
        <f t="shared" ref="N29" si="26">L29*M29</f>
        <v>0.52693000000000001</v>
      </c>
      <c r="O29" s="259">
        <f t="shared" si="21"/>
        <v>0</v>
      </c>
      <c r="P29" s="252">
        <f t="shared" ref="P29:P42" si="27">P$20*N29</f>
        <v>41695.139447191024</v>
      </c>
      <c r="Q29" s="337">
        <f t="shared" ref="Q29:Q42" si="28">P29+Q$20</f>
        <v>44695.139447191024</v>
      </c>
      <c r="R29" s="307"/>
      <c r="S29" s="14"/>
      <c r="T29" s="9"/>
      <c r="W29" s="4"/>
    </row>
    <row r="30" spans="2:24" ht="17.399999999999999" x14ac:dyDescent="0.3">
      <c r="B30" s="334">
        <v>2</v>
      </c>
      <c r="C30" s="335" t="s">
        <v>163</v>
      </c>
      <c r="D30" s="336">
        <v>0.88</v>
      </c>
      <c r="E30" s="336">
        <v>0.437</v>
      </c>
      <c r="F30" s="334" t="s">
        <v>170</v>
      </c>
      <c r="G30" s="339">
        <v>40189</v>
      </c>
      <c r="H30" s="339">
        <f t="shared" si="17"/>
        <v>80378</v>
      </c>
      <c r="I30" s="265"/>
      <c r="J30" s="47"/>
      <c r="K30" s="47"/>
      <c r="L30" s="39">
        <f t="shared" si="24"/>
        <v>0.93</v>
      </c>
      <c r="M30" s="39">
        <f t="shared" si="25"/>
        <v>0.437</v>
      </c>
      <c r="N30" s="261">
        <f t="shared" ref="N30:N42" si="29">L30*M30</f>
        <v>0.40640999999999999</v>
      </c>
      <c r="O30" s="259">
        <f t="shared" si="21"/>
        <v>0</v>
      </c>
      <c r="P30" s="252">
        <f t="shared" si="27"/>
        <v>32158.582017977536</v>
      </c>
      <c r="Q30" s="337">
        <f t="shared" si="28"/>
        <v>35158.582017977533</v>
      </c>
      <c r="R30" s="307"/>
      <c r="S30" s="14"/>
      <c r="T30" s="9"/>
      <c r="W30" s="4"/>
    </row>
    <row r="31" spans="2:24" ht="17.399999999999999" x14ac:dyDescent="0.3">
      <c r="B31" s="334">
        <v>1</v>
      </c>
      <c r="C31" s="335" t="s">
        <v>163</v>
      </c>
      <c r="D31" s="336">
        <v>0.88</v>
      </c>
      <c r="E31" s="336">
        <v>0.42</v>
      </c>
      <c r="F31" s="334" t="s">
        <v>170</v>
      </c>
      <c r="G31" s="339">
        <v>38742</v>
      </c>
      <c r="H31" s="339">
        <f t="shared" si="17"/>
        <v>38742</v>
      </c>
      <c r="I31" s="265"/>
      <c r="J31" s="47"/>
      <c r="K31" s="47"/>
      <c r="L31" s="39">
        <f t="shared" si="24"/>
        <v>0.93</v>
      </c>
      <c r="M31" s="39">
        <f t="shared" si="25"/>
        <v>0.42</v>
      </c>
      <c r="N31" s="261">
        <f t="shared" si="29"/>
        <v>0.3906</v>
      </c>
      <c r="O31" s="259">
        <f t="shared" si="21"/>
        <v>0</v>
      </c>
      <c r="P31" s="252">
        <f t="shared" si="27"/>
        <v>30907.561664875437</v>
      </c>
      <c r="Q31" s="337">
        <f t="shared" si="28"/>
        <v>33907.561664875437</v>
      </c>
      <c r="R31" s="307"/>
      <c r="S31" s="14"/>
      <c r="T31" s="9"/>
      <c r="W31" s="4"/>
    </row>
    <row r="32" spans="2:24" ht="17.399999999999999" x14ac:dyDescent="0.3">
      <c r="B32" s="334">
        <v>2</v>
      </c>
      <c r="C32" s="335" t="s">
        <v>163</v>
      </c>
      <c r="D32" s="336">
        <v>0.54</v>
      </c>
      <c r="E32" s="336">
        <v>0.29799999999999999</v>
      </c>
      <c r="F32" s="334" t="s">
        <v>170</v>
      </c>
      <c r="G32" s="339">
        <v>19089</v>
      </c>
      <c r="H32" s="339">
        <f t="shared" si="17"/>
        <v>38178</v>
      </c>
      <c r="I32" s="265"/>
      <c r="J32" s="47"/>
      <c r="K32" s="47"/>
      <c r="L32" s="39">
        <f t="shared" si="24"/>
        <v>0.59000000000000008</v>
      </c>
      <c r="M32" s="39">
        <f t="shared" si="25"/>
        <v>0.29799999999999999</v>
      </c>
      <c r="N32" s="261">
        <f t="shared" si="29"/>
        <v>0.17582</v>
      </c>
      <c r="O32" s="259">
        <f t="shared" si="21"/>
        <v>0</v>
      </c>
      <c r="P32" s="252">
        <f t="shared" si="27"/>
        <v>13912.359170298001</v>
      </c>
      <c r="Q32" s="337">
        <f t="shared" si="28"/>
        <v>16912.359170298001</v>
      </c>
      <c r="R32" s="307"/>
      <c r="S32" s="14"/>
      <c r="T32" s="9"/>
      <c r="W32" s="4"/>
    </row>
    <row r="33" spans="2:23" ht="17.399999999999999" x14ac:dyDescent="0.3">
      <c r="B33" s="334">
        <v>1</v>
      </c>
      <c r="C33" s="335" t="s">
        <v>163</v>
      </c>
      <c r="D33" s="336">
        <v>0.65</v>
      </c>
      <c r="E33" s="336">
        <v>0.39700000000000002</v>
      </c>
      <c r="F33" s="334" t="s">
        <v>170</v>
      </c>
      <c r="G33" s="339">
        <v>28430</v>
      </c>
      <c r="H33" s="339">
        <f t="shared" si="17"/>
        <v>28430</v>
      </c>
      <c r="I33" s="265"/>
      <c r="J33" s="47"/>
      <c r="K33" s="47"/>
      <c r="L33" s="39">
        <f t="shared" si="24"/>
        <v>0.70000000000000007</v>
      </c>
      <c r="M33" s="39">
        <f t="shared" si="25"/>
        <v>0.39700000000000002</v>
      </c>
      <c r="N33" s="261">
        <f t="shared" si="29"/>
        <v>0.27790000000000004</v>
      </c>
      <c r="O33" s="259">
        <f t="shared" si="21"/>
        <v>0</v>
      </c>
      <c r="P33" s="252">
        <f t="shared" si="27"/>
        <v>21989.78849633611</v>
      </c>
      <c r="Q33" s="337">
        <f t="shared" si="28"/>
        <v>24989.78849633611</v>
      </c>
      <c r="R33" s="307"/>
      <c r="S33" s="14"/>
      <c r="T33" s="9"/>
      <c r="W33" s="4"/>
    </row>
    <row r="34" spans="2:23" ht="17.399999999999999" x14ac:dyDescent="0.3">
      <c r="B34" s="334">
        <v>1</v>
      </c>
      <c r="C34" s="335" t="s">
        <v>163</v>
      </c>
      <c r="D34" s="336">
        <v>0.65</v>
      </c>
      <c r="E34" s="336">
        <v>0.28199999999999997</v>
      </c>
      <c r="F34" s="334" t="s">
        <v>170</v>
      </c>
      <c r="G34" s="339">
        <v>21063</v>
      </c>
      <c r="H34" s="339">
        <f t="shared" si="17"/>
        <v>21063</v>
      </c>
      <c r="I34" s="265"/>
      <c r="J34" s="47"/>
      <c r="K34" s="47"/>
      <c r="L34" s="39">
        <f t="shared" si="24"/>
        <v>0.70000000000000007</v>
      </c>
      <c r="M34" s="39">
        <f t="shared" si="25"/>
        <v>0.28199999999999997</v>
      </c>
      <c r="N34" s="261">
        <f t="shared" si="29"/>
        <v>0.19739999999999999</v>
      </c>
      <c r="O34" s="259">
        <f t="shared" si="21"/>
        <v>0</v>
      </c>
      <c r="P34" s="252">
        <f t="shared" si="27"/>
        <v>15619.950518808017</v>
      </c>
      <c r="Q34" s="337">
        <f t="shared" si="28"/>
        <v>18619.950518808015</v>
      </c>
      <c r="R34" s="307"/>
      <c r="S34" s="14"/>
      <c r="T34" s="9"/>
      <c r="W34" s="4"/>
    </row>
    <row r="35" spans="2:23" ht="17.399999999999999" x14ac:dyDescent="0.3">
      <c r="B35" s="334">
        <v>1</v>
      </c>
      <c r="C35" s="335" t="s">
        <v>163</v>
      </c>
      <c r="D35" s="336">
        <v>0.54200000000000004</v>
      </c>
      <c r="E35" s="336">
        <v>0.56499999999999995</v>
      </c>
      <c r="F35" s="334" t="s">
        <v>170</v>
      </c>
      <c r="G35" s="339">
        <v>33607</v>
      </c>
      <c r="H35" s="339">
        <f t="shared" si="17"/>
        <v>33607</v>
      </c>
      <c r="I35" s="265"/>
      <c r="J35" s="47"/>
      <c r="K35" s="47"/>
      <c r="L35" s="39">
        <f t="shared" si="24"/>
        <v>0.59200000000000008</v>
      </c>
      <c r="M35" s="39">
        <f t="shared" si="25"/>
        <v>0.56499999999999995</v>
      </c>
      <c r="N35" s="261">
        <f t="shared" si="29"/>
        <v>0.33448</v>
      </c>
      <c r="O35" s="259">
        <f t="shared" si="21"/>
        <v>0</v>
      </c>
      <c r="P35" s="252">
        <f t="shared" si="27"/>
        <v>26466.874617684425</v>
      </c>
      <c r="Q35" s="337">
        <f t="shared" si="28"/>
        <v>29466.874617684425</v>
      </c>
      <c r="R35" s="307"/>
      <c r="S35" s="14"/>
      <c r="T35" s="9"/>
      <c r="W35" s="4"/>
    </row>
    <row r="36" spans="2:23" ht="17.399999999999999" x14ac:dyDescent="0.3">
      <c r="B36" s="334">
        <v>1</v>
      </c>
      <c r="C36" s="335" t="s">
        <v>163</v>
      </c>
      <c r="D36" s="336">
        <v>0.81499999999999995</v>
      </c>
      <c r="E36" s="336">
        <v>0.29799999999999999</v>
      </c>
      <c r="F36" s="334" t="s">
        <v>170</v>
      </c>
      <c r="G36" s="339">
        <v>26588</v>
      </c>
      <c r="H36" s="339">
        <f t="shared" si="17"/>
        <v>26588</v>
      </c>
      <c r="I36" s="265"/>
      <c r="J36" s="47"/>
      <c r="K36" s="47"/>
      <c r="L36" s="39">
        <f t="shared" si="24"/>
        <v>0.86499999999999999</v>
      </c>
      <c r="M36" s="39">
        <f t="shared" si="25"/>
        <v>0.29799999999999999</v>
      </c>
      <c r="N36" s="261">
        <f t="shared" si="29"/>
        <v>0.25777</v>
      </c>
      <c r="O36" s="259">
        <f t="shared" si="21"/>
        <v>0</v>
      </c>
      <c r="P36" s="252">
        <f t="shared" si="27"/>
        <v>20396.933359843679</v>
      </c>
      <c r="Q36" s="337">
        <f t="shared" si="28"/>
        <v>23396.933359843679</v>
      </c>
      <c r="R36" s="307"/>
      <c r="S36" s="14"/>
      <c r="T36" s="9"/>
      <c r="W36" s="4"/>
    </row>
    <row r="37" spans="2:23" ht="17.399999999999999" x14ac:dyDescent="0.3">
      <c r="B37" s="334">
        <v>2</v>
      </c>
      <c r="C37" s="335" t="s">
        <v>163</v>
      </c>
      <c r="D37" s="336">
        <v>0.33</v>
      </c>
      <c r="E37" s="336">
        <v>0.373</v>
      </c>
      <c r="F37" s="334" t="s">
        <v>170</v>
      </c>
      <c r="G37" s="339">
        <v>15970</v>
      </c>
      <c r="H37" s="339">
        <f t="shared" si="17"/>
        <v>31940</v>
      </c>
      <c r="I37" s="265"/>
      <c r="J37" s="47"/>
      <c r="K37" s="47"/>
      <c r="L37" s="39">
        <f t="shared" si="24"/>
        <v>0.38</v>
      </c>
      <c r="M37" s="39">
        <f t="shared" si="25"/>
        <v>0.373</v>
      </c>
      <c r="N37" s="261">
        <f t="shared" si="29"/>
        <v>0.14174</v>
      </c>
      <c r="O37" s="259">
        <f t="shared" si="21"/>
        <v>0</v>
      </c>
      <c r="P37" s="252">
        <f t="shared" si="27"/>
        <v>11215.662545774308</v>
      </c>
      <c r="Q37" s="337">
        <f t="shared" si="28"/>
        <v>14215.662545774308</v>
      </c>
      <c r="R37" s="307"/>
      <c r="S37" s="14"/>
      <c r="T37" s="9"/>
      <c r="W37" s="4"/>
    </row>
    <row r="38" spans="2:23" ht="17.399999999999999" x14ac:dyDescent="0.3">
      <c r="B38" s="334">
        <v>2</v>
      </c>
      <c r="C38" s="335" t="s">
        <v>163</v>
      </c>
      <c r="D38" s="336">
        <v>0.33</v>
      </c>
      <c r="E38" s="336">
        <v>0.37</v>
      </c>
      <c r="F38" s="334" t="s">
        <v>170</v>
      </c>
      <c r="G38" s="339">
        <v>15866</v>
      </c>
      <c r="H38" s="339">
        <f t="shared" si="17"/>
        <v>31732</v>
      </c>
      <c r="I38" s="265"/>
      <c r="J38" s="47"/>
      <c r="K38" s="47"/>
      <c r="L38" s="39">
        <f t="shared" si="24"/>
        <v>0.38</v>
      </c>
      <c r="M38" s="39">
        <f t="shared" si="25"/>
        <v>0.37</v>
      </c>
      <c r="N38" s="261">
        <f t="shared" si="29"/>
        <v>0.1406</v>
      </c>
      <c r="O38" s="259">
        <f t="shared" si="21"/>
        <v>0</v>
      </c>
      <c r="P38" s="252">
        <f t="shared" si="27"/>
        <v>11125.45614460186</v>
      </c>
      <c r="Q38" s="337">
        <f t="shared" si="28"/>
        <v>14125.45614460186</v>
      </c>
      <c r="R38" s="307"/>
      <c r="S38" s="14"/>
      <c r="T38" s="9"/>
      <c r="W38" s="4"/>
    </row>
    <row r="39" spans="2:23" ht="17.399999999999999" x14ac:dyDescent="0.3">
      <c r="B39" s="334">
        <v>1</v>
      </c>
      <c r="C39" s="335" t="s">
        <v>163</v>
      </c>
      <c r="D39" s="336">
        <v>0.65</v>
      </c>
      <c r="E39" s="336">
        <v>0.29799999999999999</v>
      </c>
      <c r="F39" s="334" t="s">
        <v>170</v>
      </c>
      <c r="G39" s="339">
        <v>22088</v>
      </c>
      <c r="H39" s="339">
        <f t="shared" si="17"/>
        <v>22088</v>
      </c>
      <c r="I39" s="265"/>
      <c r="J39" s="47"/>
      <c r="K39" s="47"/>
      <c r="L39" s="39">
        <f t="shared" si="24"/>
        <v>0.70000000000000007</v>
      </c>
      <c r="M39" s="39">
        <f t="shared" si="25"/>
        <v>0.29799999999999999</v>
      </c>
      <c r="N39" s="261">
        <f t="shared" si="29"/>
        <v>0.20860000000000001</v>
      </c>
      <c r="O39" s="259">
        <f t="shared" si="21"/>
        <v>0</v>
      </c>
      <c r="P39" s="252">
        <f t="shared" si="27"/>
        <v>16506.188846116274</v>
      </c>
      <c r="Q39" s="337">
        <f t="shared" si="28"/>
        <v>19506.188846116274</v>
      </c>
      <c r="R39" s="307"/>
      <c r="S39" s="14"/>
      <c r="T39" s="9"/>
      <c r="W39" s="4"/>
    </row>
    <row r="40" spans="2:23" ht="17.399999999999999" x14ac:dyDescent="0.3">
      <c r="B40" s="334">
        <v>1</v>
      </c>
      <c r="C40" s="335" t="s">
        <v>167</v>
      </c>
      <c r="D40" s="336">
        <v>0.88</v>
      </c>
      <c r="E40" s="336">
        <v>0.28000000000000003</v>
      </c>
      <c r="F40" s="334" t="s">
        <v>170</v>
      </c>
      <c r="G40" s="339">
        <v>31650</v>
      </c>
      <c r="H40" s="339">
        <f t="shared" si="17"/>
        <v>31650</v>
      </c>
      <c r="I40" s="265"/>
      <c r="J40" s="47"/>
      <c r="K40" s="47"/>
      <c r="L40" s="39">
        <f t="shared" si="24"/>
        <v>0.93</v>
      </c>
      <c r="M40" s="39">
        <f t="shared" si="25"/>
        <v>0.28000000000000003</v>
      </c>
      <c r="N40" s="261">
        <f t="shared" si="29"/>
        <v>0.26040000000000002</v>
      </c>
      <c r="O40" s="259">
        <f t="shared" si="21"/>
        <v>0</v>
      </c>
      <c r="P40" s="252">
        <f t="shared" si="27"/>
        <v>20605.041109916958</v>
      </c>
      <c r="Q40" s="337">
        <f t="shared" si="28"/>
        <v>23605.041109916958</v>
      </c>
      <c r="R40" s="307"/>
      <c r="S40" s="14"/>
      <c r="T40" s="9"/>
      <c r="W40" s="4"/>
    </row>
    <row r="41" spans="2:23" ht="17.399999999999999" x14ac:dyDescent="0.3">
      <c r="B41" s="334">
        <v>2</v>
      </c>
      <c r="C41" s="335" t="s">
        <v>171</v>
      </c>
      <c r="D41" s="336">
        <v>2.5</v>
      </c>
      <c r="E41" s="336">
        <v>0.06</v>
      </c>
      <c r="F41" s="334" t="s">
        <v>170</v>
      </c>
      <c r="G41" s="339">
        <v>17001</v>
      </c>
      <c r="H41" s="339">
        <f t="shared" si="17"/>
        <v>34002</v>
      </c>
      <c r="I41" s="265"/>
      <c r="J41" s="47"/>
      <c r="K41" s="47"/>
      <c r="L41" s="39">
        <f t="shared" si="24"/>
        <v>2.5499999999999998</v>
      </c>
      <c r="M41" s="39">
        <f t="shared" si="25"/>
        <v>0.06</v>
      </c>
      <c r="N41" s="261">
        <f t="shared" si="29"/>
        <v>0.153</v>
      </c>
      <c r="O41" s="259">
        <f t="shared" si="21"/>
        <v>0</v>
      </c>
      <c r="P41" s="252">
        <f t="shared" si="27"/>
        <v>12106.648578407428</v>
      </c>
      <c r="Q41" s="337">
        <f t="shared" si="28"/>
        <v>15106.648578407428</v>
      </c>
      <c r="R41" s="307"/>
      <c r="S41" s="14"/>
      <c r="T41" s="9"/>
      <c r="W41" s="4"/>
    </row>
    <row r="42" spans="2:23" ht="17.399999999999999" x14ac:dyDescent="0.3">
      <c r="B42" s="334">
        <v>1</v>
      </c>
      <c r="C42" s="335" t="s">
        <v>172</v>
      </c>
      <c r="D42" s="336">
        <v>2.8</v>
      </c>
      <c r="E42" s="336">
        <v>0.6</v>
      </c>
      <c r="F42" s="334" t="s">
        <v>173</v>
      </c>
      <c r="G42" s="339">
        <v>138310</v>
      </c>
      <c r="H42" s="339">
        <f t="shared" si="17"/>
        <v>138310</v>
      </c>
      <c r="I42" s="265"/>
      <c r="J42" s="47"/>
      <c r="K42" s="47">
        <f t="shared" ref="K42" si="30">B42</f>
        <v>1</v>
      </c>
      <c r="L42" s="39">
        <f t="shared" si="24"/>
        <v>2.8499999999999996</v>
      </c>
      <c r="M42" s="39">
        <f t="shared" si="25"/>
        <v>0.6</v>
      </c>
      <c r="N42" s="261">
        <f t="shared" si="29"/>
        <v>1.7099999999999997</v>
      </c>
      <c r="O42" s="259">
        <f t="shared" si="21"/>
        <v>1.7099999999999997</v>
      </c>
      <c r="P42" s="252">
        <f t="shared" si="27"/>
        <v>135309.60175867126</v>
      </c>
      <c r="Q42" s="337">
        <f t="shared" si="28"/>
        <v>138309.60175867126</v>
      </c>
      <c r="R42" s="307"/>
      <c r="S42" s="14"/>
      <c r="T42" s="9"/>
      <c r="W42" s="4"/>
    </row>
    <row r="43" spans="2:23" ht="17.399999999999999" x14ac:dyDescent="0.3">
      <c r="B43" s="334">
        <v>1</v>
      </c>
      <c r="C43" s="335" t="s">
        <v>172</v>
      </c>
      <c r="D43" s="336">
        <v>1.9</v>
      </c>
      <c r="E43" s="336">
        <v>0.51</v>
      </c>
      <c r="F43" s="334" t="s">
        <v>173</v>
      </c>
      <c r="G43" s="339">
        <v>81693</v>
      </c>
      <c r="H43" s="339">
        <f t="shared" si="17"/>
        <v>81693</v>
      </c>
      <c r="I43" s="265"/>
      <c r="J43" s="47"/>
      <c r="K43" s="47">
        <f t="shared" ref="K43:K44" si="31">B43</f>
        <v>1</v>
      </c>
      <c r="L43" s="39">
        <f t="shared" ref="L43:L44" si="32">D43+L$19</f>
        <v>1.95</v>
      </c>
      <c r="M43" s="39">
        <f t="shared" ref="M43:M44" si="33">E43+M$19</f>
        <v>0.51</v>
      </c>
      <c r="N43" s="261">
        <f t="shared" ref="N43:N44" si="34">L43*M43</f>
        <v>0.99449999999999994</v>
      </c>
      <c r="O43" s="259">
        <f t="shared" ref="O43:O44" si="35">N43*K43</f>
        <v>0.99449999999999994</v>
      </c>
      <c r="P43" s="252">
        <f t="shared" ref="P43:P44" si="36">P$20*N43</f>
        <v>78693.215759648287</v>
      </c>
      <c r="Q43" s="337">
        <f t="shared" ref="Q43:Q44" si="37">P43+Q$20</f>
        <v>81693.215759648287</v>
      </c>
      <c r="R43" s="307"/>
      <c r="S43" s="14"/>
      <c r="T43" s="9"/>
      <c r="W43" s="4"/>
    </row>
    <row r="44" spans="2:23" ht="17.399999999999999" x14ac:dyDescent="0.3">
      <c r="B44" s="334">
        <v>2</v>
      </c>
      <c r="C44" s="335" t="s">
        <v>34</v>
      </c>
      <c r="D44" s="336">
        <v>3</v>
      </c>
      <c r="E44" s="336">
        <v>0.06</v>
      </c>
      <c r="F44" s="334" t="s">
        <v>173</v>
      </c>
      <c r="G44" s="339">
        <v>17481</v>
      </c>
      <c r="H44" s="339">
        <f t="shared" si="17"/>
        <v>34962</v>
      </c>
      <c r="I44" s="265"/>
      <c r="J44" s="47"/>
      <c r="K44" s="47">
        <f t="shared" si="31"/>
        <v>2</v>
      </c>
      <c r="L44" s="39">
        <f t="shared" si="32"/>
        <v>3.05</v>
      </c>
      <c r="M44" s="39">
        <f t="shared" si="33"/>
        <v>0.06</v>
      </c>
      <c r="N44" s="261">
        <f t="shared" si="34"/>
        <v>0.183</v>
      </c>
      <c r="O44" s="259">
        <f t="shared" si="35"/>
        <v>0.36599999999999999</v>
      </c>
      <c r="P44" s="252">
        <f t="shared" si="36"/>
        <v>14480.501240840258</v>
      </c>
      <c r="Q44" s="337">
        <f t="shared" si="37"/>
        <v>17480.501240840258</v>
      </c>
      <c r="R44" s="307"/>
      <c r="S44" s="14"/>
      <c r="T44" s="9"/>
      <c r="W44" s="4"/>
    </row>
    <row r="45" spans="2:23" ht="17.399999999999999" x14ac:dyDescent="0.3">
      <c r="B45" s="334">
        <v>1</v>
      </c>
      <c r="C45" s="335" t="s">
        <v>174</v>
      </c>
      <c r="D45" s="336"/>
      <c r="E45" s="336"/>
      <c r="F45" s="334"/>
      <c r="G45" s="339">
        <v>350000</v>
      </c>
      <c r="H45" s="339">
        <f t="shared" si="17"/>
        <v>350000</v>
      </c>
      <c r="I45" s="265"/>
      <c r="J45" s="47"/>
      <c r="K45" s="47"/>
      <c r="L45" s="39"/>
      <c r="M45" s="39"/>
      <c r="N45" s="261"/>
      <c r="O45" s="259"/>
      <c r="P45" s="252"/>
      <c r="Q45" s="337"/>
      <c r="R45" s="307"/>
      <c r="S45" s="14"/>
      <c r="T45" s="9"/>
      <c r="W45" s="4"/>
    </row>
    <row r="46" spans="2:23" ht="17.399999999999999" x14ac:dyDescent="0.3">
      <c r="B46" s="331"/>
      <c r="C46" s="332"/>
      <c r="D46" s="333"/>
      <c r="E46" s="333"/>
      <c r="F46" s="331"/>
      <c r="G46" s="318"/>
      <c r="H46" s="318"/>
      <c r="I46" s="265"/>
      <c r="J46" s="47"/>
      <c r="K46" s="47"/>
      <c r="L46" s="39"/>
      <c r="M46" s="39"/>
      <c r="N46" s="261"/>
      <c r="O46" s="259"/>
      <c r="P46" s="252"/>
      <c r="Q46" s="337"/>
      <c r="R46" s="307"/>
      <c r="S46" s="14"/>
      <c r="T46" s="9"/>
      <c r="W46" s="4"/>
    </row>
    <row r="47" spans="2:23" ht="18" thickBot="1" x14ac:dyDescent="0.35">
      <c r="B47" s="285"/>
      <c r="C47" s="285"/>
      <c r="D47" s="286"/>
      <c r="E47" s="286"/>
      <c r="F47" s="285"/>
      <c r="G47" s="318"/>
      <c r="H47" s="318"/>
      <c r="I47" s="232"/>
      <c r="J47" s="47"/>
      <c r="K47" s="47"/>
      <c r="L47" s="39"/>
      <c r="M47" s="39"/>
      <c r="N47" s="261"/>
      <c r="O47" s="259"/>
      <c r="P47" s="252"/>
      <c r="Q47" s="337"/>
      <c r="R47" s="307"/>
      <c r="S47" s="14"/>
      <c r="T47" s="9"/>
      <c r="W47" s="4"/>
    </row>
    <row r="48" spans="2:23" ht="17.399999999999999" x14ac:dyDescent="0.3">
      <c r="B48" s="285"/>
      <c r="C48" s="285"/>
      <c r="D48" s="286"/>
      <c r="E48" s="286"/>
      <c r="F48" s="285"/>
      <c r="G48" s="308" t="s">
        <v>30</v>
      </c>
      <c r="H48" s="309">
        <f>SUM(H21:H45)</f>
        <v>1490000</v>
      </c>
      <c r="I48" s="232"/>
      <c r="J48" s="47"/>
      <c r="K48" s="47"/>
      <c r="L48" s="39"/>
      <c r="M48" s="39"/>
      <c r="N48" s="261"/>
      <c r="O48" s="259"/>
      <c r="P48" s="252"/>
      <c r="Q48" s="337"/>
      <c r="R48" s="307"/>
      <c r="S48" s="14"/>
      <c r="T48" s="9"/>
      <c r="W48" s="4"/>
    </row>
    <row r="49" spans="1:23" ht="17.399999999999999" x14ac:dyDescent="0.3">
      <c r="B49" s="279"/>
      <c r="C49" s="282"/>
      <c r="D49" s="283"/>
      <c r="E49" s="283"/>
      <c r="F49" s="284"/>
      <c r="G49" s="306" t="s">
        <v>53</v>
      </c>
      <c r="H49" s="303"/>
      <c r="I49" s="232"/>
      <c r="J49" s="47"/>
      <c r="K49" s="47"/>
      <c r="L49" s="39"/>
      <c r="M49" s="39"/>
      <c r="N49" s="261"/>
      <c r="O49" s="259"/>
      <c r="P49" s="252"/>
      <c r="Q49" s="337"/>
      <c r="R49" s="307"/>
      <c r="S49" s="14"/>
      <c r="T49" s="9"/>
      <c r="W49" s="4"/>
    </row>
    <row r="50" spans="1:23" ht="18" thickBot="1" x14ac:dyDescent="0.35">
      <c r="B50" s="275"/>
      <c r="C50" s="281"/>
      <c r="D50" s="272"/>
      <c r="E50" s="272"/>
      <c r="F50" s="273"/>
      <c r="G50" s="280" t="s">
        <v>6</v>
      </c>
      <c r="H50" s="304">
        <f>H48+H49</f>
        <v>1490000</v>
      </c>
      <c r="I50" s="265"/>
      <c r="J50" s="47"/>
      <c r="K50" s="47"/>
      <c r="L50" s="39">
        <f>SUM(L21:L21)*2</f>
        <v>1.52</v>
      </c>
      <c r="M50" s="39"/>
      <c r="N50" s="261"/>
      <c r="O50" s="259"/>
      <c r="P50" s="252"/>
      <c r="Q50" s="337"/>
      <c r="R50" s="307"/>
      <c r="S50" s="14"/>
      <c r="T50" s="9"/>
      <c r="W50" s="4"/>
    </row>
    <row r="51" spans="1:23" ht="17.399999999999999" x14ac:dyDescent="0.3">
      <c r="B51" s="275"/>
      <c r="C51" s="271"/>
      <c r="D51" s="272"/>
      <c r="E51" s="272"/>
      <c r="F51" s="273"/>
      <c r="I51" s="265"/>
      <c r="J51" s="47"/>
      <c r="K51" s="47"/>
      <c r="L51" s="39"/>
      <c r="M51" s="12"/>
      <c r="N51" s="12"/>
      <c r="O51" s="253">
        <f>SUM(O21:O47)</f>
        <v>3.0704999999999996</v>
      </c>
      <c r="P51" s="14"/>
      <c r="Q51" s="338"/>
      <c r="R51" s="238"/>
      <c r="S51" s="14"/>
      <c r="T51" s="9"/>
      <c r="W51" s="4"/>
    </row>
    <row r="52" spans="1:23" ht="17.399999999999999" x14ac:dyDescent="0.35">
      <c r="B52" s="269"/>
      <c r="C52" s="230"/>
      <c r="D52" s="230"/>
      <c r="E52" s="232"/>
      <c r="F52" s="233"/>
      <c r="G52" s="230"/>
      <c r="H52" s="274"/>
      <c r="I52" s="265"/>
      <c r="J52" s="47"/>
      <c r="K52" s="47"/>
      <c r="L52" s="39"/>
      <c r="M52" s="12"/>
      <c r="N52" s="12"/>
      <c r="O52" s="253">
        <f>O51</f>
        <v>3.0704999999999996</v>
      </c>
      <c r="P52" s="14"/>
      <c r="Q52" s="338"/>
      <c r="R52" s="238">
        <f>SUM(R21:R51)</f>
        <v>0</v>
      </c>
      <c r="S52" s="14"/>
      <c r="T52" s="9"/>
      <c r="W52" s="4"/>
    </row>
    <row r="53" spans="1:23" ht="17.399999999999999" x14ac:dyDescent="0.35">
      <c r="B53" s="234"/>
      <c r="C53" s="235"/>
      <c r="D53" s="236"/>
      <c r="E53" s="234"/>
      <c r="F53" s="230"/>
      <c r="G53" s="230"/>
      <c r="I53" s="265"/>
      <c r="J53" s="47"/>
      <c r="K53" s="47"/>
      <c r="L53" s="14"/>
      <c r="M53" s="12"/>
      <c r="N53" s="12"/>
      <c r="O53" s="39">
        <f>O52*0.2</f>
        <v>0.61409999999999998</v>
      </c>
      <c r="P53" s="39" t="s">
        <v>132</v>
      </c>
      <c r="Q53" s="42"/>
      <c r="R53" s="239"/>
      <c r="S53" s="14"/>
      <c r="T53" s="9"/>
      <c r="W53" s="4"/>
    </row>
    <row r="54" spans="1:23" ht="17.399999999999999" x14ac:dyDescent="0.35">
      <c r="B54" s="230"/>
      <c r="C54" s="230"/>
      <c r="D54" s="230"/>
      <c r="E54" s="230"/>
      <c r="F54" s="230"/>
      <c r="G54" s="230"/>
      <c r="I54" s="265"/>
      <c r="J54" s="312"/>
      <c r="K54" s="47"/>
      <c r="L54" s="14"/>
      <c r="M54" s="12"/>
      <c r="N54" s="12"/>
      <c r="O54" s="46">
        <f>O52+O53</f>
        <v>3.6845999999999997</v>
      </c>
      <c r="P54" s="14"/>
      <c r="Q54" s="14"/>
      <c r="R54" s="237">
        <v>40</v>
      </c>
      <c r="S54" s="14"/>
      <c r="T54" s="9"/>
      <c r="W54" s="4"/>
    </row>
    <row r="55" spans="1:23" ht="17.399999999999999" x14ac:dyDescent="0.35">
      <c r="A55" s="230"/>
      <c r="B55" s="230"/>
      <c r="C55" s="230"/>
      <c r="D55" s="230"/>
      <c r="E55" s="230"/>
      <c r="F55" s="230"/>
      <c r="G55" s="230"/>
      <c r="H55" s="230"/>
      <c r="J55" s="312"/>
      <c r="K55" s="47"/>
      <c r="L55" s="14"/>
      <c r="M55" s="14"/>
      <c r="N55" s="14"/>
      <c r="O55" s="14"/>
      <c r="P55" s="14"/>
      <c r="Q55" s="14"/>
      <c r="R55" s="237"/>
      <c r="S55" s="14"/>
      <c r="T55" s="9"/>
      <c r="W55" s="4"/>
    </row>
    <row r="56" spans="1:23" ht="17.399999999999999" x14ac:dyDescent="0.35">
      <c r="A56" s="230"/>
      <c r="B56" s="24" t="s">
        <v>154</v>
      </c>
      <c r="C56" s="230"/>
      <c r="D56" s="230"/>
      <c r="E56" s="230"/>
      <c r="F56" s="230"/>
      <c r="G56" s="230"/>
      <c r="H56" s="230"/>
      <c r="I56" s="265"/>
      <c r="J56" s="47"/>
      <c r="K56" s="47"/>
      <c r="L56" s="39">
        <f>O54</f>
        <v>3.6845999999999997</v>
      </c>
      <c r="M56" s="12">
        <v>3500</v>
      </c>
      <c r="N56" s="12">
        <f t="shared" ref="N56:N61" si="38">L56*M56</f>
        <v>12896.099999999999</v>
      </c>
      <c r="O56" s="14" t="s">
        <v>22</v>
      </c>
      <c r="P56" s="14" t="s">
        <v>23</v>
      </c>
      <c r="Q56" s="14"/>
      <c r="R56" s="240"/>
      <c r="S56" s="14"/>
      <c r="T56" s="9"/>
      <c r="W56" s="4"/>
    </row>
    <row r="57" spans="1:23" ht="17.399999999999999" x14ac:dyDescent="0.35">
      <c r="A57" s="230"/>
      <c r="B57" s="24" t="s">
        <v>155</v>
      </c>
      <c r="G57" s="230"/>
      <c r="H57" s="230"/>
      <c r="I57" s="265"/>
      <c r="J57" s="47"/>
      <c r="K57" s="47"/>
      <c r="L57" s="249">
        <v>1</v>
      </c>
      <c r="M57" s="12">
        <v>23500</v>
      </c>
      <c r="N57" s="12">
        <f t="shared" si="38"/>
        <v>23500</v>
      </c>
      <c r="O57" s="39" t="s">
        <v>152</v>
      </c>
      <c r="P57" s="42"/>
      <c r="Q57" s="14"/>
      <c r="R57" s="239"/>
      <c r="S57" s="14"/>
      <c r="T57" s="9"/>
      <c r="W57" s="4"/>
    </row>
    <row r="58" spans="1:23" s="230" customFormat="1" ht="17.399999999999999" x14ac:dyDescent="0.35">
      <c r="B58" s="29" t="s">
        <v>127</v>
      </c>
      <c r="C58"/>
      <c r="D58"/>
      <c r="E58"/>
      <c r="F58" s="229" t="s">
        <v>16</v>
      </c>
      <c r="I58" s="262"/>
      <c r="J58" s="47"/>
      <c r="K58" s="250"/>
      <c r="L58" s="14"/>
      <c r="M58" s="250">
        <v>23500</v>
      </c>
      <c r="N58" s="12">
        <f t="shared" si="38"/>
        <v>0</v>
      </c>
      <c r="O58" s="39" t="s">
        <v>32</v>
      </c>
      <c r="P58" s="42"/>
      <c r="R58" s="239"/>
      <c r="S58" s="256"/>
      <c r="V58" s="231"/>
    </row>
    <row r="59" spans="1:23" s="230" customFormat="1" ht="17.399999999999999" x14ac:dyDescent="0.35">
      <c r="I59" s="262"/>
      <c r="J59" s="311"/>
      <c r="K59" s="250"/>
      <c r="L59" s="14">
        <v>1</v>
      </c>
      <c r="M59" s="250">
        <v>74042</v>
      </c>
      <c r="N59" s="12">
        <f t="shared" si="38"/>
        <v>74042</v>
      </c>
      <c r="O59" s="14" t="s">
        <v>143</v>
      </c>
      <c r="P59" s="17"/>
      <c r="R59" s="237"/>
      <c r="S59" s="256"/>
      <c r="V59" s="231"/>
    </row>
    <row r="60" spans="1:23" s="230" customFormat="1" ht="17.399999999999999" x14ac:dyDescent="0.35">
      <c r="I60" s="262"/>
      <c r="J60" s="311"/>
      <c r="K60" s="250"/>
      <c r="L60" s="249"/>
      <c r="M60" s="250">
        <v>800</v>
      </c>
      <c r="N60" s="12">
        <f t="shared" si="38"/>
        <v>0</v>
      </c>
      <c r="O60" s="14" t="s">
        <v>34</v>
      </c>
      <c r="P60" s="14"/>
      <c r="Q60" s="230">
        <v>1.83</v>
      </c>
      <c r="R60" s="237"/>
      <c r="S60" s="237"/>
    </row>
    <row r="61" spans="1:23" s="230" customFormat="1" ht="17.399999999999999" x14ac:dyDescent="0.35">
      <c r="I61" s="302"/>
      <c r="J61" s="47"/>
      <c r="K61" s="250"/>
      <c r="L61" s="266"/>
      <c r="M61" s="12">
        <v>500</v>
      </c>
      <c r="N61" s="12">
        <f t="shared" si="38"/>
        <v>0</v>
      </c>
      <c r="O61" s="14" t="s">
        <v>24</v>
      </c>
      <c r="P61" s="14"/>
      <c r="Q61">
        <v>3.66</v>
      </c>
      <c r="R61"/>
      <c r="S61" s="237">
        <v>1500</v>
      </c>
      <c r="W61" s="231"/>
    </row>
    <row r="62" spans="1:23" s="230" customFormat="1" ht="17.399999999999999" x14ac:dyDescent="0.35">
      <c r="I62" s="265"/>
      <c r="J62" s="47"/>
      <c r="K62" s="250"/>
      <c r="L62" s="14"/>
      <c r="M62" s="12"/>
      <c r="N62" s="12">
        <f>SUM(N56:N61)</f>
        <v>110438.1</v>
      </c>
      <c r="O62" s="39" t="s">
        <v>25</v>
      </c>
      <c r="P62" s="14"/>
      <c r="Q62">
        <f>Q60*Q61</f>
        <v>6.6978000000000009</v>
      </c>
      <c r="R62"/>
      <c r="S62" s="237">
        <f>R54*S61</f>
        <v>60000</v>
      </c>
      <c r="W62" s="231"/>
    </row>
    <row r="63" spans="1:23" s="230" customFormat="1" ht="17.399999999999999" x14ac:dyDescent="0.35">
      <c r="J63" s="47">
        <v>88110</v>
      </c>
      <c r="K63" s="250"/>
      <c r="L63" s="254" t="s">
        <v>35</v>
      </c>
      <c r="M63" s="12"/>
      <c r="N63" s="255">
        <f>N62*2.2</f>
        <v>242963.82000000004</v>
      </c>
      <c r="O63" s="14" t="s">
        <v>142</v>
      </c>
      <c r="P63" s="14"/>
      <c r="Q63" s="46">
        <f>O54/Q62</f>
        <v>0.5501209352324643</v>
      </c>
      <c r="R63"/>
      <c r="S63" s="257" t="e">
        <f>S62/#REF!</f>
        <v>#REF!</v>
      </c>
    </row>
    <row r="64" spans="1:23" s="230" customFormat="1" ht="17.399999999999999" x14ac:dyDescent="0.35">
      <c r="G64"/>
      <c r="H64" s="260"/>
      <c r="I64" s="260"/>
      <c r="J64" s="47">
        <f>J63/1.19</f>
        <v>74042.016806722691</v>
      </c>
      <c r="K64" s="250"/>
      <c r="L64" s="14"/>
      <c r="M64" s="12"/>
      <c r="N64" s="12">
        <f>N63/O52</f>
        <v>79128.422081094308</v>
      </c>
      <c r="O64" s="45" t="s">
        <v>26</v>
      </c>
      <c r="P64" s="14"/>
      <c r="Q64" s="14"/>
      <c r="R64"/>
      <c r="S64" s="237"/>
    </row>
    <row r="65" spans="2:19" s="230" customFormat="1" ht="17.399999999999999" x14ac:dyDescent="0.35">
      <c r="G65"/>
      <c r="J65" s="47"/>
      <c r="K65" s="250"/>
      <c r="L65" s="13"/>
      <c r="M65" s="14"/>
      <c r="N65" s="17">
        <f>N63/N62</f>
        <v>2.2000000000000002</v>
      </c>
      <c r="O65" s="15"/>
      <c r="P65"/>
      <c r="Q65"/>
      <c r="R65"/>
      <c r="S65" s="237"/>
    </row>
    <row r="66" spans="2:19" s="230" customFormat="1" ht="17.399999999999999" x14ac:dyDescent="0.35">
      <c r="G66" s="23"/>
      <c r="J66" s="47"/>
      <c r="K66" s="12"/>
      <c r="S66" s="237"/>
    </row>
    <row r="67" spans="2:19" s="230" customFormat="1" ht="17.399999999999999" x14ac:dyDescent="0.35">
      <c r="B67"/>
      <c r="C67" s="228"/>
      <c r="D67" s="22"/>
      <c r="E67" s="22"/>
      <c r="F67" s="21"/>
      <c r="G67" s="23"/>
      <c r="J67" s="47"/>
      <c r="K67" s="12"/>
      <c r="S67" s="237">
        <v>1.83</v>
      </c>
    </row>
    <row r="68" spans="2:19" ht="14.4" customHeight="1" x14ac:dyDescent="0.3">
      <c r="J68" s="47"/>
      <c r="K68" s="12"/>
      <c r="S68">
        <v>2.5</v>
      </c>
    </row>
    <row r="69" spans="2:19" x14ac:dyDescent="0.3">
      <c r="J69" s="47"/>
      <c r="K69" s="250"/>
      <c r="S69">
        <f>S67*S68</f>
        <v>4.5750000000000002</v>
      </c>
    </row>
    <row r="70" spans="2:19" x14ac:dyDescent="0.3">
      <c r="K70" s="250"/>
      <c r="S70" s="270">
        <f>O54/S69</f>
        <v>0.80537704918032771</v>
      </c>
    </row>
    <row r="71" spans="2:19" x14ac:dyDescent="0.3">
      <c r="K71" s="250"/>
    </row>
    <row r="72" spans="2:19" ht="15" customHeight="1" x14ac:dyDescent="0.3"/>
    <row r="74" spans="2:19" x14ac:dyDescent="0.3">
      <c r="N74">
        <v>40935</v>
      </c>
      <c r="O74" t="s">
        <v>17</v>
      </c>
      <c r="P74" t="s">
        <v>28</v>
      </c>
    </row>
    <row r="76" spans="2:19" x14ac:dyDescent="0.3">
      <c r="N76" s="54"/>
      <c r="O76" s="54"/>
    </row>
    <row r="77" spans="2:19" x14ac:dyDescent="0.3">
      <c r="R77" s="18"/>
      <c r="S77" s="18"/>
    </row>
    <row r="78" spans="2:19" x14ac:dyDescent="0.3">
      <c r="R78" s="18"/>
      <c r="S78" s="18"/>
    </row>
    <row r="79" spans="2:19" x14ac:dyDescent="0.3">
      <c r="R79" s="18"/>
      <c r="S79" s="18"/>
    </row>
    <row r="80" spans="2:19" x14ac:dyDescent="0.3">
      <c r="R80" s="18"/>
      <c r="S80" s="18"/>
    </row>
    <row r="81" spans="14:19" x14ac:dyDescent="0.3">
      <c r="R81" s="18"/>
      <c r="S81" s="18"/>
    </row>
    <row r="82" spans="14:19" x14ac:dyDescent="0.3">
      <c r="R82" s="18"/>
      <c r="S82" s="18"/>
    </row>
    <row r="83" spans="14:19" x14ac:dyDescent="0.3">
      <c r="R83" s="18"/>
      <c r="S83" s="18"/>
    </row>
    <row r="84" spans="14:19" x14ac:dyDescent="0.3">
      <c r="R84" s="18"/>
      <c r="S84" s="18"/>
    </row>
    <row r="85" spans="14:19" x14ac:dyDescent="0.3">
      <c r="R85" s="18"/>
      <c r="S85" s="18"/>
    </row>
    <row r="88" spans="14:19" x14ac:dyDescent="0.3">
      <c r="N88" s="43"/>
    </row>
    <row r="89" spans="14:19" x14ac:dyDescent="0.3">
      <c r="N89" s="43"/>
    </row>
    <row r="90" spans="14:19" x14ac:dyDescent="0.3">
      <c r="N90" s="6"/>
    </row>
    <row r="91" spans="14:19" x14ac:dyDescent="0.3">
      <c r="N91" s="6"/>
    </row>
    <row r="99" spans="3:3" x14ac:dyDescent="0.3">
      <c r="C99" t="s">
        <v>149</v>
      </c>
    </row>
    <row r="100" spans="3:3" x14ac:dyDescent="0.3">
      <c r="C100" t="s">
        <v>148</v>
      </c>
    </row>
    <row r="103" spans="3:3" x14ac:dyDescent="0.3">
      <c r="C103" t="s">
        <v>148</v>
      </c>
    </row>
    <row r="180" spans="3:3" x14ac:dyDescent="0.3">
      <c r="C180" t="s">
        <v>148</v>
      </c>
    </row>
    <row r="181" spans="3:3" x14ac:dyDescent="0.3">
      <c r="C181" t="s">
        <v>150</v>
      </c>
    </row>
    <row r="182" spans="3:3" x14ac:dyDescent="0.3">
      <c r="C182" t="s">
        <v>151</v>
      </c>
    </row>
    <row r="607" spans="3:3" x14ac:dyDescent="0.3">
      <c r="C607" t="s">
        <v>148</v>
      </c>
    </row>
  </sheetData>
  <mergeCells count="2">
    <mergeCell ref="F17:H17"/>
    <mergeCell ref="B19:H19"/>
  </mergeCells>
  <phoneticPr fontId="34" type="noConversion"/>
  <hyperlinks>
    <hyperlink ref="F5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45447</v>
      </c>
    </row>
    <row r="6" spans="2:31" ht="16.2" thickBot="1" x14ac:dyDescent="0.35">
      <c r="B6" s="140" t="s">
        <v>2</v>
      </c>
      <c r="C6" s="139" t="str">
        <f>'2229'!C10</f>
        <v>RENE AGUIRRE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5" t="s">
        <v>100</v>
      </c>
      <c r="I7" s="326"/>
      <c r="J7" s="326"/>
      <c r="K7" s="327"/>
      <c r="N7" s="75"/>
      <c r="O7" s="324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10986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4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-230120.03086678745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'2229'!H48</f>
        <v>1490000</v>
      </c>
      <c r="E11" s="132">
        <f>D11*0.19</f>
        <v>283100</v>
      </c>
      <c r="F11" s="131">
        <f>E11+D11</f>
        <v>1773100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-124130.03086678745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66230.190787439613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-142130.03086678745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1423769.8092125603</v>
      </c>
      <c r="E13" s="221">
        <f>(D11/D12)-1</f>
        <v>21.497292885385658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-151130.03086678745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-190130.03086678745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109279.81479927535</v>
      </c>
      <c r="F15" s="216">
        <f>E15-D12</f>
        <v>43049.624011835738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-190130.03086678745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-150130.03086678745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'2229'!N58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'2229'!N57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'2229'!N56</f>
        <v>12896.099999999999</v>
      </c>
      <c r="E20" s="121">
        <f>D20*0.19</f>
        <v>2450.2589999999996</v>
      </c>
      <c r="F20" s="120">
        <f>SUM(D20:E20)</f>
        <v>15346.358999999999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36396.1</v>
      </c>
      <c r="E21" s="116">
        <f>SUM(E18:E20)</f>
        <v>6915.259</v>
      </c>
      <c r="F21" s="115">
        <f>SUM(F18:F20)</f>
        <v>43311.358999999997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276184.74099999998</v>
      </c>
    </row>
    <row r="41" spans="2:16" ht="15" thickBot="1" x14ac:dyDescent="0.35">
      <c r="H41" s="328" t="s">
        <v>62</v>
      </c>
      <c r="I41" s="329"/>
      <c r="J41" s="329"/>
      <c r="K41" s="329"/>
      <c r="L41" s="329"/>
      <c r="M41" s="330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1490000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36396.1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1423769.8092125603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1423769.8092125603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2024-05-31T13:28:03Z</cp:lastPrinted>
  <dcterms:created xsi:type="dcterms:W3CDTF">2013-03-18T13:35:42Z</dcterms:created>
  <dcterms:modified xsi:type="dcterms:W3CDTF">2024-06-05T20:32:56Z</dcterms:modified>
</cp:coreProperties>
</file>