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434F3487-EB52-4850-BBD2-3BB98329BD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N49" i="1"/>
  <c r="K26" i="1"/>
  <c r="K25" i="1"/>
  <c r="K24" i="1"/>
  <c r="K23" i="1"/>
  <c r="K22" i="1"/>
  <c r="K21" i="1"/>
  <c r="K27" i="1"/>
  <c r="K28" i="1"/>
  <c r="K29" i="1"/>
  <c r="K30" i="1"/>
  <c r="K31" i="1"/>
  <c r="J27" i="1"/>
  <c r="K32" i="1" l="1"/>
  <c r="L28" i="1" l="1"/>
  <c r="M28" i="1"/>
  <c r="L29" i="1"/>
  <c r="M29" i="1"/>
  <c r="N29" i="1" s="1"/>
  <c r="O29" i="1" s="1"/>
  <c r="L30" i="1"/>
  <c r="M30" i="1"/>
  <c r="L31" i="1"/>
  <c r="M31" i="1"/>
  <c r="H27" i="1"/>
  <c r="H28" i="1"/>
  <c r="H29" i="1"/>
  <c r="H30" i="1"/>
  <c r="H31" i="1"/>
  <c r="M27" i="1"/>
  <c r="L27" i="1"/>
  <c r="L26" i="1"/>
  <c r="R26" i="1" s="1"/>
  <c r="M26" i="1"/>
  <c r="H26" i="1"/>
  <c r="L22" i="1"/>
  <c r="R22" i="1" s="1"/>
  <c r="M22" i="1"/>
  <c r="N22" i="1" s="1"/>
  <c r="L23" i="1"/>
  <c r="R23" i="1" s="1"/>
  <c r="M23" i="1"/>
  <c r="L24" i="1"/>
  <c r="R24" i="1" s="1"/>
  <c r="M24" i="1"/>
  <c r="L25" i="1"/>
  <c r="R25" i="1" s="1"/>
  <c r="M25" i="1"/>
  <c r="H22" i="1"/>
  <c r="H23" i="1"/>
  <c r="H24" i="1"/>
  <c r="H25" i="1"/>
  <c r="N27" i="1" l="1"/>
  <c r="O27" i="1" s="1"/>
  <c r="N30" i="1"/>
  <c r="O30" i="1" s="1"/>
  <c r="N23" i="1"/>
  <c r="N24" i="1"/>
  <c r="O24" i="1" s="1"/>
  <c r="N28" i="1"/>
  <c r="O28" i="1" s="1"/>
  <c r="N31" i="1"/>
  <c r="O31" i="1" s="1"/>
  <c r="N25" i="1"/>
  <c r="O25" i="1" s="1"/>
  <c r="O22" i="1"/>
  <c r="N26" i="1"/>
  <c r="O26" i="1" s="1"/>
  <c r="O23" i="1"/>
  <c r="L21" i="1"/>
  <c r="M21" i="1"/>
  <c r="L36" i="1" l="1"/>
  <c r="R21" i="1"/>
  <c r="R37" i="1" s="1"/>
  <c r="N21" i="1"/>
  <c r="O21" i="1" s="1"/>
  <c r="O37" i="1" s="1"/>
  <c r="J50" i="1" l="1"/>
  <c r="N43" i="1" l="1"/>
  <c r="O38" i="1" l="1"/>
  <c r="O39" i="1" s="1"/>
  <c r="O40" i="1" s="1"/>
  <c r="S55" i="1"/>
  <c r="M20" i="1" l="1"/>
  <c r="K20" i="1"/>
  <c r="R20" i="1" s="1"/>
  <c r="N44" i="1" l="1"/>
  <c r="Q48" i="1"/>
  <c r="Q49" i="1" s="1"/>
  <c r="N45" i="1" l="1"/>
  <c r="S48" i="1" l="1"/>
  <c r="S4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7" i="1"/>
  <c r="N46" i="1"/>
  <c r="F18" i="3" l="1"/>
  <c r="L42" i="1" l="1"/>
  <c r="N42" i="1" l="1"/>
  <c r="N48" i="1" s="1"/>
  <c r="S56" i="1"/>
  <c r="D20" i="3" l="1"/>
  <c r="E20" i="3" s="1"/>
  <c r="E21" i="3" s="1"/>
  <c r="N51" i="1" l="1"/>
  <c r="D21" i="3"/>
  <c r="M43" i="3" s="1"/>
  <c r="D12" i="3" s="1"/>
  <c r="F20" i="3"/>
  <c r="F21" i="3" s="1"/>
  <c r="N50" i="1" l="1"/>
  <c r="P20" i="1" s="1"/>
  <c r="E15" i="3"/>
  <c r="P28" i="1" l="1"/>
  <c r="Q28" i="1" s="1"/>
  <c r="P29" i="1"/>
  <c r="Q29" i="1" s="1"/>
  <c r="P30" i="1"/>
  <c r="Q30" i="1" s="1"/>
  <c r="P31" i="1"/>
  <c r="Q31" i="1" s="1"/>
  <c r="P26" i="1"/>
  <c r="Q26" i="1" s="1"/>
  <c r="P27" i="1"/>
  <c r="Q27" i="1" s="1"/>
  <c r="P22" i="1"/>
  <c r="Q22" i="1" s="1"/>
  <c r="P23" i="1"/>
  <c r="Q23" i="1" s="1"/>
  <c r="P24" i="1"/>
  <c r="Q24" i="1" s="1"/>
  <c r="P25" i="1"/>
  <c r="Q25" i="1" s="1"/>
  <c r="P21" i="1"/>
  <c r="F15" i="3"/>
  <c r="Q21" i="1" l="1"/>
  <c r="H21" i="1" s="1"/>
  <c r="K15" i="1" l="1"/>
  <c r="H35" i="1" l="1"/>
  <c r="H3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<sst xmlns="http://schemas.openxmlformats.org/spreadsheetml/2006/main" count="242" uniqueCount="170">
  <si>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</si>
  <si>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</si>
  <si>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</si>
  <si>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</si>
  <si>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</si>
  <si>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</si>
  <si>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</si>
  <si>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</si>
  <si>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</si>
  <si>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</si>
  <si>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</si>
  <si>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</si>
  <si>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</si>
  <si>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</si>
  <si>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</si>
  <si>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</si>
  <si>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</si>
  <si>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</si>
  <si>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</si>
  <si>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</si>
  <si>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</si>
  <si>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</si>
  <si>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</si>
  <si>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</si>
  <si>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</si>
  <si>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</si>
  <si>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</si>
  <si>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</si>
  <si>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</si>
  <si>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</si>
  <si>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</si>
  <si>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</si>
  <si>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</si>
  <si>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</si>
  <si>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</si>
  <si>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</si>
  <si>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</si>
  <si>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</si>
  <si>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</si>
  <si>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</si>
  <si>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</si>
  <si>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</si>
  <si>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</si>
  <si>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</si>
  <si>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</si>
  <si>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</si>
  <si>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</si>
  <si>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</si>
  <si>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</si>
  <si>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</si>
  <si>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</si>
  <si>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</si>
  <si>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</si>
  <si>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</si>
  <si>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</si>
  <si>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</si>
  <si>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</si>
  <si>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</si>
  <si>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</si>
  <si>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</si>
  <si>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</si>
  <si>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</si>
  <si>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</si>
  <si>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</si>
  <si>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</si>
  <si>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</si>
  <si>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</si>
  <si>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</si>
  <si>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</si>
  <si>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</si>
  <si>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</si>
  <si>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</si>
  <si>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</si>
  <si>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</si>
  <si>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</si>
  <si>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</si>
  <si>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</si>
  <si>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</si>
  <si>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</si>
  <si>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</si>
  <si>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</si>
  <si>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</si>
  <si>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</si>
  <si>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</si>
  <si>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</si>
  <si>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</si>
  <si>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</si>
  <si>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</si>
  <si>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</si>
  <si>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</si>
  <si>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</si>
  <si>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</si>
  <si>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</si>
  <si>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</si>
  <si>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</si>
  <si>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</si>
  <si>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</si>
  <si>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</si>
  <si>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</si>
  <si>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</si>
  <si>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</si>
  <si>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</si>
  <si>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</si>
  <si>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</si>
  <si>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</si>
  <si>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</si>
  <si>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</si>
  <si>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</si>
  <si>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</si>
  <si>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</si>
  <si>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</si>
  <si>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</si>
  <si>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</si>
  <si>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</si>
  <si>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</si>
  <si>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</si>
  <si>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</si>
  <si>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</si>
  <si>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</si>
  <si>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</si>
  <si>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</si>
  <si>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</si>
  <si>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</si>
  <si>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</si>
  <si>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</si>
  <si>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</si>
  <si>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</si>
  <si>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</si>
  <si>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</si>
  <si>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</si>
  <si>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</si>
  <si>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</si>
  <si>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</si>
  <si>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</si>
  <si>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</si>
  <si>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</si>
  <si>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</si>
  <si>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</si>
  <si>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</si>
  <si>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</si>
  <si>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</si>
  <si>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</si>
  <si>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</si>
  <si>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</si>
  <si>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</si>
  <si>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</si>
  <si>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</si>
  <si>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</si>
  <si>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</si>
  <si>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</si>
  <si>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</si>
  <si>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</si>
  <si>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</si>
  <si>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</si>
  <si>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</si>
  <si>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</si>
  <si>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</si>
  <si>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</si>
  <si>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>MIGUEL ASENJO</t>
  </si>
  <si>
    <t xml:space="preserve">+569 </t>
  </si>
  <si>
    <t>CUBIERTA CON RESPALDO 10 CMS SOBRE LA BASE 90° R8</t>
  </si>
  <si>
    <t>WHITE ASWHOOD SF</t>
  </si>
  <si>
    <t>CUBIERTA CON RESPALDO 10 CMS SOBRE LA BASE 90° R9</t>
  </si>
  <si>
    <t>PR6</t>
  </si>
  <si>
    <t>7 - 10 DIAS HABILES</t>
  </si>
  <si>
    <t>SI</t>
  </si>
  <si>
    <t>N° 10987</t>
  </si>
  <si>
    <t>MTL PUERTAS</t>
  </si>
  <si>
    <t>MTL CUBIERTAS</t>
  </si>
  <si>
    <t>DESCTO.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</si>
</sst>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3" fillId="5" borderId="0" xfId="0" applyNumberFormat="1" applyFont="1" applyFill="1"/>
    <xf numFmtId="166" fontId="3" fillId="20" borderId="0" xfId="0" applyNumberFormat="1" applyFont="1" applyFill="1"/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7" fontId="0" fillId="11" borderId="0" xfId="0" applyNumberFormat="1" applyFill="1"/>
    <xf numFmtId="167" fontId="0" fillId="19" borderId="0" xfId="0" applyNumberForma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0" borderId="0" xfId="0" applyNumberFormat="1" applyFill="1"/>
    <xf numFmtId="167" fontId="0" fillId="22" borderId="0" xfId="0" applyNumberFormat="1" applyFill="1"/>
    <xf numFmtId="166" fontId="32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37</xdr:row>
      <xdr:rowOff>5249</xdr:rowOff>
    </xdr:from>
    <xdr:to>
      <xdr:col>8</xdr:col>
      <xdr:colOff>7776</xdr:colOff>
      <xdr:row>40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39</xdr:row>
      <xdr:rowOff>154305</xdr:rowOff>
    </xdr:from>
    <xdr:to>
      <xdr:col>7</xdr:col>
      <xdr:colOff>853440</xdr:colOff>
      <xdr:row>39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37</xdr:row>
      <xdr:rowOff>9525</xdr:rowOff>
    </xdr:from>
    <xdr:to>
      <xdr:col>5</xdr:col>
      <xdr:colOff>1679511</xdr:colOff>
      <xdr:row>40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32</xdr:row>
      <xdr:rowOff>225489</xdr:rowOff>
    </xdr:from>
    <xdr:to>
      <xdr:col>5</xdr:col>
      <xdr:colOff>1656183</xdr:colOff>
      <xdr:row>36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93"/>
  <sheetViews>
    <sheetView tabSelected="1" topLeftCell="A4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54.218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0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9" t="s">
        <v>128</v>
      </c>
      <c r="C8" s="300"/>
      <c r="D8" s="312" t="s">
        <v>166</v>
      </c>
      <c r="F8" s="58"/>
      <c r="J8" s="51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1" t="s">
        <v>2</v>
      </c>
      <c r="C10" s="277" t="s">
        <v>158</v>
      </c>
      <c r="D10" s="242"/>
      <c r="E10" s="242"/>
      <c r="F10" s="243" t="s">
        <v>0</v>
      </c>
      <c r="G10" s="275">
        <v>45395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6" t="s">
        <v>12</v>
      </c>
      <c r="C11" s="309"/>
      <c r="F11" t="s">
        <v>125</v>
      </c>
      <c r="G11" s="287" t="s">
        <v>164</v>
      </c>
      <c r="H11" s="288"/>
      <c r="P11" s="19"/>
      <c r="Q11" s="25" t="s">
        <v>19</v>
      </c>
      <c r="R11" s="19"/>
    </row>
    <row r="12" spans="2:23" ht="16.8" x14ac:dyDescent="0.4">
      <c r="B12" s="245" t="s">
        <v>146</v>
      </c>
      <c r="C12" s="309"/>
      <c r="D12" s="246"/>
      <c r="E12" s="246"/>
      <c r="F12" s="246" t="s">
        <v>129</v>
      </c>
      <c r="G12" s="276" t="s">
        <v>137</v>
      </c>
      <c r="H12" s="247"/>
      <c r="P12" s="19"/>
      <c r="Q12" s="25"/>
      <c r="R12" s="19"/>
    </row>
    <row r="13" spans="2:23" x14ac:dyDescent="0.3">
      <c r="B13" s="245" t="s">
        <v>147</v>
      </c>
      <c r="D13" s="246"/>
      <c r="E13" s="246"/>
      <c r="F13" s="246"/>
      <c r="G13" s="276"/>
      <c r="H13" s="247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6" t="s">
        <v>141</v>
      </c>
      <c r="C14" s="304"/>
      <c r="F14" s="29" t="s">
        <v>138</v>
      </c>
      <c r="G14" s="289" t="s">
        <v>137</v>
      </c>
      <c r="H14" s="288"/>
      <c r="J14" s="29"/>
      <c r="P14" s="20"/>
      <c r="Q14" s="26" t="s">
        <v>18</v>
      </c>
      <c r="R14" s="20"/>
    </row>
    <row r="15" spans="2:23" ht="15.6" x14ac:dyDescent="0.3">
      <c r="B15" s="245" t="s">
        <v>4</v>
      </c>
      <c r="C15" s="313" t="s">
        <v>159</v>
      </c>
      <c r="D15" s="293"/>
      <c r="E15" s="246"/>
      <c r="F15" s="246" t="s">
        <v>136</v>
      </c>
      <c r="G15" s="294" t="s">
        <v>165</v>
      </c>
      <c r="H15" s="247"/>
      <c r="K15" s="18">
        <f>H34/L13</f>
        <v>115221.34627046697</v>
      </c>
    </row>
    <row r="16" spans="2:23" ht="16.8" x14ac:dyDescent="0.4">
      <c r="B16" s="290" t="s">
        <v>3</v>
      </c>
      <c r="C16" s="309"/>
      <c r="F16" s="291" t="s">
        <v>131</v>
      </c>
      <c r="G16" s="292" t="s">
        <v>157</v>
      </c>
      <c r="H16" s="288"/>
    </row>
    <row r="17" spans="2:24" ht="15" thickBot="1" x14ac:dyDescent="0.35">
      <c r="B17" s="295" t="s">
        <v>13</v>
      </c>
      <c r="C17" s="296" t="s">
        <v>153</v>
      </c>
      <c r="D17" s="297"/>
      <c r="E17" s="298"/>
      <c r="F17" s="328" t="s">
        <v>154</v>
      </c>
      <c r="G17" s="328"/>
      <c r="H17" s="329"/>
      <c r="I17" s="262"/>
      <c r="S17" s="6"/>
      <c r="T17" s="6"/>
    </row>
    <row r="18" spans="2:24" ht="15.75" customHeight="1" thickBot="1" x14ac:dyDescent="0.35">
      <c r="I18" s="46"/>
      <c r="J18" s="5"/>
      <c r="U18" s="9"/>
      <c r="W18" s="6"/>
      <c r="X18" s="6"/>
    </row>
    <row r="19" spans="2:24" ht="13.5" customHeight="1" thickBot="1" x14ac:dyDescent="0.35">
      <c r="B19" s="330" t="s">
        <v>148</v>
      </c>
      <c r="C19" s="331"/>
      <c r="D19" s="331"/>
      <c r="E19" s="331"/>
      <c r="F19" s="331"/>
      <c r="G19" s="331"/>
      <c r="H19" s="332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4" t="s">
        <v>7</v>
      </c>
      <c r="C20" s="315" t="s">
        <v>1</v>
      </c>
      <c r="D20" s="315" t="s">
        <v>10</v>
      </c>
      <c r="E20" s="315" t="s">
        <v>11</v>
      </c>
      <c r="F20" s="315" t="s">
        <v>8</v>
      </c>
      <c r="G20" s="315" t="s">
        <v>5</v>
      </c>
      <c r="H20" s="316" t="s">
        <v>6</v>
      </c>
      <c r="I20" s="264"/>
      <c r="J20" s="46"/>
      <c r="K20" s="267" t="str">
        <f t="shared" ref="K20:K31" si="0">B20</f>
        <v>UNIDAD</v>
      </c>
      <c r="L20" s="266" t="s">
        <v>133</v>
      </c>
      <c r="M20" s="38" t="str">
        <f>E20</f>
        <v>ANCHO</v>
      </c>
      <c r="N20" s="260" t="s">
        <v>134</v>
      </c>
      <c r="O20" s="258" t="s">
        <v>17</v>
      </c>
      <c r="P20" s="251">
        <f>N50</f>
        <v>52544.734467267823</v>
      </c>
      <c r="Q20" s="257">
        <v>3000</v>
      </c>
      <c r="R20" s="306" t="e">
        <f t="shared" ref="R20:R26" si="1">K20*L20</f>
        <v>#VALUE!</v>
      </c>
      <c r="S20" s="14" t="s">
        <v>130</v>
      </c>
      <c r="T20" s="9"/>
      <c r="W20" s="4"/>
    </row>
    <row r="21" spans="2:24" ht="17.399999999999999" x14ac:dyDescent="0.3">
      <c r="B21" s="321">
        <v>5</v>
      </c>
      <c r="C21" s="322" t="s">
        <v>160</v>
      </c>
      <c r="D21" s="323">
        <v>0.85</v>
      </c>
      <c r="E21" s="323">
        <v>0.55000000000000004</v>
      </c>
      <c r="F21" s="321" t="s">
        <v>161</v>
      </c>
      <c r="G21" s="324">
        <v>27310</v>
      </c>
      <c r="H21" s="324">
        <f t="shared" ref="H21" si="2">G21*B21</f>
        <v>136550</v>
      </c>
      <c r="I21" s="264"/>
      <c r="J21" s="327">
        <v>1</v>
      </c>
      <c r="K21" s="340">
        <f t="shared" si="0"/>
        <v>5</v>
      </c>
      <c r="L21" s="38">
        <f t="shared" ref="L21" si="3">D21+L$19</f>
        <v>0.9</v>
      </c>
      <c r="M21" s="38">
        <f t="shared" ref="M21" si="4">E21+M$19</f>
        <v>0.55000000000000004</v>
      </c>
      <c r="N21" s="260">
        <f t="shared" ref="N21" si="5">L21*M21</f>
        <v>0.49500000000000005</v>
      </c>
      <c r="O21" s="258">
        <f t="shared" ref="O21" si="6">N21*K21</f>
        <v>2.4750000000000001</v>
      </c>
      <c r="P21" s="251">
        <f t="shared" ref="P21" si="7">P$20*N21</f>
        <v>26009.643561297577</v>
      </c>
      <c r="Q21" s="257">
        <f t="shared" ref="Q21" si="8">P21+Q$20</f>
        <v>29009.643561297577</v>
      </c>
      <c r="R21" s="306">
        <f t="shared" si="1"/>
        <v>4.5</v>
      </c>
      <c r="S21" s="14"/>
      <c r="T21" s="9"/>
      <c r="W21" s="4"/>
    </row>
    <row r="22" spans="2:24" ht="17.399999999999999" x14ac:dyDescent="0.3">
      <c r="B22" s="321">
        <v>14</v>
      </c>
      <c r="C22" s="322" t="s">
        <v>160</v>
      </c>
      <c r="D22" s="323">
        <v>1.25</v>
      </c>
      <c r="E22" s="323">
        <v>0.55000000000000004</v>
      </c>
      <c r="F22" s="321" t="s">
        <v>161</v>
      </c>
      <c r="G22" s="324">
        <v>39448</v>
      </c>
      <c r="H22" s="324">
        <f t="shared" ref="H22:H25" si="9">G22*B22</f>
        <v>552272</v>
      </c>
      <c r="I22" s="264">
        <v>-9</v>
      </c>
      <c r="J22" s="340">
        <v>4</v>
      </c>
      <c r="K22" s="340">
        <f t="shared" si="0"/>
        <v>14</v>
      </c>
      <c r="L22" s="319">
        <f t="shared" ref="L22:L25" si="10">D22+L$19</f>
        <v>1.3</v>
      </c>
      <c r="M22" s="319">
        <f t="shared" ref="M22:M25" si="11">E22+M$19</f>
        <v>0.55000000000000004</v>
      </c>
      <c r="N22" s="260">
        <f t="shared" ref="N22:N25" si="12">L22*M22</f>
        <v>0.71500000000000008</v>
      </c>
      <c r="O22" s="258">
        <f t="shared" ref="O22:O25" si="13">N22*K22</f>
        <v>10.010000000000002</v>
      </c>
      <c r="P22" s="251">
        <f t="shared" ref="P22:P25" si="14">P$20*N22</f>
        <v>37569.485144096499</v>
      </c>
      <c r="Q22" s="257">
        <f t="shared" ref="Q22:Q25" si="15">P22+Q$20</f>
        <v>40569.485144096499</v>
      </c>
      <c r="R22" s="306">
        <f t="shared" si="1"/>
        <v>18.2</v>
      </c>
      <c r="S22" s="14"/>
      <c r="T22" s="9"/>
      <c r="W22" s="4"/>
    </row>
    <row r="23" spans="2:24" ht="17.399999999999999" x14ac:dyDescent="0.3">
      <c r="B23" s="321">
        <v>6</v>
      </c>
      <c r="C23" s="322" t="s">
        <v>160</v>
      </c>
      <c r="D23" s="342">
        <v>1.35</v>
      </c>
      <c r="E23" s="323">
        <v>0.55000000000000004</v>
      </c>
      <c r="F23" s="321" t="s">
        <v>161</v>
      </c>
      <c r="G23" s="324">
        <v>42482</v>
      </c>
      <c r="H23" s="324">
        <f t="shared" si="9"/>
        <v>254892</v>
      </c>
      <c r="I23" s="264"/>
      <c r="J23" s="340"/>
      <c r="K23" s="340">
        <f t="shared" si="0"/>
        <v>6</v>
      </c>
      <c r="L23" s="320">
        <f t="shared" si="10"/>
        <v>1.4000000000000001</v>
      </c>
      <c r="M23" s="320">
        <f t="shared" si="11"/>
        <v>0.55000000000000004</v>
      </c>
      <c r="N23" s="260">
        <f t="shared" si="12"/>
        <v>0.77000000000000013</v>
      </c>
      <c r="O23" s="258">
        <f t="shared" si="13"/>
        <v>4.620000000000001</v>
      </c>
      <c r="P23" s="251">
        <f t="shared" si="14"/>
        <v>40459.44553979623</v>
      </c>
      <c r="Q23" s="257">
        <f t="shared" si="15"/>
        <v>43459.44553979623</v>
      </c>
      <c r="R23" s="306">
        <f t="shared" si="1"/>
        <v>8.4</v>
      </c>
      <c r="S23" s="14"/>
      <c r="T23" s="9"/>
      <c r="W23" s="4"/>
    </row>
    <row r="24" spans="2:24" ht="17.399999999999999" x14ac:dyDescent="0.3">
      <c r="B24" s="321">
        <v>7</v>
      </c>
      <c r="C24" s="322" t="s">
        <v>160</v>
      </c>
      <c r="D24" s="342">
        <v>1.55</v>
      </c>
      <c r="E24" s="323">
        <v>0.55000000000000004</v>
      </c>
      <c r="F24" s="321" t="s">
        <v>161</v>
      </c>
      <c r="G24" s="324">
        <v>48551</v>
      </c>
      <c r="H24" s="324">
        <f t="shared" si="9"/>
        <v>339857</v>
      </c>
      <c r="I24" s="264"/>
      <c r="J24" s="325">
        <v>7</v>
      </c>
      <c r="K24" s="340">
        <f t="shared" si="0"/>
        <v>7</v>
      </c>
      <c r="L24" s="319">
        <f t="shared" si="10"/>
        <v>1.6</v>
      </c>
      <c r="M24" s="319">
        <f t="shared" si="11"/>
        <v>0.55000000000000004</v>
      </c>
      <c r="N24" s="260">
        <f t="shared" si="12"/>
        <v>0.88000000000000012</v>
      </c>
      <c r="O24" s="258">
        <f t="shared" si="13"/>
        <v>6.160000000000001</v>
      </c>
      <c r="P24" s="251">
        <f t="shared" si="14"/>
        <v>46239.366331195692</v>
      </c>
      <c r="Q24" s="257">
        <f t="shared" si="15"/>
        <v>49239.366331195692</v>
      </c>
      <c r="R24" s="306">
        <f t="shared" si="1"/>
        <v>11.200000000000001</v>
      </c>
      <c r="S24" s="14"/>
      <c r="T24" s="9" t="s">
        <v>168</v>
      </c>
      <c r="W24" s="4"/>
    </row>
    <row r="25" spans="2:24" ht="17.399999999999999" x14ac:dyDescent="0.3">
      <c r="B25" s="321">
        <v>7</v>
      </c>
      <c r="C25" s="322" t="s">
        <v>160</v>
      </c>
      <c r="D25" s="342">
        <v>1.65</v>
      </c>
      <c r="E25" s="323">
        <v>0.55000000000000004</v>
      </c>
      <c r="F25" s="321" t="s">
        <v>161</v>
      </c>
      <c r="G25" s="324">
        <v>51586</v>
      </c>
      <c r="H25" s="324">
        <f t="shared" si="9"/>
        <v>361102</v>
      </c>
      <c r="I25" s="264"/>
      <c r="J25" s="341">
        <v>7</v>
      </c>
      <c r="K25" s="340">
        <f t="shared" si="0"/>
        <v>7</v>
      </c>
      <c r="L25" s="319">
        <f t="shared" si="10"/>
        <v>1.7</v>
      </c>
      <c r="M25" s="319">
        <f t="shared" si="11"/>
        <v>0.55000000000000004</v>
      </c>
      <c r="N25" s="260">
        <f t="shared" si="12"/>
        <v>0.93500000000000005</v>
      </c>
      <c r="O25" s="258">
        <f t="shared" si="13"/>
        <v>6.5449999999999999</v>
      </c>
      <c r="P25" s="251">
        <f t="shared" si="14"/>
        <v>49129.326726895415</v>
      </c>
      <c r="Q25" s="257">
        <f t="shared" si="15"/>
        <v>52129.326726895415</v>
      </c>
      <c r="R25" s="306">
        <f t="shared" si="1"/>
        <v>11.9</v>
      </c>
      <c r="S25" s="14"/>
      <c r="T25" s="9">
        <v>109320</v>
      </c>
      <c r="W25" s="4"/>
    </row>
    <row r="26" spans="2:24" ht="17.399999999999999" x14ac:dyDescent="0.3">
      <c r="B26" s="321">
        <v>1</v>
      </c>
      <c r="C26" s="322" t="s">
        <v>162</v>
      </c>
      <c r="D26" s="342">
        <v>1.55</v>
      </c>
      <c r="E26" s="323">
        <v>0.6</v>
      </c>
      <c r="F26" s="321" t="s">
        <v>161</v>
      </c>
      <c r="G26" s="324">
        <v>52965</v>
      </c>
      <c r="H26" s="324">
        <f t="shared" ref="H26" si="16">G26*B26</f>
        <v>52965</v>
      </c>
      <c r="I26" s="264"/>
      <c r="J26" s="326">
        <v>1</v>
      </c>
      <c r="K26" s="340">
        <f t="shared" si="0"/>
        <v>1</v>
      </c>
      <c r="L26" s="38">
        <f t="shared" ref="L26:L27" si="17">D26+L$19</f>
        <v>1.6</v>
      </c>
      <c r="M26" s="38">
        <f t="shared" ref="M26:M27" si="18">E26+M$19</f>
        <v>0.6</v>
      </c>
      <c r="N26" s="260">
        <f t="shared" ref="N26:N27" si="19">L26*M26</f>
        <v>0.96</v>
      </c>
      <c r="O26" s="258">
        <f t="shared" ref="O26:O27" si="20">N26*K26</f>
        <v>0.96</v>
      </c>
      <c r="P26" s="251">
        <f t="shared" ref="P26:P27" si="21">P$20*N26</f>
        <v>50442.945088577108</v>
      </c>
      <c r="Q26" s="257">
        <f t="shared" ref="Q26:Q27" si="22">P26+Q$20</f>
        <v>53442.945088577108</v>
      </c>
      <c r="R26" s="306">
        <f t="shared" si="1"/>
        <v>1.6</v>
      </c>
      <c r="S26" s="14"/>
      <c r="T26" s="9"/>
      <c r="W26" s="4"/>
    </row>
    <row r="27" spans="2:24" ht="17.399999999999999" x14ac:dyDescent="0.3">
      <c r="B27" s="321">
        <v>59</v>
      </c>
      <c r="C27" s="322" t="s">
        <v>163</v>
      </c>
      <c r="D27" s="323">
        <v>0.76500000000000001</v>
      </c>
      <c r="E27" s="323">
        <v>0.39700000000000002</v>
      </c>
      <c r="F27" s="321" t="s">
        <v>161</v>
      </c>
      <c r="G27" s="324">
        <v>17851</v>
      </c>
      <c r="H27" s="324">
        <f t="shared" ref="H27:H31" si="23">G27*B27</f>
        <v>1053209</v>
      </c>
      <c r="I27" s="264"/>
      <c r="J27" s="46">
        <f>SUM(J21:J26)</f>
        <v>20</v>
      </c>
      <c r="K27" s="340">
        <f t="shared" si="0"/>
        <v>59</v>
      </c>
      <c r="L27" s="38">
        <f t="shared" si="17"/>
        <v>0.81500000000000006</v>
      </c>
      <c r="M27" s="38">
        <f t="shared" si="18"/>
        <v>0.39700000000000002</v>
      </c>
      <c r="N27" s="260">
        <f t="shared" si="19"/>
        <v>0.32355500000000004</v>
      </c>
      <c r="O27" s="258">
        <f t="shared" si="20"/>
        <v>19.089745000000001</v>
      </c>
      <c r="P27" s="251">
        <f t="shared" si="21"/>
        <v>17001.111560556841</v>
      </c>
      <c r="Q27" s="257">
        <f t="shared" si="22"/>
        <v>20001.111560556841</v>
      </c>
      <c r="R27" s="306"/>
      <c r="S27" s="14"/>
      <c r="T27" s="9" t="s">
        <v>167</v>
      </c>
      <c r="W27" s="4"/>
    </row>
    <row r="28" spans="2:24" ht="17.399999999999999" x14ac:dyDescent="0.3">
      <c r="B28" s="321">
        <v>18</v>
      </c>
      <c r="C28" s="322" t="s">
        <v>163</v>
      </c>
      <c r="D28" s="323">
        <v>0.76500000000000001</v>
      </c>
      <c r="E28" s="323">
        <v>0.43099999999999999</v>
      </c>
      <c r="F28" s="321" t="s">
        <v>161</v>
      </c>
      <c r="G28" s="324">
        <v>19380</v>
      </c>
      <c r="H28" s="324">
        <f t="shared" si="23"/>
        <v>348840</v>
      </c>
      <c r="I28" s="264"/>
      <c r="J28" s="46"/>
      <c r="K28" s="340">
        <f t="shared" si="0"/>
        <v>18</v>
      </c>
      <c r="L28" s="38">
        <f t="shared" ref="L28:L31" si="24">D28+L$19</f>
        <v>0.81500000000000006</v>
      </c>
      <c r="M28" s="38">
        <f t="shared" ref="M28:M31" si="25">E28+M$19</f>
        <v>0.43099999999999999</v>
      </c>
      <c r="N28" s="260">
        <f t="shared" ref="N28:N31" si="26">L28*M28</f>
        <v>0.35126499999999999</v>
      </c>
      <c r="O28" s="258">
        <f t="shared" ref="O28:O31" si="27">N28*K28</f>
        <v>6.3227700000000002</v>
      </c>
      <c r="P28" s="251">
        <f t="shared" ref="P28:P31" si="28">P$20*N28</f>
        <v>18457.126152644832</v>
      </c>
      <c r="Q28" s="257">
        <f t="shared" ref="Q28:Q31" si="29">P28+Q$20</f>
        <v>21457.126152644832</v>
      </c>
      <c r="R28" s="306"/>
      <c r="S28" s="14"/>
      <c r="T28" s="9">
        <v>102.69</v>
      </c>
      <c r="W28" s="4"/>
    </row>
    <row r="29" spans="2:24" ht="17.399999999999999" x14ac:dyDescent="0.3">
      <c r="B29" s="321">
        <v>28</v>
      </c>
      <c r="C29" s="322" t="s">
        <v>163</v>
      </c>
      <c r="D29" s="323">
        <v>0.76500000000000001</v>
      </c>
      <c r="E29" s="323">
        <v>0.372</v>
      </c>
      <c r="F29" s="321" t="s">
        <v>161</v>
      </c>
      <c r="G29" s="324">
        <v>16727</v>
      </c>
      <c r="H29" s="324">
        <f t="shared" si="23"/>
        <v>468356</v>
      </c>
      <c r="I29" s="264"/>
      <c r="J29" s="46"/>
      <c r="K29" s="340">
        <f t="shared" si="0"/>
        <v>28</v>
      </c>
      <c r="L29" s="38">
        <f t="shared" si="24"/>
        <v>0.81500000000000006</v>
      </c>
      <c r="M29" s="38">
        <f t="shared" si="25"/>
        <v>0.372</v>
      </c>
      <c r="N29" s="260">
        <f t="shared" si="26"/>
        <v>0.30318000000000001</v>
      </c>
      <c r="O29" s="258">
        <f t="shared" si="27"/>
        <v>8.4890399999999993</v>
      </c>
      <c r="P29" s="251">
        <f t="shared" si="28"/>
        <v>15930.512595786258</v>
      </c>
      <c r="Q29" s="257">
        <f t="shared" si="29"/>
        <v>18930.512595786258</v>
      </c>
      <c r="R29" s="306"/>
      <c r="S29" s="14"/>
      <c r="T29" s="9"/>
      <c r="W29" s="4"/>
    </row>
    <row r="30" spans="2:24" ht="17.399999999999999" x14ac:dyDescent="0.3">
      <c r="B30" s="321">
        <v>14</v>
      </c>
      <c r="C30" s="322" t="s">
        <v>163</v>
      </c>
      <c r="D30" s="323">
        <v>0.76500000000000001</v>
      </c>
      <c r="E30" s="323">
        <v>0.38400000000000001</v>
      </c>
      <c r="F30" s="321" t="s">
        <v>161</v>
      </c>
      <c r="G30" s="324">
        <v>17267</v>
      </c>
      <c r="H30" s="324">
        <f t="shared" si="23"/>
        <v>241738</v>
      </c>
      <c r="I30" s="264"/>
      <c r="J30" s="46"/>
      <c r="K30" s="340">
        <f t="shared" si="0"/>
        <v>14</v>
      </c>
      <c r="L30" s="38">
        <f t="shared" si="24"/>
        <v>0.81500000000000006</v>
      </c>
      <c r="M30" s="38">
        <f t="shared" si="25"/>
        <v>0.38400000000000001</v>
      </c>
      <c r="N30" s="260">
        <f t="shared" si="26"/>
        <v>0.31296000000000002</v>
      </c>
      <c r="O30" s="258">
        <f t="shared" si="27"/>
        <v>4.3814400000000004</v>
      </c>
      <c r="P30" s="251">
        <f t="shared" si="28"/>
        <v>16444.40009887614</v>
      </c>
      <c r="Q30" s="257">
        <f t="shared" si="29"/>
        <v>19444.40009887614</v>
      </c>
      <c r="R30" s="306"/>
      <c r="S30" s="14"/>
      <c r="T30" s="9"/>
      <c r="W30" s="4"/>
    </row>
    <row r="31" spans="2:24" ht="17.399999999999999" x14ac:dyDescent="0.3">
      <c r="B31" s="321">
        <v>7</v>
      </c>
      <c r="C31" s="322" t="s">
        <v>163</v>
      </c>
      <c r="D31" s="323">
        <v>0.76500000000000001</v>
      </c>
      <c r="E31" s="323">
        <v>0.42299999999999999</v>
      </c>
      <c r="F31" s="321" t="s">
        <v>161</v>
      </c>
      <c r="G31" s="324">
        <v>19020</v>
      </c>
      <c r="H31" s="324">
        <f t="shared" si="23"/>
        <v>133140</v>
      </c>
      <c r="I31" s="264"/>
      <c r="J31" s="46"/>
      <c r="K31" s="340">
        <f t="shared" si="0"/>
        <v>7</v>
      </c>
      <c r="L31" s="38">
        <f t="shared" si="24"/>
        <v>0.81500000000000006</v>
      </c>
      <c r="M31" s="38">
        <f t="shared" si="25"/>
        <v>0.42299999999999999</v>
      </c>
      <c r="N31" s="260">
        <f t="shared" si="26"/>
        <v>0.34474500000000002</v>
      </c>
      <c r="O31" s="258">
        <f t="shared" si="27"/>
        <v>2.4132150000000001</v>
      </c>
      <c r="P31" s="251">
        <f t="shared" si="28"/>
        <v>18114.534483918247</v>
      </c>
      <c r="Q31" s="257">
        <f t="shared" si="29"/>
        <v>21114.534483918247</v>
      </c>
      <c r="R31" s="306"/>
      <c r="S31" s="14"/>
      <c r="T31" s="9"/>
      <c r="W31" s="4"/>
    </row>
    <row r="32" spans="2:24" ht="17.399999999999999" x14ac:dyDescent="0.3">
      <c r="B32" s="284"/>
      <c r="C32" s="318"/>
      <c r="D32" s="285"/>
      <c r="E32" s="285"/>
      <c r="F32" s="284"/>
      <c r="G32" s="324" t="s">
        <v>169</v>
      </c>
      <c r="H32" s="324">
        <v>-142921</v>
      </c>
      <c r="I32" s="264"/>
      <c r="J32" s="46"/>
      <c r="K32" s="46">
        <f>SUM(K27:K31)</f>
        <v>126</v>
      </c>
      <c r="L32" s="38"/>
      <c r="M32" s="38"/>
      <c r="N32" s="260"/>
      <c r="O32" s="258"/>
      <c r="P32" s="251"/>
      <c r="Q32" s="257"/>
      <c r="R32" s="306"/>
      <c r="S32" s="14"/>
      <c r="T32" s="9"/>
      <c r="W32" s="4"/>
    </row>
    <row r="33" spans="1:23" ht="18" thickBot="1" x14ac:dyDescent="0.35">
      <c r="B33" s="284"/>
      <c r="C33" s="284"/>
      <c r="D33" s="285"/>
      <c r="E33" s="285"/>
      <c r="F33" s="284"/>
      <c r="G33" s="317"/>
      <c r="H33" s="317"/>
      <c r="I33" s="231"/>
      <c r="J33" s="46"/>
      <c r="K33" s="46"/>
      <c r="L33" s="38"/>
      <c r="M33" s="38"/>
      <c r="N33" s="260"/>
      <c r="O33" s="258"/>
      <c r="P33" s="251"/>
      <c r="Q33" s="257"/>
      <c r="R33" s="306"/>
      <c r="S33" s="14"/>
      <c r="T33" s="9"/>
      <c r="W33" s="4"/>
    </row>
    <row r="34" spans="1:23" ht="17.399999999999999" x14ac:dyDescent="0.3">
      <c r="B34" s="284"/>
      <c r="C34" s="284"/>
      <c r="D34" s="285"/>
      <c r="E34" s="285"/>
      <c r="F34" s="284"/>
      <c r="G34" s="307" t="s">
        <v>30</v>
      </c>
      <c r="H34" s="308">
        <f>SUM(H21:H32)</f>
        <v>3800000</v>
      </c>
      <c r="I34" s="231"/>
      <c r="J34" s="46"/>
      <c r="K34" s="46"/>
      <c r="L34" s="38"/>
      <c r="M34" s="38"/>
      <c r="N34" s="260"/>
      <c r="O34" s="258"/>
      <c r="P34" s="251"/>
      <c r="Q34" s="257"/>
      <c r="R34" s="306"/>
      <c r="S34" s="14"/>
      <c r="T34" s="9"/>
      <c r="W34" s="4"/>
    </row>
    <row r="35" spans="1:23" ht="17.399999999999999" x14ac:dyDescent="0.3">
      <c r="B35" s="278"/>
      <c r="C35" s="281"/>
      <c r="D35" s="282"/>
      <c r="E35" s="282"/>
      <c r="F35" s="283"/>
      <c r="G35" s="305" t="s">
        <v>53</v>
      </c>
      <c r="H35" s="302">
        <f>H34*0.19</f>
        <v>722000</v>
      </c>
      <c r="I35" s="231"/>
      <c r="J35" s="46"/>
      <c r="K35" s="46"/>
      <c r="L35" s="38"/>
      <c r="M35" s="38"/>
      <c r="N35" s="260"/>
      <c r="O35" s="258"/>
      <c r="P35" s="251"/>
      <c r="Q35" s="257"/>
      <c r="R35" s="306"/>
      <c r="S35" s="14"/>
      <c r="T35" s="9"/>
      <c r="W35" s="4"/>
    </row>
    <row r="36" spans="1:23" ht="18" thickBot="1" x14ac:dyDescent="0.35">
      <c r="B36" s="274"/>
      <c r="C36" s="280"/>
      <c r="D36" s="271"/>
      <c r="E36" s="271"/>
      <c r="F36" s="272"/>
      <c r="G36" s="279" t="s">
        <v>6</v>
      </c>
      <c r="H36" s="303">
        <f>H34+H35</f>
        <v>4522000</v>
      </c>
      <c r="I36" s="264"/>
      <c r="J36" s="46"/>
      <c r="K36" s="46"/>
      <c r="L36" s="38">
        <f>SUM(L21:L21)*2</f>
        <v>1.8</v>
      </c>
      <c r="M36" s="38"/>
      <c r="N36" s="260"/>
      <c r="O36" s="258"/>
      <c r="P36" s="251"/>
      <c r="Q36" s="257"/>
      <c r="R36" s="306"/>
      <c r="S36" s="14"/>
      <c r="T36" s="9"/>
      <c r="W36" s="4"/>
    </row>
    <row r="37" spans="1:23" ht="17.399999999999999" x14ac:dyDescent="0.3">
      <c r="B37" s="274"/>
      <c r="C37" s="270"/>
      <c r="D37" s="271"/>
      <c r="E37" s="271"/>
      <c r="F37" s="272"/>
      <c r="I37" s="264"/>
      <c r="J37" s="46"/>
      <c r="K37" s="46"/>
      <c r="L37" s="38"/>
      <c r="M37" s="12"/>
      <c r="N37" s="12"/>
      <c r="O37" s="252">
        <f>SUM(O21:O33)</f>
        <v>71.46620999999999</v>
      </c>
      <c r="P37" s="14"/>
      <c r="Q37" s="12"/>
      <c r="R37" s="237">
        <f>SUM(R21:R36)</f>
        <v>55.800000000000004</v>
      </c>
      <c r="S37" s="14"/>
      <c r="T37" s="9"/>
      <c r="W37" s="4"/>
    </row>
    <row r="38" spans="1:23" ht="17.399999999999999" x14ac:dyDescent="0.35">
      <c r="B38" s="268"/>
      <c r="C38" s="229"/>
      <c r="D38" s="229"/>
      <c r="E38" s="231"/>
      <c r="F38" s="232"/>
      <c r="G38" s="229"/>
      <c r="H38" s="273"/>
      <c r="I38" s="264"/>
      <c r="J38" s="46"/>
      <c r="K38" s="46"/>
      <c r="L38" s="38"/>
      <c r="M38" s="12"/>
      <c r="N38" s="12"/>
      <c r="O38" s="252">
        <f>O37</f>
        <v>71.46620999999999</v>
      </c>
      <c r="P38" s="14"/>
      <c r="Q38" s="12"/>
      <c r="R38" s="237"/>
      <c r="S38" s="14"/>
      <c r="T38" s="9"/>
      <c r="W38" s="4"/>
    </row>
    <row r="39" spans="1:23" ht="17.399999999999999" x14ac:dyDescent="0.35">
      <c r="B39" s="233"/>
      <c r="C39" s="234"/>
      <c r="D39" s="235"/>
      <c r="E39" s="233"/>
      <c r="F39" s="229"/>
      <c r="G39" s="229"/>
      <c r="I39" s="264"/>
      <c r="J39" s="46"/>
      <c r="K39" s="46"/>
      <c r="L39" s="14"/>
      <c r="M39" s="12"/>
      <c r="N39" s="12"/>
      <c r="O39" s="38">
        <f>O38*0.2</f>
        <v>14.293241999999999</v>
      </c>
      <c r="P39" s="38" t="s">
        <v>132</v>
      </c>
      <c r="Q39" s="41"/>
      <c r="R39" s="238"/>
      <c r="S39" s="14"/>
      <c r="T39" s="9"/>
      <c r="W39" s="4"/>
    </row>
    <row r="40" spans="1:23" ht="17.399999999999999" x14ac:dyDescent="0.35">
      <c r="B40" s="229"/>
      <c r="C40" s="229"/>
      <c r="D40" s="229"/>
      <c r="E40" s="229"/>
      <c r="F40" s="229"/>
      <c r="G40" s="229"/>
      <c r="I40" s="264"/>
      <c r="J40" s="311"/>
      <c r="K40" s="46"/>
      <c r="L40" s="14"/>
      <c r="M40" s="12"/>
      <c r="N40" s="12"/>
      <c r="O40" s="45">
        <f>O38+O39</f>
        <v>85.759451999999982</v>
      </c>
      <c r="P40" s="14"/>
      <c r="Q40" s="14"/>
      <c r="R40" s="236">
        <v>40</v>
      </c>
      <c r="S40" s="14"/>
      <c r="T40" s="9"/>
      <c r="W40" s="4"/>
    </row>
    <row r="41" spans="1:23" ht="17.399999999999999" x14ac:dyDescent="0.35">
      <c r="A41" s="229"/>
      <c r="B41" s="229"/>
      <c r="C41" s="229"/>
      <c r="D41" s="229"/>
      <c r="E41" s="229"/>
      <c r="F41" s="229"/>
      <c r="G41" s="229"/>
      <c r="H41" s="229"/>
      <c r="J41" s="311"/>
      <c r="K41" s="46"/>
      <c r="L41" s="14"/>
      <c r="M41" s="14"/>
      <c r="N41" s="14"/>
      <c r="O41" s="14"/>
      <c r="P41" s="14"/>
      <c r="Q41" s="14"/>
      <c r="R41" s="236"/>
      <c r="S41" s="14"/>
      <c r="T41" s="9"/>
      <c r="W41" s="4"/>
    </row>
    <row r="42" spans="1:23" ht="17.399999999999999" x14ac:dyDescent="0.35">
      <c r="A42" s="229"/>
      <c r="B42" s="24" t="s">
        <v>155</v>
      </c>
      <c r="C42" s="229"/>
      <c r="D42" s="229"/>
      <c r="E42" s="229"/>
      <c r="F42" s="229"/>
      <c r="G42" s="229"/>
      <c r="H42" s="229"/>
      <c r="I42" s="264"/>
      <c r="J42" s="46"/>
      <c r="K42" s="46"/>
      <c r="L42" s="38">
        <f>O40</f>
        <v>85.759451999999982</v>
      </c>
      <c r="M42" s="12">
        <v>1033</v>
      </c>
      <c r="N42" s="12">
        <f t="shared" ref="N42:N47" si="30">L42*M42</f>
        <v>88589.513915999982</v>
      </c>
      <c r="O42" s="14" t="s">
        <v>22</v>
      </c>
      <c r="P42" s="14" t="s">
        <v>23</v>
      </c>
      <c r="Q42" s="14"/>
      <c r="R42" s="239"/>
      <c r="S42" s="14"/>
      <c r="T42" s="9"/>
      <c r="W42" s="4"/>
    </row>
    <row r="43" spans="1:23" ht="17.399999999999999" x14ac:dyDescent="0.35">
      <c r="A43" s="229"/>
      <c r="B43" s="24" t="s">
        <v>156</v>
      </c>
      <c r="G43" s="229"/>
      <c r="H43" s="229"/>
      <c r="I43" s="264"/>
      <c r="J43" s="46"/>
      <c r="K43" s="46"/>
      <c r="L43" s="248">
        <v>13</v>
      </c>
      <c r="M43" s="12">
        <v>39707</v>
      </c>
      <c r="N43" s="12">
        <f t="shared" si="30"/>
        <v>516191</v>
      </c>
      <c r="O43" s="38" t="s">
        <v>152</v>
      </c>
      <c r="P43" s="41"/>
      <c r="Q43" s="14"/>
      <c r="R43" s="238"/>
      <c r="S43" s="14"/>
      <c r="T43" s="9"/>
      <c r="W43" s="4"/>
    </row>
    <row r="44" spans="1:23" s="229" customFormat="1" ht="17.399999999999999" x14ac:dyDescent="0.35">
      <c r="B44" s="29" t="s">
        <v>127</v>
      </c>
      <c r="C44"/>
      <c r="D44"/>
      <c r="E44"/>
      <c r="F44" s="228" t="s">
        <v>16</v>
      </c>
      <c r="I44" s="261"/>
      <c r="J44" s="46"/>
      <c r="K44" s="249"/>
      <c r="L44" s="14">
        <v>10</v>
      </c>
      <c r="M44" s="249">
        <v>22606</v>
      </c>
      <c r="N44" s="12">
        <f t="shared" si="30"/>
        <v>226060</v>
      </c>
      <c r="O44" s="38" t="s">
        <v>32</v>
      </c>
      <c r="P44" s="41"/>
      <c r="R44" s="238"/>
      <c r="S44" s="255"/>
      <c r="V44" s="230"/>
    </row>
    <row r="45" spans="1:23" s="229" customFormat="1" ht="17.399999999999999" x14ac:dyDescent="0.35">
      <c r="I45" s="261"/>
      <c r="J45" s="310"/>
      <c r="K45" s="249">
        <v>20</v>
      </c>
      <c r="L45" s="14">
        <v>31</v>
      </c>
      <c r="M45" s="249">
        <v>32866</v>
      </c>
      <c r="N45" s="12">
        <f t="shared" si="30"/>
        <v>1018846</v>
      </c>
      <c r="O45" s="14" t="s">
        <v>143</v>
      </c>
      <c r="P45" s="17"/>
      <c r="R45" s="236"/>
      <c r="S45" s="255"/>
      <c r="V45" s="230"/>
    </row>
    <row r="46" spans="1:23" s="229" customFormat="1" ht="17.399999999999999" x14ac:dyDescent="0.35">
      <c r="I46" s="261"/>
      <c r="J46" s="310"/>
      <c r="K46" s="249"/>
      <c r="L46" s="248"/>
      <c r="M46" s="249">
        <v>800</v>
      </c>
      <c r="N46" s="12">
        <f t="shared" si="30"/>
        <v>0</v>
      </c>
      <c r="O46" s="14" t="s">
        <v>34</v>
      </c>
      <c r="P46" s="14"/>
      <c r="Q46" s="229">
        <v>1.52</v>
      </c>
      <c r="R46" s="236"/>
      <c r="S46" s="236"/>
    </row>
    <row r="47" spans="1:23" s="229" customFormat="1" ht="17.399999999999999" x14ac:dyDescent="0.35">
      <c r="I47" s="301"/>
      <c r="J47" s="46"/>
      <c r="K47" s="249"/>
      <c r="L47" s="265">
        <v>55.8</v>
      </c>
      <c r="M47" s="12">
        <v>500</v>
      </c>
      <c r="N47" s="12">
        <f t="shared" si="30"/>
        <v>27900</v>
      </c>
      <c r="O47" s="14" t="s">
        <v>24</v>
      </c>
      <c r="P47" s="14"/>
      <c r="Q47">
        <v>2.44</v>
      </c>
      <c r="R47"/>
      <c r="S47" s="236">
        <v>1500</v>
      </c>
      <c r="W47" s="230"/>
    </row>
    <row r="48" spans="1:23" s="229" customFormat="1" ht="17.399999999999999" x14ac:dyDescent="0.35">
      <c r="I48" s="264"/>
      <c r="J48" s="46"/>
      <c r="K48" s="249"/>
      <c r="L48" s="14"/>
      <c r="M48" s="12"/>
      <c r="N48" s="12">
        <f>SUM(N42:N47)</f>
        <v>1877586.513916</v>
      </c>
      <c r="O48" s="38" t="s">
        <v>25</v>
      </c>
      <c r="P48" s="14"/>
      <c r="Q48">
        <f>Q46*Q47</f>
        <v>3.7088000000000001</v>
      </c>
      <c r="R48"/>
      <c r="S48" s="236">
        <f>R40*S47</f>
        <v>60000</v>
      </c>
      <c r="W48" s="230"/>
    </row>
    <row r="49" spans="2:19" s="229" customFormat="1" ht="17.399999999999999" x14ac:dyDescent="0.35">
      <c r="J49" s="46">
        <v>58690</v>
      </c>
      <c r="K49" s="249"/>
      <c r="L49" s="253" t="s">
        <v>35</v>
      </c>
      <c r="M49" s="12"/>
      <c r="N49" s="254">
        <f>N48*2</f>
        <v>3755173.0278320001</v>
      </c>
      <c r="O49" s="14" t="s">
        <v>142</v>
      </c>
      <c r="P49" s="14"/>
      <c r="Q49" s="45">
        <f>O40/Q48</f>
        <v>23.123234469370143</v>
      </c>
      <c r="R49"/>
      <c r="S49" s="256" t="e">
        <f>S48/#REF!</f>
        <v>#REF!</v>
      </c>
    </row>
    <row r="50" spans="2:19" s="229" customFormat="1" ht="17.399999999999999" x14ac:dyDescent="0.35">
      <c r="G50"/>
      <c r="H50" s="259"/>
      <c r="I50" s="259"/>
      <c r="J50" s="46">
        <f>J49/1.19</f>
        <v>49319.327731092439</v>
      </c>
      <c r="K50" s="249"/>
      <c r="L50" s="14"/>
      <c r="M50" s="12"/>
      <c r="N50" s="12">
        <f>N49/O38</f>
        <v>52544.734467267823</v>
      </c>
      <c r="O50" s="44" t="s">
        <v>26</v>
      </c>
      <c r="P50" s="14"/>
      <c r="Q50" s="14"/>
      <c r="R50"/>
      <c r="S50" s="236"/>
    </row>
    <row r="51" spans="2:19" s="229" customFormat="1" ht="17.399999999999999" x14ac:dyDescent="0.35">
      <c r="G51"/>
      <c r="J51" s="46"/>
      <c r="K51" s="249"/>
      <c r="L51" s="13"/>
      <c r="M51" s="14"/>
      <c r="N51" s="17">
        <f>N49/N48</f>
        <v>2</v>
      </c>
      <c r="O51" s="15"/>
      <c r="P51"/>
      <c r="Q51"/>
      <c r="R51"/>
      <c r="S51" s="236"/>
    </row>
    <row r="52" spans="2:19" s="229" customFormat="1" ht="17.399999999999999" x14ac:dyDescent="0.35">
      <c r="G52" s="23"/>
      <c r="J52" s="46"/>
      <c r="K52" s="12"/>
      <c r="S52" s="236"/>
    </row>
    <row r="53" spans="2:19" s="229" customFormat="1" ht="17.399999999999999" x14ac:dyDescent="0.35">
      <c r="B53"/>
      <c r="C53" s="227"/>
      <c r="D53" s="22"/>
      <c r="E53" s="22"/>
      <c r="F53" s="21"/>
      <c r="G53" s="23"/>
      <c r="J53" s="46"/>
      <c r="K53" s="12"/>
      <c r="S53" s="236">
        <v>1.83</v>
      </c>
    </row>
    <row r="54" spans="2:19" ht="14.4" customHeight="1" x14ac:dyDescent="0.3">
      <c r="J54" s="46"/>
      <c r="K54" s="12"/>
      <c r="S54">
        <v>2.5</v>
      </c>
    </row>
    <row r="55" spans="2:19" x14ac:dyDescent="0.3">
      <c r="J55" s="46"/>
      <c r="K55" s="249"/>
      <c r="S55">
        <f>S53*S54</f>
        <v>4.5750000000000002</v>
      </c>
    </row>
    <row r="56" spans="2:19" x14ac:dyDescent="0.3">
      <c r="K56" s="249"/>
      <c r="S56" s="269">
        <f>O40/S55</f>
        <v>18.745235409836059</v>
      </c>
    </row>
    <row r="57" spans="2:19" x14ac:dyDescent="0.3">
      <c r="K57" s="249"/>
    </row>
    <row r="58" spans="2:19" ht="15" customHeight="1" x14ac:dyDescent="0.3"/>
    <row r="60" spans="2:19" x14ac:dyDescent="0.3">
      <c r="N60">
        <v>40935</v>
      </c>
      <c r="O60" t="s">
        <v>17</v>
      </c>
      <c r="P60" t="s">
        <v>28</v>
      </c>
    </row>
    <row r="62" spans="2:19" x14ac:dyDescent="0.3">
      <c r="N62" s="53"/>
      <c r="O62" s="53"/>
    </row>
    <row r="63" spans="2:19" x14ac:dyDescent="0.3">
      <c r="R63" s="18"/>
      <c r="S63" s="18"/>
    </row>
    <row r="64" spans="2:19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4" spans="14:19" x14ac:dyDescent="0.3">
      <c r="N74" s="42"/>
    </row>
    <row r="75" spans="14:19" x14ac:dyDescent="0.3">
      <c r="N75" s="42"/>
    </row>
    <row r="76" spans="14:19" x14ac:dyDescent="0.3">
      <c r="N76" s="6"/>
    </row>
    <row r="77" spans="14:19" x14ac:dyDescent="0.3">
      <c r="N77" s="6"/>
    </row>
    <row r="85" spans="3:3" x14ac:dyDescent="0.3">
      <c r="C85" t="s">
        <v>149</v>
      </c>
    </row>
    <row r="86" spans="3:3" x14ac:dyDescent="0.3">
      <c r="C86" t="s">
        <v>148</v>
      </c>
    </row>
    <row r="89" spans="3:3" x14ac:dyDescent="0.3">
      <c r="C89" t="s">
        <v>148</v>
      </c>
    </row>
    <row r="166" spans="3:3" x14ac:dyDescent="0.3">
      <c r="C166" t="s">
        <v>148</v>
      </c>
    </row>
    <row r="167" spans="3:3" x14ac:dyDescent="0.3">
      <c r="C167" t="s">
        <v>150</v>
      </c>
    </row>
    <row r="168" spans="3:3" x14ac:dyDescent="0.3">
      <c r="C168" t="s">
        <v>151</v>
      </c>
    </row>
    <row r="593" spans="3:3" x14ac:dyDescent="0.3">
      <c r="C593" t="s">
        <v>148</v>
      </c>
    </row>
  </sheetData>
  <mergeCells count="2">
    <mergeCell ref="F17:H17"/>
    <mergeCell ref="B19:H19"/>
  </mergeCells>
  <phoneticPr fontId="34" type="noConversion"/>
  <hyperlinks>
    <hyperlink ref="F4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107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45395</v>
      </c>
    </row>
    <row r="6" spans="2:31" ht="16.2" thickBot="1" x14ac:dyDescent="0.35">
      <c r="B6" s="139" t="s">
        <v>2</v>
      </c>
      <c r="C6" s="138" t="str">
        <f>'2229'!C10</f>
        <v>MIGUEL ASENJO</v>
      </c>
      <c r="D6" s="137"/>
      <c r="E6" s="137"/>
      <c r="F6" s="137"/>
      <c r="N6" s="74" t="s">
        <v>106</v>
      </c>
      <c r="O6" s="74"/>
      <c r="P6" s="141" t="s">
        <v>105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34" t="s">
        <v>100</v>
      </c>
      <c r="I7" s="335"/>
      <c r="J7" s="335"/>
      <c r="K7" s="336"/>
      <c r="N7" s="74"/>
      <c r="O7" s="333" t="s">
        <v>104</v>
      </c>
      <c r="P7" s="140" t="s">
        <v>103</v>
      </c>
      <c r="Q7" s="140"/>
    </row>
    <row r="8" spans="2:31" ht="16.2" thickBot="1" x14ac:dyDescent="0.35">
      <c r="B8" s="139" t="s">
        <v>102</v>
      </c>
      <c r="C8" s="138" t="str">
        <f>'2229'!D8</f>
        <v>N° 10987</v>
      </c>
      <c r="D8" s="137"/>
      <c r="E8" s="137"/>
      <c r="F8" s="137"/>
      <c r="H8" s="181" t="s">
        <v>119</v>
      </c>
      <c r="I8" s="153" t="s">
        <v>118</v>
      </c>
      <c r="J8" s="226" t="s">
        <v>97</v>
      </c>
      <c r="K8" s="134" t="s">
        <v>6</v>
      </c>
      <c r="L8" s="133" t="s">
        <v>6</v>
      </c>
      <c r="N8" s="74"/>
      <c r="O8" s="333"/>
      <c r="P8" s="74" t="s">
        <v>101</v>
      </c>
      <c r="Q8" s="74"/>
      <c r="X8">
        <f>SUM(Q11:Q16)</f>
        <v>6</v>
      </c>
    </row>
    <row r="9" spans="2:31" ht="15" thickBot="1" x14ac:dyDescent="0.35">
      <c r="H9" s="196" t="s">
        <v>98</v>
      </c>
      <c r="I9" s="197" t="s">
        <v>117</v>
      </c>
      <c r="J9" s="182" t="s">
        <v>94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-396647.81703988742</v>
      </c>
    </row>
    <row r="10" spans="2:31" ht="16.2" thickBot="1" x14ac:dyDescent="0.35">
      <c r="D10" s="217" t="s">
        <v>30</v>
      </c>
      <c r="E10" s="218" t="s">
        <v>53</v>
      </c>
      <c r="F10" s="219" t="s">
        <v>6</v>
      </c>
      <c r="H10" s="189">
        <v>3</v>
      </c>
      <c r="I10" s="203">
        <v>350</v>
      </c>
      <c r="J10" s="200" t="s">
        <v>34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95</v>
      </c>
      <c r="D11" s="132">
        <f>'2229'!H34</f>
        <v>3800000</v>
      </c>
      <c r="E11" s="131">
        <f>D11*0.19</f>
        <v>722000</v>
      </c>
      <c r="F11" s="130">
        <f>E11+D11</f>
        <v>4522000</v>
      </c>
      <c r="H11" s="190">
        <v>3</v>
      </c>
      <c r="I11" s="173">
        <v>500</v>
      </c>
      <c r="J11" s="147" t="s">
        <v>24</v>
      </c>
      <c r="K11" s="157">
        <f t="shared" si="0"/>
        <v>1500</v>
      </c>
      <c r="Q11" s="7">
        <v>1</v>
      </c>
      <c r="R11" s="7" t="s">
        <v>37</v>
      </c>
      <c r="S11" s="50">
        <v>2.8</v>
      </c>
      <c r="T11" s="50">
        <v>0.62</v>
      </c>
      <c r="U11" s="7" t="s">
        <v>40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-290657.81703988742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99</v>
      </c>
      <c r="D12" s="135">
        <f>SUM(M43:M45)</f>
        <v>860674.60470343963</v>
      </c>
      <c r="F12" s="60"/>
      <c r="H12" s="190">
        <v>0</v>
      </c>
      <c r="I12" s="173">
        <v>7500</v>
      </c>
      <c r="J12" s="149" t="s">
        <v>113</v>
      </c>
      <c r="K12" s="157">
        <f t="shared" si="0"/>
        <v>0</v>
      </c>
      <c r="L12" s="60"/>
      <c r="Q12" s="7">
        <v>1</v>
      </c>
      <c r="R12" s="7" t="s">
        <v>37</v>
      </c>
      <c r="S12" s="50">
        <v>2.2999999999999998</v>
      </c>
      <c r="T12" s="50">
        <v>0.62</v>
      </c>
      <c r="U12" s="7" t="s">
        <v>40</v>
      </c>
      <c r="V12" s="54">
        <v>87990</v>
      </c>
      <c r="W12" s="48">
        <f t="shared" si="1"/>
        <v>87990</v>
      </c>
      <c r="X12" s="175">
        <f t="shared" si="2"/>
        <v>-308657.81703988742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93</v>
      </c>
      <c r="D13" s="216">
        <f>D11-D12</f>
        <v>2939325.3952965606</v>
      </c>
      <c r="E13" s="220">
        <f>(D11/D12)-1</f>
        <v>3.4151413080316875</v>
      </c>
      <c r="H13" s="190">
        <v>0</v>
      </c>
      <c r="I13" s="173">
        <v>50</v>
      </c>
      <c r="J13" s="149" t="s">
        <v>114</v>
      </c>
      <c r="K13" s="157">
        <f t="shared" si="0"/>
        <v>0</v>
      </c>
      <c r="L13" s="60"/>
      <c r="Q13" s="7">
        <v>1</v>
      </c>
      <c r="R13" s="7" t="s">
        <v>37</v>
      </c>
      <c r="S13" s="50">
        <v>2.0299999999999998</v>
      </c>
      <c r="T13" s="50">
        <v>0.62</v>
      </c>
      <c r="U13" s="7" t="s">
        <v>40</v>
      </c>
      <c r="V13" s="54">
        <v>78990</v>
      </c>
      <c r="W13" s="48">
        <f t="shared" si="1"/>
        <v>78990</v>
      </c>
      <c r="X13" s="175">
        <f t="shared" si="2"/>
        <v>-317657.81703988742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124</v>
      </c>
      <c r="E14" s="178" t="s">
        <v>30</v>
      </c>
      <c r="F14" s="177" t="s">
        <v>112</v>
      </c>
      <c r="H14" s="190">
        <v>0</v>
      </c>
      <c r="I14" s="173">
        <v>50</v>
      </c>
      <c r="J14" s="149" t="s">
        <v>115</v>
      </c>
      <c r="K14" s="157">
        <f t="shared" si="0"/>
        <v>0</v>
      </c>
      <c r="L14" s="60"/>
      <c r="P14" s="125"/>
      <c r="Q14" s="7">
        <v>1</v>
      </c>
      <c r="R14" s="7" t="s">
        <v>37</v>
      </c>
      <c r="S14" s="50">
        <v>1.08</v>
      </c>
      <c r="T14" s="50">
        <v>0.62</v>
      </c>
      <c r="U14" s="7" t="s">
        <v>40</v>
      </c>
      <c r="V14" s="54">
        <v>39990</v>
      </c>
      <c r="W14" s="48">
        <f t="shared" si="1"/>
        <v>39990</v>
      </c>
      <c r="X14" s="175">
        <f t="shared" si="2"/>
        <v>-356657.81703988742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123</v>
      </c>
      <c r="D15" s="213">
        <v>0.65</v>
      </c>
      <c r="E15" s="214">
        <f>(100%+D15)*D12</f>
        <v>1420113.0977606752</v>
      </c>
      <c r="F15" s="215">
        <f>E15-D12</f>
        <v>559438.49305723561</v>
      </c>
      <c r="H15" s="190">
        <v>0</v>
      </c>
      <c r="I15" s="173">
        <v>10</v>
      </c>
      <c r="J15" s="149" t="s">
        <v>116</v>
      </c>
      <c r="K15" s="157">
        <f t="shared" si="0"/>
        <v>0</v>
      </c>
      <c r="L15" s="60"/>
      <c r="Q15" s="7">
        <v>1</v>
      </c>
      <c r="R15" s="7" t="s">
        <v>37</v>
      </c>
      <c r="S15" s="50">
        <v>1.08</v>
      </c>
      <c r="T15" s="50">
        <v>0.62</v>
      </c>
      <c r="U15" s="7" t="s">
        <v>40</v>
      </c>
      <c r="V15" s="54">
        <v>39990</v>
      </c>
      <c r="W15" s="48">
        <f t="shared" si="1"/>
        <v>39990</v>
      </c>
      <c r="X15" s="175">
        <f t="shared" si="2"/>
        <v>-356657.81703988742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92</v>
      </c>
      <c r="K16" s="157">
        <f t="shared" si="0"/>
        <v>0</v>
      </c>
      <c r="L16" s="60"/>
      <c r="Q16" s="7">
        <v>1</v>
      </c>
      <c r="R16" s="7" t="s">
        <v>37</v>
      </c>
      <c r="S16" s="50">
        <v>2.06</v>
      </c>
      <c r="T16" s="50">
        <v>0.62</v>
      </c>
      <c r="U16" s="7" t="s">
        <v>40</v>
      </c>
      <c r="V16" s="54">
        <v>79990</v>
      </c>
      <c r="W16" s="48">
        <f t="shared" si="1"/>
        <v>79990</v>
      </c>
      <c r="X16" s="175">
        <f t="shared" si="2"/>
        <v>-316657.81703988742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90</v>
      </c>
      <c r="C17" s="128" t="s">
        <v>89</v>
      </c>
      <c r="D17" s="128" t="s">
        <v>30</v>
      </c>
      <c r="E17" s="127" t="s">
        <v>53</v>
      </c>
      <c r="F17" s="126" t="s">
        <v>6</v>
      </c>
      <c r="H17" s="192">
        <v>1</v>
      </c>
      <c r="I17" s="201"/>
      <c r="J17" s="187" t="s">
        <v>91</v>
      </c>
      <c r="K17" s="157">
        <f t="shared" si="0"/>
        <v>0</v>
      </c>
      <c r="L17" s="60"/>
      <c r="Q17" s="7">
        <v>6</v>
      </c>
      <c r="R17" s="7" t="s">
        <v>38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87</v>
      </c>
      <c r="D18" s="121">
        <f>'2229'!N44</f>
        <v>226060</v>
      </c>
      <c r="E18" s="122">
        <f>D18*0.19</f>
        <v>42951.4</v>
      </c>
      <c r="F18" s="119">
        <f>SUM(D18:E18)</f>
        <v>269011.40000000002</v>
      </c>
      <c r="H18" s="191">
        <v>1</v>
      </c>
      <c r="I18" s="201"/>
      <c r="J18" s="183" t="s">
        <v>88</v>
      </c>
      <c r="K18" s="157">
        <f t="shared" si="0"/>
        <v>0</v>
      </c>
      <c r="L18" s="60"/>
      <c r="Q18" s="7">
        <v>1</v>
      </c>
      <c r="R18" s="55" t="s">
        <v>39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33</v>
      </c>
      <c r="D19" s="121">
        <f>'2229'!N43</f>
        <v>516191</v>
      </c>
      <c r="E19" s="122">
        <f>D19*0.19</f>
        <v>98076.290000000008</v>
      </c>
      <c r="F19" s="119">
        <f>SUM(D19:E19)</f>
        <v>614267.29</v>
      </c>
      <c r="H19" s="191">
        <v>1</v>
      </c>
      <c r="I19" s="201"/>
      <c r="J19" s="183" t="s">
        <v>86</v>
      </c>
      <c r="K19" s="157">
        <f t="shared" si="0"/>
        <v>0</v>
      </c>
      <c r="L19" s="60"/>
      <c r="Q19" s="16"/>
      <c r="T19" s="5"/>
      <c r="U19" s="6"/>
      <c r="V19" s="30" t="s">
        <v>30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'2229'!N42</f>
        <v>88589.513915999982</v>
      </c>
      <c r="E20" s="120">
        <f>D20*0.19</f>
        <v>16832.007644039997</v>
      </c>
      <c r="F20" s="119">
        <f>SUM(D20:E20)</f>
        <v>105421.52156003998</v>
      </c>
      <c r="H20" s="191">
        <v>1</v>
      </c>
      <c r="I20" s="201"/>
      <c r="J20" s="183" t="s">
        <v>85</v>
      </c>
      <c r="K20" s="157">
        <f t="shared" si="0"/>
        <v>0</v>
      </c>
      <c r="V20" s="31" t="s">
        <v>31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830840.51391600003</v>
      </c>
      <c r="E21" s="115">
        <f>SUM(E18:E20)</f>
        <v>157859.69764403999</v>
      </c>
      <c r="F21" s="114">
        <f>SUM(F18:F20)</f>
        <v>988700.21156004001</v>
      </c>
      <c r="H21" s="191">
        <v>1</v>
      </c>
      <c r="I21" s="201"/>
      <c r="J21" s="183" t="s">
        <v>84</v>
      </c>
      <c r="K21" s="157">
        <f t="shared" si="0"/>
        <v>0</v>
      </c>
      <c r="M21" s="152">
        <f>B32/9</f>
        <v>2318.840579710145</v>
      </c>
      <c r="Q21" s="49" t="s">
        <v>41</v>
      </c>
      <c r="R21" s="49"/>
      <c r="S21" s="49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82</v>
      </c>
      <c r="C22" s="112" t="s">
        <v>81</v>
      </c>
      <c r="D22" s="111" t="s">
        <v>80</v>
      </c>
      <c r="E22" s="110" t="s">
        <v>79</v>
      </c>
      <c r="F22" s="109" t="s">
        <v>6</v>
      </c>
      <c r="H22" s="191">
        <v>1</v>
      </c>
      <c r="I22" s="201"/>
      <c r="J22" s="147" t="s">
        <v>83</v>
      </c>
      <c r="K22" s="157">
        <f t="shared" si="0"/>
        <v>0</v>
      </c>
      <c r="M22" s="104"/>
      <c r="N22" s="57"/>
      <c r="Q22" s="49" t="s">
        <v>36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27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78</v>
      </c>
      <c r="K23" s="157">
        <f t="shared" si="0"/>
        <v>0</v>
      </c>
      <c r="M23" s="104"/>
      <c r="N23" s="57"/>
      <c r="Q23" s="49" t="s">
        <v>29</v>
      </c>
      <c r="R23" s="49"/>
      <c r="X23" s="103"/>
      <c r="Y23" s="27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76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119</v>
      </c>
      <c r="I24" s="154" t="s">
        <v>117</v>
      </c>
      <c r="J24" s="180" t="s">
        <v>77</v>
      </c>
      <c r="K24" s="151" t="s">
        <v>96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75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110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73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74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72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71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70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108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69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120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24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121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67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122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66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43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42</v>
      </c>
      <c r="K33" s="96">
        <f t="shared" si="5"/>
        <v>0</v>
      </c>
    </row>
    <row r="34" spans="2:16" ht="15" thickBot="1" x14ac:dyDescent="0.35">
      <c r="B34" s="82" t="s">
        <v>65</v>
      </c>
      <c r="C34" s="81" t="s">
        <v>64</v>
      </c>
      <c r="D34" s="80">
        <f>L9</f>
        <v>2550</v>
      </c>
      <c r="H34" s="191">
        <v>1</v>
      </c>
      <c r="I34" s="173"/>
      <c r="J34" s="147" t="s">
        <v>109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63</v>
      </c>
      <c r="D35" s="77">
        <f>L24</f>
        <v>0</v>
      </c>
      <c r="H35" s="193">
        <v>6</v>
      </c>
      <c r="I35" s="205"/>
      <c r="J35" s="179" t="s">
        <v>111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61</v>
      </c>
      <c r="D36" s="77">
        <f>L36</f>
        <v>18467.665666666668</v>
      </c>
      <c r="E36" s="57"/>
      <c r="H36" s="150" t="s">
        <v>98</v>
      </c>
      <c r="I36" s="154" t="s">
        <v>117</v>
      </c>
      <c r="J36" s="188" t="s">
        <v>68</v>
      </c>
      <c r="K36" s="151" t="s">
        <v>96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44</v>
      </c>
      <c r="D37" s="72"/>
      <c r="H37" s="198">
        <f>$E$33</f>
        <v>3.9000000000000004</v>
      </c>
      <c r="I37" s="203">
        <f>32609.69/9</f>
        <v>3623.2988888888885</v>
      </c>
      <c r="J37" s="186" t="s">
        <v>47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45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46</v>
      </c>
      <c r="K39" s="83">
        <f>I39*H39</f>
        <v>565.5</v>
      </c>
    </row>
    <row r="40" spans="2:16" ht="15" thickBot="1" x14ac:dyDescent="0.35">
      <c r="B40" s="67" t="s">
        <v>54</v>
      </c>
      <c r="C40" s="66" t="s">
        <v>53</v>
      </c>
      <c r="D40" s="65">
        <f>E11-E21</f>
        <v>564140.30235596001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4" t="s">
        <v>48</v>
      </c>
      <c r="C42" s="74"/>
      <c r="D42" s="206">
        <f>E33</f>
        <v>3.9000000000000004</v>
      </c>
      <c r="H42" s="76" t="s">
        <v>60</v>
      </c>
      <c r="I42" s="158" t="s">
        <v>59</v>
      </c>
      <c r="J42" s="159"/>
      <c r="K42" s="159"/>
      <c r="L42" s="160"/>
      <c r="M42" s="75">
        <f>D11</f>
        <v>3800000</v>
      </c>
    </row>
    <row r="43" spans="2:16" ht="15" thickBot="1" x14ac:dyDescent="0.35">
      <c r="D43" s="56"/>
      <c r="H43" s="71" t="s">
        <v>58</v>
      </c>
      <c r="I43" s="161" t="s">
        <v>57</v>
      </c>
      <c r="J43" s="162"/>
      <c r="K43" s="162"/>
      <c r="L43" s="163"/>
      <c r="M43" s="63">
        <f>D21</f>
        <v>830840.51391600003</v>
      </c>
    </row>
    <row r="44" spans="2:16" x14ac:dyDescent="0.3">
      <c r="D44" s="56"/>
      <c r="I44" s="164" t="s">
        <v>56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55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52</v>
      </c>
      <c r="J46" s="171"/>
      <c r="K46" s="171"/>
      <c r="L46" s="172"/>
      <c r="M46" s="61">
        <f>M42-(SUM(M43:M45))</f>
        <v>2939325.3952965606</v>
      </c>
    </row>
    <row r="47" spans="2:16" x14ac:dyDescent="0.3">
      <c r="I47" s="161" t="s">
        <v>51</v>
      </c>
      <c r="J47" s="162"/>
      <c r="K47" s="162"/>
      <c r="L47" s="163"/>
      <c r="M47" s="63"/>
    </row>
    <row r="48" spans="2:16" ht="15" thickBot="1" x14ac:dyDescent="0.35">
      <c r="D48" s="59"/>
      <c r="I48" s="167" t="s">
        <v>50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49</v>
      </c>
      <c r="J49" s="171"/>
      <c r="K49" s="171"/>
      <c r="L49" s="172"/>
      <c r="M49" s="61">
        <f>M46-SUM(M47:M48)</f>
        <v>2939325.3952965606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2024-06-12T16:25:25Z</cp:lastPrinted>
  <dcterms:created xsi:type="dcterms:W3CDTF">2013-03-18T13:35:42Z</dcterms:created>
  <dcterms:modified xsi:type="dcterms:W3CDTF">2024-06-13T14:18:03Z</dcterms:modified>
</cp:coreProperties>
</file>