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6589C568-4C63-4C2A-ACFE-600FB37807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L21" i="1"/>
  <c r="L25" i="1" s="1"/>
  <c r="M21" i="1"/>
  <c r="R21" i="1" l="1"/>
  <c r="N21" i="1"/>
  <c r="O21" i="1" s="1"/>
  <c r="O26" i="1" s="1"/>
  <c r="J39" i="1" l="1"/>
  <c r="N32" i="1" l="1"/>
  <c r="O27" i="1" l="1"/>
  <c r="O28" i="1" s="1"/>
  <c r="O29" i="1" s="1"/>
  <c r="S44" i="1"/>
  <c r="M20" i="1" l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L31" i="1" l="1"/>
  <c r="N31" i="1" l="1"/>
  <c r="N37" i="1" s="1"/>
  <c r="N38" i="1" s="1"/>
  <c r="S45" i="1"/>
  <c r="D20" i="3" l="1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H21" i="1" s="1"/>
  <c r="H23" i="1" s="1"/>
  <c r="R27" i="1"/>
  <c r="K15" i="1" l="1"/>
  <c r="H24" i="1" l="1"/>
  <c r="H25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<sst xmlns="http://schemas.openxmlformats.org/spreadsheetml/2006/main" count="219" uniqueCount="164">
  <si>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</si>
  <si>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</si>
  <si>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</si>
  <si>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</si>
  <si>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</si>
  <si>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</si>
  <si>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</si>
  <si>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</si>
  <si>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</si>
  <si>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</si>
  <si>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</si>
  <si>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</si>
  <si>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</si>
  <si>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</si>
  <si>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</si>
  <si>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</si>
  <si>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</si>
  <si>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</si>
  <si>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</si>
  <si>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</si>
  <si>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</si>
  <si>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</si>
  <si>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</si>
  <si>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</si>
  <si>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</si>
  <si>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</si>
  <si>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</si>
  <si>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</si>
  <si>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</si>
  <si>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</si>
  <si>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</si>
  <si>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</si>
  <si>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</si>
  <si>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</si>
  <si>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</si>
  <si>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</si>
  <si>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</si>
  <si>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</si>
  <si>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</si>
  <si>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</si>
  <si>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</si>
  <si>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</si>
  <si>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</si>
  <si>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</si>
  <si>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</si>
  <si>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</si>
  <si>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</si>
  <si>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</si>
  <si>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</si>
  <si>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</si>
  <si>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</si>
  <si>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</si>
  <si>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</si>
  <si>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</si>
  <si>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</si>
  <si>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</si>
  <si>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</si>
  <si>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</si>
  <si>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</si>
  <si>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</si>
  <si>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</si>
  <si>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</si>
  <si>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</si>
  <si>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</si>
  <si>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</si>
  <si>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</si>
  <si>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</si>
  <si>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</si>
  <si>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</si>
  <si>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</si>
  <si>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</si>
  <si>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</si>
  <si>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</si>
  <si>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</si>
  <si>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</si>
  <si>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</si>
  <si>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</si>
  <si>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</si>
  <si>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</si>
  <si>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</si>
  <si>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</si>
  <si>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</si>
  <si>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</si>
  <si>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</si>
  <si>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</si>
  <si>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</si>
  <si>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</si>
  <si>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</si>
  <si>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</si>
  <si>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</si>
  <si>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</si>
  <si>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</si>
  <si>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</si>
  <si>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</si>
  <si>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</si>
  <si>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</si>
  <si>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</si>
  <si>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</si>
  <si>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</si>
  <si>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</si>
  <si>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</si>
  <si>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</si>
  <si>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</si>
  <si>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</si>
  <si>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</si>
  <si>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</si>
  <si>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</si>
  <si>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</si>
  <si>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</si>
  <si>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</si>
  <si>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</si>
  <si>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</si>
  <si>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</si>
  <si>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</si>
  <si>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</si>
  <si>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</si>
  <si>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</si>
  <si>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</si>
  <si>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</si>
  <si>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</si>
  <si>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</si>
  <si>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</si>
  <si>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</si>
  <si>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</si>
  <si>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</si>
  <si>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</si>
  <si>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</si>
  <si>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</si>
  <si>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</si>
  <si>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</si>
  <si>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</si>
  <si>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</si>
  <si>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</si>
  <si>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</si>
  <si>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</si>
  <si>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</si>
  <si>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</si>
  <si>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</si>
  <si>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</si>
  <si>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</si>
  <si>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</si>
  <si>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</si>
  <si>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</si>
  <si>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</si>
  <si>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</si>
  <si>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</si>
  <si>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</si>
  <si>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</si>
  <si>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</si>
  <si>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</si>
  <si>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</si>
  <si>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</si>
  <si>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</si>
  <si>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</si>
  <si>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</si>
  <si>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</si>
  <si>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</si>
  <si>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3-5 DIAS HABILES</t>
  </si>
  <si>
    <t>ABONO 50%, SALDO C/ENTREGA</t>
  </si>
  <si>
    <t>MIGUEL ASENJO</t>
  </si>
  <si>
    <t xml:space="preserve">+569 </t>
  </si>
  <si>
    <t>N° 10999</t>
  </si>
  <si>
    <t>PUERTA R8 1 LADO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</si>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</sst>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26</xdr:row>
      <xdr:rowOff>5249</xdr:rowOff>
    </xdr:from>
    <xdr:to>
      <xdr:col>8</xdr:col>
      <xdr:colOff>7776</xdr:colOff>
      <xdr:row>29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26</xdr:row>
      <xdr:rowOff>9525</xdr:rowOff>
    </xdr:from>
    <xdr:to>
      <xdr:col>5</xdr:col>
      <xdr:colOff>1679511</xdr:colOff>
      <xdr:row>29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21</xdr:row>
      <xdr:rowOff>225489</xdr:rowOff>
    </xdr:from>
    <xdr:to>
      <xdr:col>5</xdr:col>
      <xdr:colOff>1656183</xdr:colOff>
      <xdr:row>25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topLeftCell="A6" zoomScale="98" zoomScaleNormal="98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54.2187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159</v>
      </c>
      <c r="D10" s="243"/>
      <c r="E10" s="243"/>
      <c r="F10" s="244" t="s">
        <v>0</v>
      </c>
      <c r="G10" s="276">
        <v>45460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157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160</v>
      </c>
      <c r="D15" s="294"/>
      <c r="E15" s="247"/>
      <c r="F15" s="247" t="s">
        <v>136</v>
      </c>
      <c r="G15" s="295" t="s">
        <v>137</v>
      </c>
      <c r="H15" s="248"/>
      <c r="K15" s="18">
        <f>H23/L13</f>
        <v>1988.2656155245604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158</v>
      </c>
      <c r="H16" s="289"/>
    </row>
    <row r="17" spans="1:24" ht="15" thickBot="1" x14ac:dyDescent="0.35">
      <c r="B17" s="296" t="s">
        <v>13</v>
      </c>
      <c r="C17" s="297" t="s">
        <v>153</v>
      </c>
      <c r="D17" s="298"/>
      <c r="E17" s="299"/>
      <c r="F17" s="325" t="s">
        <v>154</v>
      </c>
      <c r="G17" s="325"/>
      <c r="H17" s="326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7" t="s">
        <v>148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61571.079812206575</v>
      </c>
      <c r="Q20" s="258">
        <v>3000</v>
      </c>
      <c r="R20" s="38"/>
      <c r="S20" s="14" t="s">
        <v>130</v>
      </c>
      <c r="T20" s="9"/>
      <c r="W20" s="4"/>
    </row>
    <row r="21" spans="1:24" ht="17.399999999999999" x14ac:dyDescent="0.3">
      <c r="B21" s="318">
        <v>1</v>
      </c>
      <c r="C21" s="324" t="s">
        <v>162</v>
      </c>
      <c r="D21" s="320">
        <v>1.37</v>
      </c>
      <c r="E21" s="320">
        <v>0.75</v>
      </c>
      <c r="F21" s="319" t="s">
        <v>163</v>
      </c>
      <c r="G21" s="321">
        <v>65573</v>
      </c>
      <c r="H21" s="322">
        <f t="shared" ref="H21" si="1">G21*B21</f>
        <v>65573</v>
      </c>
      <c r="I21" s="265"/>
      <c r="J21" s="47"/>
      <c r="K21" s="47">
        <f t="shared" ref="K21" si="2">B21</f>
        <v>1</v>
      </c>
      <c r="L21" s="39">
        <f t="shared" ref="L21" si="3">D21+L$19</f>
        <v>1.4200000000000002</v>
      </c>
      <c r="M21" s="39">
        <f t="shared" ref="M21" si="4">E21+M$19</f>
        <v>0.75</v>
      </c>
      <c r="N21" s="261">
        <f t="shared" ref="N21" si="5">L21*M21</f>
        <v>1.0650000000000002</v>
      </c>
      <c r="O21" s="259">
        <f t="shared" ref="O21" si="6">N21*K21</f>
        <v>1.0650000000000002</v>
      </c>
      <c r="P21" s="252">
        <f t="shared" ref="P21" si="7">P$20*N21</f>
        <v>65573.200000000012</v>
      </c>
      <c r="Q21" s="258">
        <f t="shared" ref="Q21" si="8">P21+Q$20</f>
        <v>68573.200000000012</v>
      </c>
      <c r="R21" s="307">
        <f t="shared" ref="R21" si="9">K21*L21</f>
        <v>1.4200000000000002</v>
      </c>
      <c r="S21" s="14"/>
      <c r="T21" s="9"/>
      <c r="W21" s="4"/>
    </row>
    <row r="22" spans="1:24" ht="18" thickBot="1" x14ac:dyDescent="0.35">
      <c r="B22" s="285"/>
      <c r="C22" s="285"/>
      <c r="D22" s="286"/>
      <c r="E22" s="286"/>
      <c r="F22" s="285"/>
      <c r="G22" s="323"/>
      <c r="H22" s="323"/>
      <c r="I22" s="232"/>
      <c r="J22" s="47"/>
      <c r="K22" s="47"/>
      <c r="L22" s="39"/>
      <c r="M22" s="39"/>
      <c r="N22" s="261"/>
      <c r="O22" s="259"/>
      <c r="P22" s="252"/>
      <c r="Q22" s="258"/>
      <c r="R22" s="307"/>
      <c r="S22" s="14"/>
      <c r="T22" s="9"/>
      <c r="W22" s="4"/>
    </row>
    <row r="23" spans="1:24" ht="17.399999999999999" x14ac:dyDescent="0.3">
      <c r="B23" s="285"/>
      <c r="C23" s="285"/>
      <c r="D23" s="286"/>
      <c r="E23" s="286"/>
      <c r="F23" s="285"/>
      <c r="G23" s="308" t="s">
        <v>30</v>
      </c>
      <c r="H23" s="309">
        <f>SUM(H21:H21)</f>
        <v>65573</v>
      </c>
      <c r="I23" s="232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79"/>
      <c r="C24" s="282"/>
      <c r="D24" s="283"/>
      <c r="E24" s="283"/>
      <c r="F24" s="284"/>
      <c r="G24" s="306" t="s">
        <v>53</v>
      </c>
      <c r="H24" s="303">
        <f>H23*0.19</f>
        <v>12458.87</v>
      </c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8" thickBot="1" x14ac:dyDescent="0.35">
      <c r="B25" s="275"/>
      <c r="C25" s="281"/>
      <c r="D25" s="272"/>
      <c r="E25" s="272"/>
      <c r="F25" s="273"/>
      <c r="G25" s="280" t="s">
        <v>6</v>
      </c>
      <c r="H25" s="304">
        <f>H23+H24</f>
        <v>78031.87</v>
      </c>
      <c r="I25" s="265"/>
      <c r="J25" s="47"/>
      <c r="K25" s="47"/>
      <c r="L25" s="39">
        <f>SUM(L21:L21)*2</f>
        <v>2.8400000000000003</v>
      </c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7.399999999999999" x14ac:dyDescent="0.3">
      <c r="B26" s="275"/>
      <c r="C26" s="271"/>
      <c r="D26" s="272"/>
      <c r="E26" s="272"/>
      <c r="F26" s="273"/>
      <c r="I26" s="265"/>
      <c r="J26" s="47"/>
      <c r="K26" s="47"/>
      <c r="L26" s="39"/>
      <c r="M26" s="12"/>
      <c r="N26" s="12"/>
      <c r="O26" s="253">
        <f>SUM(O21:O22)</f>
        <v>1.0650000000000002</v>
      </c>
      <c r="P26" s="14"/>
      <c r="Q26" s="12"/>
      <c r="R26" s="238"/>
      <c r="S26" s="14"/>
      <c r="T26" s="9"/>
      <c r="W26" s="4"/>
    </row>
    <row r="27" spans="1:24" ht="17.399999999999999" x14ac:dyDescent="0.35">
      <c r="B27" s="269"/>
      <c r="C27" s="230"/>
      <c r="D27" s="230"/>
      <c r="E27" s="232"/>
      <c r="F27" s="233"/>
      <c r="G27" s="230"/>
      <c r="H27" s="274"/>
      <c r="I27" s="265"/>
      <c r="J27" s="47"/>
      <c r="K27" s="47"/>
      <c r="L27" s="39"/>
      <c r="M27" s="12"/>
      <c r="N27" s="12"/>
      <c r="O27" s="253">
        <f>O26</f>
        <v>1.0650000000000002</v>
      </c>
      <c r="P27" s="14"/>
      <c r="Q27" s="12"/>
      <c r="R27" s="238">
        <f>SUM(R21:R26)</f>
        <v>1.4200000000000002</v>
      </c>
      <c r="S27" s="14"/>
      <c r="T27" s="9"/>
      <c r="W27" s="4"/>
    </row>
    <row r="28" spans="1:24" ht="17.399999999999999" x14ac:dyDescent="0.35">
      <c r="B28" s="234"/>
      <c r="C28" s="235"/>
      <c r="D28" s="236"/>
      <c r="E28" s="234"/>
      <c r="F28" s="230"/>
      <c r="G28" s="230"/>
      <c r="I28" s="265"/>
      <c r="J28" s="47"/>
      <c r="K28" s="47"/>
      <c r="L28" s="14"/>
      <c r="M28" s="12"/>
      <c r="N28" s="12"/>
      <c r="O28" s="39">
        <f>O27*0.2</f>
        <v>0.21300000000000005</v>
      </c>
      <c r="P28" s="39" t="s">
        <v>132</v>
      </c>
      <c r="Q28" s="42"/>
      <c r="R28" s="239"/>
      <c r="S28" s="14"/>
      <c r="T28" s="9"/>
      <c r="W28" s="4"/>
    </row>
    <row r="29" spans="1:24" ht="17.399999999999999" x14ac:dyDescent="0.35">
      <c r="B29" s="230"/>
      <c r="C29" s="230"/>
      <c r="D29" s="230"/>
      <c r="E29" s="230"/>
      <c r="F29" s="230"/>
      <c r="G29" s="230"/>
      <c r="I29" s="265"/>
      <c r="J29" s="312"/>
      <c r="K29" s="47"/>
      <c r="L29" s="14"/>
      <c r="M29" s="12"/>
      <c r="N29" s="12"/>
      <c r="O29" s="46">
        <f>O27+O28</f>
        <v>1.2780000000000002</v>
      </c>
      <c r="P29" s="14"/>
      <c r="Q29" s="14"/>
      <c r="R29" s="237">
        <v>40</v>
      </c>
      <c r="S29" s="14"/>
      <c r="T29" s="9"/>
      <c r="W29" s="4"/>
    </row>
    <row r="30" spans="1:24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312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1:24" ht="17.399999999999999" x14ac:dyDescent="0.35">
      <c r="A31" s="230"/>
      <c r="B31" s="24" t="s">
        <v>155</v>
      </c>
      <c r="C31" s="230"/>
      <c r="D31" s="230"/>
      <c r="E31" s="230"/>
      <c r="F31" s="230"/>
      <c r="G31" s="230"/>
      <c r="H31" s="230"/>
      <c r="I31" s="265"/>
      <c r="J31" s="47"/>
      <c r="K31" s="47"/>
      <c r="L31" s="39">
        <f>O29</f>
        <v>1.2780000000000002</v>
      </c>
      <c r="M31" s="12">
        <v>2000</v>
      </c>
      <c r="N31" s="12">
        <f t="shared" ref="N31:N36" si="10">L31*M31</f>
        <v>2556.0000000000005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1:24" ht="17.399999999999999" x14ac:dyDescent="0.35">
      <c r="A32" s="230"/>
      <c r="B32" s="24" t="s">
        <v>156</v>
      </c>
      <c r="G32" s="230"/>
      <c r="H32" s="230"/>
      <c r="I32" s="265"/>
      <c r="J32" s="47"/>
      <c r="K32" s="47"/>
      <c r="L32" s="249">
        <v>0.4</v>
      </c>
      <c r="M32" s="12">
        <v>40000</v>
      </c>
      <c r="N32" s="12">
        <f t="shared" si="10"/>
        <v>16000</v>
      </c>
      <c r="O32" s="39" t="s">
        <v>152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B33" s="29" t="s">
        <v>127</v>
      </c>
      <c r="C33"/>
      <c r="D33"/>
      <c r="E33"/>
      <c r="F33" s="229" t="s">
        <v>16</v>
      </c>
      <c r="I33" s="262"/>
      <c r="J33" s="47"/>
      <c r="K33" s="250"/>
      <c r="L33" s="14"/>
      <c r="M33" s="250">
        <v>23500</v>
      </c>
      <c r="N33" s="12">
        <f t="shared" si="10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I34" s="262"/>
      <c r="J34" s="311"/>
      <c r="K34" s="250"/>
      <c r="L34" s="14">
        <v>0.5</v>
      </c>
      <c r="M34" s="250">
        <v>22500</v>
      </c>
      <c r="N34" s="12">
        <f t="shared" si="10"/>
        <v>11250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I35" s="262"/>
      <c r="J35" s="311"/>
      <c r="K35" s="250"/>
      <c r="L35" s="249"/>
      <c r="M35" s="250">
        <v>800</v>
      </c>
      <c r="N35" s="12">
        <f t="shared" si="10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I36" s="302"/>
      <c r="J36" s="47"/>
      <c r="K36" s="250"/>
      <c r="L36" s="266"/>
      <c r="M36" s="12">
        <v>500</v>
      </c>
      <c r="N36" s="12">
        <f t="shared" si="10"/>
        <v>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I37" s="265"/>
      <c r="J37" s="47"/>
      <c r="K37" s="250"/>
      <c r="L37" s="14"/>
      <c r="M37" s="12"/>
      <c r="N37" s="12">
        <f>SUM(N31:N36)</f>
        <v>29806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58690</v>
      </c>
      <c r="K38" s="250"/>
      <c r="L38" s="254" t="s">
        <v>35</v>
      </c>
      <c r="M38" s="12"/>
      <c r="N38" s="255">
        <f>N37*2.2</f>
        <v>65573.200000000012</v>
      </c>
      <c r="O38" s="14" t="s">
        <v>142</v>
      </c>
      <c r="P38" s="14"/>
      <c r="Q38" s="46">
        <f>O29/Q37</f>
        <v>0.34458584987057816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49319.327731092439</v>
      </c>
      <c r="K39" s="250"/>
      <c r="L39" s="14"/>
      <c r="M39" s="12"/>
      <c r="N39" s="12">
        <f>N38/O27</f>
        <v>61571.079812206575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0.27934426229508202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3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45460</v>
      </c>
    </row>
    <row r="6" spans="2:31" ht="16.2" thickBot="1" x14ac:dyDescent="0.35">
      <c r="B6" s="140" t="s">
        <v>2</v>
      </c>
      <c r="C6" s="139" t="str">
        <f>'2229'!C10</f>
        <v>MIGUEL ASENJO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10999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2378.4416332125597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65573</v>
      </c>
      <c r="E11" s="132">
        <f>D11*0.19</f>
        <v>12458.87</v>
      </c>
      <c r="F11" s="131">
        <f>E11+D11</f>
        <v>78031.87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108368.44163321255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48390.090787439614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90368.441633212555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17182.909212560386</v>
      </c>
      <c r="E13" s="221">
        <f>(D11/D12)-1</f>
        <v>0.35509148532162849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81368.441633212555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42368.441633212562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79843.649799275358</v>
      </c>
      <c r="F15" s="216">
        <f>E15-D12</f>
        <v>31453.559011835743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42368.441633212562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82368.441633212555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16000</v>
      </c>
      <c r="E19" s="123">
        <f>D19*0.19</f>
        <v>3040</v>
      </c>
      <c r="F19" s="120">
        <f>SUM(D19:E19)</f>
        <v>19040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2556.0000000000005</v>
      </c>
      <c r="E20" s="121">
        <f>D20*0.19</f>
        <v>485.6400000000001</v>
      </c>
      <c r="F20" s="120">
        <f>SUM(D20:E20)</f>
        <v>3041.6400000000003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18556</v>
      </c>
      <c r="E21" s="116">
        <f>SUM(E18:E20)</f>
        <v>3525.6400000000003</v>
      </c>
      <c r="F21" s="115">
        <f>SUM(F18:F20)</f>
        <v>22081.64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8933.23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65573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18556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17182.909212560386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17182.909212560386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2024-06-17T20:03:10Z</cp:lastPrinted>
  <dcterms:created xsi:type="dcterms:W3CDTF">2013-03-18T13:35:42Z</dcterms:created>
  <dcterms:modified xsi:type="dcterms:W3CDTF">2024-06-17T20:05:02Z</dcterms:modified>
</cp:coreProperties>
</file>