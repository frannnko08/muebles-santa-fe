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6 JUNIO 2024\"/>
    </mc:Choice>
  </mc:AlternateContent>
  <xr:revisionPtr revIDLastSave="0" documentId="13_ncr:1_{7E285623-200C-407C-8EAA-6AC2A0AF13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6" i="1" l="1"/>
  <c r="H22" i="1"/>
  <c r="H23" i="1"/>
  <c r="H24" i="1"/>
  <c r="K21" i="1"/>
  <c r="L21" i="1"/>
  <c r="L28" i="1" s="1"/>
  <c r="M21" i="1"/>
  <c r="R21" i="1" l="1"/>
  <c r="N21" i="1"/>
  <c r="O21" i="1" s="1"/>
  <c r="O29" i="1" s="1"/>
  <c r="J42" i="1" l="1"/>
  <c r="N35" i="1" l="1"/>
  <c r="O30" i="1" l="1"/>
  <c r="O31" i="1" s="1"/>
  <c r="O32" i="1" s="1"/>
  <c r="S47" i="1"/>
  <c r="M20" i="1" l="1"/>
  <c r="K20" i="1"/>
  <c r="N36" i="1" l="1"/>
  <c r="Q40" i="1"/>
  <c r="Q41" i="1" s="1"/>
  <c r="N37" i="1" l="1"/>
  <c r="S40" i="1" l="1"/>
  <c r="S41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9" i="1"/>
  <c r="N38" i="1"/>
  <c r="F18" i="3" l="1"/>
  <c r="L34" i="1" l="1"/>
  <c r="N34" i="1" l="1"/>
  <c r="N40" i="1" s="1"/>
  <c r="N41" i="1" s="1"/>
  <c r="S48" i="1"/>
  <c r="D20" i="3" l="1"/>
  <c r="E20" i="3" s="1"/>
  <c r="E21" i="3" s="1"/>
  <c r="N43" i="1" l="1"/>
  <c r="D21" i="3"/>
  <c r="M43" i="3" s="1"/>
  <c r="D12" i="3" s="1"/>
  <c r="F20" i="3"/>
  <c r="F21" i="3" s="1"/>
  <c r="N42" i="1" l="1"/>
  <c r="P20" i="1" s="1"/>
  <c r="E15" i="3"/>
  <c r="P21" i="1" l="1"/>
  <c r="F15" i="3"/>
  <c r="Q21" i="1" l="1"/>
  <c r="H21" i="1" s="1"/>
  <c r="R30" i="1"/>
  <c r="K15" i="1" l="1"/>
  <c r="H27" i="1" l="1"/>
  <c r="H28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<sst xmlns="http://schemas.openxmlformats.org/spreadsheetml/2006/main" count="226" uniqueCount="165">
  <si>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</si>
  <si>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</si>
  <si>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</si>
  <si>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</si>
  <si>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</si>
  <si>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</si>
  <si>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</si>
  <si>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</si>
  <si>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</si>
  <si>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</si>
  <si>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</si>
  <si>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</si>
  <si>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</si>
  <si>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</si>
  <si>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</si>
  <si>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</si>
  <si>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</si>
  <si>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</si>
  <si>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</si>
  <si>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</si>
  <si>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</si>
  <si>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</si>
  <si>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</si>
  <si>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</si>
  <si>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</si>
  <si>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</si>
  <si>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</si>
  <si>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</si>
  <si>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</si>
  <si>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</si>
  <si>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</si>
  <si>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</si>
  <si>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</si>
  <si>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</si>
  <si>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</si>
  <si>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</si>
  <si>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</si>
  <si>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</si>
  <si>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</si>
  <si>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</si>
  <si>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</si>
  <si>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</si>
  <si>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</si>
  <si>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</si>
  <si>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</si>
  <si>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</si>
  <si>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</si>
  <si>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</si>
  <si>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</si>
  <si>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</si>
  <si>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</si>
  <si>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</si>
  <si>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</si>
  <si>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</si>
  <si>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</si>
  <si>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</si>
  <si>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</si>
  <si>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</si>
  <si>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</si>
  <si>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</si>
  <si>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</si>
  <si>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</si>
  <si>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</si>
  <si>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</si>
  <si>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</si>
  <si>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</si>
  <si>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</si>
  <si>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</si>
  <si>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</si>
  <si>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</si>
  <si>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</si>
  <si>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</si>
  <si>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</si>
  <si>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</si>
  <si>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</si>
  <si>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</si>
  <si>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</si>
  <si>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</si>
  <si>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</si>
  <si>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</si>
  <si>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</si>
  <si>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</si>
  <si>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</si>
  <si>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</si>
  <si>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</si>
  <si>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</si>
  <si>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</si>
  <si>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</si>
  <si>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</si>
  <si>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</si>
  <si>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</si>
  <si>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</si>
  <si>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</si>
  <si>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</si>
  <si>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</si>
  <si>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</si>
  <si>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</si>
  <si>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</si>
  <si>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</si>
  <si>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</si>
  <si>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</si>
  <si>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</si>
  <si>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</si>
  <si>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</si>
  <si>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</si>
  <si>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</si>
  <si>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</si>
  <si>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</si>
  <si>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</si>
  <si>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</si>
  <si>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</si>
  <si>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</si>
  <si>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</si>
  <si>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</si>
  <si>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</si>
  <si>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</si>
  <si>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</si>
  <si>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</si>
  <si>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</si>
  <si>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</si>
  <si>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</si>
  <si>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</si>
  <si>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</si>
  <si>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</si>
  <si>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</si>
  <si>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</si>
  <si>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</si>
  <si>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</si>
  <si>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</si>
  <si>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</si>
  <si>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</si>
  <si>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</si>
  <si>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</si>
  <si>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</si>
  <si>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</si>
  <si>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</si>
  <si>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</si>
  <si>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</si>
  <si>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</si>
  <si>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</si>
  <si>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</si>
  <si>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</si>
  <si>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</si>
  <si>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</si>
  <si>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</si>
  <si>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</si>
  <si>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</si>
  <si>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</si>
  <si>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</si>
  <si>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</si>
  <si>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</si>
  <si>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</si>
  <si>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</si>
  <si>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</si>
  <si>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</si>
  <si>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</si>
  <si>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ABONO 50%, SALDO C/ENTREGA</t>
  </si>
  <si>
    <t>7 DIAS HABILES</t>
  </si>
  <si>
    <t>N° 10982</t>
  </si>
  <si>
    <t>FEMENIAS MUEBLES</t>
  </si>
  <si>
    <t>CHRISTIAN FEMENIAS</t>
  </si>
  <si>
    <t>+569 97278419</t>
  </si>
  <si>
    <t>VIÑA DEL MAR</t>
  </si>
  <si>
    <t>CUB S/R R6</t>
  </si>
  <si>
    <t>GREY NEBULA 4622-60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</si>
</sst>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0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29</xdr:row>
      <xdr:rowOff>5249</xdr:rowOff>
    </xdr:from>
    <xdr:to>
      <xdr:col>8</xdr:col>
      <xdr:colOff>7776</xdr:colOff>
      <xdr:row>32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29</xdr:row>
      <xdr:rowOff>9525</xdr:rowOff>
    </xdr:from>
    <xdr:to>
      <xdr:col>5</xdr:col>
      <xdr:colOff>1679511</xdr:colOff>
      <xdr:row>32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24</xdr:row>
      <xdr:rowOff>225489</xdr:rowOff>
    </xdr:from>
    <xdr:to>
      <xdr:col>5</xdr:col>
      <xdr:colOff>1656183</xdr:colOff>
      <xdr:row>28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</a:t>
          </a:r>
          <a:r>
            <a:rPr lang="es-CL" sz="1200" b="1" baseline="0"/>
            <a:t> ENTREGAN CON SOBRE MEDIDA EN EL LARGO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 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5"/>
  <sheetViews>
    <sheetView tabSelected="1" topLeftCell="A4" zoomScale="98" zoomScaleNormal="98" workbookViewId="0">
      <selection activeCell="J23" sqref="J23"/>
    </sheetView>
  </sheetViews>
  <sheetFormatPr baseColWidth="10" defaultRowHeight="14.4" x14ac:dyDescent="0.3"/>
  <cols>
    <col min="1" max="1" width="6" customWidth="1"/>
    <col min="2" max="2" width="10.5546875" customWidth="1"/>
    <col min="3" max="3" width="24.777343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158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45447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C13" t="s">
        <v>160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161</v>
      </c>
      <c r="D15" s="294"/>
      <c r="E15" s="247"/>
      <c r="F15" s="247" t="s">
        <v>136</v>
      </c>
      <c r="G15" s="295" t="s">
        <v>137</v>
      </c>
      <c r="H15" s="248"/>
      <c r="K15" s="18">
        <f>H26/L13</f>
        <v>1582.2013341419042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156</v>
      </c>
      <c r="H16" s="289"/>
    </row>
    <row r="17" spans="2:24" ht="15" thickBot="1" x14ac:dyDescent="0.35">
      <c r="B17" s="296" t="s">
        <v>13</v>
      </c>
      <c r="C17" s="297" t="s">
        <v>162</v>
      </c>
      <c r="D17" s="298"/>
      <c r="E17" s="299"/>
      <c r="F17" s="325" t="s">
        <v>153</v>
      </c>
      <c r="G17" s="325"/>
      <c r="H17" s="326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27" t="s">
        <v>148</v>
      </c>
      <c r="C19" s="328"/>
      <c r="D19" s="328"/>
      <c r="E19" s="328"/>
      <c r="F19" s="328"/>
      <c r="G19" s="328"/>
      <c r="H19" s="329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N42</f>
        <v>257548.88888888885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18">
        <v>1</v>
      </c>
      <c r="C21" s="324" t="s">
        <v>163</v>
      </c>
      <c r="D21" s="320">
        <v>1.3</v>
      </c>
      <c r="E21" s="320">
        <v>0.4</v>
      </c>
      <c r="F21" s="319" t="s">
        <v>164</v>
      </c>
      <c r="G21" s="321">
        <v>37125</v>
      </c>
      <c r="H21" s="322">
        <f t="shared" ref="H21" si="1">G21*B21</f>
        <v>37125</v>
      </c>
      <c r="I21" s="265"/>
      <c r="J21" s="47"/>
      <c r="K21" s="47">
        <f t="shared" ref="K21" si="2">B21</f>
        <v>1</v>
      </c>
      <c r="L21" s="39">
        <f t="shared" ref="L21" si="3">D21+L$19</f>
        <v>1.35</v>
      </c>
      <c r="M21" s="39">
        <f t="shared" ref="M21" si="4">E21+M$19</f>
        <v>0.4</v>
      </c>
      <c r="N21" s="261">
        <f t="shared" ref="N21" si="5">L21*M21</f>
        <v>0.54</v>
      </c>
      <c r="O21" s="259">
        <f t="shared" ref="O21" si="6">N21*K21</f>
        <v>0.54</v>
      </c>
      <c r="P21" s="252">
        <f t="shared" ref="P21" si="7">P$20*N21</f>
        <v>139076.4</v>
      </c>
      <c r="Q21" s="258">
        <f t="shared" ref="Q21" si="8">P21+Q$20</f>
        <v>142076.4</v>
      </c>
      <c r="R21" s="307">
        <f t="shared" ref="R21" si="9">K21*L21</f>
        <v>1.35</v>
      </c>
      <c r="S21" s="14"/>
      <c r="T21" s="9"/>
      <c r="W21" s="4"/>
    </row>
    <row r="22" spans="2:24" ht="18" thickBot="1" x14ac:dyDescent="0.35">
      <c r="B22" s="337">
        <v>1</v>
      </c>
      <c r="C22" s="338" t="s">
        <v>34</v>
      </c>
      <c r="D22" s="339">
        <v>1.7</v>
      </c>
      <c r="E22" s="339">
        <v>0.06</v>
      </c>
      <c r="F22" s="319" t="s">
        <v>164</v>
      </c>
      <c r="G22" s="321">
        <v>7219</v>
      </c>
      <c r="H22" s="322">
        <f t="shared" ref="H22:H24" si="10">G22*B22</f>
        <v>7219</v>
      </c>
      <c r="I22" s="265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2:24" ht="18" thickBot="1" x14ac:dyDescent="0.35">
      <c r="B23" s="337">
        <v>1</v>
      </c>
      <c r="C23" s="338" t="s">
        <v>34</v>
      </c>
      <c r="D23" s="339">
        <v>1.2</v>
      </c>
      <c r="E23" s="339">
        <v>0.06</v>
      </c>
      <c r="F23" s="319" t="s">
        <v>164</v>
      </c>
      <c r="G23" s="321">
        <v>5156</v>
      </c>
      <c r="H23" s="322">
        <f t="shared" si="10"/>
        <v>5156</v>
      </c>
      <c r="I23" s="265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2:24" ht="17.399999999999999" x14ac:dyDescent="0.3">
      <c r="B24" s="337">
        <v>1</v>
      </c>
      <c r="C24" s="338" t="s">
        <v>34</v>
      </c>
      <c r="D24" s="339">
        <v>0.6</v>
      </c>
      <c r="E24" s="339">
        <v>0.06</v>
      </c>
      <c r="F24" s="319" t="s">
        <v>164</v>
      </c>
      <c r="G24" s="321">
        <v>2681</v>
      </c>
      <c r="H24" s="322">
        <f t="shared" si="10"/>
        <v>2681</v>
      </c>
      <c r="I24" s="265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2:24" ht="18" thickBot="1" x14ac:dyDescent="0.35">
      <c r="B25" s="285"/>
      <c r="C25" s="285"/>
      <c r="D25" s="286"/>
      <c r="E25" s="286"/>
      <c r="F25" s="285"/>
      <c r="G25" s="323"/>
      <c r="H25" s="323"/>
      <c r="I25" s="232"/>
      <c r="J25" s="47"/>
      <c r="K25" s="47"/>
      <c r="L25" s="39"/>
      <c r="M25" s="39"/>
      <c r="N25" s="261"/>
      <c r="O25" s="259"/>
      <c r="P25" s="252"/>
      <c r="Q25" s="258"/>
      <c r="R25" s="307"/>
      <c r="S25" s="14"/>
      <c r="T25" s="9"/>
      <c r="W25" s="4"/>
    </row>
    <row r="26" spans="2:24" ht="17.399999999999999" x14ac:dyDescent="0.3">
      <c r="B26" s="285"/>
      <c r="C26" s="285"/>
      <c r="D26" s="286"/>
      <c r="E26" s="286"/>
      <c r="F26" s="285"/>
      <c r="G26" s="308" t="s">
        <v>30</v>
      </c>
      <c r="H26" s="309">
        <f>SUM(H21:H24)</f>
        <v>52181</v>
      </c>
      <c r="I26" s="232"/>
      <c r="J26" s="47"/>
      <c r="K26" s="47"/>
      <c r="L26" s="39"/>
      <c r="M26" s="39"/>
      <c r="N26" s="261"/>
      <c r="O26" s="259"/>
      <c r="P26" s="252"/>
      <c r="Q26" s="258"/>
      <c r="R26" s="307"/>
      <c r="S26" s="14"/>
      <c r="T26" s="9"/>
      <c r="W26" s="4"/>
    </row>
    <row r="27" spans="2:24" ht="17.399999999999999" x14ac:dyDescent="0.3">
      <c r="B27" s="279"/>
      <c r="C27" s="282"/>
      <c r="D27" s="283"/>
      <c r="E27" s="283"/>
      <c r="F27" s="284"/>
      <c r="G27" s="306" t="s">
        <v>53</v>
      </c>
      <c r="H27" s="303">
        <f>H26*0.19</f>
        <v>9914.39</v>
      </c>
      <c r="I27" s="232"/>
      <c r="J27" s="47"/>
      <c r="K27" s="47"/>
      <c r="L27" s="39"/>
      <c r="M27" s="39"/>
      <c r="N27" s="261"/>
      <c r="O27" s="259"/>
      <c r="P27" s="252"/>
      <c r="Q27" s="258"/>
      <c r="R27" s="307"/>
      <c r="S27" s="14"/>
      <c r="T27" s="9"/>
      <c r="W27" s="4"/>
    </row>
    <row r="28" spans="2:24" ht="18" thickBot="1" x14ac:dyDescent="0.35">
      <c r="B28" s="275"/>
      <c r="C28" s="281"/>
      <c r="D28" s="272"/>
      <c r="E28" s="272"/>
      <c r="F28" s="273"/>
      <c r="G28" s="280" t="s">
        <v>6</v>
      </c>
      <c r="H28" s="304">
        <f>H26+H27</f>
        <v>62095.39</v>
      </c>
      <c r="I28" s="265"/>
      <c r="J28" s="47"/>
      <c r="K28" s="47"/>
      <c r="L28" s="39">
        <f>SUM(L21:L21)*2</f>
        <v>2.7</v>
      </c>
      <c r="M28" s="39"/>
      <c r="N28" s="261"/>
      <c r="O28" s="259"/>
      <c r="P28" s="252"/>
      <c r="Q28" s="258"/>
      <c r="R28" s="307"/>
      <c r="S28" s="14"/>
      <c r="T28" s="9"/>
      <c r="W28" s="4"/>
    </row>
    <row r="29" spans="2:24" ht="17.399999999999999" x14ac:dyDescent="0.3">
      <c r="B29" s="275"/>
      <c r="C29" s="271"/>
      <c r="D29" s="272"/>
      <c r="E29" s="272"/>
      <c r="F29" s="273"/>
      <c r="I29" s="265"/>
      <c r="J29" s="47"/>
      <c r="K29" s="47"/>
      <c r="L29" s="39"/>
      <c r="M29" s="12"/>
      <c r="N29" s="12"/>
      <c r="O29" s="253">
        <f>SUM(O21:O25)</f>
        <v>0.54</v>
      </c>
      <c r="P29" s="14"/>
      <c r="Q29" s="12"/>
      <c r="R29" s="238"/>
      <c r="S29" s="14"/>
      <c r="T29" s="9"/>
      <c r="W29" s="4"/>
    </row>
    <row r="30" spans="2:24" ht="17.399999999999999" x14ac:dyDescent="0.35">
      <c r="B30" s="269"/>
      <c r="C30" s="230"/>
      <c r="D30" s="230"/>
      <c r="E30" s="232"/>
      <c r="F30" s="233"/>
      <c r="G30" s="230"/>
      <c r="H30" s="274"/>
      <c r="I30" s="265"/>
      <c r="J30" s="47"/>
      <c r="K30" s="47"/>
      <c r="L30" s="39"/>
      <c r="M30" s="12"/>
      <c r="N30" s="12"/>
      <c r="O30" s="253">
        <f>O29</f>
        <v>0.54</v>
      </c>
      <c r="P30" s="14"/>
      <c r="Q30" s="12"/>
      <c r="R30" s="238">
        <f>SUM(R21:R29)</f>
        <v>1.35</v>
      </c>
      <c r="S30" s="14"/>
      <c r="T30" s="9"/>
      <c r="W30" s="4"/>
    </row>
    <row r="31" spans="2:24" ht="17.399999999999999" x14ac:dyDescent="0.35">
      <c r="B31" s="234"/>
      <c r="C31" s="235"/>
      <c r="D31" s="236"/>
      <c r="E31" s="234"/>
      <c r="F31" s="230"/>
      <c r="G31" s="230"/>
      <c r="I31" s="265"/>
      <c r="J31" s="47"/>
      <c r="K31" s="47"/>
      <c r="L31" s="14"/>
      <c r="M31" s="12"/>
      <c r="N31" s="12"/>
      <c r="O31" s="39">
        <f>O30*0.2</f>
        <v>0.10800000000000001</v>
      </c>
      <c r="P31" s="39" t="s">
        <v>132</v>
      </c>
      <c r="Q31" s="42"/>
      <c r="R31" s="239"/>
      <c r="S31" s="14"/>
      <c r="T31" s="9"/>
      <c r="W31" s="4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312"/>
      <c r="K32" s="47"/>
      <c r="L32" s="14"/>
      <c r="M32" s="12"/>
      <c r="N32" s="12"/>
      <c r="O32" s="46">
        <f>O30+O31</f>
        <v>0.64800000000000002</v>
      </c>
      <c r="P32" s="14"/>
      <c r="Q32" s="14"/>
      <c r="R32" s="237">
        <v>40</v>
      </c>
      <c r="S32" s="14"/>
      <c r="T32" s="9"/>
      <c r="W32" s="4"/>
    </row>
    <row r="33" spans="1:23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312"/>
      <c r="K33" s="47"/>
      <c r="L33" s="14"/>
      <c r="M33" s="14"/>
      <c r="N33" s="14"/>
      <c r="O33" s="14"/>
      <c r="P33" s="14"/>
      <c r="Q33" s="14"/>
      <c r="R33" s="237"/>
      <c r="S33" s="14"/>
      <c r="T33" s="9"/>
      <c r="W33" s="4"/>
    </row>
    <row r="34" spans="1:23" ht="17.399999999999999" x14ac:dyDescent="0.35">
      <c r="A34" s="230"/>
      <c r="B34" s="24" t="s">
        <v>154</v>
      </c>
      <c r="C34" s="230"/>
      <c r="D34" s="230"/>
      <c r="E34" s="230"/>
      <c r="F34" s="230"/>
      <c r="G34" s="230"/>
      <c r="H34" s="230"/>
      <c r="I34" s="265"/>
      <c r="J34" s="47"/>
      <c r="K34" s="47"/>
      <c r="L34" s="39">
        <f>O32</f>
        <v>0.64800000000000002</v>
      </c>
      <c r="M34" s="12">
        <v>3500</v>
      </c>
      <c r="N34" s="12">
        <f t="shared" ref="N34:N39" si="11">L34*M34</f>
        <v>2268</v>
      </c>
      <c r="O34" s="14" t="s">
        <v>22</v>
      </c>
      <c r="P34" s="14" t="s">
        <v>23</v>
      </c>
      <c r="Q34" s="14"/>
      <c r="R34" s="240"/>
      <c r="S34" s="14"/>
      <c r="T34" s="9"/>
      <c r="W34" s="4"/>
    </row>
    <row r="35" spans="1:23" ht="17.399999999999999" x14ac:dyDescent="0.35">
      <c r="A35" s="230"/>
      <c r="B35" s="24" t="s">
        <v>155</v>
      </c>
      <c r="G35" s="230"/>
      <c r="H35" s="230"/>
      <c r="I35" s="265"/>
      <c r="J35" s="47"/>
      <c r="K35" s="47"/>
      <c r="L35" s="249">
        <v>0.5</v>
      </c>
      <c r="M35" s="12">
        <v>23500</v>
      </c>
      <c r="N35" s="12">
        <f t="shared" si="11"/>
        <v>11750</v>
      </c>
      <c r="O35" s="39" t="s">
        <v>152</v>
      </c>
      <c r="P35" s="42"/>
      <c r="Q35" s="14"/>
      <c r="R35" s="239"/>
      <c r="S35" s="14"/>
      <c r="T35" s="9"/>
      <c r="W35" s="4"/>
    </row>
    <row r="36" spans="1:23" s="230" customFormat="1" ht="17.399999999999999" x14ac:dyDescent="0.35">
      <c r="B36" s="29" t="s">
        <v>127</v>
      </c>
      <c r="C36"/>
      <c r="D36"/>
      <c r="E36"/>
      <c r="F36" s="229" t="s">
        <v>16</v>
      </c>
      <c r="I36" s="262"/>
      <c r="J36" s="47"/>
      <c r="K36" s="250"/>
      <c r="L36" s="14"/>
      <c r="M36" s="250">
        <v>23500</v>
      </c>
      <c r="N36" s="12">
        <f t="shared" si="11"/>
        <v>0</v>
      </c>
      <c r="O36" s="39" t="s">
        <v>32</v>
      </c>
      <c r="P36" s="42"/>
      <c r="R36" s="239"/>
      <c r="S36" s="256"/>
      <c r="V36" s="231"/>
    </row>
    <row r="37" spans="1:23" s="230" customFormat="1" ht="17.399999999999999" x14ac:dyDescent="0.35">
      <c r="I37" s="262"/>
      <c r="J37" s="311"/>
      <c r="K37" s="250"/>
      <c r="L37" s="14">
        <v>1</v>
      </c>
      <c r="M37" s="250">
        <v>43000</v>
      </c>
      <c r="N37" s="12">
        <f t="shared" si="11"/>
        <v>43000</v>
      </c>
      <c r="O37" s="14" t="s">
        <v>143</v>
      </c>
      <c r="P37" s="17"/>
      <c r="R37" s="237"/>
      <c r="S37" s="256"/>
      <c r="V37" s="231"/>
    </row>
    <row r="38" spans="1:23" s="230" customFormat="1" ht="17.399999999999999" x14ac:dyDescent="0.35">
      <c r="I38" s="262"/>
      <c r="J38" s="311"/>
      <c r="K38" s="250"/>
      <c r="L38" s="249"/>
      <c r="M38" s="250">
        <v>800</v>
      </c>
      <c r="N38" s="12">
        <f t="shared" si="11"/>
        <v>0</v>
      </c>
      <c r="O38" s="14" t="s">
        <v>34</v>
      </c>
      <c r="P38" s="14"/>
      <c r="Q38" s="230">
        <v>1.83</v>
      </c>
      <c r="R38" s="237"/>
      <c r="S38" s="237"/>
    </row>
    <row r="39" spans="1:23" s="230" customFormat="1" ht="17.399999999999999" x14ac:dyDescent="0.35">
      <c r="I39" s="302"/>
      <c r="J39" s="47"/>
      <c r="K39" s="250"/>
      <c r="L39" s="266">
        <v>2.2999999999999998</v>
      </c>
      <c r="M39" s="12">
        <v>1500</v>
      </c>
      <c r="N39" s="12">
        <f t="shared" si="11"/>
        <v>3449.9999999999995</v>
      </c>
      <c r="O39" s="14" t="s">
        <v>24</v>
      </c>
      <c r="P39" s="14"/>
      <c r="Q39">
        <v>3.66</v>
      </c>
      <c r="R39"/>
      <c r="S39" s="237">
        <v>1500</v>
      </c>
      <c r="W39" s="231"/>
    </row>
    <row r="40" spans="1:23" s="230" customFormat="1" ht="17.399999999999999" x14ac:dyDescent="0.35">
      <c r="I40" s="265"/>
      <c r="J40" s="47"/>
      <c r="K40" s="250"/>
      <c r="L40" s="14"/>
      <c r="M40" s="12"/>
      <c r="N40" s="12">
        <f>SUM(N34:N39)</f>
        <v>60468</v>
      </c>
      <c r="O40" s="39" t="s">
        <v>25</v>
      </c>
      <c r="P40" s="14"/>
      <c r="Q40">
        <f>Q38*Q39</f>
        <v>6.6978000000000009</v>
      </c>
      <c r="R40"/>
      <c r="S40" s="237">
        <f>R32*S39</f>
        <v>60000</v>
      </c>
      <c r="W40" s="231"/>
    </row>
    <row r="41" spans="1:23" s="230" customFormat="1" ht="17.399999999999999" x14ac:dyDescent="0.35">
      <c r="J41" s="47">
        <v>58690</v>
      </c>
      <c r="K41" s="250"/>
      <c r="L41" s="254" t="s">
        <v>35</v>
      </c>
      <c r="M41" s="12"/>
      <c r="N41" s="255">
        <f>N40*2.3</f>
        <v>139076.4</v>
      </c>
      <c r="O41" s="14" t="s">
        <v>142</v>
      </c>
      <c r="P41" s="14"/>
      <c r="Q41" s="46">
        <f>O32/Q40</f>
        <v>9.6748185971513023E-2</v>
      </c>
      <c r="R41"/>
      <c r="S41" s="257" t="e">
        <f>S40/#REF!</f>
        <v>#REF!</v>
      </c>
    </row>
    <row r="42" spans="1:23" s="230" customFormat="1" ht="17.399999999999999" x14ac:dyDescent="0.35">
      <c r="G42"/>
      <c r="H42" s="260"/>
      <c r="I42" s="260"/>
      <c r="J42" s="47">
        <f>J41/1.19</f>
        <v>49319.327731092439</v>
      </c>
      <c r="K42" s="250"/>
      <c r="L42" s="14"/>
      <c r="M42" s="12"/>
      <c r="N42" s="12">
        <f>N41/O30</f>
        <v>257548.88888888885</v>
      </c>
      <c r="O42" s="45" t="s">
        <v>26</v>
      </c>
      <c r="P42" s="14"/>
      <c r="Q42" s="14"/>
      <c r="R42"/>
      <c r="S42" s="237"/>
    </row>
    <row r="43" spans="1:23" s="230" customFormat="1" ht="17.399999999999999" x14ac:dyDescent="0.35">
      <c r="G43"/>
      <c r="J43" s="47"/>
      <c r="K43" s="250"/>
      <c r="L43" s="13"/>
      <c r="M43" s="14"/>
      <c r="N43" s="17">
        <f>N41/N40</f>
        <v>2.2999999999999998</v>
      </c>
      <c r="O43" s="15"/>
      <c r="P43"/>
      <c r="Q43"/>
      <c r="R43"/>
      <c r="S43" s="237"/>
    </row>
    <row r="44" spans="1:23" s="230" customFormat="1" ht="17.399999999999999" x14ac:dyDescent="0.35">
      <c r="G44" s="23"/>
      <c r="J44" s="47"/>
      <c r="K44" s="12"/>
      <c r="S44" s="237"/>
    </row>
    <row r="45" spans="1:23" s="230" customFormat="1" ht="17.399999999999999" x14ac:dyDescent="0.35">
      <c r="B45"/>
      <c r="C45" s="228"/>
      <c r="D45" s="22"/>
      <c r="E45" s="22"/>
      <c r="F45" s="21"/>
      <c r="G45" s="23"/>
      <c r="J45" s="47"/>
      <c r="K45" s="12"/>
      <c r="S45" s="237">
        <v>1.83</v>
      </c>
    </row>
    <row r="46" spans="1:23" ht="14.4" customHeight="1" x14ac:dyDescent="0.3">
      <c r="J46" s="47"/>
      <c r="K46" s="12"/>
      <c r="S46">
        <v>2.5</v>
      </c>
    </row>
    <row r="47" spans="1:23" x14ac:dyDescent="0.3">
      <c r="J47" s="47"/>
      <c r="K47" s="250"/>
      <c r="S47">
        <f>S45*S46</f>
        <v>4.5750000000000002</v>
      </c>
    </row>
    <row r="48" spans="1:23" x14ac:dyDescent="0.3">
      <c r="K48" s="250"/>
      <c r="S48" s="270">
        <f>O32/S47</f>
        <v>0.14163934426229507</v>
      </c>
    </row>
    <row r="49" spans="11:19" x14ac:dyDescent="0.3">
      <c r="K49" s="250"/>
    </row>
    <row r="50" spans="11:19" ht="15" customHeight="1" x14ac:dyDescent="0.3"/>
    <row r="52" spans="11:19" x14ac:dyDescent="0.3">
      <c r="N52">
        <v>40935</v>
      </c>
      <c r="O52" t="s">
        <v>17</v>
      </c>
      <c r="P52" t="s">
        <v>28</v>
      </c>
    </row>
    <row r="54" spans="11:19" x14ac:dyDescent="0.3">
      <c r="N54" s="54"/>
      <c r="O54" s="54"/>
    </row>
    <row r="55" spans="11:19" x14ac:dyDescent="0.3">
      <c r="R55" s="18"/>
      <c r="S55" s="18"/>
    </row>
    <row r="56" spans="11:19" x14ac:dyDescent="0.3">
      <c r="R56" s="18"/>
      <c r="S56" s="18"/>
    </row>
    <row r="57" spans="11:19" x14ac:dyDescent="0.3">
      <c r="R57" s="18"/>
      <c r="S57" s="18"/>
    </row>
    <row r="58" spans="11:19" x14ac:dyDescent="0.3">
      <c r="R58" s="18"/>
      <c r="S58" s="18"/>
    </row>
    <row r="59" spans="11:19" x14ac:dyDescent="0.3">
      <c r="R59" s="18"/>
      <c r="S59" s="18"/>
    </row>
    <row r="60" spans="11:19" x14ac:dyDescent="0.3">
      <c r="R60" s="18"/>
      <c r="S60" s="18"/>
    </row>
    <row r="61" spans="11:19" x14ac:dyDescent="0.3">
      <c r="R61" s="18"/>
      <c r="S61" s="18"/>
    </row>
    <row r="62" spans="11:19" x14ac:dyDescent="0.3">
      <c r="R62" s="18"/>
      <c r="S62" s="18"/>
    </row>
    <row r="63" spans="11:19" x14ac:dyDescent="0.3">
      <c r="R63" s="18"/>
      <c r="S63" s="18"/>
    </row>
    <row r="66" spans="3:14" x14ac:dyDescent="0.3">
      <c r="N66" s="43"/>
    </row>
    <row r="67" spans="3:14" x14ac:dyDescent="0.3">
      <c r="N67" s="43"/>
    </row>
    <row r="68" spans="3:14" x14ac:dyDescent="0.3">
      <c r="N68" s="6"/>
    </row>
    <row r="69" spans="3:14" x14ac:dyDescent="0.3">
      <c r="N69" s="6"/>
    </row>
    <row r="77" spans="3:14" x14ac:dyDescent="0.3">
      <c r="C77" t="s">
        <v>149</v>
      </c>
    </row>
    <row r="78" spans="3:14" x14ac:dyDescent="0.3">
      <c r="C78" t="s">
        <v>148</v>
      </c>
    </row>
    <row r="81" spans="3:3" x14ac:dyDescent="0.3">
      <c r="C81" t="s">
        <v>148</v>
      </c>
    </row>
    <row r="158" spans="3:3" x14ac:dyDescent="0.3">
      <c r="C158" t="s">
        <v>148</v>
      </c>
    </row>
    <row r="159" spans="3:3" x14ac:dyDescent="0.3">
      <c r="C159" t="s">
        <v>150</v>
      </c>
    </row>
    <row r="160" spans="3:3" x14ac:dyDescent="0.3">
      <c r="C160" t="s">
        <v>151</v>
      </c>
    </row>
    <row r="585" spans="3:3" x14ac:dyDescent="0.3">
      <c r="C585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45447</v>
      </c>
    </row>
    <row r="6" spans="2:31" ht="16.2" thickBot="1" x14ac:dyDescent="0.35">
      <c r="B6" s="140" t="s">
        <v>2</v>
      </c>
      <c r="C6" s="139" t="str">
        <f>'2229'!C10</f>
        <v>FEMENIAS MUEBLES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1" t="s">
        <v>100</v>
      </c>
      <c r="I7" s="332"/>
      <c r="J7" s="332"/>
      <c r="K7" s="333"/>
      <c r="N7" s="75"/>
      <c r="O7" s="330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10982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0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3362.4916332125599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'2229'!H26</f>
        <v>52181</v>
      </c>
      <c r="E11" s="132">
        <f>D11*0.19</f>
        <v>9914.39</v>
      </c>
      <c r="F11" s="131">
        <f>E11+D11</f>
        <v>62095.39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109352.49163321256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43852.090787439614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91352.491633212558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8328.9092125603856</v>
      </c>
      <c r="E13" s="221">
        <f>(D11/D12)-1</f>
        <v>0.18993186101279358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82352.491633212558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43352.491633212558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72355.94979927536</v>
      </c>
      <c r="F15" s="216">
        <f>E15-D12</f>
        <v>28503.859011835746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43352.491633212558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83352.491633212558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'2229'!N36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'2229'!N35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'2229'!N34</f>
        <v>2268</v>
      </c>
      <c r="E20" s="121">
        <f>D20*0.19</f>
        <v>430.92</v>
      </c>
      <c r="F20" s="120">
        <f>SUM(D20:E20)</f>
        <v>2698.92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14018</v>
      </c>
      <c r="E21" s="116">
        <f>SUM(E18:E20)</f>
        <v>2663.42</v>
      </c>
      <c r="F21" s="115">
        <f>SUM(F18:F20)</f>
        <v>16681.419999999998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7250.9699999999993</v>
      </c>
    </row>
    <row r="41" spans="2:16" ht="15" thickBot="1" x14ac:dyDescent="0.35">
      <c r="H41" s="334" t="s">
        <v>62</v>
      </c>
      <c r="I41" s="335"/>
      <c r="J41" s="335"/>
      <c r="K41" s="335"/>
      <c r="L41" s="335"/>
      <c r="M41" s="336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52181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14018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8328.9092125603856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8328.9092125603856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2024-05-31T13:28:03Z</cp:lastPrinted>
  <dcterms:created xsi:type="dcterms:W3CDTF">2013-03-18T13:35:42Z</dcterms:created>
  <dcterms:modified xsi:type="dcterms:W3CDTF">2024-06-04T20:54:08Z</dcterms:modified>
</cp:coreProperties>
</file>