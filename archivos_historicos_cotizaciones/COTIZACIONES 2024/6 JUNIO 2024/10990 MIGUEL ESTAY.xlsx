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6 JUNIO 2024\"/>
    </mc:Choice>
  </mc:AlternateContent>
  <xr:revisionPtr revIDLastSave="0" documentId="13_ncr:1_{76EC8A82-E323-40E7-B5D5-137FA10CAC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  <c r="M25" i="1"/>
  <c r="N25" i="1"/>
  <c r="O25" i="1" s="1"/>
  <c r="K23" i="1"/>
  <c r="K24" i="1"/>
  <c r="K25" i="1"/>
  <c r="K22" i="1"/>
  <c r="L22" i="1"/>
  <c r="N22" i="1" s="1"/>
  <c r="M22" i="1"/>
  <c r="L23" i="1"/>
  <c r="M23" i="1"/>
  <c r="L24" i="1"/>
  <c r="M24" i="1"/>
  <c r="N24" i="1" s="1"/>
  <c r="O24" i="1" s="1"/>
  <c r="R24" i="1"/>
  <c r="H25" i="1"/>
  <c r="H32" i="1"/>
  <c r="H29" i="1"/>
  <c r="H33" i="1"/>
  <c r="L28" i="1"/>
  <c r="N28" i="1" s="1"/>
  <c r="M28" i="1"/>
  <c r="H30" i="1"/>
  <c r="H31" i="1"/>
  <c r="H28" i="1"/>
  <c r="L27" i="1"/>
  <c r="M27" i="1"/>
  <c r="H27" i="1"/>
  <c r="N23" i="1" l="1"/>
  <c r="O23" i="1" s="1"/>
  <c r="O37" i="1" s="1"/>
  <c r="O22" i="1"/>
  <c r="R22" i="1"/>
  <c r="R23" i="1"/>
  <c r="N27" i="1"/>
  <c r="O27" i="1" s="1"/>
  <c r="O28" i="1"/>
  <c r="M26" i="1"/>
  <c r="L26" i="1"/>
  <c r="H24" i="1"/>
  <c r="H26" i="1"/>
  <c r="H22" i="1"/>
  <c r="N26" i="1" l="1"/>
  <c r="O26" i="1" s="1"/>
  <c r="S23" i="1"/>
  <c r="J51" i="1"/>
  <c r="L21" i="1"/>
  <c r="L36" i="1" s="1"/>
  <c r="M21" i="1"/>
  <c r="S21" i="1" l="1"/>
  <c r="S36" i="1" s="1"/>
  <c r="S37" i="1" s="1"/>
  <c r="S38" i="1" s="1"/>
  <c r="R21" i="1"/>
  <c r="R38" i="1" s="1"/>
  <c r="N21" i="1"/>
  <c r="O21" i="1" s="1"/>
  <c r="U44" i="1"/>
  <c r="U45" i="1" s="1"/>
  <c r="N43" i="1" l="1"/>
  <c r="O38" i="1" l="1"/>
  <c r="O39" i="1" s="1"/>
  <c r="O40" i="1" s="1"/>
  <c r="L42" i="1" s="1"/>
  <c r="M20" i="1"/>
  <c r="K20" i="1"/>
  <c r="N44" i="1" l="1"/>
  <c r="Q48" i="1"/>
  <c r="N45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7" i="1"/>
  <c r="N46" i="1"/>
  <c r="F18" i="3" l="1"/>
  <c r="N42" i="1" l="1"/>
  <c r="N48" i="1" s="1"/>
  <c r="N49" i="1" s="1"/>
  <c r="Q49" i="1"/>
  <c r="D20" i="3" l="1"/>
  <c r="E20" i="3" s="1"/>
  <c r="E21" i="3" s="1"/>
  <c r="N50" i="1" l="1"/>
  <c r="D21" i="3"/>
  <c r="M43" i="3" s="1"/>
  <c r="D12" i="3" s="1"/>
  <c r="F20" i="3"/>
  <c r="F21" i="3" s="1"/>
  <c r="N51" i="1" l="1"/>
  <c r="P20" i="1"/>
  <c r="P25" i="1" s="1"/>
  <c r="Q25" i="1" s="1"/>
  <c r="E15" i="3"/>
  <c r="P28" i="1" l="1"/>
  <c r="Q28" i="1" s="1"/>
  <c r="P22" i="1"/>
  <c r="Q22" i="1" s="1"/>
  <c r="P24" i="1"/>
  <c r="Q24" i="1" s="1"/>
  <c r="P23" i="1"/>
  <c r="Q23" i="1" s="1"/>
  <c r="P26" i="1"/>
  <c r="Q26" i="1" s="1"/>
  <c r="P27" i="1"/>
  <c r="Q27" i="1" s="1"/>
  <c r="H23" i="1"/>
  <c r="H36" i="1" s="1"/>
  <c r="P21" i="1"/>
  <c r="F15" i="3"/>
  <c r="Q21" i="1" l="1"/>
  <c r="H21" i="1" l="1"/>
  <c r="H38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<sst xmlns="http://schemas.openxmlformats.org/spreadsheetml/2006/main" count="253" uniqueCount="186">
  <si>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</si>
  <si>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</si>
  <si>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</si>
  <si>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</si>
  <si>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</si>
  <si>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</si>
  <si>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</si>
  <si>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</si>
  <si>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</si>
  <si>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</si>
  <si>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</si>
  <si>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</si>
  <si>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</si>
  <si>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</si>
  <si>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</si>
  <si>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</si>
  <si>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</si>
  <si>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</si>
  <si>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</si>
  <si>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</si>
  <si>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</si>
  <si>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</si>
  <si>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</si>
  <si>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</si>
  <si>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</si>
  <si>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</si>
  <si>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</si>
  <si>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</si>
  <si>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</si>
  <si>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</si>
  <si>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</si>
  <si>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</si>
  <si>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</si>
  <si>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</si>
  <si>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</si>
  <si>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</si>
  <si>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</si>
  <si>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</si>
  <si>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</si>
  <si>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</si>
  <si>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</si>
  <si>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</si>
  <si>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</si>
  <si>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</si>
  <si>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</si>
  <si>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</si>
  <si>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</si>
  <si>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</si>
  <si>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</si>
  <si>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</si>
  <si>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</si>
  <si>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</si>
  <si>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</si>
  <si>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</si>
  <si>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</si>
  <si>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</si>
  <si>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</si>
  <si>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</si>
  <si>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</si>
  <si>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</si>
  <si>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</si>
  <si>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</si>
  <si>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</si>
  <si>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</si>
  <si>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</si>
  <si>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</si>
  <si>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</si>
  <si>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</si>
  <si>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</si>
  <si>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</si>
  <si>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</si>
  <si>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</si>
  <si>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</si>
  <si>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</si>
  <si>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</si>
  <si>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</si>
  <si>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</si>
  <si>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</si>
  <si>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</si>
  <si>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</si>
  <si>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</si>
  <si>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</si>
  <si>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</si>
  <si>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</si>
  <si>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</si>
  <si>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</si>
  <si>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</si>
  <si>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</si>
  <si>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</si>
  <si>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</si>
  <si>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</si>
  <si>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</si>
  <si>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</si>
  <si>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</si>
  <si>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</si>
  <si>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</si>
  <si>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</si>
  <si>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</si>
  <si>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</si>
  <si>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</si>
  <si>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</si>
  <si>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</si>
  <si>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</si>
  <si>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</si>
  <si>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</si>
  <si>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</si>
  <si>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</si>
  <si>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</si>
  <si>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</si>
  <si>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</si>
  <si>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</si>
  <si>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</si>
  <si>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</si>
  <si>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</si>
  <si>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</si>
  <si>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</si>
  <si>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</si>
  <si>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</si>
  <si>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</si>
  <si>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</si>
  <si>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</si>
  <si>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</si>
  <si>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</si>
  <si>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</si>
  <si>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</si>
  <si>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</si>
  <si>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</si>
  <si>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</si>
  <si>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</si>
  <si>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</si>
  <si>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</si>
  <si>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</si>
  <si>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</si>
  <si>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</si>
  <si>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</si>
  <si>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</si>
  <si>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</si>
  <si>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</si>
  <si>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</si>
  <si>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</si>
  <si>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</si>
  <si>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</si>
  <si>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</si>
  <si>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</si>
  <si>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</si>
  <si>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</si>
  <si>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</si>
  <si>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</si>
  <si>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</si>
  <si>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</si>
  <si>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</si>
  <si>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</si>
  <si>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</si>
  <si>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</si>
  <si>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</si>
  <si>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</si>
  <si>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</si>
  <si>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</si>
  <si>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</si>
  <si>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</si>
  <si>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</si>
  <si>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</si>
  <si>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</si>
  <si>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</si>
  <si>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</si>
  <si>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</si>
  <si>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</si>
  <si>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10 DIAS HABILES</t>
  </si>
  <si>
    <t>N° 10990</t>
  </si>
  <si>
    <t>MIGUEL ESTAY</t>
  </si>
  <si>
    <t>+569 9219 6008</t>
  </si>
  <si>
    <t>SANTIAGO</t>
  </si>
  <si>
    <t xml:space="preserve">SI </t>
  </si>
  <si>
    <t>NO, SOLO PUERTAS</t>
  </si>
  <si>
    <t>MEDITERRANEO 2180 MT</t>
  </si>
  <si>
    <t>CUB S/R R8</t>
  </si>
  <si>
    <t>PR6</t>
  </si>
  <si>
    <t>NIEBLA 2191 MT</t>
  </si>
  <si>
    <t>TROZO LAMINA</t>
  </si>
  <si>
    <t>ZOCALO</t>
  </si>
  <si>
    <t>BLANCO BRILLO</t>
  </si>
  <si>
    <t>DESPACHO</t>
  </si>
  <si>
    <t>PR6 / 3 FTES DE 198</t>
  </si>
  <si>
    <t>BLANCO MATE</t>
  </si>
  <si>
    <t>E/R 1 CARA CORTADAS A 102 + 45MM AL LARGO</t>
  </si>
  <si>
    <t>PR6 / 3 FTES DE 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</si>
</sst>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2"/>
      <color rgb="FF1F497D"/>
      <name val="Arial"/>
      <family val="2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36" fillId="0" borderId="0" xfId="0" quotePrefix="1" applyFont="1"/>
    <xf numFmtId="167" fontId="11" fillId="0" borderId="0" xfId="2" applyNumberFormat="1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66" fontId="32" fillId="0" borderId="4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40</xdr:row>
      <xdr:rowOff>26670</xdr:rowOff>
    </xdr:from>
    <xdr:to>
      <xdr:col>7</xdr:col>
      <xdr:colOff>1034435</xdr:colOff>
      <xdr:row>43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42</xdr:row>
      <xdr:rowOff>154305</xdr:rowOff>
    </xdr:from>
    <xdr:to>
      <xdr:col>7</xdr:col>
      <xdr:colOff>853440</xdr:colOff>
      <xdr:row>42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40</xdr:row>
      <xdr:rowOff>9525</xdr:rowOff>
    </xdr:from>
    <xdr:to>
      <xdr:col>5</xdr:col>
      <xdr:colOff>1714500</xdr:colOff>
      <xdr:row>43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35</xdr:row>
      <xdr:rowOff>9525</xdr:rowOff>
    </xdr:from>
    <xdr:to>
      <xdr:col>5</xdr:col>
      <xdr:colOff>1594096</xdr:colOff>
      <xdr:row>38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SE DESPACHAN CON SOBRE MEDIDA EN EL LARGO, LAS PUERTAS SE ENTREGAN ENCHAPADAS CON TAPACANTO PVC 0,4MM CON EL COLOR LO MAS PARECIDO A LA LAMINA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93"/>
  <sheetViews>
    <sheetView tabSelected="1" topLeftCell="B10" zoomScale="93" zoomScaleNormal="93" workbookViewId="0">
      <selection activeCell="E24" sqref="E24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4" t="s">
        <v>168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169</v>
      </c>
      <c r="D10" s="243"/>
      <c r="E10" s="243"/>
      <c r="F10" s="244" t="s">
        <v>0</v>
      </c>
      <c r="G10" s="277">
        <v>45453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167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19"/>
      <c r="D14" s="247"/>
      <c r="E14" s="247"/>
      <c r="F14" s="320" t="s">
        <v>137</v>
      </c>
      <c r="G14" s="291" t="s">
        <v>173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9" t="s">
        <v>170</v>
      </c>
      <c r="D15" s="315"/>
      <c r="F15" t="s">
        <v>135</v>
      </c>
      <c r="G15" s="314" t="s">
        <v>172</v>
      </c>
      <c r="H15" s="290"/>
    </row>
    <row r="16" spans="2:23" ht="16.8" x14ac:dyDescent="0.4">
      <c r="B16" s="321" t="s">
        <v>3</v>
      </c>
      <c r="C16" s="312"/>
      <c r="D16" s="247"/>
      <c r="E16" s="247"/>
      <c r="F16" s="322" t="s">
        <v>130</v>
      </c>
      <c r="G16" s="323" t="s">
        <v>164</v>
      </c>
      <c r="H16" s="248"/>
    </row>
    <row r="17" spans="2:24" ht="15" thickBot="1" x14ac:dyDescent="0.35">
      <c r="B17" s="316" t="s">
        <v>13</v>
      </c>
      <c r="C17" s="317" t="s">
        <v>171</v>
      </c>
      <c r="D17" s="318"/>
      <c r="E17" s="119"/>
      <c r="F17" s="333" t="s">
        <v>166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148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N50</f>
        <v>88878.297777400992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5">
        <v>1</v>
      </c>
      <c r="C21" s="325" t="s">
        <v>175</v>
      </c>
      <c r="D21" s="326">
        <v>2.4500000000000002</v>
      </c>
      <c r="E21" s="326">
        <v>0.5</v>
      </c>
      <c r="F21" s="325" t="s">
        <v>174</v>
      </c>
      <c r="G21" s="327">
        <v>78790</v>
      </c>
      <c r="H21" s="327">
        <f>G21*B21</f>
        <v>78790</v>
      </c>
      <c r="I21" s="265"/>
      <c r="J21" s="47"/>
      <c r="K21" s="47"/>
      <c r="L21" s="39">
        <f t="shared" ref="L21" si="1">D21+L$19</f>
        <v>2.5</v>
      </c>
      <c r="M21" s="39">
        <f t="shared" ref="M21" si="2">E21+M$19</f>
        <v>0.5</v>
      </c>
      <c r="N21" s="261">
        <f t="shared" ref="N21" si="3">L21*M21</f>
        <v>1.25</v>
      </c>
      <c r="O21" s="259">
        <f t="shared" ref="O21" si="4">N21*K21</f>
        <v>0</v>
      </c>
      <c r="P21" s="252">
        <f t="shared" ref="P21" si="5">P$20*N21</f>
        <v>111097.87222175124</v>
      </c>
      <c r="Q21" s="328">
        <f t="shared" ref="Q21" si="6">P21+Q$20</f>
        <v>114097.87222175124</v>
      </c>
      <c r="R21" s="298">
        <f>L21*K21*2</f>
        <v>0</v>
      </c>
      <c r="S21" s="46">
        <f>M21*2*K21</f>
        <v>0</v>
      </c>
      <c r="T21" s="9"/>
      <c r="W21" s="4"/>
    </row>
    <row r="22" spans="2:24" ht="17.399999999999999" x14ac:dyDescent="0.3">
      <c r="B22" s="325">
        <v>2</v>
      </c>
      <c r="C22" s="325" t="s">
        <v>176</v>
      </c>
      <c r="D22" s="326">
        <v>0.79800000000000004</v>
      </c>
      <c r="E22" s="326">
        <v>0.39800000000000002</v>
      </c>
      <c r="F22" s="325" t="s">
        <v>174</v>
      </c>
      <c r="G22" s="327">
        <v>30929</v>
      </c>
      <c r="H22" s="327">
        <f>G22*B22</f>
        <v>61858</v>
      </c>
      <c r="I22" s="265"/>
      <c r="J22" s="47"/>
      <c r="K22" s="47">
        <f>B22</f>
        <v>2</v>
      </c>
      <c r="L22" s="39">
        <f t="shared" ref="L22:L24" si="7">D22+L$19</f>
        <v>0.84800000000000009</v>
      </c>
      <c r="M22" s="39">
        <f t="shared" ref="M22:M24" si="8">E22+M$19</f>
        <v>0.39800000000000002</v>
      </c>
      <c r="N22" s="261">
        <f t="shared" ref="N22:N24" si="9">L22*M22</f>
        <v>0.33750400000000003</v>
      </c>
      <c r="O22" s="259">
        <f t="shared" ref="O22:O24" si="10">N22*K22</f>
        <v>0.67500800000000005</v>
      </c>
      <c r="P22" s="252">
        <f t="shared" ref="P22:P24" si="11">P$20*N22</f>
        <v>29996.781013063948</v>
      </c>
      <c r="Q22" s="328">
        <f t="shared" ref="Q22:Q24" si="12">P22+Q$20</f>
        <v>32996.781013063948</v>
      </c>
      <c r="R22" s="298">
        <f t="shared" ref="R22:R24" si="13">L22*K22*2</f>
        <v>3.3920000000000003</v>
      </c>
      <c r="S22" s="46"/>
      <c r="T22" s="9"/>
      <c r="W22" s="4"/>
    </row>
    <row r="23" spans="2:24" ht="17.399999999999999" x14ac:dyDescent="0.3">
      <c r="B23" s="325">
        <v>2</v>
      </c>
      <c r="C23" s="325" t="s">
        <v>176</v>
      </c>
      <c r="D23" s="326">
        <v>0.44800000000000001</v>
      </c>
      <c r="E23" s="326">
        <v>0.29799999999999999</v>
      </c>
      <c r="F23" s="325" t="s">
        <v>174</v>
      </c>
      <c r="G23" s="327">
        <v>21462</v>
      </c>
      <c r="H23" s="327">
        <f t="shared" ref="H23:H26" si="14">G23*B23</f>
        <v>42924</v>
      </c>
      <c r="I23" s="265"/>
      <c r="J23" s="47"/>
      <c r="K23" s="47">
        <f t="shared" ref="K23:K25" si="15">B23</f>
        <v>2</v>
      </c>
      <c r="L23" s="39">
        <f t="shared" si="7"/>
        <v>0.498</v>
      </c>
      <c r="M23" s="39">
        <f t="shared" si="8"/>
        <v>0.29799999999999999</v>
      </c>
      <c r="N23" s="261">
        <f t="shared" si="9"/>
        <v>0.14840399999999998</v>
      </c>
      <c r="O23" s="259">
        <f t="shared" si="10"/>
        <v>0.29680799999999996</v>
      </c>
      <c r="P23" s="252">
        <f t="shared" si="11"/>
        <v>13189.894903357415</v>
      </c>
      <c r="Q23" s="328">
        <f t="shared" si="12"/>
        <v>16189.894903357415</v>
      </c>
      <c r="R23" s="298">
        <f t="shared" si="13"/>
        <v>1.992</v>
      </c>
      <c r="S23" s="46">
        <f t="shared" ref="S23" si="16">M23*2*K23</f>
        <v>1.1919999999999999</v>
      </c>
      <c r="T23" s="9"/>
      <c r="W23" s="4"/>
    </row>
    <row r="24" spans="2:24" ht="17.399999999999999" x14ac:dyDescent="0.3">
      <c r="B24" s="325">
        <v>2</v>
      </c>
      <c r="C24" s="325" t="s">
        <v>176</v>
      </c>
      <c r="D24" s="332">
        <v>0.61</v>
      </c>
      <c r="E24" s="332">
        <v>0.39800000000000002</v>
      </c>
      <c r="F24" s="325" t="s">
        <v>174</v>
      </c>
      <c r="G24" s="327">
        <v>24737</v>
      </c>
      <c r="H24" s="327">
        <f t="shared" si="14"/>
        <v>49474</v>
      </c>
      <c r="I24" s="265"/>
      <c r="J24" s="47"/>
      <c r="K24" s="47">
        <f t="shared" si="15"/>
        <v>2</v>
      </c>
      <c r="L24" s="39">
        <f t="shared" si="7"/>
        <v>0.66</v>
      </c>
      <c r="M24" s="39">
        <f t="shared" si="8"/>
        <v>0.39800000000000002</v>
      </c>
      <c r="N24" s="261">
        <f t="shared" si="9"/>
        <v>0.26268000000000002</v>
      </c>
      <c r="O24" s="259">
        <f t="shared" si="10"/>
        <v>0.52536000000000005</v>
      </c>
      <c r="P24" s="252">
        <f t="shared" si="11"/>
        <v>23346.551260167696</v>
      </c>
      <c r="Q24" s="328">
        <f t="shared" si="12"/>
        <v>26346.551260167696</v>
      </c>
      <c r="R24" s="298">
        <f t="shared" si="13"/>
        <v>2.64</v>
      </c>
      <c r="S24" s="46"/>
      <c r="T24" s="9"/>
      <c r="W24" s="4"/>
    </row>
    <row r="25" spans="2:24" ht="17.399999999999999" x14ac:dyDescent="0.3">
      <c r="B25" s="325">
        <v>1</v>
      </c>
      <c r="C25" s="325" t="s">
        <v>185</v>
      </c>
      <c r="D25" s="332">
        <v>0.61</v>
      </c>
      <c r="E25" s="332">
        <v>0.44800000000000001</v>
      </c>
      <c r="F25" s="325" t="s">
        <v>174</v>
      </c>
      <c r="G25" s="327">
        <v>30468</v>
      </c>
      <c r="H25" s="327">
        <f t="shared" ref="H25" si="17">G25*B25</f>
        <v>30468</v>
      </c>
      <c r="I25" s="265"/>
      <c r="J25" s="47"/>
      <c r="K25" s="47">
        <f t="shared" si="15"/>
        <v>1</v>
      </c>
      <c r="L25" s="39">
        <f t="shared" ref="L25" si="18">D25+L$19</f>
        <v>0.66</v>
      </c>
      <c r="M25" s="39">
        <f t="shared" ref="M25" si="19">E25+M$19</f>
        <v>0.44800000000000001</v>
      </c>
      <c r="N25" s="261">
        <f t="shared" ref="N25" si="20">L25*M25</f>
        <v>0.29568</v>
      </c>
      <c r="O25" s="259">
        <f t="shared" ref="O25" si="21">N25*K25</f>
        <v>0.29568</v>
      </c>
      <c r="P25" s="252">
        <f t="shared" ref="P25" si="22">P$20*N25</f>
        <v>26279.535086821925</v>
      </c>
      <c r="Q25" s="328">
        <f t="shared" ref="Q25" si="23">P25+Q$20</f>
        <v>29279.535086821925</v>
      </c>
      <c r="R25" s="298"/>
      <c r="S25" s="46"/>
      <c r="T25" s="9"/>
      <c r="W25" s="4"/>
    </row>
    <row r="26" spans="2:24" ht="17.399999999999999" x14ac:dyDescent="0.3">
      <c r="B26" s="325">
        <v>1</v>
      </c>
      <c r="C26" s="325" t="s">
        <v>175</v>
      </c>
      <c r="D26" s="326">
        <v>1.6</v>
      </c>
      <c r="E26" s="326">
        <v>0.5</v>
      </c>
      <c r="F26" s="325" t="s">
        <v>177</v>
      </c>
      <c r="G26" s="327">
        <v>61005</v>
      </c>
      <c r="H26" s="327">
        <f t="shared" si="14"/>
        <v>61005</v>
      </c>
      <c r="I26" s="265"/>
      <c r="J26" s="47"/>
      <c r="K26" s="47"/>
      <c r="L26" s="39">
        <f t="shared" ref="L26" si="24">D26+L$19</f>
        <v>1.6500000000000001</v>
      </c>
      <c r="M26" s="39">
        <f t="shared" ref="M26" si="25">E26+M$19</f>
        <v>0.5</v>
      </c>
      <c r="N26" s="261">
        <f t="shared" ref="N26" si="26">L26*M26</f>
        <v>0.82500000000000007</v>
      </c>
      <c r="O26" s="259">
        <f t="shared" ref="O26" si="27">N26*K26</f>
        <v>0</v>
      </c>
      <c r="P26" s="252">
        <f t="shared" ref="P26" si="28">P$20*N26</f>
        <v>73324.595666355832</v>
      </c>
      <c r="Q26" s="328">
        <f t="shared" ref="Q26" si="29">P26+Q$20</f>
        <v>76324.595666355832</v>
      </c>
      <c r="R26" s="298"/>
      <c r="S26" s="46"/>
      <c r="T26" s="9"/>
      <c r="W26" s="4"/>
    </row>
    <row r="27" spans="2:24" ht="17.399999999999999" x14ac:dyDescent="0.3">
      <c r="B27" s="325">
        <v>1</v>
      </c>
      <c r="C27" s="325" t="s">
        <v>175</v>
      </c>
      <c r="D27" s="326">
        <v>1.7</v>
      </c>
      <c r="E27" s="326">
        <v>0.5</v>
      </c>
      <c r="F27" s="325" t="s">
        <v>177</v>
      </c>
      <c r="G27" s="327">
        <v>64703</v>
      </c>
      <c r="H27" s="327">
        <f t="shared" ref="H27:H32" si="30">G27*B27</f>
        <v>64703</v>
      </c>
      <c r="I27" s="265"/>
      <c r="J27" s="47"/>
      <c r="K27" s="47"/>
      <c r="L27" s="39">
        <f t="shared" ref="L27" si="31">D27+L$19</f>
        <v>1.75</v>
      </c>
      <c r="M27" s="39">
        <f t="shared" ref="M27" si="32">E27+M$19</f>
        <v>0.5</v>
      </c>
      <c r="N27" s="261">
        <f t="shared" ref="N27" si="33">L27*M27</f>
        <v>0.875</v>
      </c>
      <c r="O27" s="259">
        <f t="shared" ref="O27" si="34">N27*K27</f>
        <v>0</v>
      </c>
      <c r="P27" s="252">
        <f t="shared" ref="P27" si="35">P$20*N27</f>
        <v>77768.510555225861</v>
      </c>
      <c r="Q27" s="328">
        <f t="shared" ref="Q27" si="36">P27+Q$20</f>
        <v>80768.510555225861</v>
      </c>
      <c r="R27" s="298"/>
      <c r="S27" s="46"/>
      <c r="T27" s="9"/>
      <c r="W27" s="4"/>
    </row>
    <row r="28" spans="2:24" ht="17.399999999999999" x14ac:dyDescent="0.3">
      <c r="B28" s="325">
        <v>2</v>
      </c>
      <c r="C28" s="325" t="s">
        <v>176</v>
      </c>
      <c r="D28" s="326">
        <v>0.59799999999999998</v>
      </c>
      <c r="E28" s="326">
        <v>0.30299999999999999</v>
      </c>
      <c r="F28" s="325" t="s">
        <v>180</v>
      </c>
      <c r="G28" s="327">
        <v>21870</v>
      </c>
      <c r="H28" s="327">
        <f t="shared" si="30"/>
        <v>43740</v>
      </c>
      <c r="I28" s="265"/>
      <c r="J28" s="47"/>
      <c r="K28" s="47"/>
      <c r="L28" s="39">
        <f t="shared" ref="L28" si="37">D28+L$19</f>
        <v>0.64800000000000002</v>
      </c>
      <c r="M28" s="39">
        <f t="shared" ref="M28" si="38">E28+M$19</f>
        <v>0.30299999999999999</v>
      </c>
      <c r="N28" s="261">
        <f t="shared" ref="N28" si="39">L28*M28</f>
        <v>0.19634399999999999</v>
      </c>
      <c r="O28" s="259">
        <f t="shared" ref="O28" si="40">N28*K28</f>
        <v>0</v>
      </c>
      <c r="P28" s="252">
        <f t="shared" ref="P28" si="41">P$20*N28</f>
        <v>17450.720498806018</v>
      </c>
      <c r="Q28" s="328">
        <f t="shared" ref="Q28" si="42">P28+Q$20</f>
        <v>20450.720498806018</v>
      </c>
      <c r="R28" s="298"/>
      <c r="S28" s="46"/>
      <c r="T28" s="9"/>
      <c r="W28" s="4"/>
    </row>
    <row r="29" spans="2:24" ht="17.399999999999999" x14ac:dyDescent="0.3">
      <c r="B29" s="325">
        <v>1</v>
      </c>
      <c r="C29" s="325" t="s">
        <v>182</v>
      </c>
      <c r="D29" s="326">
        <v>0.59799999999999998</v>
      </c>
      <c r="E29" s="326">
        <v>0.30299999999999999</v>
      </c>
      <c r="F29" s="325" t="s">
        <v>180</v>
      </c>
      <c r="G29" s="327">
        <v>24870</v>
      </c>
      <c r="H29" s="327">
        <f t="shared" ref="H29" si="43">G29*B29</f>
        <v>24870</v>
      </c>
      <c r="I29" s="265"/>
      <c r="J29" s="47"/>
      <c r="K29" s="47"/>
      <c r="L29" s="39"/>
      <c r="M29" s="39"/>
      <c r="N29" s="261"/>
      <c r="O29" s="259"/>
      <c r="P29" s="252"/>
      <c r="Q29" s="328"/>
      <c r="R29" s="298"/>
      <c r="S29" s="46"/>
      <c r="T29" s="9"/>
      <c r="W29" s="4"/>
    </row>
    <row r="30" spans="2:24" ht="17.399999999999999" x14ac:dyDescent="0.3">
      <c r="B30" s="325">
        <v>1</v>
      </c>
      <c r="C30" s="325" t="s">
        <v>178</v>
      </c>
      <c r="D30" s="326">
        <v>0.75</v>
      </c>
      <c r="E30" s="326">
        <v>0.3</v>
      </c>
      <c r="F30" s="325" t="s">
        <v>180</v>
      </c>
      <c r="G30" s="327">
        <v>4000</v>
      </c>
      <c r="H30" s="327">
        <f t="shared" si="30"/>
        <v>4000</v>
      </c>
      <c r="I30" s="265"/>
      <c r="J30" s="47"/>
      <c r="K30" s="47"/>
      <c r="L30" s="39"/>
      <c r="M30" s="39"/>
      <c r="N30" s="261"/>
      <c r="O30" s="259"/>
      <c r="P30" s="252"/>
      <c r="Q30" s="328"/>
      <c r="R30" s="298"/>
      <c r="S30" s="46"/>
      <c r="T30" s="9"/>
      <c r="W30" s="4"/>
    </row>
    <row r="31" spans="2:24" ht="17.399999999999999" x14ac:dyDescent="0.3">
      <c r="B31" s="325">
        <v>1</v>
      </c>
      <c r="C31" s="325" t="s">
        <v>179</v>
      </c>
      <c r="D31" s="326">
        <v>3</v>
      </c>
      <c r="E31" s="326">
        <v>0.17</v>
      </c>
      <c r="F31" s="325" t="s">
        <v>180</v>
      </c>
      <c r="G31" s="327">
        <v>4500</v>
      </c>
      <c r="H31" s="327">
        <f t="shared" si="30"/>
        <v>4500</v>
      </c>
      <c r="I31" s="265"/>
      <c r="J31" s="47"/>
      <c r="K31" s="47"/>
      <c r="L31" s="39"/>
      <c r="M31" s="39"/>
      <c r="N31" s="261"/>
      <c r="O31" s="259"/>
      <c r="P31" s="252"/>
      <c r="Q31" s="328"/>
      <c r="R31" s="298"/>
      <c r="S31" s="46"/>
      <c r="T31" s="9"/>
      <c r="W31" s="4"/>
    </row>
    <row r="32" spans="2:24" ht="17.399999999999999" x14ac:dyDescent="0.3">
      <c r="B32" s="325">
        <v>1</v>
      </c>
      <c r="C32" s="331" t="s">
        <v>184</v>
      </c>
      <c r="D32" s="326">
        <v>2.65</v>
      </c>
      <c r="E32" s="326">
        <v>0.15</v>
      </c>
      <c r="F32" s="325" t="s">
        <v>183</v>
      </c>
      <c r="G32" s="327">
        <v>19875</v>
      </c>
      <c r="H32" s="327">
        <f t="shared" si="30"/>
        <v>19875</v>
      </c>
      <c r="I32" s="265"/>
      <c r="J32" s="47"/>
      <c r="K32" s="47"/>
      <c r="L32" s="39"/>
      <c r="M32" s="39"/>
      <c r="N32" s="261"/>
      <c r="O32" s="259"/>
      <c r="P32" s="252"/>
      <c r="Q32" s="328"/>
      <c r="R32" s="298"/>
      <c r="S32" s="46"/>
      <c r="T32" s="9"/>
      <c r="W32" s="4"/>
    </row>
    <row r="33" spans="2:23" ht="17.399999999999999" x14ac:dyDescent="0.3">
      <c r="B33" s="325">
        <v>1</v>
      </c>
      <c r="C33" s="325" t="s">
        <v>181</v>
      </c>
      <c r="D33" s="326"/>
      <c r="E33" s="326"/>
      <c r="F33" s="325"/>
      <c r="G33" s="327">
        <v>30000</v>
      </c>
      <c r="H33" s="327">
        <f t="shared" ref="H33" si="44">G33*B33</f>
        <v>30000</v>
      </c>
      <c r="I33" s="265"/>
      <c r="J33" s="47"/>
      <c r="K33" s="47"/>
      <c r="L33" s="39"/>
      <c r="M33" s="39"/>
      <c r="N33" s="261"/>
      <c r="O33" s="259"/>
      <c r="P33" s="252"/>
      <c r="Q33" s="328"/>
      <c r="R33" s="298"/>
      <c r="S33" s="46"/>
      <c r="T33" s="9"/>
      <c r="W33" s="4"/>
    </row>
    <row r="34" spans="2:23" ht="17.399999999999999" x14ac:dyDescent="0.3">
      <c r="B34" s="286"/>
      <c r="C34" s="286"/>
      <c r="D34" s="287"/>
      <c r="E34" s="287"/>
      <c r="F34" s="286"/>
      <c r="G34" s="330"/>
      <c r="H34" s="330"/>
      <c r="I34" s="265"/>
      <c r="J34" s="47"/>
      <c r="K34" s="47"/>
      <c r="L34" s="39"/>
      <c r="M34" s="39"/>
      <c r="N34" s="261"/>
      <c r="O34" s="259"/>
      <c r="P34" s="252"/>
      <c r="Q34" s="328"/>
      <c r="R34" s="298"/>
      <c r="S34" s="46"/>
      <c r="T34" s="9"/>
      <c r="W34" s="4"/>
    </row>
    <row r="35" spans="2:23" ht="18" thickBot="1" x14ac:dyDescent="0.35">
      <c r="B35" s="286"/>
      <c r="C35" s="286"/>
      <c r="D35" s="287"/>
      <c r="E35" s="287"/>
      <c r="F35" s="286"/>
      <c r="G35" s="265"/>
      <c r="H35" s="233"/>
      <c r="I35" s="233"/>
      <c r="J35" s="47"/>
      <c r="K35" s="47"/>
      <c r="L35" s="39"/>
      <c r="M35" s="39"/>
      <c r="N35" s="261"/>
      <c r="O35" s="259"/>
      <c r="P35" s="252"/>
      <c r="Q35" s="258"/>
      <c r="R35" s="298"/>
      <c r="S35" s="14"/>
      <c r="T35" s="9"/>
      <c r="W35" s="4"/>
    </row>
    <row r="36" spans="2:23" ht="17.399999999999999" x14ac:dyDescent="0.3">
      <c r="B36" s="286"/>
      <c r="C36" s="286"/>
      <c r="D36" s="287"/>
      <c r="E36" s="287"/>
      <c r="F36" s="286"/>
      <c r="G36" s="299" t="s">
        <v>29</v>
      </c>
      <c r="H36" s="300">
        <f>SUM(H21:H35)</f>
        <v>516207</v>
      </c>
      <c r="I36" s="265"/>
      <c r="J36" s="47"/>
      <c r="K36" s="47"/>
      <c r="L36" s="39">
        <f>SUM(L21:L35)</f>
        <v>9.2140000000000004</v>
      </c>
      <c r="M36" s="39"/>
      <c r="N36" s="261"/>
      <c r="O36" s="259"/>
      <c r="P36" s="252"/>
      <c r="Q36" s="258"/>
      <c r="R36" s="298"/>
      <c r="S36" s="46">
        <f>SUM(S21:S35)</f>
        <v>1.1919999999999999</v>
      </c>
      <c r="T36" s="9"/>
      <c r="W36" s="4"/>
    </row>
    <row r="37" spans="2:23" ht="17.399999999999999" x14ac:dyDescent="0.3">
      <c r="B37" s="280"/>
      <c r="C37" s="283"/>
      <c r="D37" s="284"/>
      <c r="E37" s="284"/>
      <c r="F37" s="285"/>
      <c r="G37" s="297" t="s">
        <v>52</v>
      </c>
      <c r="H37" s="295"/>
      <c r="I37" s="265"/>
      <c r="J37" s="47"/>
      <c r="K37" s="47"/>
      <c r="L37" s="39"/>
      <c r="M37" s="12"/>
      <c r="N37" s="12"/>
      <c r="O37" s="253">
        <f>SUM(O21:O31)</f>
        <v>1.792856</v>
      </c>
      <c r="P37" s="14"/>
      <c r="Q37" s="12"/>
      <c r="R37" s="239"/>
      <c r="S37" s="46">
        <f>S36*20%</f>
        <v>0.2384</v>
      </c>
      <c r="T37" s="9"/>
      <c r="W37" s="4"/>
    </row>
    <row r="38" spans="2:23" ht="18" thickBot="1" x14ac:dyDescent="0.35">
      <c r="B38" s="276"/>
      <c r="C38" s="282"/>
      <c r="D38" s="272"/>
      <c r="E38" s="272"/>
      <c r="F38" s="273"/>
      <c r="G38" s="281" t="s">
        <v>6</v>
      </c>
      <c r="H38" s="296">
        <f>H36+H37</f>
        <v>516207</v>
      </c>
      <c r="I38" s="265"/>
      <c r="J38" s="47"/>
      <c r="K38" s="47"/>
      <c r="L38" s="39"/>
      <c r="M38" s="12"/>
      <c r="N38" s="12"/>
      <c r="O38" s="253">
        <f>O37</f>
        <v>1.792856</v>
      </c>
      <c r="P38" s="14"/>
      <c r="Q38" s="12"/>
      <c r="R38" s="239">
        <f>SUM(R21:R37)</f>
        <v>8.0240000000000009</v>
      </c>
      <c r="S38" s="46">
        <f>S36+S37</f>
        <v>1.4303999999999999</v>
      </c>
      <c r="T38" s="9"/>
      <c r="W38" s="4"/>
    </row>
    <row r="39" spans="2:23" ht="17.399999999999999" x14ac:dyDescent="0.3">
      <c r="B39" s="276"/>
      <c r="C39" s="271"/>
      <c r="D39" s="272"/>
      <c r="E39" s="272"/>
      <c r="F39" s="273"/>
      <c r="I39" s="265"/>
      <c r="J39" s="47"/>
      <c r="K39" s="47"/>
      <c r="L39" s="14"/>
      <c r="M39" s="12"/>
      <c r="N39" s="12"/>
      <c r="O39" s="39">
        <f>O38*20%</f>
        <v>0.35857120000000003</v>
      </c>
      <c r="P39" s="39" t="s">
        <v>131</v>
      </c>
      <c r="Q39" s="42"/>
      <c r="R39" s="240"/>
      <c r="S39" s="14"/>
      <c r="T39" s="9"/>
      <c r="W39" s="4"/>
    </row>
    <row r="40" spans="2:23" ht="17.399999999999999" x14ac:dyDescent="0.3">
      <c r="B40" s="271"/>
      <c r="C40" s="271"/>
      <c r="D40" s="272"/>
      <c r="E40" s="272"/>
      <c r="F40" s="273"/>
      <c r="G40" s="274"/>
      <c r="H40" s="275"/>
      <c r="I40" s="265"/>
      <c r="J40" s="47"/>
      <c r="K40" s="47"/>
      <c r="L40" s="14"/>
      <c r="M40" s="12"/>
      <c r="N40" s="12"/>
      <c r="O40" s="46">
        <f>O38+O39</f>
        <v>2.1514272000000001</v>
      </c>
      <c r="P40" s="14"/>
      <c r="Q40" s="14"/>
      <c r="R40" s="238">
        <v>40</v>
      </c>
      <c r="S40" s="14"/>
      <c r="T40" s="9"/>
      <c r="W40" s="4"/>
    </row>
    <row r="41" spans="2:23" ht="17.399999999999999" x14ac:dyDescent="0.35">
      <c r="B41" s="269"/>
      <c r="C41" s="230"/>
      <c r="D41" s="230"/>
      <c r="E41" s="233"/>
      <c r="F41" s="234"/>
      <c r="G41" s="230"/>
      <c r="H41" s="275"/>
      <c r="I41" s="265"/>
      <c r="J41" s="47"/>
      <c r="K41" s="47"/>
      <c r="L41" s="14"/>
      <c r="M41" s="14"/>
      <c r="N41" s="14"/>
      <c r="O41" s="14"/>
      <c r="P41" s="14"/>
      <c r="Q41" s="14"/>
      <c r="R41" s="238"/>
      <c r="S41" s="14"/>
      <c r="T41" s="305" t="s">
        <v>22</v>
      </c>
      <c r="U41" s="302" t="s">
        <v>153</v>
      </c>
      <c r="V41" s="306">
        <v>44971</v>
      </c>
      <c r="W41" s="307"/>
    </row>
    <row r="42" spans="2:23" ht="17.399999999999999" x14ac:dyDescent="0.35">
      <c r="B42" s="235"/>
      <c r="C42" s="236"/>
      <c r="D42" s="237"/>
      <c r="E42" s="235"/>
      <c r="F42" s="230"/>
      <c r="G42" s="230"/>
      <c r="I42" s="265"/>
      <c r="J42" s="47"/>
      <c r="K42" s="47"/>
      <c r="L42" s="39">
        <f>O40</f>
        <v>2.1514272000000001</v>
      </c>
      <c r="M42" s="12">
        <v>3500</v>
      </c>
      <c r="N42" s="12">
        <f t="shared" ref="N42:N47" si="45">L42*M42</f>
        <v>7529.9952000000003</v>
      </c>
      <c r="O42" s="14" t="s">
        <v>22</v>
      </c>
      <c r="P42" s="14"/>
      <c r="Q42" s="14"/>
      <c r="R42" s="241"/>
      <c r="S42" s="14"/>
      <c r="T42" s="305" t="s">
        <v>154</v>
      </c>
      <c r="U42" s="302">
        <v>3625</v>
      </c>
      <c r="V42" s="59" t="s">
        <v>155</v>
      </c>
      <c r="W42" s="307"/>
    </row>
    <row r="43" spans="2:23" ht="17.399999999999999" x14ac:dyDescent="0.35">
      <c r="B43" s="230"/>
      <c r="C43" s="230"/>
      <c r="D43" s="230"/>
      <c r="E43" s="230"/>
      <c r="F43" s="230"/>
      <c r="G43" s="230"/>
      <c r="I43" s="265"/>
      <c r="J43" s="47"/>
      <c r="K43" s="47"/>
      <c r="L43" s="249">
        <v>0.7</v>
      </c>
      <c r="M43" s="12">
        <v>45000</v>
      </c>
      <c r="N43" s="12">
        <f t="shared" si="45"/>
        <v>31499.999999999996</v>
      </c>
      <c r="O43" s="39" t="s">
        <v>32</v>
      </c>
      <c r="P43" s="42"/>
      <c r="Q43" s="14"/>
      <c r="R43" s="240"/>
      <c r="S43" s="14"/>
      <c r="T43" s="305"/>
      <c r="U43" s="59">
        <v>906.25</v>
      </c>
      <c r="V43" s="59" t="s">
        <v>156</v>
      </c>
      <c r="W43" s="307"/>
    </row>
    <row r="44" spans="2:23" s="230" customFormat="1" ht="17.399999999999999" x14ac:dyDescent="0.35">
      <c r="I44" s="262"/>
      <c r="J44" s="232"/>
      <c r="K44" s="250"/>
      <c r="L44" s="14"/>
      <c r="M44" s="250">
        <v>25000</v>
      </c>
      <c r="N44" s="12">
        <f t="shared" si="45"/>
        <v>0</v>
      </c>
      <c r="O44" s="39" t="s">
        <v>31</v>
      </c>
      <c r="P44" s="42"/>
      <c r="R44" s="240"/>
      <c r="S44" s="256"/>
      <c r="T44" s="59"/>
      <c r="U44" s="59">
        <f>U43*20%</f>
        <v>181.25</v>
      </c>
      <c r="V44" s="307" t="s">
        <v>157</v>
      </c>
      <c r="W44" s="59"/>
    </row>
    <row r="45" spans="2:23" s="230" customFormat="1" ht="17.399999999999999" x14ac:dyDescent="0.35">
      <c r="B45" s="24" t="s">
        <v>152</v>
      </c>
      <c r="I45" s="262"/>
      <c r="J45" s="232"/>
      <c r="K45" s="250"/>
      <c r="L45" s="14">
        <v>1</v>
      </c>
      <c r="M45" s="250">
        <v>33400</v>
      </c>
      <c r="N45" s="12">
        <f t="shared" si="45"/>
        <v>33400</v>
      </c>
      <c r="O45" s="14" t="s">
        <v>142</v>
      </c>
      <c r="P45" s="17"/>
      <c r="R45" s="238"/>
      <c r="S45" s="256"/>
      <c r="T45" s="59"/>
      <c r="U45" s="59">
        <f>U43+U44</f>
        <v>1087.5</v>
      </c>
      <c r="V45" s="307" t="s">
        <v>158</v>
      </c>
      <c r="W45" s="59"/>
    </row>
    <row r="46" spans="2:23" s="230" customFormat="1" ht="17.399999999999999" x14ac:dyDescent="0.35">
      <c r="B46" s="24" t="s">
        <v>145</v>
      </c>
      <c r="C46"/>
      <c r="D46"/>
      <c r="E46"/>
      <c r="F46"/>
      <c r="I46" s="262"/>
      <c r="K46" s="250"/>
      <c r="L46" s="249"/>
      <c r="M46" s="250">
        <v>300</v>
      </c>
      <c r="N46" s="12">
        <f t="shared" si="45"/>
        <v>0</v>
      </c>
      <c r="O46" s="14" t="s">
        <v>33</v>
      </c>
      <c r="P46" s="14"/>
      <c r="Q46" s="230">
        <v>1.52</v>
      </c>
      <c r="R46" s="238"/>
      <c r="S46" s="238"/>
    </row>
    <row r="47" spans="2:23" s="230" customFormat="1" ht="17.399999999999999" x14ac:dyDescent="0.35">
      <c r="B47" s="29" t="s">
        <v>126</v>
      </c>
      <c r="C47"/>
      <c r="D47"/>
      <c r="E47"/>
      <c r="F47" s="229" t="s">
        <v>16</v>
      </c>
      <c r="I47" s="294"/>
      <c r="K47" s="250"/>
      <c r="L47" s="266"/>
      <c r="M47" s="12">
        <v>1500</v>
      </c>
      <c r="N47" s="12">
        <f t="shared" si="45"/>
        <v>0</v>
      </c>
      <c r="O47" s="14" t="s">
        <v>23</v>
      </c>
      <c r="P47" s="14"/>
      <c r="Q47">
        <v>2.44</v>
      </c>
      <c r="R47"/>
      <c r="S47" s="238"/>
      <c r="W47" s="231"/>
    </row>
    <row r="48" spans="2:23" s="230" customFormat="1" ht="17.399999999999999" x14ac:dyDescent="0.35">
      <c r="K48" s="250"/>
      <c r="L48" s="14"/>
      <c r="M48" s="12"/>
      <c r="N48" s="12">
        <f>SUM(N42:N47)</f>
        <v>72429.995200000005</v>
      </c>
      <c r="O48" s="39" t="s">
        <v>24</v>
      </c>
      <c r="P48" s="14"/>
      <c r="Q48">
        <f>Q46*Q47</f>
        <v>3.7088000000000001</v>
      </c>
      <c r="R48"/>
      <c r="S48" s="238"/>
      <c r="W48" s="231"/>
    </row>
    <row r="49" spans="2:22" s="230" customFormat="1" ht="17.399999999999999" x14ac:dyDescent="0.35">
      <c r="K49" s="250"/>
      <c r="L49" s="254" t="s">
        <v>34</v>
      </c>
      <c r="M49" s="12"/>
      <c r="N49" s="255">
        <f>N48*2.2</f>
        <v>159345.98944000003</v>
      </c>
      <c r="O49" s="14" t="s">
        <v>141</v>
      </c>
      <c r="P49" s="14"/>
      <c r="Q49" s="40">
        <f>O40/Q48</f>
        <v>0.5800871440897325</v>
      </c>
      <c r="R49"/>
      <c r="S49" s="257"/>
    </row>
    <row r="50" spans="2:22" s="230" customFormat="1" ht="17.399999999999999" x14ac:dyDescent="0.35">
      <c r="G50"/>
      <c r="H50" s="260"/>
      <c r="I50" s="260"/>
      <c r="J50" s="230">
        <v>61690</v>
      </c>
      <c r="K50" s="250"/>
      <c r="L50" s="14"/>
      <c r="M50" s="12"/>
      <c r="N50" s="12">
        <f>N49/O38</f>
        <v>88878.297777400992</v>
      </c>
      <c r="O50" s="45" t="s">
        <v>25</v>
      </c>
      <c r="P50" s="14"/>
      <c r="Q50" s="14"/>
      <c r="R50"/>
      <c r="S50" s="238"/>
      <c r="T50" s="59" t="s">
        <v>159</v>
      </c>
      <c r="U50" s="302">
        <v>43650</v>
      </c>
    </row>
    <row r="51" spans="2:22" s="230" customFormat="1" ht="17.399999999999999" x14ac:dyDescent="0.35">
      <c r="G51"/>
      <c r="H51" s="230" t="s">
        <v>165</v>
      </c>
      <c r="J51" s="230">
        <f>J50/1.19</f>
        <v>51840.336134453784</v>
      </c>
      <c r="K51" s="250"/>
      <c r="L51" s="13"/>
      <c r="M51" s="14"/>
      <c r="N51" s="17">
        <f>N49/N48</f>
        <v>2.2000000000000002</v>
      </c>
      <c r="O51" s="15"/>
      <c r="P51"/>
      <c r="Q51"/>
      <c r="R51"/>
      <c r="S51" s="238"/>
      <c r="T51" s="59" t="s">
        <v>161</v>
      </c>
      <c r="U51" s="303" t="s">
        <v>160</v>
      </c>
      <c r="V51" s="59">
        <v>2.4</v>
      </c>
    </row>
    <row r="52" spans="2:22" s="230" customFormat="1" ht="17.399999999999999" x14ac:dyDescent="0.35">
      <c r="G52" s="23"/>
      <c r="K52" s="12"/>
      <c r="S52" s="238"/>
      <c r="T52" s="59" t="s">
        <v>162</v>
      </c>
      <c r="U52" s="304">
        <v>395.37</v>
      </c>
    </row>
    <row r="53" spans="2:22" s="230" customFormat="1" ht="17.399999999999999" x14ac:dyDescent="0.35">
      <c r="B53"/>
      <c r="C53" s="228"/>
      <c r="D53" s="22"/>
      <c r="E53" s="22"/>
      <c r="F53" s="21"/>
      <c r="G53" s="23"/>
      <c r="K53" s="12"/>
      <c r="S53" s="238"/>
      <c r="T53" s="59" t="s">
        <v>157</v>
      </c>
      <c r="U53" s="59">
        <v>474.45</v>
      </c>
    </row>
    <row r="54" spans="2:22" ht="14.4" customHeight="1" x14ac:dyDescent="0.3">
      <c r="K54" s="12"/>
      <c r="T54" s="59"/>
      <c r="U54" s="59"/>
    </row>
    <row r="55" spans="2:22" x14ac:dyDescent="0.3">
      <c r="K55" s="250"/>
    </row>
    <row r="56" spans="2:22" x14ac:dyDescent="0.3">
      <c r="K56" s="250"/>
      <c r="S56" s="270"/>
    </row>
    <row r="57" spans="2:22" x14ac:dyDescent="0.3">
      <c r="K57" s="250"/>
    </row>
    <row r="58" spans="2:22" ht="15" customHeight="1" x14ac:dyDescent="0.3"/>
    <row r="60" spans="2:22" x14ac:dyDescent="0.3">
      <c r="N60">
        <v>40935</v>
      </c>
      <c r="O60" t="s">
        <v>17</v>
      </c>
      <c r="P60" t="s">
        <v>27</v>
      </c>
    </row>
    <row r="62" spans="2:22" x14ac:dyDescent="0.3">
      <c r="N62" s="54"/>
      <c r="O62" s="54"/>
    </row>
    <row r="63" spans="2:22" x14ac:dyDescent="0.3">
      <c r="R63" s="18"/>
      <c r="S63" s="18"/>
    </row>
    <row r="64" spans="2:22" x14ac:dyDescent="0.3">
      <c r="R64" s="18"/>
      <c r="S64" s="18"/>
    </row>
    <row r="65" spans="14:19" x14ac:dyDescent="0.3">
      <c r="R65" s="18"/>
      <c r="S65" s="18"/>
    </row>
    <row r="66" spans="14:19" x14ac:dyDescent="0.3">
      <c r="R66" s="18"/>
      <c r="S66" s="18"/>
    </row>
    <row r="67" spans="14:19" x14ac:dyDescent="0.3">
      <c r="R67" s="18"/>
      <c r="S67" s="18"/>
    </row>
    <row r="68" spans="14:19" x14ac:dyDescent="0.3">
      <c r="R68" s="18"/>
      <c r="S68" s="18"/>
    </row>
    <row r="69" spans="14:19" x14ac:dyDescent="0.3">
      <c r="R69" s="18"/>
      <c r="S69" s="18"/>
    </row>
    <row r="70" spans="14:19" x14ac:dyDescent="0.3">
      <c r="R70" s="18"/>
      <c r="S70" s="18"/>
    </row>
    <row r="71" spans="14:19" x14ac:dyDescent="0.3">
      <c r="R71" s="18"/>
      <c r="S71" s="18"/>
    </row>
    <row r="74" spans="14:19" x14ac:dyDescent="0.3">
      <c r="N74" s="43"/>
    </row>
    <row r="75" spans="14:19" x14ac:dyDescent="0.3">
      <c r="N75" s="43"/>
    </row>
    <row r="76" spans="14:19" x14ac:dyDescent="0.3">
      <c r="N76" s="6"/>
    </row>
    <row r="77" spans="14:19" x14ac:dyDescent="0.3">
      <c r="N77" s="6"/>
    </row>
    <row r="85" spans="3:3" x14ac:dyDescent="0.3">
      <c r="C85" t="s">
        <v>149</v>
      </c>
    </row>
    <row r="86" spans="3:3" x14ac:dyDescent="0.3">
      <c r="C86" t="s">
        <v>148</v>
      </c>
    </row>
    <row r="89" spans="3:3" x14ac:dyDescent="0.3">
      <c r="C89" t="s">
        <v>148</v>
      </c>
    </row>
    <row r="166" spans="3:3" x14ac:dyDescent="0.3">
      <c r="C166" t="s">
        <v>148</v>
      </c>
    </row>
    <row r="167" spans="3:3" x14ac:dyDescent="0.3">
      <c r="C167" t="s">
        <v>150</v>
      </c>
    </row>
    <row r="168" spans="3:3" x14ac:dyDescent="0.3">
      <c r="C168" t="s">
        <v>151</v>
      </c>
    </row>
    <row r="593" spans="3:3" x14ac:dyDescent="0.3">
      <c r="C593" t="s">
        <v>148</v>
      </c>
    </row>
  </sheetData>
  <mergeCells count="2">
    <mergeCell ref="F17:H17"/>
    <mergeCell ref="B19:H19"/>
  </mergeCells>
  <phoneticPr fontId="34" type="noConversion"/>
  <hyperlinks>
    <hyperlink ref="F4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45453</v>
      </c>
    </row>
    <row r="6" spans="2:31" ht="16.2" thickBot="1" x14ac:dyDescent="0.35">
      <c r="B6" s="140" t="s">
        <v>2</v>
      </c>
      <c r="C6" s="139" t="str">
        <f>'2229'!C10</f>
        <v>MIGUEL ESTAY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10990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-67096.876353454107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'2229'!H36</f>
        <v>516207</v>
      </c>
      <c r="E11" s="132">
        <f>D11*0.19</f>
        <v>98079.33</v>
      </c>
      <c r="F11" s="131">
        <f>E11+D11</f>
        <v>614286.32999999996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38893.123646545893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68864.085987439612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20893.123646545893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447342.91401256039</v>
      </c>
      <c r="E13" s="221">
        <f>(D11/D12)-1</f>
        <v>6.4960263045407007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11893.123646545893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-27106.876353454107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113625.74187927536</v>
      </c>
      <c r="F15" s="216">
        <f>E15-D12</f>
        <v>44761.655891835748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-27106.876353454107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12893.123646545893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'2229'!N44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'2229'!N43</f>
        <v>31499.999999999996</v>
      </c>
      <c r="E19" s="123">
        <f>D19*0.19</f>
        <v>5984.9999999999991</v>
      </c>
      <c r="F19" s="120">
        <f>SUM(D19:E19)</f>
        <v>37484.999999999993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'2229'!N42</f>
        <v>7529.9952000000003</v>
      </c>
      <c r="E20" s="121">
        <f>D20*0.19</f>
        <v>1430.6990880000001</v>
      </c>
      <c r="F20" s="120">
        <f>SUM(D20:E20)</f>
        <v>8960.6942880000006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39029.995199999998</v>
      </c>
      <c r="E21" s="116">
        <f>SUM(E18:E20)</f>
        <v>7415.6990879999994</v>
      </c>
      <c r="F21" s="115">
        <f>SUM(F18:F20)</f>
        <v>46445.694287999992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90663.630912000008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516207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39029.995199999998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447342.91401256039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447342.91401256039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2024-06-13T20:03:18Z</cp:lastPrinted>
  <dcterms:created xsi:type="dcterms:W3CDTF">2013-03-18T13:35:42Z</dcterms:created>
  <dcterms:modified xsi:type="dcterms:W3CDTF">2024-06-17T15:07:42Z</dcterms:modified>
</cp:coreProperties>
</file>