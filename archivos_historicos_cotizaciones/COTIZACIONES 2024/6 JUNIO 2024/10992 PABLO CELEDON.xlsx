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D124AFAB-D971-48E6-979D-9B24AD8844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J39" i="1" l="1"/>
  <c r="L21" i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F15" i="3"/>
  <c r="Q21" i="1" l="1"/>
  <c r="H21" i="1" l="1"/>
  <c r="H24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<sst xmlns="http://schemas.openxmlformats.org/spreadsheetml/2006/main" count="229" uniqueCount="174">
  <si>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</si>
  <si>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</si>
  <si>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</si>
  <si>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</si>
  <si>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</si>
  <si>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</si>
  <si>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</si>
  <si>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</si>
  <si>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</si>
  <si>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</si>
  <si>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</si>
  <si>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</si>
  <si>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</si>
  <si>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</si>
  <si>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</si>
  <si>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</si>
  <si>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</si>
  <si>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</si>
  <si>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</si>
  <si>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</si>
  <si>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</si>
  <si>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</si>
  <si>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</si>
  <si>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</si>
  <si>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</si>
  <si>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</si>
  <si>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</si>
  <si>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</si>
  <si>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</si>
  <si>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</si>
  <si>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</si>
  <si>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</si>
  <si>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</si>
  <si>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</si>
  <si>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</si>
  <si>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</si>
  <si>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</si>
  <si>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</si>
  <si>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</si>
  <si>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</si>
  <si>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</si>
  <si>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</si>
  <si>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</si>
  <si>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</si>
  <si>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</si>
  <si>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</si>
  <si>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</si>
  <si>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</si>
  <si>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</si>
  <si>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</si>
  <si>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</si>
  <si>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</si>
  <si>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</si>
  <si>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</si>
  <si>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</si>
  <si>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</si>
  <si>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</si>
  <si>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</si>
  <si>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</si>
  <si>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</si>
  <si>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</si>
  <si>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</si>
  <si>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</si>
  <si>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</si>
  <si>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</si>
  <si>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</si>
  <si>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</si>
  <si>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</si>
  <si>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</si>
  <si>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</si>
  <si>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</si>
  <si>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</si>
  <si>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</si>
  <si>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</si>
  <si>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</si>
  <si>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</si>
  <si>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</si>
  <si>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</si>
  <si>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</si>
  <si>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</si>
  <si>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</si>
  <si>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</si>
  <si>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</si>
  <si>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</si>
  <si>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</si>
  <si>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</si>
  <si>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</si>
  <si>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</si>
  <si>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</si>
  <si>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</si>
  <si>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</si>
  <si>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</si>
  <si>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</si>
  <si>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</si>
  <si>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</si>
  <si>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</si>
  <si>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</si>
  <si>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</si>
  <si>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</si>
  <si>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</si>
  <si>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</si>
  <si>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</si>
  <si>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</si>
  <si>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</si>
  <si>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</si>
  <si>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</si>
  <si>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</si>
  <si>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</si>
  <si>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</si>
  <si>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</si>
  <si>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</si>
  <si>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</si>
  <si>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</si>
  <si>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</si>
  <si>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</si>
  <si>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</si>
  <si>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</si>
  <si>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</si>
  <si>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</si>
  <si>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</si>
  <si>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</si>
  <si>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</si>
  <si>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</si>
  <si>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</si>
  <si>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</si>
  <si>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</si>
  <si>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</si>
  <si>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</si>
  <si>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</si>
  <si>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</si>
  <si>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</si>
  <si>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</si>
  <si>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</si>
  <si>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</si>
  <si>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</si>
  <si>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</si>
  <si>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</si>
  <si>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</si>
  <si>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</si>
  <si>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</si>
  <si>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</si>
  <si>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</si>
  <si>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</si>
  <si>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</si>
  <si>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</si>
  <si>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</si>
  <si>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</si>
  <si>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</si>
  <si>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</si>
  <si>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</si>
  <si>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</si>
  <si>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</si>
  <si>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</si>
  <si>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</si>
  <si>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</si>
  <si>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</si>
  <si>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</si>
  <si>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</si>
  <si>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</si>
  <si>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</si>
  <si>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</si>
  <si>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</si>
  <si>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</si>
  <si>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</si>
  <si>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</si>
  <si>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</si>
  <si>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</si>
  <si>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</si>
  <si>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N° 10992</t>
  </si>
  <si>
    <t>PABLO CELEDON</t>
  </si>
  <si>
    <t>+569 51989092</t>
  </si>
  <si>
    <t>SI</t>
  </si>
  <si>
    <t>CUB CON RESPALDO 180°</t>
  </si>
  <si>
    <t>ALMENDRA 920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</si>
</sst>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16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45455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>
        <v>45457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171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170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93296.363636363632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172</v>
      </c>
      <c r="D21" s="326">
        <v>2.75</v>
      </c>
      <c r="E21" s="326">
        <v>0.55000000000000004</v>
      </c>
      <c r="F21" s="325" t="s">
        <v>173</v>
      </c>
      <c r="G21" s="327">
        <v>115320</v>
      </c>
      <c r="H21" s="327">
        <f>G21*B21</f>
        <v>115320</v>
      </c>
      <c r="I21" s="265"/>
      <c r="J21" s="47">
        <v>115320</v>
      </c>
      <c r="K21" s="47">
        <v>1</v>
      </c>
      <c r="L21" s="39">
        <f t="shared" ref="L21" si="1">D21+L$19</f>
        <v>2.8</v>
      </c>
      <c r="M21" s="39">
        <f t="shared" ref="M21" si="2">E21+M$19</f>
        <v>0.55000000000000004</v>
      </c>
      <c r="N21" s="261">
        <f t="shared" ref="N21" si="3">L21*M21</f>
        <v>1.54</v>
      </c>
      <c r="O21" s="259">
        <f t="shared" ref="O21" si="4">N21*K21</f>
        <v>1.54</v>
      </c>
      <c r="P21" s="252">
        <f t="shared" ref="P21" si="5">P$20*N21</f>
        <v>143676.4</v>
      </c>
      <c r="Q21" s="328">
        <f t="shared" ref="Q21" si="6">P21+Q$20</f>
        <v>146676.4</v>
      </c>
      <c r="R21" s="298">
        <f>L21*K21*2</f>
        <v>5.6</v>
      </c>
      <c r="S21" s="46">
        <f>M21*2*K21</f>
        <v>1.1000000000000001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0"/>
      <c r="H22" s="330"/>
      <c r="I22" s="265"/>
      <c r="J22" s="47"/>
      <c r="K22" s="47"/>
      <c r="L22" s="39"/>
      <c r="M22" s="39"/>
      <c r="N22" s="261"/>
      <c r="O22" s="259"/>
      <c r="P22" s="252"/>
      <c r="Q22" s="328"/>
      <c r="R22" s="29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299" t="s">
        <v>29</v>
      </c>
      <c r="H24" s="300">
        <f>SUM(H21:H23)</f>
        <v>115320</v>
      </c>
      <c r="I24" s="265"/>
      <c r="J24" s="47"/>
      <c r="K24" s="47"/>
      <c r="L24" s="39">
        <f>SUM(L21:L23)</f>
        <v>2.8</v>
      </c>
      <c r="M24" s="39"/>
      <c r="N24" s="261"/>
      <c r="O24" s="259"/>
      <c r="P24" s="252"/>
      <c r="Q24" s="258"/>
      <c r="R24" s="298"/>
      <c r="S24" s="46">
        <f>SUM(S21:S23)</f>
        <v>1.1000000000000001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/>
      <c r="I25" s="265"/>
      <c r="J25" s="47"/>
      <c r="K25" s="47"/>
      <c r="L25" s="39"/>
      <c r="M25" s="12"/>
      <c r="N25" s="12"/>
      <c r="O25" s="253">
        <f>SUM(O21:O21)</f>
        <v>1.54</v>
      </c>
      <c r="P25" s="14"/>
      <c r="Q25" s="12"/>
      <c r="R25" s="239"/>
      <c r="S25" s="46">
        <f>S24*20%</f>
        <v>0.22000000000000003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115320</v>
      </c>
      <c r="I26" s="265"/>
      <c r="J26" s="47"/>
      <c r="K26" s="47"/>
      <c r="L26" s="39"/>
      <c r="M26" s="12"/>
      <c r="N26" s="12"/>
      <c r="O26" s="253">
        <f>O25</f>
        <v>1.54</v>
      </c>
      <c r="P26" s="14"/>
      <c r="Q26" s="12"/>
      <c r="R26" s="239">
        <f>SUM(R21:R25)</f>
        <v>5.6</v>
      </c>
      <c r="S26" s="46">
        <f>S24+S25</f>
        <v>1.32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0.30800000000000005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1.8480000000000001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5" t="s">
        <v>22</v>
      </c>
      <c r="U29" s="302" t="s">
        <v>153</v>
      </c>
      <c r="V29" s="306">
        <v>44971</v>
      </c>
      <c r="W29" s="30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1.8480000000000001</v>
      </c>
      <c r="M30" s="12">
        <v>3500</v>
      </c>
      <c r="N30" s="12">
        <f t="shared" ref="N30:N35" si="7">L30*M30</f>
        <v>6468</v>
      </c>
      <c r="O30" s="14" t="s">
        <v>22</v>
      </c>
      <c r="P30" s="14"/>
      <c r="Q30" s="14"/>
      <c r="R30" s="241"/>
      <c r="S30" s="14"/>
      <c r="T30" s="305" t="s">
        <v>154</v>
      </c>
      <c r="U30" s="302">
        <v>3625</v>
      </c>
      <c r="V30" s="59" t="s">
        <v>155</v>
      </c>
      <c r="W30" s="30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0.5</v>
      </c>
      <c r="M31" s="12">
        <v>25000</v>
      </c>
      <c r="N31" s="12">
        <f t="shared" si="7"/>
        <v>12500</v>
      </c>
      <c r="O31" s="39" t="s">
        <v>32</v>
      </c>
      <c r="P31" s="42"/>
      <c r="Q31" s="14"/>
      <c r="R31" s="240"/>
      <c r="S31" s="14"/>
      <c r="T31" s="305"/>
      <c r="U31" s="59">
        <v>906.25</v>
      </c>
      <c r="V31" s="59" t="s">
        <v>156</v>
      </c>
      <c r="W31" s="307"/>
    </row>
    <row r="32" spans="2:24" s="230" customFormat="1" ht="17.399999999999999" x14ac:dyDescent="0.35">
      <c r="I32" s="262"/>
      <c r="J32" s="232"/>
      <c r="K32" s="250"/>
      <c r="L32" s="14"/>
      <c r="M32" s="250">
        <v>41277</v>
      </c>
      <c r="N32" s="12">
        <f t="shared" si="7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43500</v>
      </c>
      <c r="N33" s="12">
        <f t="shared" si="7"/>
        <v>43500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7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K35" s="250"/>
      <c r="L35" s="266"/>
      <c r="M35" s="12">
        <v>1500</v>
      </c>
      <c r="N35" s="12">
        <f t="shared" si="7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62468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N36*2.3</f>
        <v>143676.4</v>
      </c>
      <c r="O37" s="14" t="s">
        <v>141</v>
      </c>
      <c r="P37" s="14"/>
      <c r="Q37" s="40">
        <f>O28/Q36</f>
        <v>0.49827437446074202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61690</v>
      </c>
      <c r="K38" s="250"/>
      <c r="L38" s="14"/>
      <c r="M38" s="12"/>
      <c r="N38" s="12">
        <f>N37/O26</f>
        <v>93296.363636363632</v>
      </c>
      <c r="O38" s="45" t="s">
        <v>25</v>
      </c>
      <c r="P38" s="14"/>
      <c r="Q38" s="14"/>
      <c r="R38"/>
      <c r="S38" s="238"/>
      <c r="T38" s="59" t="s">
        <v>159</v>
      </c>
      <c r="U38" s="302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51840.336134453784</v>
      </c>
      <c r="K39" s="250"/>
      <c r="L39" s="13"/>
      <c r="M39" s="14"/>
      <c r="N39" s="17">
        <f>N37/N36</f>
        <v>2.2999999999999998</v>
      </c>
      <c r="O39" s="15"/>
      <c r="P39"/>
      <c r="Q39"/>
      <c r="R39"/>
      <c r="S39" s="238"/>
      <c r="T39" s="59" t="s">
        <v>161</v>
      </c>
      <c r="U39" s="30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45455</v>
      </c>
    </row>
    <row r="6" spans="2:31" ht="16.2" thickBot="1" x14ac:dyDescent="0.35">
      <c r="B6" s="140" t="s">
        <v>2</v>
      </c>
      <c r="C6" s="139" t="str">
        <f>'2229'!C10</f>
        <v>PABLO CELEDON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10992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-5799.4250334541066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115320</v>
      </c>
      <c r="E11" s="132">
        <f>D11*0.19</f>
        <v>21910.799999999999</v>
      </c>
      <c r="F11" s="131">
        <f>E11+D11</f>
        <v>137230.79999999999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100190.57496654589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48802.090787439614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82190.574966545886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66517.909212560393</v>
      </c>
      <c r="E13" s="221">
        <f>(D11/D12)-1</f>
        <v>1.363013513135801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73190.574966545886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34190.574966545893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80523.44979927536</v>
      </c>
      <c r="F15" s="216">
        <f>E15-D12</f>
        <v>31721.359011835746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34190.574966545893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74190.574966545886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6468</v>
      </c>
      <c r="E20" s="121">
        <f>D20*0.19</f>
        <v>1228.92</v>
      </c>
      <c r="F20" s="120">
        <f>SUM(D20:E20)</f>
        <v>7696.92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18968</v>
      </c>
      <c r="E21" s="116">
        <f>SUM(E18:E20)</f>
        <v>3603.92</v>
      </c>
      <c r="F21" s="115">
        <f>SUM(F18:F20)</f>
        <v>22571.919999999998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18306.879999999997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115320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18968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66517.909212560393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66517.909212560393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2024-06-13T13:11:46Z</dcterms:modified>
</cp:coreProperties>
</file>