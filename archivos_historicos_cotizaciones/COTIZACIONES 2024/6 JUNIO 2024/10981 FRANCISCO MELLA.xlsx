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F106B4C1-D5B7-462A-A152-015903775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L25" i="1" s="1"/>
  <c r="M21" i="1"/>
  <c r="R21" i="1" l="1"/>
  <c r="N21" i="1"/>
  <c r="O21" i="1" s="1"/>
  <c r="O26" i="1" s="1"/>
  <c r="J39" i="1" l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H23" i="1" s="1"/>
  <c r="R27" i="1"/>
  <c r="K15" i="1" l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<sst xmlns="http://schemas.openxmlformats.org/spreadsheetml/2006/main" count="219" uniqueCount="163">
  <si>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</si>
  <si>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</si>
  <si>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</si>
  <si>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</si>
  <si>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</si>
  <si>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</si>
  <si>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</si>
  <si>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</si>
  <si>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</si>
  <si>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</si>
  <si>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</si>
  <si>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</si>
  <si>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</si>
  <si>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</si>
  <si>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</si>
  <si>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</si>
  <si>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</si>
  <si>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</si>
  <si>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</si>
  <si>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</si>
  <si>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</si>
  <si>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</si>
  <si>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</si>
  <si>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</si>
  <si>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</si>
  <si>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</si>
  <si>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</si>
  <si>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</si>
  <si>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</si>
  <si>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</si>
  <si>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</si>
  <si>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</si>
  <si>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</si>
  <si>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</si>
  <si>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</si>
  <si>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</si>
  <si>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</si>
  <si>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</si>
  <si>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</si>
  <si>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</si>
  <si>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</si>
  <si>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</si>
  <si>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</si>
  <si>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</si>
  <si>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</si>
  <si>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</si>
  <si>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</si>
  <si>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</si>
  <si>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</si>
  <si>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</si>
  <si>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</si>
  <si>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</si>
  <si>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</si>
  <si>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</si>
  <si>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</si>
  <si>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</si>
  <si>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</si>
  <si>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</si>
  <si>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</si>
  <si>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</si>
  <si>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</si>
  <si>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</si>
  <si>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</si>
  <si>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</si>
  <si>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</si>
  <si>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</si>
  <si>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</si>
  <si>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</si>
  <si>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</si>
  <si>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</si>
  <si>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</si>
  <si>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</si>
  <si>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</si>
  <si>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</si>
  <si>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</si>
  <si>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</si>
  <si>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</si>
  <si>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</si>
  <si>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</si>
  <si>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</si>
  <si>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</si>
  <si>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</si>
  <si>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</si>
  <si>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</si>
  <si>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</si>
  <si>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</si>
  <si>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</si>
  <si>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</si>
  <si>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</si>
  <si>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</si>
  <si>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</si>
  <si>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</si>
  <si>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</si>
  <si>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</si>
  <si>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</si>
  <si>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</si>
  <si>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</si>
  <si>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</si>
  <si>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</si>
  <si>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</si>
  <si>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</si>
  <si>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</si>
  <si>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</si>
  <si>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</si>
  <si>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</si>
  <si>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</si>
  <si>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</si>
  <si>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</si>
  <si>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</si>
  <si>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</si>
  <si>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</si>
  <si>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</si>
  <si>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</si>
  <si>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</si>
  <si>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</si>
  <si>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</si>
  <si>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</si>
  <si>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</si>
  <si>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</si>
  <si>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</si>
  <si>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</si>
  <si>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</si>
  <si>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</si>
  <si>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</si>
  <si>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</si>
  <si>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</si>
  <si>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</si>
  <si>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</si>
  <si>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</si>
  <si>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</si>
  <si>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</si>
  <si>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</si>
  <si>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</si>
  <si>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</si>
  <si>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</si>
  <si>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</si>
  <si>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</si>
  <si>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</si>
  <si>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</si>
  <si>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</si>
  <si>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</si>
  <si>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</si>
  <si>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</si>
  <si>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</si>
  <si>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</si>
  <si>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</si>
  <si>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</si>
  <si>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</si>
  <si>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</si>
  <si>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</si>
  <si>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</si>
  <si>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</si>
  <si>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</si>
  <si>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</si>
  <si>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</si>
  <si>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</si>
  <si>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</si>
  <si>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</si>
  <si>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</si>
  <si>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7 DIAS HABILES</t>
  </si>
  <si>
    <t>MAPLE CLARO 1322 MT</t>
  </si>
  <si>
    <t>FRANCISCO MELLA</t>
  </si>
  <si>
    <t>N° 10981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</si>
</sst>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</a:t>
          </a:r>
          <a:r>
            <a:rPr lang="es-CL" sz="1200" b="1" baseline="0"/>
            <a:t> ENTREGAN CORTADAS A LA MEDIDA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MELAMIL 18MM 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4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4.77734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45447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159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158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4554.0024257125533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106660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1</v>
      </c>
      <c r="C21" s="324" t="s">
        <v>37</v>
      </c>
      <c r="D21" s="320">
        <v>2.25</v>
      </c>
      <c r="E21" s="320">
        <v>0.6</v>
      </c>
      <c r="F21" s="319" t="s">
        <v>160</v>
      </c>
      <c r="G21" s="321">
        <v>150191</v>
      </c>
      <c r="H21" s="322">
        <f t="shared" ref="H21" si="1">G21*B21</f>
        <v>150191</v>
      </c>
      <c r="I21" s="265"/>
      <c r="J21" s="47"/>
      <c r="K21" s="47">
        <f t="shared" ref="K21" si="2">B21</f>
        <v>1</v>
      </c>
      <c r="L21" s="39">
        <f t="shared" ref="L21" si="3">D21+L$19</f>
        <v>2.2999999999999998</v>
      </c>
      <c r="M21" s="39">
        <f t="shared" ref="M21" si="4">E21+M$19</f>
        <v>0.6</v>
      </c>
      <c r="N21" s="261">
        <f t="shared" ref="N21" si="5">L21*M21</f>
        <v>1.38</v>
      </c>
      <c r="O21" s="259">
        <f t="shared" ref="O21" si="6">N21*K21</f>
        <v>1.38</v>
      </c>
      <c r="P21" s="252">
        <f t="shared" ref="P21" si="7">P$20*N21</f>
        <v>147190.79999999999</v>
      </c>
      <c r="Q21" s="258">
        <f t="shared" ref="Q21" si="8">P21+Q$20</f>
        <v>150190.79999999999</v>
      </c>
      <c r="R21" s="307">
        <f t="shared" ref="R21" si="9">K21*L21</f>
        <v>2.2999999999999998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SUM(H21:H21)</f>
        <v>150191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28536.29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178727.29</v>
      </c>
      <c r="I25" s="265"/>
      <c r="J25" s="47"/>
      <c r="K25" s="47"/>
      <c r="L25" s="39">
        <f>SUM(L21:L21)*2</f>
        <v>4.5999999999999996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1.38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1.38</v>
      </c>
      <c r="P27" s="14"/>
      <c r="Q27" s="12"/>
      <c r="R27" s="238">
        <f>SUM(R21:R26)</f>
        <v>2.2999999999999998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0.27599999999999997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1.6559999999999999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1.6559999999999999</v>
      </c>
      <c r="M31" s="12">
        <v>3500</v>
      </c>
      <c r="N31" s="12">
        <f t="shared" ref="N31:N36" si="10">L31*M31</f>
        <v>5796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0.5</v>
      </c>
      <c r="M32" s="12">
        <v>23500</v>
      </c>
      <c r="N32" s="12">
        <f t="shared" si="10"/>
        <v>11750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23500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1</v>
      </c>
      <c r="M34" s="250">
        <v>43000</v>
      </c>
      <c r="N34" s="12">
        <f t="shared" si="10"/>
        <v>43000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2.2999999999999998</v>
      </c>
      <c r="M36" s="12">
        <v>1500</v>
      </c>
      <c r="N36" s="12">
        <f t="shared" si="10"/>
        <v>3449.9999999999995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63996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N37*2.3</f>
        <v>147190.79999999999</v>
      </c>
      <c r="O38" s="14" t="s">
        <v>142</v>
      </c>
      <c r="P38" s="14"/>
      <c r="Q38" s="46">
        <f>O29/Q37</f>
        <v>0.24724536414942216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106660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2.2999999999999998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0.36196721311475405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45447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-12002.30836678744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150191</v>
      </c>
      <c r="E11" s="132">
        <f>D11*0.19</f>
        <v>28536.29</v>
      </c>
      <c r="F11" s="131">
        <f>E11+D11</f>
        <v>178727.29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93987.691633212555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47380.090787439614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75987.691633212555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102810.90921256039</v>
      </c>
      <c r="E13" s="221">
        <f>(D11/D12)-1</f>
        <v>2.1699179445180672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66987.691633212555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27987.691633212562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78177.149799275358</v>
      </c>
      <c r="F15" s="216">
        <f>E15-D12</f>
        <v>30797.059011835743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27987.691633212562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67987.691633212555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5796</v>
      </c>
      <c r="E20" s="121">
        <f>D20*0.19</f>
        <v>1101.24</v>
      </c>
      <c r="F20" s="120">
        <f>SUM(D20:E20)</f>
        <v>6897.24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17546</v>
      </c>
      <c r="E21" s="116">
        <f>SUM(E18:E20)</f>
        <v>3333.74</v>
      </c>
      <c r="F21" s="115">
        <f>SUM(F18:F20)</f>
        <v>20879.739999999998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25202.550000000003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150191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17546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102810.90921256039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102810.90921256039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2024-06-04T20:07:53Z</dcterms:modified>
</cp:coreProperties>
</file>