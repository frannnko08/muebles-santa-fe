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8428FA87-DFAC-4673-A412-F95C209E0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J30" i="1"/>
  <c r="K10" i="1"/>
  <c r="H24" i="1" l="1"/>
  <c r="H25" i="1" s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<sst xmlns="http://schemas.openxmlformats.org/spreadsheetml/2006/main" count="219" uniqueCount="165">
  <si>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</si>
  <si>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</si>
  <si>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</si>
  <si>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</si>
  <si>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</si>
  <si>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</si>
  <si>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</si>
  <si>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</si>
  <si>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</si>
  <si>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</si>
  <si>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</si>
  <si>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</si>
  <si>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</si>
  <si>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</si>
  <si>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</si>
  <si>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</si>
  <si>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</si>
  <si>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</si>
  <si>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</si>
  <si>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</si>
  <si>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</si>
  <si>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</si>
  <si>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</si>
  <si>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</si>
  <si>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</si>
  <si>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</si>
  <si>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</si>
  <si>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</si>
  <si>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</si>
  <si>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</si>
  <si>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</si>
  <si>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</si>
  <si>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</si>
  <si>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</si>
  <si>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</si>
  <si>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</si>
  <si>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</si>
  <si>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</si>
  <si>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</si>
  <si>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</si>
  <si>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</si>
  <si>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</si>
  <si>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</si>
  <si>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</si>
  <si>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</si>
  <si>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</si>
  <si>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</si>
  <si>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</si>
  <si>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</si>
  <si>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</si>
  <si>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</si>
  <si>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</si>
  <si>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</si>
  <si>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</si>
  <si>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</si>
  <si>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</si>
  <si>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</si>
  <si>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</si>
  <si>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</si>
  <si>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</si>
  <si>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</si>
  <si>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</si>
  <si>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</si>
  <si>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</si>
  <si>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</si>
  <si>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</si>
  <si>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</si>
  <si>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</si>
  <si>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</si>
  <si>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</si>
  <si>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</si>
  <si>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</si>
  <si>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</si>
  <si>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</si>
  <si>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</si>
  <si>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</si>
  <si>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</si>
  <si>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</si>
  <si>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</si>
  <si>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</si>
  <si>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</si>
  <si>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</si>
  <si>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</si>
  <si>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</si>
  <si>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</si>
  <si>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</si>
  <si>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</si>
  <si>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</si>
  <si>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</si>
  <si>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</si>
  <si>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</si>
  <si>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</si>
  <si>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</si>
  <si>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</si>
  <si>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</si>
  <si>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</si>
  <si>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</si>
  <si>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</si>
  <si>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</si>
  <si>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</si>
  <si>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</si>
  <si>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</si>
  <si>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</si>
  <si>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</si>
  <si>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</si>
  <si>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</si>
  <si>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</si>
  <si>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</si>
  <si>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</si>
  <si>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</si>
  <si>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</si>
  <si>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</si>
  <si>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</si>
  <si>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</si>
  <si>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</si>
  <si>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</si>
  <si>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</si>
  <si>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</si>
  <si>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</si>
  <si>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</si>
  <si>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</si>
  <si>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</si>
  <si>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</si>
  <si>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</si>
  <si>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</si>
  <si>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</si>
  <si>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</si>
  <si>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</si>
  <si>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</si>
  <si>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</si>
  <si>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</si>
  <si>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</si>
  <si>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</si>
  <si>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</si>
  <si>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</si>
  <si>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</si>
  <si>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</si>
  <si>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</si>
  <si>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</si>
  <si>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</si>
  <si>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</si>
  <si>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</si>
  <si>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</si>
  <si>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</si>
  <si>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</si>
  <si>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</si>
  <si>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</si>
  <si>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</si>
  <si>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</si>
  <si>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</si>
  <si>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</si>
  <si>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</si>
  <si>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</si>
  <si>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</si>
  <si>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</si>
  <si>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</si>
  <si>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</si>
  <si>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</si>
  <si>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</si>
  <si>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MUEBLES FORD</t>
  </si>
  <si>
    <t>ENRIQUE FORD</t>
  </si>
  <si>
    <t>+569 8293 1990</t>
  </si>
  <si>
    <t>N° 11004</t>
  </si>
  <si>
    <t>CUBIERTA SIN RESPALDP R2MM</t>
  </si>
  <si>
    <t>GRANITINO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</si>
</sst>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22</xdr:row>
      <xdr:rowOff>84014</xdr:rowOff>
    </xdr:from>
    <xdr:to>
      <xdr:col>5</xdr:col>
      <xdr:colOff>1849560</xdr:colOff>
      <xdr:row>26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8" zoomScaleNormal="98" workbookViewId="0">
      <selection activeCell="J38" sqref="J38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45467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123049.69696969696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7" t="s">
        <v>163</v>
      </c>
      <c r="D21" s="313">
        <v>1.6</v>
      </c>
      <c r="E21" s="313">
        <v>0.6</v>
      </c>
      <c r="F21" s="312" t="s">
        <v>164</v>
      </c>
      <c r="G21" s="314">
        <v>124819</v>
      </c>
      <c r="H21" s="315">
        <f t="shared" ref="H21" si="1">G21*B21</f>
        <v>124819</v>
      </c>
      <c r="I21" s="265"/>
      <c r="J21" s="47"/>
      <c r="K21" s="325">
        <f>B21</f>
        <v>1</v>
      </c>
      <c r="L21" s="326">
        <f t="shared" ref="L21:M21" si="2">D21+L$19</f>
        <v>1.6500000000000001</v>
      </c>
      <c r="M21" s="326">
        <f t="shared" si="2"/>
        <v>0.6</v>
      </c>
      <c r="N21" s="261">
        <f>L21*M21</f>
        <v>0.99</v>
      </c>
      <c r="O21" s="259">
        <f>N21*K21</f>
        <v>0.99</v>
      </c>
      <c r="P21" s="252">
        <f>P$20*N21</f>
        <v>121819.2</v>
      </c>
      <c r="Q21" s="258">
        <f>P21+Q$20</f>
        <v>124819.2</v>
      </c>
      <c r="R21" s="308">
        <f>K21*L21</f>
        <v>1.6500000000000001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124819</v>
      </c>
      <c r="I24" s="265"/>
      <c r="J24" s="47"/>
      <c r="K24" s="47"/>
      <c r="L24" s="39">
        <f>SUM(L21:L23)</f>
        <v>1.6500000000000001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23715.61</v>
      </c>
      <c r="I25" s="265"/>
      <c r="J25" s="47"/>
      <c r="K25" s="47"/>
      <c r="L25" s="39"/>
      <c r="M25" s="12"/>
      <c r="N25" s="12"/>
      <c r="O25" s="253">
        <f>SUM(O21:O21)</f>
        <v>0.99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148534.60999999999</v>
      </c>
      <c r="I26" s="265"/>
      <c r="J26" s="47"/>
      <c r="K26" s="47"/>
      <c r="L26" s="39"/>
      <c r="M26" s="12"/>
      <c r="N26" s="12"/>
      <c r="O26" s="253">
        <f>O25</f>
        <v>0.99</v>
      </c>
      <c r="P26" s="14"/>
      <c r="Q26" s="12"/>
      <c r="R26" s="238">
        <f>SUM(R21:R25)</f>
        <v>1.6500000000000001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39"/>
      <c r="M27" s="12"/>
      <c r="N27" s="12"/>
      <c r="O27" s="39">
        <f>O26*20%</f>
        <v>0.19800000000000001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>
        <v>32</v>
      </c>
      <c r="K28" s="47"/>
      <c r="L28" s="14"/>
      <c r="M28" s="12"/>
      <c r="N28" s="12"/>
      <c r="O28" s="46">
        <f>O26+O27</f>
        <v>1.1879999999999999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1.1879999999999999</v>
      </c>
      <c r="M30" s="12">
        <v>3500</v>
      </c>
      <c r="N30" s="12">
        <f t="shared" ref="N30:N35" si="3">L30*M30</f>
        <v>4158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55000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39100</v>
      </c>
      <c r="N33" s="12">
        <f t="shared" si="3"/>
        <v>39100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50758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49930</v>
      </c>
      <c r="K37" s="250"/>
      <c r="L37" s="254" t="s">
        <v>35</v>
      </c>
      <c r="M37" s="12"/>
      <c r="N37" s="255">
        <f>N36*2.4</f>
        <v>121819.2</v>
      </c>
      <c r="O37" s="14" t="s">
        <v>142</v>
      </c>
      <c r="P37" s="14"/>
      <c r="Q37" s="46">
        <f>O26/Q36</f>
        <v>0.26693270060396895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41957.983193277316</v>
      </c>
      <c r="K38" s="250"/>
      <c r="L38" s="14"/>
      <c r="M38" s="12"/>
      <c r="N38" s="12">
        <f>N37/O26</f>
        <v>123049.69696969696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2.4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0.25967213114754095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45467</v>
      </c>
    </row>
    <row r="6" spans="2:31" ht="16.2" thickBot="1" x14ac:dyDescent="0.35">
      <c r="B6" s="140" t="s">
        <v>2</v>
      </c>
      <c r="C6" s="139" t="str">
        <f>'2229'!C10</f>
        <v>MUEBLES FORD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11004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-9392.8417001207727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124819</v>
      </c>
      <c r="E11" s="132">
        <f>D11*0.19</f>
        <v>23715.61</v>
      </c>
      <c r="F11" s="131">
        <f>E11+D11</f>
        <v>148534.60999999999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96597.158299879229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41492.090787439614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78597.158299879229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83326.909212560393</v>
      </c>
      <c r="E13" s="221">
        <f>(D11/D12)-1</f>
        <v>2.0082600715263283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69597.158299879229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30597.158299879229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68461.94979927536</v>
      </c>
      <c r="F15" s="216">
        <f>E15-D12</f>
        <v>26969.859011835746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30597.158299879229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70597.158299879229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4158</v>
      </c>
      <c r="E20" s="121">
        <f>D20*0.19</f>
        <v>790.02</v>
      </c>
      <c r="F20" s="120">
        <f>SUM(D20:E20)</f>
        <v>4948.0200000000004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11658</v>
      </c>
      <c r="E21" s="116">
        <f>SUM(E18:E20)</f>
        <v>2215.02</v>
      </c>
      <c r="F21" s="115">
        <f>SUM(F18:F20)</f>
        <v>13873.02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21500.59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124819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11658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83326.909212560393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83326.909212560393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2024-06-24T14:14:34Z</cp:lastPrinted>
  <dcterms:created xsi:type="dcterms:W3CDTF">2013-03-18T13:35:42Z</dcterms:created>
  <dcterms:modified xsi:type="dcterms:W3CDTF">2024-06-24T14:24:26Z</dcterms:modified>
</cp:coreProperties>
</file>