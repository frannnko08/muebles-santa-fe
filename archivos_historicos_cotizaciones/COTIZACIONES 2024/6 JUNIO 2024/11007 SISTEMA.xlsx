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7368B2E2-49EC-45B1-B296-5D1E6505A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" i="1" l="1"/>
  <c r="L24" i="1"/>
  <c r="M24" i="1"/>
  <c r="N24" i="1"/>
  <c r="O24" i="1"/>
  <c r="P24" i="1" s="1"/>
  <c r="L25" i="1"/>
  <c r="M25" i="1"/>
  <c r="N25" i="1"/>
  <c r="O25" i="1" s="1"/>
  <c r="L26" i="1"/>
  <c r="M26" i="1"/>
  <c r="N26" i="1"/>
  <c r="L27" i="1"/>
  <c r="M27" i="1"/>
  <c r="O27" i="1" s="1"/>
  <c r="N27" i="1"/>
  <c r="L28" i="1"/>
  <c r="M28" i="1"/>
  <c r="N28" i="1"/>
  <c r="O28" i="1" s="1"/>
  <c r="P28" i="1" s="1"/>
  <c r="L29" i="1"/>
  <c r="M29" i="1"/>
  <c r="N29" i="1"/>
  <c r="L30" i="1"/>
  <c r="M30" i="1"/>
  <c r="N30" i="1"/>
  <c r="L31" i="1"/>
  <c r="M31" i="1"/>
  <c r="N31" i="1"/>
  <c r="L32" i="1"/>
  <c r="M32" i="1"/>
  <c r="N32" i="1"/>
  <c r="O32" i="1"/>
  <c r="P32" i="1" s="1"/>
  <c r="L33" i="1"/>
  <c r="M33" i="1"/>
  <c r="O33" i="1" s="1"/>
  <c r="N33" i="1"/>
  <c r="L34" i="1"/>
  <c r="M34" i="1"/>
  <c r="N34" i="1"/>
  <c r="B35" i="1"/>
  <c r="L22" i="1"/>
  <c r="M22" i="1"/>
  <c r="N22" i="1"/>
  <c r="L23" i="1"/>
  <c r="M23" i="1"/>
  <c r="N23" i="1"/>
  <c r="L21" i="1"/>
  <c r="K43" i="1"/>
  <c r="L10" i="1"/>
  <c r="O34" i="1" l="1"/>
  <c r="O29" i="1"/>
  <c r="O30" i="1"/>
  <c r="O31" i="1"/>
  <c r="O26" i="1"/>
  <c r="P30" i="1"/>
  <c r="P31" i="1"/>
  <c r="P26" i="1"/>
  <c r="P33" i="1"/>
  <c r="P27" i="1"/>
  <c r="P34" i="1"/>
  <c r="P29" i="1"/>
  <c r="P25" i="1"/>
  <c r="S22" i="1"/>
  <c r="O23" i="1"/>
  <c r="P23" i="1" s="1"/>
  <c r="O22" i="1"/>
  <c r="P22" i="1" s="1"/>
  <c r="S23" i="1"/>
  <c r="K51" i="1"/>
  <c r="M21" i="1" l="1"/>
  <c r="M37" i="1" s="1"/>
  <c r="N21" i="1"/>
  <c r="O21" i="1" l="1"/>
  <c r="P21" i="1" s="1"/>
  <c r="S21" i="1"/>
  <c r="O44" i="1"/>
  <c r="P39" i="1" l="1"/>
  <c r="T56" i="1"/>
  <c r="P40" i="1" l="1"/>
  <c r="N20" i="1"/>
  <c r="L20" i="1"/>
  <c r="O45" i="1" l="1"/>
  <c r="R49" i="1"/>
  <c r="R50" i="1" s="1"/>
  <c r="O46" i="1" l="1"/>
  <c r="T49" i="1" l="1"/>
  <c r="T5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8" i="1"/>
  <c r="O47" i="1"/>
  <c r="F18" i="3" l="1"/>
  <c r="P41" i="1" l="1"/>
  <c r="M43" i="1" s="1"/>
  <c r="O43" i="1" l="1"/>
  <c r="T57" i="1"/>
  <c r="O49" i="1" l="1"/>
  <c r="O50" i="1" s="1"/>
  <c r="D20" i="3"/>
  <c r="E20" i="3" s="1"/>
  <c r="E21" i="3" s="1"/>
  <c r="O52" i="1" l="1"/>
  <c r="D21" i="3"/>
  <c r="M43" i="3" s="1"/>
  <c r="D12" i="3" s="1"/>
  <c r="F20" i="3"/>
  <c r="F21" i="3" s="1"/>
  <c r="O51" i="1" l="1"/>
  <c r="Q20" i="1" s="1"/>
  <c r="E15" i="3"/>
  <c r="Q31" i="1" l="1"/>
  <c r="Q34" i="1"/>
  <c r="Q30" i="1"/>
  <c r="Q26" i="1"/>
  <c r="Q29" i="1"/>
  <c r="Q32" i="1"/>
  <c r="Q27" i="1"/>
  <c r="Q28" i="1"/>
  <c r="Q33" i="1"/>
  <c r="Q25" i="1"/>
  <c r="Q24" i="1"/>
  <c r="Q23" i="1"/>
  <c r="Q22" i="1"/>
  <c r="Q21" i="1"/>
  <c r="H21" i="1" s="1"/>
  <c r="I21" i="1" s="1"/>
  <c r="F15" i="3"/>
  <c r="R25" i="1" l="1"/>
  <c r="H25" i="1"/>
  <c r="I25" i="1" s="1"/>
  <c r="R32" i="1"/>
  <c r="H32" i="1"/>
  <c r="I32" i="1" s="1"/>
  <c r="R34" i="1"/>
  <c r="H34" i="1"/>
  <c r="I34" i="1" s="1"/>
  <c r="R22" i="1"/>
  <c r="H22" i="1"/>
  <c r="I22" i="1" s="1"/>
  <c r="I37" i="1" s="1"/>
  <c r="I38" i="1" s="1"/>
  <c r="R33" i="1"/>
  <c r="H33" i="1"/>
  <c r="I33" i="1" s="1"/>
  <c r="R29" i="1"/>
  <c r="H29" i="1"/>
  <c r="I29" i="1" s="1"/>
  <c r="R31" i="1"/>
  <c r="H31" i="1"/>
  <c r="I31" i="1" s="1"/>
  <c r="R23" i="1"/>
  <c r="H23" i="1"/>
  <c r="I23" i="1" s="1"/>
  <c r="R28" i="1"/>
  <c r="H28" i="1"/>
  <c r="I28" i="1" s="1"/>
  <c r="R26" i="1"/>
  <c r="H26" i="1"/>
  <c r="I26" i="1" s="1"/>
  <c r="R24" i="1"/>
  <c r="H24" i="1"/>
  <c r="I24" i="1" s="1"/>
  <c r="R27" i="1"/>
  <c r="H27" i="1"/>
  <c r="I27" i="1" s="1"/>
  <c r="R30" i="1"/>
  <c r="H30" i="1"/>
  <c r="I30" i="1" s="1"/>
  <c r="R21" i="1"/>
  <c r="S39" i="1"/>
  <c r="I39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<sst xmlns="http://schemas.openxmlformats.org/spreadsheetml/2006/main" count="259" uniqueCount="179">
  <si>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</si>
  <si>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</si>
  <si>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</si>
  <si>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</si>
  <si>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</si>
  <si>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</si>
  <si>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</si>
  <si>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</si>
  <si>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</si>
  <si>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</si>
  <si>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</si>
  <si>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</si>
  <si>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</si>
  <si>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</si>
  <si>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</si>
  <si>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</si>
  <si>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</si>
  <si>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</si>
  <si>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</si>
  <si>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</si>
  <si>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</si>
  <si>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</si>
  <si>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</si>
  <si>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</si>
  <si>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</si>
  <si>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</si>
  <si>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</si>
  <si>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</si>
  <si>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</si>
  <si>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</si>
  <si>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</si>
  <si>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</si>
  <si>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</si>
  <si>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</si>
  <si>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</si>
  <si>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</si>
  <si>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</si>
  <si>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</si>
  <si>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</si>
  <si>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</si>
  <si>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</si>
  <si>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</si>
  <si>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</si>
  <si>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</si>
  <si>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</si>
  <si>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</si>
  <si>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</si>
  <si>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</si>
  <si>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</si>
  <si>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</si>
  <si>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</si>
  <si>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</si>
  <si>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</si>
  <si>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</si>
  <si>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</si>
  <si>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</si>
  <si>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</si>
  <si>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</si>
  <si>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</si>
  <si>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</si>
  <si>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</si>
  <si>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</si>
  <si>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</si>
  <si>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</si>
  <si>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</si>
  <si>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</si>
  <si>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</si>
  <si>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</si>
  <si>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</si>
  <si>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</si>
  <si>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</si>
  <si>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</si>
  <si>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</si>
  <si>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</si>
  <si>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</si>
  <si>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</si>
  <si>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</si>
  <si>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</si>
  <si>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</si>
  <si>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</si>
  <si>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</si>
  <si>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</si>
  <si>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</si>
  <si>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</si>
  <si>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</si>
  <si>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</si>
  <si>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</si>
  <si>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</si>
  <si>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</si>
  <si>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</si>
  <si>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</si>
  <si>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</si>
  <si>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</si>
  <si>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</si>
  <si>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</si>
  <si>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</si>
  <si>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</si>
  <si>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</si>
  <si>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</si>
  <si>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</si>
  <si>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</si>
  <si>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</si>
  <si>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</si>
  <si>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</si>
  <si>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</si>
  <si>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</si>
  <si>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</si>
  <si>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</si>
  <si>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</si>
  <si>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</si>
  <si>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</si>
  <si>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</si>
  <si>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</si>
  <si>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</si>
  <si>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</si>
  <si>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</si>
  <si>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</si>
  <si>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</si>
  <si>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</si>
  <si>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</si>
  <si>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</si>
  <si>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</si>
  <si>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</si>
  <si>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</si>
  <si>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</si>
  <si>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</si>
  <si>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</si>
  <si>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</si>
  <si>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</si>
  <si>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</si>
  <si>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</si>
  <si>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</si>
  <si>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</si>
  <si>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</si>
  <si>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</si>
  <si>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</si>
  <si>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</si>
  <si>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</si>
  <si>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</si>
  <si>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</si>
  <si>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</si>
  <si>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</si>
  <si>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</si>
  <si>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</si>
  <si>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</si>
  <si>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</si>
  <si>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</si>
  <si>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</si>
  <si>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</si>
  <si>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</si>
  <si>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</si>
  <si>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</si>
  <si>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</si>
  <si>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</si>
  <si>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</si>
  <si>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</si>
  <si>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</si>
  <si>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</si>
  <si>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7 DIAS HABILES</t>
  </si>
  <si>
    <t>SI</t>
  </si>
  <si>
    <t>SISTEMA</t>
  </si>
  <si>
    <t>BARBARA</t>
  </si>
  <si>
    <t>+569 5767 0178</t>
  </si>
  <si>
    <t>CUB S/R FRENTE ESPAÑOL</t>
  </si>
  <si>
    <t>NATURAL ELM 1499 MT</t>
  </si>
  <si>
    <t>CODIGO</t>
  </si>
  <si>
    <t>M010</t>
  </si>
  <si>
    <t>M011</t>
  </si>
  <si>
    <t>M012</t>
  </si>
  <si>
    <t>M013</t>
  </si>
  <si>
    <t>M019</t>
  </si>
  <si>
    <t>M022</t>
  </si>
  <si>
    <t>M023</t>
  </si>
  <si>
    <t>M028</t>
  </si>
  <si>
    <t>M029</t>
  </si>
  <si>
    <t>M033</t>
  </si>
  <si>
    <t>M034</t>
  </si>
  <si>
    <t>M001</t>
  </si>
  <si>
    <t>CUB MESA 2 LADOS FRENTE ESPAÑOL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</si>
</sst>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37" fillId="0" borderId="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4" fillId="20" borderId="9" xfId="0" applyFont="1" applyFill="1" applyBorder="1" applyAlignment="1">
      <alignment horizontal="left" indent="1"/>
    </xf>
    <xf numFmtId="0" fontId="0" fillId="0" borderId="0" xfId="0" applyBorder="1"/>
    <xf numFmtId="0" fontId="0" fillId="8" borderId="0" xfId="0" applyFill="1" applyBorder="1"/>
    <xf numFmtId="0" fontId="7" fillId="0" borderId="0" xfId="0" applyFont="1" applyBorder="1"/>
    <xf numFmtId="0" fontId="5" fillId="5" borderId="34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167" fontId="0" fillId="0" borderId="0" xfId="0" applyNumberFormat="1" applyFill="1"/>
    <xf numFmtId="166" fontId="3" fillId="0" borderId="0" xfId="0" applyNumberFormat="1" applyFont="1" applyFill="1"/>
    <xf numFmtId="167" fontId="0" fillId="16" borderId="0" xfId="0" applyNumberFormat="1" applyFill="1"/>
    <xf numFmtId="166" fontId="3" fillId="16" borderId="0" xfId="0" applyNumberFormat="1" applyFont="1" applyFill="1"/>
    <xf numFmtId="167" fontId="0" fillId="6" borderId="0" xfId="0" applyNumberFormat="1" applyFill="1"/>
    <xf numFmtId="166" fontId="3" fillId="6" borderId="0" xfId="0" applyNumberFormat="1" applyFont="1" applyFill="1"/>
    <xf numFmtId="167" fontId="0" fillId="19" borderId="0" xfId="0" applyNumberFormat="1" applyFill="1"/>
    <xf numFmtId="166" fontId="3" fillId="19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41</xdr:row>
      <xdr:rowOff>28575</xdr:rowOff>
    </xdr:from>
    <xdr:to>
      <xdr:col>9</xdr:col>
      <xdr:colOff>100890</xdr:colOff>
      <xdr:row>44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43</xdr:row>
      <xdr:rowOff>154305</xdr:rowOff>
    </xdr:from>
    <xdr:to>
      <xdr:col>8</xdr:col>
      <xdr:colOff>853440</xdr:colOff>
      <xdr:row>43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41</xdr:row>
      <xdr:rowOff>9525</xdr:rowOff>
    </xdr:from>
    <xdr:to>
      <xdr:col>6</xdr:col>
      <xdr:colOff>1714500</xdr:colOff>
      <xdr:row>44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35</xdr:row>
      <xdr:rowOff>84014</xdr:rowOff>
    </xdr:from>
    <xdr:to>
      <xdr:col>6</xdr:col>
      <xdr:colOff>1849560</xdr:colOff>
      <xdr:row>39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3</xdr:col>
      <xdr:colOff>794921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94"/>
  <sheetViews>
    <sheetView tabSelected="1" topLeftCell="A7" zoomScale="98" zoomScaleNormal="98" workbookViewId="0">
      <selection activeCell="A45" sqref="A45"/>
    </sheetView>
  </sheetViews>
  <sheetFormatPr baseColWidth="10" defaultRowHeight="14.4" x14ac:dyDescent="0.3"/>
  <cols>
    <col min="1" max="1" width="6" customWidth="1"/>
    <col min="2" max="3" width="10.5546875" customWidth="1"/>
    <col min="4" max="4" width="30.77734375" customWidth="1"/>
    <col min="5" max="5" width="11.109375" customWidth="1"/>
    <col min="6" max="6" width="10.5546875" customWidth="1"/>
    <col min="7" max="7" width="35.5546875" customWidth="1"/>
    <col min="8" max="8" width="14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8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G2" s="241" t="s">
        <v>144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G3" s="59" t="s">
        <v>140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G4" s="59" t="s">
        <v>145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G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G6" s="59" t="s">
        <v>15</v>
      </c>
      <c r="O6" s="33" t="s">
        <v>20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G7" s="59" t="s">
        <v>126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01" t="s">
        <v>128</v>
      </c>
      <c r="C8" s="340"/>
      <c r="D8" s="302"/>
      <c r="E8" s="321">
        <v>11007</v>
      </c>
      <c r="G8" s="59"/>
      <c r="K8" s="52"/>
      <c r="R8" s="2"/>
      <c r="S8" s="3"/>
      <c r="T8" s="3"/>
      <c r="U8" s="2"/>
      <c r="V8" s="2"/>
      <c r="W8" s="3"/>
    </row>
    <row r="9" spans="2:24" ht="15" thickBot="1" x14ac:dyDescent="0.35">
      <c r="L9" s="18">
        <v>56950</v>
      </c>
      <c r="R9" s="2"/>
      <c r="S9" s="3"/>
      <c r="T9" s="3"/>
      <c r="U9" s="4"/>
      <c r="V9" s="2"/>
      <c r="W9" s="3"/>
    </row>
    <row r="10" spans="2:24" x14ac:dyDescent="0.3">
      <c r="B10" s="242" t="s">
        <v>2</v>
      </c>
      <c r="C10" s="279"/>
      <c r="D10" s="279" t="s">
        <v>160</v>
      </c>
      <c r="E10" s="243"/>
      <c r="F10" s="243"/>
      <c r="G10" s="244" t="s">
        <v>0</v>
      </c>
      <c r="H10" s="277">
        <v>45469</v>
      </c>
      <c r="I10" s="245"/>
      <c r="K10" s="1"/>
      <c r="L10" s="18">
        <f>L9/1.19</f>
        <v>47857.142857142862</v>
      </c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341"/>
      <c r="D11" s="311"/>
      <c r="G11" t="s">
        <v>125</v>
      </c>
      <c r="H11" s="289" t="s">
        <v>158</v>
      </c>
      <c r="I11" s="290"/>
      <c r="Q11" s="19"/>
      <c r="R11" s="25" t="s">
        <v>19</v>
      </c>
      <c r="S11" s="19"/>
    </row>
    <row r="12" spans="2:24" ht="16.8" x14ac:dyDescent="0.4">
      <c r="B12" s="246" t="s">
        <v>147</v>
      </c>
      <c r="C12" s="342"/>
      <c r="D12" s="311"/>
      <c r="E12" s="247"/>
      <c r="F12" s="247"/>
      <c r="G12" s="247" t="s">
        <v>129</v>
      </c>
      <c r="H12" s="278" t="s">
        <v>137</v>
      </c>
      <c r="I12" s="248"/>
      <c r="Q12" s="19"/>
      <c r="R12" s="25"/>
      <c r="S12" s="19"/>
    </row>
    <row r="13" spans="2:24" x14ac:dyDescent="0.3">
      <c r="B13" s="246" t="s">
        <v>148</v>
      </c>
      <c r="C13" s="342"/>
      <c r="D13" t="s">
        <v>161</v>
      </c>
      <c r="E13" s="247"/>
      <c r="F13" s="247"/>
      <c r="G13" s="247"/>
      <c r="H13" s="278"/>
      <c r="I13" s="248"/>
      <c r="Q13" s="19"/>
      <c r="R13" s="25"/>
      <c r="S13" s="19"/>
    </row>
    <row r="14" spans="2:24" x14ac:dyDescent="0.3">
      <c r="B14" s="288" t="s">
        <v>141</v>
      </c>
      <c r="C14" s="341"/>
      <c r="D14" s="306"/>
      <c r="G14" s="29" t="s">
        <v>138</v>
      </c>
      <c r="H14" s="291" t="s">
        <v>159</v>
      </c>
      <c r="I14" s="290"/>
      <c r="K14" s="29"/>
      <c r="Q14" s="20"/>
      <c r="R14" s="26" t="s">
        <v>18</v>
      </c>
      <c r="S14" s="20"/>
    </row>
    <row r="15" spans="2:24" ht="15.6" x14ac:dyDescent="0.3">
      <c r="B15" s="246" t="s">
        <v>4</v>
      </c>
      <c r="C15" s="342"/>
      <c r="D15" s="324" t="s">
        <v>162</v>
      </c>
      <c r="E15" s="295"/>
      <c r="F15" s="247"/>
      <c r="G15" s="247" t="s">
        <v>136</v>
      </c>
      <c r="H15" s="296" t="s">
        <v>137</v>
      </c>
      <c r="I15" s="248"/>
    </row>
    <row r="16" spans="2:24" ht="16.8" x14ac:dyDescent="0.4">
      <c r="B16" s="292" t="s">
        <v>3</v>
      </c>
      <c r="C16" s="343"/>
      <c r="D16" s="311"/>
      <c r="G16" s="293" t="s">
        <v>131</v>
      </c>
      <c r="H16" s="294" t="s">
        <v>157</v>
      </c>
      <c r="I16" s="290"/>
    </row>
    <row r="17" spans="2:25" ht="15" thickBot="1" x14ac:dyDescent="0.35">
      <c r="B17" s="297" t="s">
        <v>13</v>
      </c>
      <c r="C17" s="300"/>
      <c r="D17" s="298" t="s">
        <v>154</v>
      </c>
      <c r="E17" s="299"/>
      <c r="F17" s="300"/>
      <c r="G17" s="328" t="s">
        <v>155</v>
      </c>
      <c r="H17" s="328"/>
      <c r="I17" s="329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x14ac:dyDescent="0.3">
      <c r="B19" s="330" t="s">
        <v>149</v>
      </c>
      <c r="C19" s="344"/>
      <c r="D19" s="331"/>
      <c r="E19" s="331"/>
      <c r="F19" s="331"/>
      <c r="G19" s="331"/>
      <c r="H19" s="331"/>
      <c r="I19" s="332"/>
      <c r="J19" s="264"/>
      <c r="K19" s="5"/>
      <c r="L19" s="250"/>
      <c r="M19" s="14">
        <v>0.05</v>
      </c>
      <c r="N19" s="14">
        <v>0.05</v>
      </c>
      <c r="O19" s="14"/>
      <c r="P19" s="251" t="s">
        <v>6</v>
      </c>
      <c r="Q19" s="36" t="s">
        <v>21</v>
      </c>
      <c r="R19" s="37" t="s">
        <v>135</v>
      </c>
      <c r="S19" s="10" t="s">
        <v>139</v>
      </c>
      <c r="U19" s="9"/>
      <c r="V19" s="9"/>
      <c r="X19" s="6"/>
      <c r="Y19" s="6"/>
    </row>
    <row r="20" spans="2:25" ht="18" thickBot="1" x14ac:dyDescent="0.35">
      <c r="B20" s="322" t="s">
        <v>7</v>
      </c>
      <c r="C20" s="345" t="s">
        <v>165</v>
      </c>
      <c r="D20" s="316" t="s">
        <v>1</v>
      </c>
      <c r="E20" s="316" t="s">
        <v>10</v>
      </c>
      <c r="F20" s="316" t="s">
        <v>11</v>
      </c>
      <c r="G20" s="316" t="s">
        <v>8</v>
      </c>
      <c r="H20" s="316" t="s">
        <v>5</v>
      </c>
      <c r="I20" s="317" t="s">
        <v>6</v>
      </c>
      <c r="J20" s="265"/>
      <c r="K20" s="47"/>
      <c r="L20" s="268" t="str">
        <f t="shared" ref="L20" si="0">B20</f>
        <v>UNIDAD</v>
      </c>
      <c r="M20" s="267" t="s">
        <v>133</v>
      </c>
      <c r="N20" s="39" t="str">
        <f>F20</f>
        <v>ANCHO</v>
      </c>
      <c r="O20" s="261" t="s">
        <v>134</v>
      </c>
      <c r="P20" s="259" t="s">
        <v>17</v>
      </c>
      <c r="Q20" s="252">
        <f>O51</f>
        <v>96300.772634557681</v>
      </c>
      <c r="R20" s="258">
        <v>3000</v>
      </c>
      <c r="S20" s="38"/>
      <c r="T20" s="14" t="s">
        <v>130</v>
      </c>
      <c r="U20" s="9"/>
      <c r="X20" s="4"/>
    </row>
    <row r="21" spans="2:25" ht="17.399999999999999" x14ac:dyDescent="0.3">
      <c r="B21" s="323">
        <v>1</v>
      </c>
      <c r="C21" s="312" t="s">
        <v>177</v>
      </c>
      <c r="D21" s="327" t="s">
        <v>163</v>
      </c>
      <c r="E21" s="313">
        <v>1.32</v>
      </c>
      <c r="F21" s="313">
        <v>0.6</v>
      </c>
      <c r="G21" s="312" t="s">
        <v>164</v>
      </c>
      <c r="H21" s="314">
        <f>Q21</f>
        <v>85755.838031073625</v>
      </c>
      <c r="I21" s="315">
        <f t="shared" ref="I21" si="1">H21*B21</f>
        <v>85755.838031073625</v>
      </c>
      <c r="J21" s="265"/>
      <c r="K21" s="47"/>
      <c r="L21" s="354">
        <f>B21</f>
        <v>1</v>
      </c>
      <c r="M21" s="355">
        <f t="shared" ref="M21:N21" si="2">E21+M$19</f>
        <v>1.37</v>
      </c>
      <c r="N21" s="355">
        <f t="shared" si="2"/>
        <v>0.65</v>
      </c>
      <c r="O21" s="261">
        <f>M21*N21</f>
        <v>0.89050000000000007</v>
      </c>
      <c r="P21" s="259">
        <f>O21*L21</f>
        <v>0.89050000000000007</v>
      </c>
      <c r="Q21" s="252">
        <f>Q$20*O21</f>
        <v>85755.838031073625</v>
      </c>
      <c r="R21" s="258">
        <f>Q21+R$20</f>
        <v>88755.838031073625</v>
      </c>
      <c r="S21" s="308">
        <f>L21*M21</f>
        <v>1.37</v>
      </c>
      <c r="T21" s="14"/>
      <c r="U21" s="9"/>
      <c r="X21" s="4"/>
    </row>
    <row r="22" spans="2:25" ht="17.399999999999999" x14ac:dyDescent="0.3">
      <c r="B22" s="323">
        <v>1</v>
      </c>
      <c r="C22" s="312" t="s">
        <v>166</v>
      </c>
      <c r="D22" s="327" t="s">
        <v>163</v>
      </c>
      <c r="E22" s="313">
        <v>1.1000000000000001</v>
      </c>
      <c r="F22" s="313">
        <v>0.6</v>
      </c>
      <c r="G22" s="312" t="s">
        <v>164</v>
      </c>
      <c r="H22" s="314">
        <f t="shared" ref="H22:H34" si="3">Q22</f>
        <v>71984.827544331885</v>
      </c>
      <c r="I22" s="315">
        <f t="shared" ref="I22:I29" si="4">H22*B22</f>
        <v>71984.827544331885</v>
      </c>
      <c r="J22" s="265"/>
      <c r="K22" s="47"/>
      <c r="L22" s="325">
        <f t="shared" ref="L22:L23" si="5">B22</f>
        <v>1</v>
      </c>
      <c r="M22" s="326">
        <f t="shared" ref="M22:M23" si="6">E22+M$19</f>
        <v>1.1500000000000001</v>
      </c>
      <c r="N22" s="326">
        <f t="shared" ref="N22:N23" si="7">F22+N$19</f>
        <v>0.65</v>
      </c>
      <c r="O22" s="261">
        <f t="shared" ref="O22:O23" si="8">M22*N22</f>
        <v>0.74750000000000016</v>
      </c>
      <c r="P22" s="259">
        <f t="shared" ref="P22:P23" si="9">O22*L22</f>
        <v>0.74750000000000016</v>
      </c>
      <c r="Q22" s="252">
        <f t="shared" ref="Q22:Q23" si="10">Q$20*O22</f>
        <v>71984.827544331885</v>
      </c>
      <c r="R22" s="258">
        <f t="shared" ref="R22:R23" si="11">Q22+R$20</f>
        <v>74984.827544331885</v>
      </c>
      <c r="S22" s="308">
        <f t="shared" ref="S22:S23" si="12">L22*M22</f>
        <v>1.1500000000000001</v>
      </c>
      <c r="T22" s="14"/>
      <c r="U22" s="9"/>
      <c r="X22" s="4"/>
    </row>
    <row r="23" spans="2:25" ht="17.399999999999999" x14ac:dyDescent="0.3">
      <c r="B23" s="323">
        <v>1</v>
      </c>
      <c r="C23" s="312" t="s">
        <v>167</v>
      </c>
      <c r="D23" s="327" t="s">
        <v>163</v>
      </c>
      <c r="E23" s="313">
        <v>1.6</v>
      </c>
      <c r="F23" s="313">
        <v>0.6</v>
      </c>
      <c r="G23" s="312" t="s">
        <v>164</v>
      </c>
      <c r="H23" s="314">
        <f t="shared" si="3"/>
        <v>103282.57865056314</v>
      </c>
      <c r="I23" s="315">
        <f t="shared" si="4"/>
        <v>103282.57865056314</v>
      </c>
      <c r="J23" s="265"/>
      <c r="K23" s="47"/>
      <c r="L23" s="325">
        <f t="shared" si="5"/>
        <v>1</v>
      </c>
      <c r="M23" s="326">
        <f t="shared" si="6"/>
        <v>1.6500000000000001</v>
      </c>
      <c r="N23" s="326">
        <f t="shared" si="7"/>
        <v>0.65</v>
      </c>
      <c r="O23" s="261">
        <f t="shared" si="8"/>
        <v>1.0725000000000002</v>
      </c>
      <c r="P23" s="259">
        <f t="shared" si="9"/>
        <v>1.0725000000000002</v>
      </c>
      <c r="Q23" s="252">
        <f t="shared" si="10"/>
        <v>103282.57865056314</v>
      </c>
      <c r="R23" s="258">
        <f t="shared" si="11"/>
        <v>106282.57865056314</v>
      </c>
      <c r="S23" s="308">
        <f t="shared" si="12"/>
        <v>1.6500000000000001</v>
      </c>
      <c r="T23" s="14"/>
      <c r="U23" s="9"/>
      <c r="X23" s="4"/>
    </row>
    <row r="24" spans="2:25" ht="17.399999999999999" x14ac:dyDescent="0.3">
      <c r="B24" s="323">
        <v>1</v>
      </c>
      <c r="C24" s="312" t="s">
        <v>168</v>
      </c>
      <c r="D24" s="327" t="s">
        <v>163</v>
      </c>
      <c r="E24" s="313">
        <v>2.5</v>
      </c>
      <c r="F24" s="313">
        <v>0.6</v>
      </c>
      <c r="G24" s="312" t="s">
        <v>164</v>
      </c>
      <c r="H24" s="314">
        <f t="shared" si="3"/>
        <v>159618.53064177936</v>
      </c>
      <c r="I24" s="315">
        <f t="shared" si="4"/>
        <v>159618.53064177936</v>
      </c>
      <c r="J24" s="265"/>
      <c r="K24" s="47"/>
      <c r="L24" s="350">
        <f t="shared" ref="L24:L34" si="13">B24</f>
        <v>1</v>
      </c>
      <c r="M24" s="351">
        <f t="shared" ref="M24:M34" si="14">E24+M$19</f>
        <v>2.5499999999999998</v>
      </c>
      <c r="N24" s="351">
        <f t="shared" ref="N24:N34" si="15">F24+N$19</f>
        <v>0.65</v>
      </c>
      <c r="O24" s="261">
        <f t="shared" ref="O24:O34" si="16">M24*N24</f>
        <v>1.6575</v>
      </c>
      <c r="P24" s="259">
        <f t="shared" ref="P24:P34" si="17">O24*L24</f>
        <v>1.6575</v>
      </c>
      <c r="Q24" s="252">
        <f t="shared" ref="Q24:Q34" si="18">Q$20*O24</f>
        <v>159618.53064177936</v>
      </c>
      <c r="R24" s="258">
        <f t="shared" ref="R24:R34" si="19">Q24+R$20</f>
        <v>162618.53064177936</v>
      </c>
      <c r="S24" s="308"/>
      <c r="T24" s="14"/>
      <c r="U24" s="9"/>
      <c r="X24" s="4"/>
    </row>
    <row r="25" spans="2:25" ht="17.399999999999999" x14ac:dyDescent="0.3">
      <c r="B25" s="323">
        <v>1</v>
      </c>
      <c r="C25" s="312" t="s">
        <v>169</v>
      </c>
      <c r="D25" s="327" t="s">
        <v>163</v>
      </c>
      <c r="E25" s="313">
        <v>1.5</v>
      </c>
      <c r="F25" s="313">
        <v>0.6</v>
      </c>
      <c r="G25" s="312" t="s">
        <v>164</v>
      </c>
      <c r="H25" s="314">
        <f t="shared" si="3"/>
        <v>97023.028429316866</v>
      </c>
      <c r="I25" s="315">
        <f t="shared" si="4"/>
        <v>97023.028429316866</v>
      </c>
      <c r="J25" s="265"/>
      <c r="K25" s="47"/>
      <c r="L25" s="325">
        <f t="shared" si="13"/>
        <v>1</v>
      </c>
      <c r="M25" s="326">
        <f t="shared" si="14"/>
        <v>1.55</v>
      </c>
      <c r="N25" s="326">
        <f t="shared" si="15"/>
        <v>0.65</v>
      </c>
      <c r="O25" s="261">
        <f t="shared" si="16"/>
        <v>1.0075000000000001</v>
      </c>
      <c r="P25" s="259">
        <f t="shared" si="17"/>
        <v>1.0075000000000001</v>
      </c>
      <c r="Q25" s="252">
        <f t="shared" si="18"/>
        <v>97023.028429316866</v>
      </c>
      <c r="R25" s="258">
        <f t="shared" si="19"/>
        <v>100023.02842931687</v>
      </c>
      <c r="S25" s="308"/>
      <c r="T25" s="14"/>
      <c r="U25" s="9"/>
      <c r="X25" s="4"/>
    </row>
    <row r="26" spans="2:25" ht="17.399999999999999" x14ac:dyDescent="0.3">
      <c r="B26" s="323">
        <v>1</v>
      </c>
      <c r="C26" s="312" t="s">
        <v>170</v>
      </c>
      <c r="D26" s="327" t="s">
        <v>178</v>
      </c>
      <c r="E26" s="313">
        <v>2</v>
      </c>
      <c r="F26" s="313">
        <v>0.85</v>
      </c>
      <c r="G26" s="312" t="s">
        <v>164</v>
      </c>
      <c r="H26" s="314">
        <f t="shared" si="3"/>
        <v>177674.92551075891</v>
      </c>
      <c r="I26" s="315">
        <f t="shared" si="4"/>
        <v>177674.92551075891</v>
      </c>
      <c r="J26" s="265"/>
      <c r="K26" s="47"/>
      <c r="L26" s="352">
        <f t="shared" si="13"/>
        <v>1</v>
      </c>
      <c r="M26" s="353">
        <f t="shared" si="14"/>
        <v>2.0499999999999998</v>
      </c>
      <c r="N26" s="353">
        <f t="shared" si="15"/>
        <v>0.9</v>
      </c>
      <c r="O26" s="261">
        <f t="shared" si="16"/>
        <v>1.845</v>
      </c>
      <c r="P26" s="259">
        <f t="shared" si="17"/>
        <v>1.845</v>
      </c>
      <c r="Q26" s="252">
        <f t="shared" si="18"/>
        <v>177674.92551075891</v>
      </c>
      <c r="R26" s="258">
        <f t="shared" si="19"/>
        <v>180674.92551075891</v>
      </c>
      <c r="S26" s="308"/>
      <c r="T26" s="14"/>
      <c r="U26" s="9"/>
      <c r="X26" s="4"/>
    </row>
    <row r="27" spans="2:25" ht="17.399999999999999" x14ac:dyDescent="0.3">
      <c r="B27" s="323">
        <v>1</v>
      </c>
      <c r="C27" s="312" t="s">
        <v>171</v>
      </c>
      <c r="D27" s="327" t="s">
        <v>178</v>
      </c>
      <c r="E27" s="313">
        <v>1.2330000000000001</v>
      </c>
      <c r="F27" s="313">
        <v>0.78600000000000003</v>
      </c>
      <c r="G27" s="312" t="s">
        <v>164</v>
      </c>
      <c r="H27" s="314">
        <f t="shared" si="3"/>
        <v>103291.05311855499</v>
      </c>
      <c r="I27" s="315">
        <f t="shared" si="4"/>
        <v>103291.05311855499</v>
      </c>
      <c r="J27" s="265"/>
      <c r="K27" s="47"/>
      <c r="L27" s="356">
        <f t="shared" si="13"/>
        <v>1</v>
      </c>
      <c r="M27" s="357">
        <f t="shared" si="14"/>
        <v>1.2830000000000001</v>
      </c>
      <c r="N27" s="357">
        <f t="shared" si="15"/>
        <v>0.83600000000000008</v>
      </c>
      <c r="O27" s="261">
        <f t="shared" si="16"/>
        <v>1.0725880000000003</v>
      </c>
      <c r="P27" s="259">
        <f t="shared" si="17"/>
        <v>1.0725880000000003</v>
      </c>
      <c r="Q27" s="252">
        <f t="shared" si="18"/>
        <v>103291.05311855499</v>
      </c>
      <c r="R27" s="258">
        <f t="shared" si="19"/>
        <v>106291.05311855499</v>
      </c>
      <c r="S27" s="308"/>
      <c r="T27" s="14"/>
      <c r="U27" s="9"/>
      <c r="X27" s="4"/>
    </row>
    <row r="28" spans="2:25" ht="17.399999999999999" x14ac:dyDescent="0.3">
      <c r="B28" s="323">
        <v>1</v>
      </c>
      <c r="C28" s="312" t="s">
        <v>171</v>
      </c>
      <c r="D28" s="327" t="s">
        <v>178</v>
      </c>
      <c r="E28" s="313">
        <v>1.2</v>
      </c>
      <c r="F28" s="313">
        <v>1</v>
      </c>
      <c r="G28" s="312" t="s">
        <v>164</v>
      </c>
      <c r="H28" s="314">
        <f t="shared" si="3"/>
        <v>126394.76408285696</v>
      </c>
      <c r="I28" s="315">
        <f t="shared" si="4"/>
        <v>126394.76408285696</v>
      </c>
      <c r="J28" s="265"/>
      <c r="K28" s="47"/>
      <c r="L28" s="356">
        <f t="shared" si="13"/>
        <v>1</v>
      </c>
      <c r="M28" s="357">
        <f t="shared" si="14"/>
        <v>1.25</v>
      </c>
      <c r="N28" s="357">
        <f t="shared" si="15"/>
        <v>1.05</v>
      </c>
      <c r="O28" s="261">
        <f t="shared" si="16"/>
        <v>1.3125</v>
      </c>
      <c r="P28" s="259">
        <f t="shared" si="17"/>
        <v>1.3125</v>
      </c>
      <c r="Q28" s="252">
        <f t="shared" si="18"/>
        <v>126394.76408285696</v>
      </c>
      <c r="R28" s="258">
        <f t="shared" si="19"/>
        <v>129394.76408285696</v>
      </c>
      <c r="S28" s="308"/>
      <c r="T28" s="14"/>
      <c r="U28" s="9"/>
      <c r="X28" s="4"/>
    </row>
    <row r="29" spans="2:25" ht="17.399999999999999" x14ac:dyDescent="0.3">
      <c r="B29" s="323">
        <v>1</v>
      </c>
      <c r="C29" s="312" t="s">
        <v>172</v>
      </c>
      <c r="D29" s="327" t="s">
        <v>163</v>
      </c>
      <c r="E29" s="313">
        <v>1.87</v>
      </c>
      <c r="F29" s="313">
        <v>0.6</v>
      </c>
      <c r="G29" s="312" t="s">
        <v>164</v>
      </c>
      <c r="H29" s="314">
        <f t="shared" si="3"/>
        <v>120183.36424792801</v>
      </c>
      <c r="I29" s="315">
        <f t="shared" si="4"/>
        <v>120183.36424792801</v>
      </c>
      <c r="J29" s="265"/>
      <c r="K29" s="47"/>
      <c r="L29" s="350">
        <f t="shared" si="13"/>
        <v>1</v>
      </c>
      <c r="M29" s="351">
        <f t="shared" si="14"/>
        <v>1.9200000000000002</v>
      </c>
      <c r="N29" s="351">
        <f t="shared" si="15"/>
        <v>0.65</v>
      </c>
      <c r="O29" s="261">
        <f t="shared" si="16"/>
        <v>1.2480000000000002</v>
      </c>
      <c r="P29" s="259">
        <f t="shared" si="17"/>
        <v>1.2480000000000002</v>
      </c>
      <c r="Q29" s="252">
        <f t="shared" si="18"/>
        <v>120183.36424792801</v>
      </c>
      <c r="R29" s="258">
        <f t="shared" si="19"/>
        <v>123183.36424792801</v>
      </c>
      <c r="S29" s="308"/>
      <c r="T29" s="14"/>
      <c r="U29" s="9"/>
      <c r="X29" s="4"/>
    </row>
    <row r="30" spans="2:25" ht="17.399999999999999" x14ac:dyDescent="0.3">
      <c r="B30" s="323">
        <v>1</v>
      </c>
      <c r="C30" s="312" t="s">
        <v>173</v>
      </c>
      <c r="D30" s="327" t="s">
        <v>163</v>
      </c>
      <c r="E30" s="313">
        <v>1.75</v>
      </c>
      <c r="F30" s="313">
        <v>0.6</v>
      </c>
      <c r="G30" s="312" t="s">
        <v>164</v>
      </c>
      <c r="H30" s="314">
        <f t="shared" si="3"/>
        <v>112671.9039824325</v>
      </c>
      <c r="I30" s="315">
        <f t="shared" ref="I30:I33" si="20">H30*B30</f>
        <v>112671.9039824325</v>
      </c>
      <c r="J30" s="265"/>
      <c r="K30" s="47"/>
      <c r="L30" s="348">
        <f t="shared" si="13"/>
        <v>1</v>
      </c>
      <c r="M30" s="349">
        <f t="shared" si="14"/>
        <v>1.8</v>
      </c>
      <c r="N30" s="349">
        <f t="shared" si="15"/>
        <v>0.65</v>
      </c>
      <c r="O30" s="261">
        <f t="shared" si="16"/>
        <v>1.1700000000000002</v>
      </c>
      <c r="P30" s="259">
        <f t="shared" si="17"/>
        <v>1.1700000000000002</v>
      </c>
      <c r="Q30" s="252">
        <f t="shared" si="18"/>
        <v>112671.9039824325</v>
      </c>
      <c r="R30" s="258">
        <f t="shared" si="19"/>
        <v>115671.9039824325</v>
      </c>
      <c r="S30" s="308"/>
      <c r="T30" s="14"/>
      <c r="U30" s="9"/>
      <c r="X30" s="4"/>
    </row>
    <row r="31" spans="2:25" ht="17.399999999999999" x14ac:dyDescent="0.3">
      <c r="B31" s="323">
        <v>1</v>
      </c>
      <c r="C31" s="312" t="s">
        <v>174</v>
      </c>
      <c r="D31" s="327" t="s">
        <v>178</v>
      </c>
      <c r="E31" s="313">
        <v>2.4</v>
      </c>
      <c r="F31" s="313">
        <v>0.78600000000000003</v>
      </c>
      <c r="G31" s="312" t="s">
        <v>164</v>
      </c>
      <c r="H31" s="314">
        <f t="shared" si="3"/>
        <v>197243.24251010103</v>
      </c>
      <c r="I31" s="315">
        <f t="shared" si="20"/>
        <v>197243.24251010103</v>
      </c>
      <c r="J31" s="265"/>
      <c r="K31" s="47"/>
      <c r="L31" s="348">
        <f t="shared" si="13"/>
        <v>1</v>
      </c>
      <c r="M31" s="349">
        <f t="shared" si="14"/>
        <v>2.4499999999999997</v>
      </c>
      <c r="N31" s="349">
        <f t="shared" si="15"/>
        <v>0.83600000000000008</v>
      </c>
      <c r="O31" s="261">
        <f t="shared" si="16"/>
        <v>2.0482</v>
      </c>
      <c r="P31" s="259">
        <f t="shared" si="17"/>
        <v>2.0482</v>
      </c>
      <c r="Q31" s="252">
        <f t="shared" si="18"/>
        <v>197243.24251010103</v>
      </c>
      <c r="R31" s="258">
        <f t="shared" si="19"/>
        <v>200243.24251010103</v>
      </c>
      <c r="S31" s="308"/>
      <c r="T31" s="14"/>
      <c r="U31" s="9"/>
      <c r="X31" s="4"/>
    </row>
    <row r="32" spans="2:25" ht="17.399999999999999" x14ac:dyDescent="0.3">
      <c r="B32" s="323">
        <v>1</v>
      </c>
      <c r="C32" s="312" t="s">
        <v>174</v>
      </c>
      <c r="D32" s="327" t="s">
        <v>178</v>
      </c>
      <c r="E32" s="313">
        <v>1.24</v>
      </c>
      <c r="F32" s="313">
        <v>1</v>
      </c>
      <c r="G32" s="312" t="s">
        <v>164</v>
      </c>
      <c r="H32" s="314">
        <f t="shared" si="3"/>
        <v>130439.39653350838</v>
      </c>
      <c r="I32" s="315">
        <f t="shared" si="20"/>
        <v>130439.39653350838</v>
      </c>
      <c r="J32" s="265"/>
      <c r="K32" s="47"/>
      <c r="L32" s="346">
        <f t="shared" si="13"/>
        <v>1</v>
      </c>
      <c r="M32" s="347">
        <f t="shared" si="14"/>
        <v>1.29</v>
      </c>
      <c r="N32" s="347">
        <f t="shared" si="15"/>
        <v>1.05</v>
      </c>
      <c r="O32" s="261">
        <f t="shared" si="16"/>
        <v>1.3545</v>
      </c>
      <c r="P32" s="259">
        <f t="shared" si="17"/>
        <v>1.3545</v>
      </c>
      <c r="Q32" s="252">
        <f t="shared" si="18"/>
        <v>130439.39653350838</v>
      </c>
      <c r="R32" s="258">
        <f t="shared" si="19"/>
        <v>133439.39653350838</v>
      </c>
      <c r="S32" s="308"/>
      <c r="T32" s="14"/>
      <c r="U32" s="9"/>
      <c r="X32" s="4"/>
    </row>
    <row r="33" spans="2:24" ht="17.399999999999999" x14ac:dyDescent="0.3">
      <c r="B33" s="323">
        <v>1</v>
      </c>
      <c r="C33" s="312" t="s">
        <v>175</v>
      </c>
      <c r="D33" s="327" t="s">
        <v>163</v>
      </c>
      <c r="E33" s="313">
        <v>0.85</v>
      </c>
      <c r="F33" s="313">
        <v>0.6</v>
      </c>
      <c r="G33" s="312" t="s">
        <v>164</v>
      </c>
      <c r="H33" s="314">
        <f t="shared" si="3"/>
        <v>56335.95199121625</v>
      </c>
      <c r="I33" s="315">
        <f t="shared" si="20"/>
        <v>56335.95199121625</v>
      </c>
      <c r="J33" s="265"/>
      <c r="K33" s="47"/>
      <c r="L33" s="354">
        <f t="shared" si="13"/>
        <v>1</v>
      </c>
      <c r="M33" s="355">
        <f t="shared" si="14"/>
        <v>0.9</v>
      </c>
      <c r="N33" s="355">
        <f t="shared" si="15"/>
        <v>0.65</v>
      </c>
      <c r="O33" s="261">
        <f t="shared" si="16"/>
        <v>0.58500000000000008</v>
      </c>
      <c r="P33" s="259">
        <f t="shared" si="17"/>
        <v>0.58500000000000008</v>
      </c>
      <c r="Q33" s="252">
        <f t="shared" si="18"/>
        <v>56335.95199121625</v>
      </c>
      <c r="R33" s="258">
        <f t="shared" si="19"/>
        <v>59335.95199121625</v>
      </c>
      <c r="S33" s="308"/>
      <c r="T33" s="14"/>
      <c r="U33" s="9"/>
      <c r="X33" s="4"/>
    </row>
    <row r="34" spans="2:24" ht="17.399999999999999" x14ac:dyDescent="0.3">
      <c r="B34" s="323">
        <v>1</v>
      </c>
      <c r="C34" s="312" t="s">
        <v>176</v>
      </c>
      <c r="D34" s="327" t="s">
        <v>163</v>
      </c>
      <c r="E34" s="313">
        <v>1.2</v>
      </c>
      <c r="F34" s="313">
        <v>0.6</v>
      </c>
      <c r="G34" s="312" t="s">
        <v>164</v>
      </c>
      <c r="H34" s="314">
        <f t="shared" si="3"/>
        <v>78244.377765578116</v>
      </c>
      <c r="I34" s="315">
        <f t="shared" ref="I34" si="21">H34*B34</f>
        <v>78244.377765578116</v>
      </c>
      <c r="J34" s="265"/>
      <c r="K34" s="47"/>
      <c r="L34" s="354">
        <f t="shared" si="13"/>
        <v>1</v>
      </c>
      <c r="M34" s="355">
        <f t="shared" si="14"/>
        <v>1.25</v>
      </c>
      <c r="N34" s="355">
        <f t="shared" si="15"/>
        <v>0.65</v>
      </c>
      <c r="O34" s="261">
        <f t="shared" si="16"/>
        <v>0.8125</v>
      </c>
      <c r="P34" s="259">
        <f t="shared" si="17"/>
        <v>0.8125</v>
      </c>
      <c r="Q34" s="252">
        <f t="shared" si="18"/>
        <v>78244.377765578116</v>
      </c>
      <c r="R34" s="258">
        <f t="shared" si="19"/>
        <v>81244.377765578116</v>
      </c>
      <c r="S34" s="308"/>
      <c r="T34" s="14"/>
      <c r="U34" s="9"/>
      <c r="X34" s="4"/>
    </row>
    <row r="35" spans="2:24" ht="17.399999999999999" x14ac:dyDescent="0.3">
      <c r="B35" s="286">
        <f>SUM(B21:B34)</f>
        <v>14</v>
      </c>
      <c r="C35" s="286"/>
      <c r="D35" s="286"/>
      <c r="E35" s="287"/>
      <c r="F35" s="287"/>
      <c r="G35" s="286"/>
      <c r="H35" s="318"/>
      <c r="I35" s="318"/>
      <c r="J35" s="265"/>
      <c r="K35" s="47"/>
      <c r="L35" s="47"/>
      <c r="M35" s="39"/>
      <c r="N35" s="39"/>
      <c r="O35" s="261"/>
      <c r="P35" s="259"/>
      <c r="Q35" s="252"/>
      <c r="R35" s="258"/>
      <c r="S35" s="308"/>
      <c r="T35" s="14"/>
      <c r="U35" s="9"/>
      <c r="X35" s="4"/>
    </row>
    <row r="36" spans="2:24" ht="18" thickBot="1" x14ac:dyDescent="0.35">
      <c r="B36" s="286"/>
      <c r="C36" s="286"/>
      <c r="D36" s="286"/>
      <c r="E36" s="287"/>
      <c r="F36" s="287"/>
      <c r="G36" s="286"/>
      <c r="H36" s="265"/>
      <c r="I36" s="232"/>
      <c r="J36" s="232"/>
      <c r="K36" s="47"/>
      <c r="L36" s="47"/>
      <c r="M36" s="39"/>
      <c r="N36" s="39"/>
      <c r="O36" s="261"/>
      <c r="P36" s="259"/>
      <c r="Q36" s="252"/>
      <c r="R36" s="258"/>
      <c r="S36" s="308"/>
      <c r="T36" s="14"/>
      <c r="U36" s="9"/>
      <c r="X36" s="4"/>
    </row>
    <row r="37" spans="2:24" ht="17.399999999999999" x14ac:dyDescent="0.3">
      <c r="B37" s="286"/>
      <c r="C37" s="286"/>
      <c r="D37" s="286"/>
      <c r="E37" s="287"/>
      <c r="F37" s="287"/>
      <c r="G37" s="286"/>
      <c r="H37" s="309" t="s">
        <v>30</v>
      </c>
      <c r="I37" s="310">
        <f>SUM(I21:I36)</f>
        <v>1620143.7830400001</v>
      </c>
      <c r="J37" s="265"/>
      <c r="K37" s="47"/>
      <c r="L37" s="47"/>
      <c r="M37" s="39">
        <f>SUM(M21:M36)-M23</f>
        <v>20.812999999999999</v>
      </c>
      <c r="N37" s="39"/>
      <c r="O37" s="261"/>
      <c r="P37" s="259"/>
      <c r="Q37" s="252"/>
      <c r="R37" s="258"/>
      <c r="S37" s="308"/>
      <c r="T37" s="14"/>
      <c r="U37" s="9"/>
      <c r="X37" s="4"/>
    </row>
    <row r="38" spans="2:24" ht="17.399999999999999" x14ac:dyDescent="0.3">
      <c r="B38" s="280"/>
      <c r="C38" s="280"/>
      <c r="D38" s="283"/>
      <c r="E38" s="284"/>
      <c r="F38" s="284"/>
      <c r="G38" s="285"/>
      <c r="H38" s="307" t="s">
        <v>53</v>
      </c>
      <c r="I38" s="304">
        <f>I37*19%</f>
        <v>307827.31877760001</v>
      </c>
      <c r="J38" s="265"/>
      <c r="K38" s="47"/>
      <c r="L38" s="47"/>
      <c r="M38" s="39"/>
      <c r="N38" s="12"/>
      <c r="O38" s="12"/>
      <c r="P38" s="253">
        <f>SUM(P21:P34)</f>
        <v>16.823788</v>
      </c>
      <c r="Q38" s="14"/>
      <c r="R38" s="12"/>
      <c r="S38" s="238"/>
      <c r="T38" s="14"/>
      <c r="U38" s="9"/>
      <c r="X38" s="4"/>
    </row>
    <row r="39" spans="2:24" ht="18" thickBot="1" x14ac:dyDescent="0.35">
      <c r="B39" s="276"/>
      <c r="C39" s="276"/>
      <c r="D39" s="282"/>
      <c r="E39" s="272"/>
      <c r="F39" s="272"/>
      <c r="G39" s="273"/>
      <c r="H39" s="281" t="s">
        <v>6</v>
      </c>
      <c r="I39" s="305">
        <f>I37+I38</f>
        <v>1927971.1018176002</v>
      </c>
      <c r="J39" s="265"/>
      <c r="K39" s="47"/>
      <c r="L39" s="47"/>
      <c r="M39" s="39"/>
      <c r="N39" s="12"/>
      <c r="O39" s="12"/>
      <c r="P39" s="253">
        <f>P38</f>
        <v>16.823788</v>
      </c>
      <c r="Q39" s="14"/>
      <c r="R39" s="12"/>
      <c r="S39" s="238">
        <f>SUM(S21:S38)</f>
        <v>4.1700000000000008</v>
      </c>
      <c r="T39" s="14"/>
      <c r="U39" s="9"/>
      <c r="X39" s="4"/>
    </row>
    <row r="40" spans="2:24" ht="17.399999999999999" x14ac:dyDescent="0.3">
      <c r="B40" s="276"/>
      <c r="C40" s="276"/>
      <c r="D40" s="271"/>
      <c r="E40" s="272"/>
      <c r="F40" s="272"/>
      <c r="G40" s="273"/>
      <c r="J40" s="265"/>
      <c r="K40" s="47">
        <v>32</v>
      </c>
      <c r="L40" s="47"/>
      <c r="M40" s="39"/>
      <c r="N40" s="12"/>
      <c r="O40" s="12"/>
      <c r="P40" s="39">
        <f>P39*20%</f>
        <v>3.3647576000000003</v>
      </c>
      <c r="Q40" s="39" t="s">
        <v>132</v>
      </c>
      <c r="R40" s="42"/>
      <c r="S40" s="239"/>
      <c r="T40" s="14"/>
      <c r="U40" s="9"/>
      <c r="X40" s="4"/>
    </row>
    <row r="41" spans="2:24" ht="17.399999999999999" x14ac:dyDescent="0.3">
      <c r="B41" s="271"/>
      <c r="C41" s="271"/>
      <c r="D41" s="271"/>
      <c r="E41" s="272"/>
      <c r="F41" s="272"/>
      <c r="G41" s="273"/>
      <c r="H41" s="274"/>
      <c r="I41" s="275"/>
      <c r="J41" s="265"/>
      <c r="K41" s="320">
        <v>32</v>
      </c>
      <c r="L41" s="47"/>
      <c r="M41" s="14"/>
      <c r="N41" s="12"/>
      <c r="O41" s="12"/>
      <c r="P41" s="46">
        <f>P39+P40</f>
        <v>20.188545600000001</v>
      </c>
      <c r="Q41" s="14"/>
      <c r="R41" s="14"/>
      <c r="S41" s="237">
        <v>40</v>
      </c>
      <c r="T41" s="14"/>
      <c r="U41" s="9"/>
      <c r="X41" s="4"/>
    </row>
    <row r="42" spans="2:24" ht="17.399999999999999" x14ac:dyDescent="0.35">
      <c r="B42" s="269"/>
      <c r="C42" s="269"/>
      <c r="D42" s="230"/>
      <c r="E42" s="230"/>
      <c r="F42" s="232"/>
      <c r="G42" s="233"/>
      <c r="H42" s="230"/>
      <c r="I42" s="275"/>
      <c r="J42" s="265"/>
      <c r="K42" s="320">
        <v>55</v>
      </c>
      <c r="L42" s="47"/>
      <c r="M42" s="14"/>
      <c r="N42" s="14"/>
      <c r="O42" s="14"/>
      <c r="P42" s="14"/>
      <c r="Q42" s="14"/>
      <c r="R42" s="14"/>
      <c r="S42" s="237"/>
      <c r="T42" s="14"/>
      <c r="U42" s="9"/>
      <c r="X42" s="4"/>
    </row>
    <row r="43" spans="2:24" ht="17.399999999999999" x14ac:dyDescent="0.35">
      <c r="B43" s="234"/>
      <c r="C43" s="234"/>
      <c r="D43" s="235"/>
      <c r="E43" s="236"/>
      <c r="F43" s="234"/>
      <c r="G43" s="230"/>
      <c r="H43" s="230"/>
      <c r="J43" s="265"/>
      <c r="K43" s="47">
        <f>SUM(K40:K42)</f>
        <v>119</v>
      </c>
      <c r="L43" s="47"/>
      <c r="M43" s="39">
        <f>P41</f>
        <v>20.188545600000001</v>
      </c>
      <c r="N43" s="12">
        <v>3500</v>
      </c>
      <c r="O43" s="12">
        <f t="shared" ref="O43:O48" si="22">M43*N43</f>
        <v>70659.909599999999</v>
      </c>
      <c r="P43" s="14" t="s">
        <v>22</v>
      </c>
      <c r="Q43" s="14" t="s">
        <v>23</v>
      </c>
      <c r="R43" s="14"/>
      <c r="S43" s="240"/>
      <c r="T43" s="14"/>
      <c r="U43" s="9"/>
      <c r="X43" s="4"/>
    </row>
    <row r="44" spans="2:24" ht="17.399999999999999" x14ac:dyDescent="0.35">
      <c r="B44" s="230"/>
      <c r="C44" s="230"/>
      <c r="D44" s="230"/>
      <c r="E44" s="230"/>
      <c r="F44" s="230"/>
      <c r="G44" s="230"/>
      <c r="H44" s="230"/>
      <c r="J44" s="265"/>
      <c r="K44" s="47"/>
      <c r="L44" s="47"/>
      <c r="M44" s="249">
        <v>6.5</v>
      </c>
      <c r="N44" s="12">
        <v>25000</v>
      </c>
      <c r="O44" s="12">
        <f t="shared" si="22"/>
        <v>162500</v>
      </c>
      <c r="P44" s="39" t="s">
        <v>156</v>
      </c>
      <c r="Q44" s="42"/>
      <c r="R44" s="14"/>
      <c r="S44" s="239"/>
      <c r="T44" s="14"/>
      <c r="U44" s="9"/>
      <c r="X44" s="4"/>
    </row>
    <row r="45" spans="2:24" s="230" customFormat="1" ht="17.399999999999999" x14ac:dyDescent="0.35">
      <c r="J45" s="262"/>
      <c r="K45" s="47"/>
      <c r="L45" s="250"/>
      <c r="M45" s="14"/>
      <c r="N45" s="250">
        <v>55000</v>
      </c>
      <c r="O45" s="12">
        <f t="shared" si="22"/>
        <v>0</v>
      </c>
      <c r="P45" s="39" t="s">
        <v>32</v>
      </c>
      <c r="Q45" s="42"/>
      <c r="S45" s="239"/>
      <c r="T45" s="256"/>
      <c r="W45" s="231"/>
    </row>
    <row r="46" spans="2:24" s="230" customFormat="1" ht="17.399999999999999" x14ac:dyDescent="0.35">
      <c r="B46" s="24" t="s">
        <v>153</v>
      </c>
      <c r="C46" s="24"/>
      <c r="J46" s="262"/>
      <c r="K46" s="319"/>
      <c r="L46" s="250"/>
      <c r="M46" s="14">
        <v>9</v>
      </c>
      <c r="N46" s="250">
        <v>49100</v>
      </c>
      <c r="O46" s="12">
        <f t="shared" si="22"/>
        <v>441900</v>
      </c>
      <c r="P46" s="14" t="s">
        <v>143</v>
      </c>
      <c r="Q46" s="17"/>
      <c r="S46" s="237"/>
      <c r="T46" s="256"/>
      <c r="W46" s="231"/>
    </row>
    <row r="47" spans="2:24" s="230" customFormat="1" ht="17.399999999999999" x14ac:dyDescent="0.35">
      <c r="B47" s="24" t="s">
        <v>146</v>
      </c>
      <c r="C47" s="24"/>
      <c r="D47"/>
      <c r="E47"/>
      <c r="F47"/>
      <c r="G47"/>
      <c r="J47" s="262"/>
      <c r="K47" s="319"/>
      <c r="L47" s="250"/>
      <c r="M47" s="249"/>
      <c r="N47" s="250">
        <v>800</v>
      </c>
      <c r="O47" s="12">
        <f t="shared" si="22"/>
        <v>0</v>
      </c>
      <c r="P47" s="14" t="s">
        <v>34</v>
      </c>
      <c r="Q47" s="14"/>
      <c r="R47" s="230">
        <v>1.52</v>
      </c>
      <c r="S47" s="237"/>
      <c r="T47" s="237"/>
    </row>
    <row r="48" spans="2:24" s="230" customFormat="1" ht="17.399999999999999" x14ac:dyDescent="0.35">
      <c r="B48" s="29" t="s">
        <v>127</v>
      </c>
      <c r="C48" s="29"/>
      <c r="D48"/>
      <c r="E48"/>
      <c r="F48"/>
      <c r="G48" s="229" t="s">
        <v>16</v>
      </c>
      <c r="J48" s="303"/>
      <c r="K48" s="47"/>
      <c r="L48" s="250"/>
      <c r="M48" s="266"/>
      <c r="N48" s="12">
        <v>1500</v>
      </c>
      <c r="O48" s="12">
        <f t="shared" si="22"/>
        <v>0</v>
      </c>
      <c r="P48" s="14" t="s">
        <v>24</v>
      </c>
      <c r="Q48" s="14"/>
      <c r="R48">
        <v>2.44</v>
      </c>
      <c r="S48"/>
      <c r="T48" s="237">
        <v>1500</v>
      </c>
      <c r="X48" s="231"/>
    </row>
    <row r="49" spans="2:24" s="230" customFormat="1" ht="17.399999999999999" x14ac:dyDescent="0.35">
      <c r="K49" s="47"/>
      <c r="L49" s="250"/>
      <c r="M49" s="14"/>
      <c r="N49" s="12"/>
      <c r="O49" s="12">
        <f>SUM(O43:O48)</f>
        <v>675059.90960000001</v>
      </c>
      <c r="P49" s="39" t="s">
        <v>25</v>
      </c>
      <c r="Q49" s="14"/>
      <c r="R49">
        <f>R47*R48</f>
        <v>3.7088000000000001</v>
      </c>
      <c r="S49"/>
      <c r="T49" s="237">
        <f>S41*T48</f>
        <v>60000</v>
      </c>
      <c r="X49" s="231"/>
    </row>
    <row r="50" spans="2:24" s="230" customFormat="1" ht="17.399999999999999" x14ac:dyDescent="0.35">
      <c r="K50" s="47">
        <v>58420</v>
      </c>
      <c r="L50" s="250"/>
      <c r="M50" s="254" t="s">
        <v>35</v>
      </c>
      <c r="N50" s="12"/>
      <c r="O50" s="255">
        <f>O49*2.4</f>
        <v>1620143.7830399999</v>
      </c>
      <c r="P50" s="14" t="s">
        <v>142</v>
      </c>
      <c r="Q50" s="14"/>
      <c r="R50" s="46">
        <f>P39/R49</f>
        <v>4.5361809749784294</v>
      </c>
      <c r="S50"/>
      <c r="T50" s="257" t="e">
        <f>T49/#REF!</f>
        <v>#REF!</v>
      </c>
    </row>
    <row r="51" spans="2:24" s="230" customFormat="1" ht="17.399999999999999" x14ac:dyDescent="0.35">
      <c r="H51"/>
      <c r="I51" s="260"/>
      <c r="J51" s="260"/>
      <c r="K51" s="47">
        <f>K50/1.19</f>
        <v>49092.436974789918</v>
      </c>
      <c r="L51" s="250"/>
      <c r="M51" s="14"/>
      <c r="N51" s="12"/>
      <c r="O51" s="12">
        <f>O50/P39</f>
        <v>96300.772634557681</v>
      </c>
      <c r="P51" s="45" t="s">
        <v>26</v>
      </c>
      <c r="Q51" s="14"/>
      <c r="R51" s="14"/>
      <c r="S51"/>
      <c r="T51" s="237"/>
    </row>
    <row r="52" spans="2:24" s="230" customFormat="1" ht="17.399999999999999" x14ac:dyDescent="0.35">
      <c r="H52"/>
      <c r="K52" s="47"/>
      <c r="L52" s="250"/>
      <c r="M52" s="13"/>
      <c r="N52" s="14"/>
      <c r="O52" s="17">
        <f>O50/O49</f>
        <v>2.4</v>
      </c>
      <c r="P52" s="15"/>
      <c r="Q52"/>
      <c r="R52"/>
      <c r="S52"/>
      <c r="T52" s="237"/>
    </row>
    <row r="53" spans="2:24" s="230" customFormat="1" ht="17.399999999999999" x14ac:dyDescent="0.35">
      <c r="H53" s="23"/>
      <c r="K53" s="47"/>
      <c r="L53" s="12"/>
      <c r="T53" s="237"/>
    </row>
    <row r="54" spans="2:24" s="230" customFormat="1" ht="17.399999999999999" x14ac:dyDescent="0.35">
      <c r="B54"/>
      <c r="C54"/>
      <c r="D54" s="228"/>
      <c r="E54" s="22"/>
      <c r="F54" s="22"/>
      <c r="G54" s="21"/>
      <c r="H54" s="23"/>
      <c r="K54" s="47"/>
      <c r="L54" s="12"/>
      <c r="T54" s="237">
        <v>1.83</v>
      </c>
    </row>
    <row r="55" spans="2:24" ht="14.4" customHeight="1" x14ac:dyDescent="0.3">
      <c r="K55" s="47"/>
      <c r="L55" s="12"/>
      <c r="T55">
        <v>2.5</v>
      </c>
    </row>
    <row r="56" spans="2:24" x14ac:dyDescent="0.3">
      <c r="K56" s="47"/>
      <c r="L56" s="250"/>
      <c r="T56">
        <f>T54*T55</f>
        <v>4.5750000000000002</v>
      </c>
    </row>
    <row r="57" spans="2:24" x14ac:dyDescent="0.3">
      <c r="L57" s="250"/>
      <c r="T57" s="270">
        <f>P41/T56</f>
        <v>4.4127968524590164</v>
      </c>
    </row>
    <row r="58" spans="2:24" x14ac:dyDescent="0.3">
      <c r="L58" s="250"/>
    </row>
    <row r="59" spans="2:24" ht="15" customHeight="1" x14ac:dyDescent="0.3"/>
    <row r="61" spans="2:24" x14ac:dyDescent="0.3">
      <c r="O61">
        <v>40935</v>
      </c>
      <c r="P61" t="s">
        <v>17</v>
      </c>
      <c r="Q61" t="s">
        <v>28</v>
      </c>
    </row>
    <row r="63" spans="2:24" x14ac:dyDescent="0.3">
      <c r="O63" s="54"/>
      <c r="P63" s="54"/>
    </row>
    <row r="64" spans="2:24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1" spans="15:20" x14ac:dyDescent="0.3">
      <c r="S71" s="18"/>
      <c r="T71" s="18"/>
    </row>
    <row r="72" spans="15:20" x14ac:dyDescent="0.3">
      <c r="S72" s="18"/>
      <c r="T72" s="18"/>
    </row>
    <row r="75" spans="15:20" x14ac:dyDescent="0.3">
      <c r="O75" s="43"/>
    </row>
    <row r="76" spans="15:20" x14ac:dyDescent="0.3">
      <c r="O76" s="43"/>
    </row>
    <row r="77" spans="15:20" x14ac:dyDescent="0.3">
      <c r="O77" s="6"/>
    </row>
    <row r="78" spans="15:20" x14ac:dyDescent="0.3">
      <c r="O78" s="6"/>
    </row>
    <row r="86" spans="4:4" x14ac:dyDescent="0.3">
      <c r="D86" t="s">
        <v>150</v>
      </c>
    </row>
    <row r="87" spans="4:4" x14ac:dyDescent="0.3">
      <c r="D87" t="s">
        <v>149</v>
      </c>
    </row>
    <row r="90" spans="4:4" x14ac:dyDescent="0.3">
      <c r="D90" t="s">
        <v>149</v>
      </c>
    </row>
    <row r="167" spans="4:4" x14ac:dyDescent="0.3">
      <c r="D167" t="s">
        <v>149</v>
      </c>
    </row>
    <row r="168" spans="4:4" x14ac:dyDescent="0.3">
      <c r="D168" t="s">
        <v>151</v>
      </c>
    </row>
    <row r="169" spans="4:4" x14ac:dyDescent="0.3">
      <c r="D169" t="s">
        <v>152</v>
      </c>
    </row>
    <row r="594" spans="4:4" x14ac:dyDescent="0.3">
      <c r="D594" t="s">
        <v>149</v>
      </c>
    </row>
  </sheetData>
  <mergeCells count="2">
    <mergeCell ref="G17:I17"/>
    <mergeCell ref="B19:I19"/>
  </mergeCells>
  <phoneticPr fontId="34" type="noConversion"/>
  <hyperlinks>
    <hyperlink ref="G4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45469</v>
      </c>
    </row>
    <row r="6" spans="2:31" ht="16.2" thickBot="1" x14ac:dyDescent="0.35">
      <c r="B6" s="140" t="s">
        <v>2</v>
      </c>
      <c r="C6" s="139" t="str">
        <f>'2229'!D10</f>
        <v>SISTEMA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>
        <f>'2229'!E8</f>
        <v>11007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-197700.61373345414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'2229'!I37</f>
        <v>1620143.7830400001</v>
      </c>
      <c r="E11" s="132">
        <f>D11*0.19</f>
        <v>307827.31877760001</v>
      </c>
      <c r="F11" s="131">
        <f>E11+D11</f>
        <v>1927971.1018176002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-91710.613733454142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262994.00038743962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-109710.61373345414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1357149.7826525606</v>
      </c>
      <c r="E13" s="221">
        <f>(D11/D12)-1</f>
        <v>5.1603830530476884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-118710.61373345414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-157710.61373345414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433940.10063927533</v>
      </c>
      <c r="F15" s="216">
        <f>E15-D12</f>
        <v>170946.10025183571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-157710.61373345414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-117710.61373345414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'2229'!O45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'2229'!O44</f>
        <v>162500</v>
      </c>
      <c r="E19" s="123">
        <f>D19*0.19</f>
        <v>30875</v>
      </c>
      <c r="F19" s="120">
        <f>SUM(D19:E19)</f>
        <v>193375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'2229'!O43</f>
        <v>70659.909599999999</v>
      </c>
      <c r="E20" s="121">
        <f>D20*0.19</f>
        <v>13425.382824</v>
      </c>
      <c r="F20" s="120">
        <f>SUM(D20:E20)</f>
        <v>84085.292423999999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233159.90960000001</v>
      </c>
      <c r="E21" s="116">
        <f>SUM(E18:E20)</f>
        <v>44300.382824</v>
      </c>
      <c r="F21" s="115">
        <f>SUM(F18:F20)</f>
        <v>277460.29242399998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263526.93595359998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1620143.7830400001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233159.90960000001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1357149.7826525606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1357149.7826525606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2024-06-25T21:15:27Z</cp:lastPrinted>
  <dcterms:created xsi:type="dcterms:W3CDTF">2013-03-18T13:35:42Z</dcterms:created>
  <dcterms:modified xsi:type="dcterms:W3CDTF">2024-06-26T21:11:27Z</dcterms:modified>
</cp:coreProperties>
</file>