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B6E80F27-4343-45DB-A28B-D3F5CE6DB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1" i="1"/>
  <c r="I54" i="1"/>
  <c r="J37" i="1"/>
  <c r="J25" i="1"/>
  <c r="H29" i="1"/>
  <c r="H24" i="1"/>
  <c r="J43" i="1"/>
  <c r="J42" i="1"/>
  <c r="N40" i="1"/>
  <c r="K27" i="1"/>
  <c r="L27" i="1"/>
  <c r="M27" i="1"/>
  <c r="N27" i="1"/>
  <c r="K28" i="1"/>
  <c r="L28" i="1"/>
  <c r="M28" i="1"/>
  <c r="K29" i="1"/>
  <c r="L29" i="1"/>
  <c r="M29" i="1"/>
  <c r="H27" i="1"/>
  <c r="H28" i="1"/>
  <c r="K25" i="1"/>
  <c r="K26" i="1"/>
  <c r="N29" i="1" l="1"/>
  <c r="N28" i="1"/>
  <c r="O27" i="1"/>
  <c r="O28" i="1"/>
  <c r="O29" i="1"/>
  <c r="J29" i="1" l="1"/>
  <c r="N39" i="1"/>
  <c r="N41" i="1"/>
  <c r="N42" i="1"/>
  <c r="H23" i="1"/>
  <c r="K22" i="1"/>
  <c r="K23" i="1"/>
  <c r="K24" i="1"/>
  <c r="H25" i="1"/>
  <c r="H26" i="1"/>
  <c r="L22" i="1"/>
  <c r="M22" i="1"/>
  <c r="L23" i="1"/>
  <c r="M23" i="1"/>
  <c r="L24" i="1"/>
  <c r="M24" i="1"/>
  <c r="L25" i="1"/>
  <c r="M25" i="1"/>
  <c r="L26" i="1"/>
  <c r="M26" i="1"/>
  <c r="N26" i="1" l="1"/>
  <c r="O26" i="1" s="1"/>
  <c r="N23" i="1"/>
  <c r="O23" i="1" s="1"/>
  <c r="N22" i="1"/>
  <c r="O22" i="1" s="1"/>
  <c r="N25" i="1"/>
  <c r="O25" i="1" s="1"/>
  <c r="N24" i="1"/>
  <c r="O24" i="1" s="1"/>
  <c r="S23" i="1"/>
  <c r="R23" i="1"/>
  <c r="J46" i="1"/>
  <c r="L21" i="1"/>
  <c r="L31" i="1" s="1"/>
  <c r="M21" i="1"/>
  <c r="S21" i="1" l="1"/>
  <c r="S31" i="1" s="1"/>
  <c r="S32" i="1" s="1"/>
  <c r="S33" i="1" s="1"/>
  <c r="R21" i="1"/>
  <c r="R33" i="1" s="1"/>
  <c r="N21" i="1"/>
  <c r="O21" i="1" s="1"/>
  <c r="O32" i="1" s="1"/>
  <c r="U39" i="1"/>
  <c r="U40" i="1" s="1"/>
  <c r="N38" i="1" l="1"/>
  <c r="O33" i="1" l="1"/>
  <c r="O34" i="1" s="1"/>
  <c r="O35" i="1" s="1"/>
  <c r="L37" i="1" s="1"/>
  <c r="M20" i="1"/>
  <c r="K20" i="1"/>
  <c r="Q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7" i="1" l="1"/>
  <c r="N43" i="1" s="1"/>
  <c r="N44" i="1" s="1"/>
  <c r="Q44" i="1"/>
  <c r="D20" i="3" l="1"/>
  <c r="E20" i="3" s="1"/>
  <c r="E21" i="3" s="1"/>
  <c r="N45" i="1" l="1"/>
  <c r="D21" i="3"/>
  <c r="M43" i="3" s="1"/>
  <c r="D12" i="3" s="1"/>
  <c r="F20" i="3"/>
  <c r="F21" i="3" s="1"/>
  <c r="N46" i="1" l="1"/>
  <c r="P20" i="1"/>
  <c r="E15" i="3"/>
  <c r="P28" i="1" l="1"/>
  <c r="Q28" i="1" s="1"/>
  <c r="P27" i="1"/>
  <c r="Q27" i="1" s="1"/>
  <c r="P29" i="1"/>
  <c r="Q29" i="1" s="1"/>
  <c r="P23" i="1"/>
  <c r="Q23" i="1" s="1"/>
  <c r="P26" i="1"/>
  <c r="Q26" i="1" s="1"/>
  <c r="P25" i="1"/>
  <c r="Q25" i="1" s="1"/>
  <c r="P22" i="1"/>
  <c r="Q22" i="1" s="1"/>
  <c r="P24" i="1"/>
  <c r="Q24" i="1" s="1"/>
  <c r="P21" i="1"/>
  <c r="F15" i="3"/>
  <c r="Q21" i="1" l="1"/>
  <c r="H21" i="1" l="1"/>
  <c r="H31" i="1" s="1"/>
  <c r="H33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<sst xmlns="http://schemas.openxmlformats.org/spreadsheetml/2006/main" count="237" uniqueCount="181">
  <si>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</si>
  <si>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</si>
  <si>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</si>
  <si>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</si>
  <si>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</si>
  <si>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</si>
  <si>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</si>
  <si>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</si>
  <si>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</si>
  <si>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</si>
  <si>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</si>
  <si>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</si>
  <si>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</si>
  <si>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</si>
  <si>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</si>
  <si>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</si>
  <si>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</si>
  <si>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</si>
  <si>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</si>
  <si>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</si>
  <si>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</si>
  <si>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</si>
  <si>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</si>
  <si>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</si>
  <si>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</si>
  <si>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</si>
  <si>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</si>
  <si>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</si>
  <si>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</si>
  <si>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</si>
  <si>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</si>
  <si>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</si>
  <si>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</si>
  <si>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</si>
  <si>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</si>
  <si>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</si>
  <si>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</si>
  <si>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</si>
  <si>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</si>
  <si>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</si>
  <si>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</si>
  <si>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</si>
  <si>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</si>
  <si>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</si>
  <si>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</si>
  <si>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</si>
  <si>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</si>
  <si>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</si>
  <si>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</si>
  <si>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</si>
  <si>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</si>
  <si>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</si>
  <si>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</si>
  <si>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</si>
  <si>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</si>
  <si>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</si>
  <si>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</si>
  <si>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</si>
  <si>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</si>
  <si>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</si>
  <si>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</si>
  <si>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</si>
  <si>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</si>
  <si>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</si>
  <si>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</si>
  <si>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</si>
  <si>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</si>
  <si>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</si>
  <si>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</si>
  <si>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</si>
  <si>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</si>
  <si>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</si>
  <si>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</si>
  <si>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</si>
  <si>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</si>
  <si>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</si>
  <si>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</si>
  <si>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</si>
  <si>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</si>
  <si>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</si>
  <si>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</si>
  <si>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</si>
  <si>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</si>
  <si>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</si>
  <si>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</si>
  <si>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</si>
  <si>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</si>
  <si>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</si>
  <si>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</si>
  <si>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</si>
  <si>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</si>
  <si>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</si>
  <si>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</si>
  <si>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</si>
  <si>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</si>
  <si>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</si>
  <si>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</si>
  <si>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</si>
  <si>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</si>
  <si>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</si>
  <si>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</si>
  <si>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</si>
  <si>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</si>
  <si>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</si>
  <si>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</si>
  <si>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</si>
  <si>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</si>
  <si>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</si>
  <si>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</si>
  <si>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</si>
  <si>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</si>
  <si>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</si>
  <si>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</si>
  <si>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</si>
  <si>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</si>
  <si>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</si>
  <si>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</si>
  <si>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</si>
  <si>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</si>
  <si>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</si>
  <si>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</si>
  <si>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</si>
  <si>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</si>
  <si>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</si>
  <si>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</si>
  <si>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</si>
  <si>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</si>
  <si>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</si>
  <si>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</si>
  <si>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</si>
  <si>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</si>
  <si>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</si>
  <si>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</si>
  <si>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</si>
  <si>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</si>
  <si>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</si>
  <si>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</si>
  <si>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</si>
  <si>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</si>
  <si>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</si>
  <si>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</si>
  <si>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</si>
  <si>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</si>
  <si>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</si>
  <si>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</si>
  <si>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</si>
  <si>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</si>
  <si>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</si>
  <si>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</si>
  <si>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</si>
  <si>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</si>
  <si>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</si>
  <si>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</si>
  <si>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</si>
  <si>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</si>
  <si>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</si>
  <si>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</si>
  <si>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</si>
  <si>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</si>
  <si>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</si>
  <si>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</si>
  <si>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</si>
  <si>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</si>
  <si>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</si>
  <si>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</si>
  <si>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</si>
  <si>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</si>
  <si>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</si>
  <si>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+569 9449 0390</t>
  </si>
  <si>
    <t>10 DIAS HABILES</t>
  </si>
  <si>
    <t>DESFONDADOS</t>
  </si>
  <si>
    <t>ROJO IMPERIO BRILLO</t>
  </si>
  <si>
    <t>ALMENDRA Y BLANCO OPACO</t>
  </si>
  <si>
    <t>FRENTE RECTO CON CURVA F</t>
  </si>
  <si>
    <t>GRIS NUBE</t>
  </si>
  <si>
    <t>KING</t>
  </si>
  <si>
    <t>MDF 3MM</t>
  </si>
  <si>
    <t>152X244</t>
  </si>
  <si>
    <t>HIMO $ 46.850.-</t>
  </si>
  <si>
    <t>N° 11001</t>
  </si>
  <si>
    <t>CONSTRUCTORA BAYO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</si>
</sst>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2" fillId="21" borderId="1" xfId="0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horizontal="center" vertical="center"/>
    </xf>
    <xf numFmtId="167" fontId="0" fillId="7" borderId="0" xfId="0" applyNumberFormat="1" applyFill="1"/>
    <xf numFmtId="165" fontId="0" fillId="0" borderId="0" xfId="0" applyNumberForma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393290</xdr:colOff>
      <xdr:row>29</xdr:row>
      <xdr:rowOff>206170</xdr:rowOff>
    </xdr:from>
    <xdr:to>
      <xdr:col>5</xdr:col>
      <xdr:colOff>1610483</xdr:colOff>
      <xdr:row>33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93290" y="4778170"/>
          <a:ext cx="6444677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CORTADAS A LA MEDIDA Y ENCHAPADOS SUS CANTO SIN REGRUESO AMBOS LADOS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</a:t>
          </a:r>
        </a:p>
        <a:p>
          <a:pPr algn="l"/>
          <a:r>
            <a:rPr lang="es-CL" sz="1200" b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APORTA PIEZA CURVA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B26" zoomScale="93" zoomScaleNormal="93" workbookViewId="0">
      <selection activeCell="N44" sqref="N44"/>
    </sheetView>
  </sheetViews>
  <sheetFormatPr baseColWidth="10" defaultRowHeight="14.4" x14ac:dyDescent="0.3"/>
  <cols>
    <col min="1" max="1" width="6" customWidth="1"/>
    <col min="2" max="2" width="10.5546875" customWidth="1"/>
    <col min="3" max="3" width="38.10937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180</v>
      </c>
      <c r="D10" s="243"/>
      <c r="E10" s="243"/>
      <c r="F10" s="244" t="s">
        <v>0</v>
      </c>
      <c r="G10" s="277">
        <v>45461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167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164</v>
      </c>
      <c r="H16" s="248"/>
    </row>
    <row r="17" spans="2:24" ht="15" thickBot="1" x14ac:dyDescent="0.35">
      <c r="B17" s="317" t="s">
        <v>13</v>
      </c>
      <c r="C17" s="318" t="s">
        <v>166</v>
      </c>
      <c r="D17" s="319"/>
      <c r="E17" s="119"/>
      <c r="F17" s="334" t="s">
        <v>165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N45</f>
        <v>104383.04723885564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30">
        <v>2</v>
      </c>
      <c r="C21" s="326" t="s">
        <v>36</v>
      </c>
      <c r="D21" s="327">
        <v>1.61</v>
      </c>
      <c r="E21" s="327">
        <v>0.8</v>
      </c>
      <c r="F21" s="326" t="s">
        <v>171</v>
      </c>
      <c r="G21" s="328">
        <v>183701</v>
      </c>
      <c r="H21" s="328">
        <f>G21*B21</f>
        <v>367402</v>
      </c>
      <c r="I21" s="265"/>
      <c r="J21" s="47"/>
      <c r="K21" s="332">
        <f t="shared" ref="K21:K26" si="1">B21</f>
        <v>2</v>
      </c>
      <c r="L21" s="39">
        <f t="shared" ref="L21" si="2">D21+L$19</f>
        <v>1.6600000000000001</v>
      </c>
      <c r="M21" s="39">
        <f t="shared" ref="M21" si="3">E21+M$19</f>
        <v>0.8</v>
      </c>
      <c r="N21" s="261">
        <f t="shared" ref="N21" si="4">L21*M21</f>
        <v>1.3280000000000003</v>
      </c>
      <c r="O21" s="259">
        <f t="shared" ref="O21" si="5">N21*K21</f>
        <v>2.6560000000000006</v>
      </c>
      <c r="P21" s="252">
        <f t="shared" ref="P21" si="6">P$20*N21</f>
        <v>138620.68673320033</v>
      </c>
      <c r="Q21" s="329">
        <f t="shared" ref="Q21" si="7">P21+Q$20</f>
        <v>143620.68673320033</v>
      </c>
      <c r="R21" s="298">
        <f>L21*K21*2</f>
        <v>6.6400000000000006</v>
      </c>
      <c r="S21" s="46">
        <f>M21*2*K21</f>
        <v>3.2</v>
      </c>
      <c r="T21" s="9"/>
      <c r="W21" s="4"/>
    </row>
    <row r="22" spans="2:24" ht="17.399999999999999" x14ac:dyDescent="0.3">
      <c r="B22" s="331">
        <v>2</v>
      </c>
      <c r="C22" s="326" t="s">
        <v>170</v>
      </c>
      <c r="D22" s="327">
        <v>1.61</v>
      </c>
      <c r="E22" s="327">
        <v>0.5</v>
      </c>
      <c r="F22" s="326"/>
      <c r="G22" s="328">
        <v>23570</v>
      </c>
      <c r="H22" s="328">
        <f>G22*B22</f>
        <v>47140</v>
      </c>
      <c r="I22" s="265"/>
      <c r="J22" s="47"/>
      <c r="K22" s="332">
        <f t="shared" si="1"/>
        <v>2</v>
      </c>
      <c r="L22" s="39">
        <f t="shared" ref="L22:L26" si="8">D22+L$19</f>
        <v>1.6600000000000001</v>
      </c>
      <c r="M22" s="39">
        <f t="shared" ref="M22:M26" si="9">E22+M$19</f>
        <v>0.5</v>
      </c>
      <c r="N22" s="261">
        <f t="shared" ref="N22:N26" si="10">L22*M22</f>
        <v>0.83000000000000007</v>
      </c>
      <c r="O22" s="259">
        <f t="shared" ref="O22:O26" si="11">N22*K22</f>
        <v>1.6600000000000001</v>
      </c>
      <c r="P22" s="252">
        <f t="shared" ref="P22:P26" si="12">P$20*N22</f>
        <v>86637.929208250192</v>
      </c>
      <c r="Q22" s="329">
        <f t="shared" ref="Q22:Q26" si="13">P22+Q$20</f>
        <v>91637.929208250192</v>
      </c>
      <c r="R22" s="298"/>
      <c r="S22" s="46"/>
      <c r="T22" s="9"/>
      <c r="W22" s="4"/>
    </row>
    <row r="23" spans="2:24" ht="17.399999999999999" x14ac:dyDescent="0.3">
      <c r="B23" s="326">
        <v>2</v>
      </c>
      <c r="C23" s="326" t="s">
        <v>173</v>
      </c>
      <c r="D23" s="327">
        <v>1.01</v>
      </c>
      <c r="E23" s="327">
        <v>0.8</v>
      </c>
      <c r="F23" s="326" t="s">
        <v>172</v>
      </c>
      <c r="G23" s="328">
        <v>26170</v>
      </c>
      <c r="H23" s="328">
        <f>G23*B23</f>
        <v>52340</v>
      </c>
      <c r="I23" s="265"/>
      <c r="J23" s="47"/>
      <c r="K23" s="332">
        <f t="shared" si="1"/>
        <v>2</v>
      </c>
      <c r="L23" s="39">
        <f t="shared" si="8"/>
        <v>1.06</v>
      </c>
      <c r="M23" s="39">
        <f t="shared" si="9"/>
        <v>0.8</v>
      </c>
      <c r="N23" s="261">
        <f t="shared" si="10"/>
        <v>0.84800000000000009</v>
      </c>
      <c r="O23" s="259">
        <f t="shared" si="11"/>
        <v>1.6960000000000002</v>
      </c>
      <c r="P23" s="252">
        <f t="shared" si="12"/>
        <v>88516.824058549595</v>
      </c>
      <c r="Q23" s="329">
        <f t="shared" si="13"/>
        <v>93516.824058549595</v>
      </c>
      <c r="R23" s="298">
        <f t="shared" ref="R23" si="14">L23*K23*2</f>
        <v>4.24</v>
      </c>
      <c r="S23" s="46">
        <f t="shared" ref="S23" si="15">M23*2*K23</f>
        <v>3.2</v>
      </c>
      <c r="T23" s="9"/>
      <c r="W23" s="4"/>
    </row>
    <row r="24" spans="2:24" ht="17.399999999999999" x14ac:dyDescent="0.3">
      <c r="B24" s="330"/>
      <c r="C24" s="326"/>
      <c r="D24" s="327">
        <v>1</v>
      </c>
      <c r="E24" s="327">
        <v>0.55500000000000005</v>
      </c>
      <c r="F24" s="326"/>
      <c r="G24" s="328">
        <v>27228</v>
      </c>
      <c r="H24" s="328">
        <f>G24*B24</f>
        <v>0</v>
      </c>
      <c r="I24" s="265"/>
      <c r="J24" s="47">
        <v>17</v>
      </c>
      <c r="K24" s="332">
        <f t="shared" si="1"/>
        <v>0</v>
      </c>
      <c r="L24" s="39">
        <f t="shared" si="8"/>
        <v>1.05</v>
      </c>
      <c r="M24" s="39">
        <f t="shared" si="9"/>
        <v>0.55500000000000005</v>
      </c>
      <c r="N24" s="261">
        <f t="shared" si="10"/>
        <v>0.5827500000000001</v>
      </c>
      <c r="O24" s="259">
        <f t="shared" si="11"/>
        <v>0</v>
      </c>
      <c r="P24" s="252">
        <f t="shared" si="12"/>
        <v>60829.22077844313</v>
      </c>
      <c r="Q24" s="329">
        <f t="shared" si="13"/>
        <v>65829.220778443123</v>
      </c>
      <c r="R24" s="298"/>
      <c r="S24" s="46"/>
      <c r="T24" s="9"/>
      <c r="W24" s="4"/>
    </row>
    <row r="25" spans="2:24" ht="17.399999999999999" x14ac:dyDescent="0.3">
      <c r="B25" s="326"/>
      <c r="C25" s="326"/>
      <c r="D25" s="327">
        <v>0.51400000000000001</v>
      </c>
      <c r="E25" s="327">
        <v>0.5</v>
      </c>
      <c r="F25" s="326"/>
      <c r="G25" s="328">
        <v>45435</v>
      </c>
      <c r="H25" s="328">
        <f t="shared" ref="H25:H26" si="16">G25*B25</f>
        <v>0</v>
      </c>
      <c r="I25" s="265"/>
      <c r="J25" s="333">
        <f>J24/4</f>
        <v>4.25</v>
      </c>
      <c r="K25" s="47">
        <f t="shared" si="1"/>
        <v>0</v>
      </c>
      <c r="L25" s="39">
        <f t="shared" si="8"/>
        <v>0.56400000000000006</v>
      </c>
      <c r="M25" s="39">
        <f t="shared" si="9"/>
        <v>0.5</v>
      </c>
      <c r="N25" s="261">
        <f t="shared" si="10"/>
        <v>0.28200000000000003</v>
      </c>
      <c r="O25" s="259">
        <f t="shared" si="11"/>
        <v>0</v>
      </c>
      <c r="P25" s="252">
        <f t="shared" si="12"/>
        <v>29436.019321357293</v>
      </c>
      <c r="Q25" s="329">
        <f t="shared" si="13"/>
        <v>34436.019321357293</v>
      </c>
      <c r="R25" s="298"/>
      <c r="S25" s="46"/>
      <c r="T25" s="9"/>
      <c r="W25" s="4"/>
    </row>
    <row r="26" spans="2:24" ht="17.399999999999999" x14ac:dyDescent="0.3">
      <c r="B26" s="331"/>
      <c r="C26" s="326"/>
      <c r="D26" s="327">
        <v>1.18</v>
      </c>
      <c r="E26" s="327">
        <v>0.5</v>
      </c>
      <c r="F26" s="326"/>
      <c r="G26" s="328">
        <v>93182</v>
      </c>
      <c r="H26" s="328">
        <f t="shared" si="16"/>
        <v>0</v>
      </c>
      <c r="I26" s="265"/>
      <c r="J26" s="47"/>
      <c r="K26" s="332">
        <f t="shared" si="1"/>
        <v>0</v>
      </c>
      <c r="L26" s="39">
        <f t="shared" si="8"/>
        <v>1.23</v>
      </c>
      <c r="M26" s="39">
        <f t="shared" si="9"/>
        <v>0.5</v>
      </c>
      <c r="N26" s="261">
        <f t="shared" si="10"/>
        <v>0.61499999999999999</v>
      </c>
      <c r="O26" s="259">
        <f t="shared" si="11"/>
        <v>0</v>
      </c>
      <c r="P26" s="252">
        <f t="shared" si="12"/>
        <v>64195.574051896219</v>
      </c>
      <c r="Q26" s="329">
        <f t="shared" si="13"/>
        <v>69195.574051896227</v>
      </c>
      <c r="R26" s="298"/>
      <c r="S26" s="46"/>
      <c r="T26" s="9"/>
      <c r="W26" s="4"/>
    </row>
    <row r="27" spans="2:24" ht="17.399999999999999" x14ac:dyDescent="0.3">
      <c r="B27" s="331"/>
      <c r="C27" s="326"/>
      <c r="D27" s="327">
        <v>0.51</v>
      </c>
      <c r="E27" s="327">
        <v>0.5</v>
      </c>
      <c r="F27" s="326"/>
      <c r="G27" s="328">
        <v>45148</v>
      </c>
      <c r="H27" s="328">
        <f t="shared" ref="H27:H28" si="17">G27*B27</f>
        <v>0</v>
      </c>
      <c r="I27" s="265"/>
      <c r="J27" s="47">
        <v>319175</v>
      </c>
      <c r="K27" s="332">
        <f t="shared" ref="K27:K29" si="18">B27</f>
        <v>0</v>
      </c>
      <c r="L27" s="39">
        <f t="shared" ref="L27:L29" si="19">D27+L$19</f>
        <v>0.56000000000000005</v>
      </c>
      <c r="M27" s="39">
        <f t="shared" ref="M27:M29" si="20">E27+M$19</f>
        <v>0.5</v>
      </c>
      <c r="N27" s="261">
        <f t="shared" ref="N27:N29" si="21">L27*M27</f>
        <v>0.28000000000000003</v>
      </c>
      <c r="O27" s="259">
        <f t="shared" ref="O27:O29" si="22">N27*K27</f>
        <v>0</v>
      </c>
      <c r="P27" s="252">
        <f t="shared" ref="P27:P29" si="23">P$20*N27</f>
        <v>29227.25322687958</v>
      </c>
      <c r="Q27" s="329">
        <f t="shared" ref="Q27:Q29" si="24">P27+Q$20</f>
        <v>34227.253226879577</v>
      </c>
      <c r="R27" s="298"/>
      <c r="S27" s="46"/>
      <c r="T27" s="9"/>
      <c r="W27" s="4"/>
    </row>
    <row r="28" spans="2:24" ht="17.399999999999999" x14ac:dyDescent="0.3">
      <c r="B28" s="331"/>
      <c r="C28" s="326"/>
      <c r="D28" s="327">
        <v>1.18</v>
      </c>
      <c r="E28" s="327">
        <v>0.5</v>
      </c>
      <c r="F28" s="326"/>
      <c r="G28" s="328">
        <v>93182</v>
      </c>
      <c r="H28" s="328">
        <f t="shared" si="17"/>
        <v>0</v>
      </c>
      <c r="I28" s="265"/>
      <c r="J28" s="47">
        <v>349508</v>
      </c>
      <c r="K28" s="332">
        <f t="shared" si="18"/>
        <v>0</v>
      </c>
      <c r="L28" s="39">
        <f t="shared" si="19"/>
        <v>1.23</v>
      </c>
      <c r="M28" s="39">
        <f t="shared" si="20"/>
        <v>0.5</v>
      </c>
      <c r="N28" s="261">
        <f t="shared" si="21"/>
        <v>0.61499999999999999</v>
      </c>
      <c r="O28" s="259">
        <f t="shared" si="22"/>
        <v>0</v>
      </c>
      <c r="P28" s="252">
        <f t="shared" si="23"/>
        <v>64195.574051896219</v>
      </c>
      <c r="Q28" s="329">
        <f t="shared" si="24"/>
        <v>69195.574051896227</v>
      </c>
      <c r="R28" s="298"/>
      <c r="S28" s="46"/>
      <c r="T28" s="9"/>
      <c r="W28" s="4"/>
    </row>
    <row r="29" spans="2:24" ht="17.399999999999999" x14ac:dyDescent="0.3">
      <c r="B29" s="331"/>
      <c r="C29" s="326"/>
      <c r="D29" s="327">
        <v>1.18</v>
      </c>
      <c r="E29" s="327">
        <v>0.51</v>
      </c>
      <c r="F29" s="326"/>
      <c r="G29" s="328">
        <v>94946</v>
      </c>
      <c r="H29" s="328">
        <f t="shared" ref="H29" si="25">G29*B29</f>
        <v>0</v>
      </c>
      <c r="I29" s="265"/>
      <c r="J29" s="47">
        <f>SUM(J27:J28)</f>
        <v>668683</v>
      </c>
      <c r="K29" s="332">
        <f t="shared" si="18"/>
        <v>0</v>
      </c>
      <c r="L29" s="39">
        <f t="shared" si="19"/>
        <v>1.23</v>
      </c>
      <c r="M29" s="39">
        <f t="shared" si="20"/>
        <v>0.51</v>
      </c>
      <c r="N29" s="261">
        <f t="shared" si="21"/>
        <v>0.62729999999999997</v>
      </c>
      <c r="O29" s="259">
        <f t="shared" si="22"/>
        <v>0</v>
      </c>
      <c r="P29" s="252">
        <f t="shared" si="23"/>
        <v>65479.485532934137</v>
      </c>
      <c r="Q29" s="329">
        <f t="shared" si="24"/>
        <v>70479.485532934137</v>
      </c>
      <c r="R29" s="298"/>
      <c r="S29" s="46"/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3"/>
      <c r="I30" s="233"/>
      <c r="J30" s="47"/>
      <c r="K30" s="47"/>
      <c r="L30" s="39"/>
      <c r="M30" s="39"/>
      <c r="N30" s="261"/>
      <c r="O30" s="259"/>
      <c r="P30" s="252"/>
      <c r="Q30" s="258"/>
      <c r="R30" s="298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299" t="s">
        <v>29</v>
      </c>
      <c r="H31" s="300">
        <f>SUM(H21:H30)</f>
        <v>466882</v>
      </c>
      <c r="I31" s="265"/>
      <c r="J31" s="47"/>
      <c r="K31" s="47"/>
      <c r="L31" s="39">
        <f>SUM(L21:L30)</f>
        <v>10.244000000000002</v>
      </c>
      <c r="M31" s="39"/>
      <c r="N31" s="261"/>
      <c r="O31" s="259"/>
      <c r="P31" s="252"/>
      <c r="Q31" s="258"/>
      <c r="R31" s="298"/>
      <c r="S31" s="46">
        <f>SUM(S21:S30)</f>
        <v>6.4</v>
      </c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297" t="s">
        <v>52</v>
      </c>
      <c r="H32" s="295"/>
      <c r="I32" s="265"/>
      <c r="J32" s="47"/>
      <c r="K32" s="47"/>
      <c r="L32" s="39"/>
      <c r="M32" s="12"/>
      <c r="N32" s="12"/>
      <c r="O32" s="253">
        <f>SUM(O21:O28)</f>
        <v>6.0120000000000005</v>
      </c>
      <c r="P32" s="14"/>
      <c r="Q32" s="12"/>
      <c r="R32" s="239"/>
      <c r="S32" s="46">
        <f>S31*20%</f>
        <v>1.2800000000000002</v>
      </c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296">
        <f>H31+H32</f>
        <v>466882</v>
      </c>
      <c r="I33" s="265"/>
      <c r="J33" s="47"/>
      <c r="K33" s="47"/>
      <c r="L33" s="39"/>
      <c r="M33" s="12"/>
      <c r="N33" s="12"/>
      <c r="O33" s="253">
        <f>O32</f>
        <v>6.0120000000000005</v>
      </c>
      <c r="P33" s="14"/>
      <c r="Q33" s="12"/>
      <c r="R33" s="239">
        <f>SUM(R21:R32)</f>
        <v>10.88</v>
      </c>
      <c r="S33" s="46">
        <f>S31+S32</f>
        <v>7.6800000000000006</v>
      </c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>
        <v>147074</v>
      </c>
      <c r="K34" s="47"/>
      <c r="L34" s="14"/>
      <c r="M34" s="12"/>
      <c r="N34" s="12"/>
      <c r="O34" s="39">
        <f>O33*20%</f>
        <v>1.2024000000000001</v>
      </c>
      <c r="P34" s="39" t="s">
        <v>131</v>
      </c>
      <c r="Q34" s="42"/>
      <c r="R34" s="240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>
        <v>33749</v>
      </c>
      <c r="K35" s="47"/>
      <c r="L35" s="14"/>
      <c r="M35" s="12"/>
      <c r="N35" s="12"/>
      <c r="O35" s="46">
        <f>O33+O34</f>
        <v>7.2144000000000004</v>
      </c>
      <c r="P35" s="14"/>
      <c r="Q35" s="14"/>
      <c r="R35" s="238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>
        <v>94650</v>
      </c>
      <c r="K36" s="47"/>
      <c r="L36" s="14"/>
      <c r="M36" s="14"/>
      <c r="N36" s="14"/>
      <c r="O36" s="14"/>
      <c r="P36" s="14"/>
      <c r="Q36" s="14"/>
      <c r="R36" s="238"/>
      <c r="S36" s="14"/>
      <c r="T36" s="305" t="s">
        <v>22</v>
      </c>
      <c r="U36" s="302" t="s">
        <v>153</v>
      </c>
      <c r="V36" s="306">
        <v>44971</v>
      </c>
      <c r="W36" s="307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>
        <f>SUM(J34:J36)</f>
        <v>275473</v>
      </c>
      <c r="K37" s="47"/>
      <c r="L37" s="39">
        <f>O35</f>
        <v>7.2144000000000004</v>
      </c>
      <c r="M37" s="12">
        <v>3500</v>
      </c>
      <c r="N37" s="12">
        <f t="shared" ref="N37:N42" si="26">L37*M37</f>
        <v>25250.400000000001</v>
      </c>
      <c r="O37" s="14" t="s">
        <v>22</v>
      </c>
      <c r="P37" s="14"/>
      <c r="Q37" s="14"/>
      <c r="R37" s="241"/>
      <c r="S37" s="14"/>
      <c r="T37" s="305" t="s">
        <v>154</v>
      </c>
      <c r="U37" s="302">
        <v>3625</v>
      </c>
      <c r="V37" s="59" t="s">
        <v>155</v>
      </c>
      <c r="W37" s="307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2</v>
      </c>
      <c r="M38" s="12">
        <v>25000</v>
      </c>
      <c r="N38" s="12">
        <f t="shared" si="26"/>
        <v>50000</v>
      </c>
      <c r="O38" s="39" t="s">
        <v>32</v>
      </c>
      <c r="P38" s="42"/>
      <c r="Q38" s="14"/>
      <c r="R38" s="240"/>
      <c r="S38" s="14"/>
      <c r="T38" s="305"/>
      <c r="U38" s="59">
        <v>906.25</v>
      </c>
      <c r="V38" s="59" t="s">
        <v>156</v>
      </c>
      <c r="W38" s="307"/>
    </row>
    <row r="39" spans="2:23" s="230" customFormat="1" ht="17.399999999999999" x14ac:dyDescent="0.35">
      <c r="I39" s="262"/>
      <c r="J39" s="232"/>
      <c r="K39" s="250"/>
      <c r="L39" s="14"/>
      <c r="M39" s="250">
        <v>40340</v>
      </c>
      <c r="N39" s="12">
        <f t="shared" si="26"/>
        <v>0</v>
      </c>
      <c r="O39" s="39" t="s">
        <v>31</v>
      </c>
      <c r="P39" s="42"/>
      <c r="R39" s="240"/>
      <c r="S39" s="256"/>
      <c r="T39" s="59"/>
      <c r="U39" s="59">
        <f>U38*20%</f>
        <v>181.25</v>
      </c>
      <c r="V39" s="307" t="s">
        <v>157</v>
      </c>
      <c r="W39" s="59"/>
    </row>
    <row r="40" spans="2:23" s="230" customFormat="1" ht="17.399999999999999" x14ac:dyDescent="0.35">
      <c r="B40" s="24" t="s">
        <v>152</v>
      </c>
      <c r="I40" s="262"/>
      <c r="J40" s="232"/>
      <c r="K40" s="250"/>
      <c r="L40" s="14">
        <v>3</v>
      </c>
      <c r="M40" s="250">
        <v>70000</v>
      </c>
      <c r="N40" s="12">
        <f t="shared" si="26"/>
        <v>210000</v>
      </c>
      <c r="O40" s="14" t="s">
        <v>142</v>
      </c>
      <c r="P40" s="17"/>
      <c r="R40" s="238"/>
      <c r="S40" s="256"/>
      <c r="T40" s="59"/>
      <c r="U40" s="59">
        <f>U38+U39</f>
        <v>1087.5</v>
      </c>
      <c r="V40" s="307" t="s">
        <v>158</v>
      </c>
      <c r="W40" s="59"/>
    </row>
    <row r="41" spans="2:23" s="230" customFormat="1" ht="17.399999999999999" x14ac:dyDescent="0.35">
      <c r="B41" s="24" t="s">
        <v>145</v>
      </c>
      <c r="C41"/>
      <c r="D41"/>
      <c r="E41"/>
      <c r="F41"/>
      <c r="I41" s="262"/>
      <c r="J41" s="230">
        <v>27000</v>
      </c>
      <c r="K41" s="250"/>
      <c r="L41" s="249"/>
      <c r="M41" s="250">
        <v>300</v>
      </c>
      <c r="N41" s="12">
        <f t="shared" si="26"/>
        <v>0</v>
      </c>
      <c r="O41" s="14" t="s">
        <v>33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126</v>
      </c>
      <c r="C42"/>
      <c r="D42"/>
      <c r="E42"/>
      <c r="F42" s="229" t="s">
        <v>16</v>
      </c>
      <c r="I42" s="294"/>
      <c r="J42" s="230">
        <f>J41*19%</f>
        <v>5130</v>
      </c>
      <c r="K42" s="250"/>
      <c r="L42" s="266"/>
      <c r="M42" s="12">
        <v>1500</v>
      </c>
      <c r="N42" s="12">
        <f t="shared" si="26"/>
        <v>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I43" s="230" t="s">
        <v>175</v>
      </c>
      <c r="J43" s="230">
        <f>J41+J42</f>
        <v>32130</v>
      </c>
      <c r="K43" s="250"/>
      <c r="L43" s="14"/>
      <c r="M43" s="12"/>
      <c r="N43" s="12">
        <f>SUM(N37:N42)</f>
        <v>285250.40000000002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34</v>
      </c>
      <c r="M44" s="12"/>
      <c r="N44" s="255">
        <f>N43*2.2</f>
        <v>627550.88000000012</v>
      </c>
      <c r="O44" s="14" t="s">
        <v>141</v>
      </c>
      <c r="P44" s="14"/>
      <c r="Q44" s="40">
        <f>O35/Q43</f>
        <v>1.9452113891285592</v>
      </c>
      <c r="R44"/>
      <c r="S44" s="257"/>
    </row>
    <row r="45" spans="2:23" s="230" customFormat="1" ht="17.399999999999999" x14ac:dyDescent="0.35">
      <c r="G45"/>
      <c r="H45" s="260"/>
      <c r="I45" s="230" t="s">
        <v>174</v>
      </c>
      <c r="J45" s="230">
        <v>58830</v>
      </c>
      <c r="K45" s="250">
        <v>0</v>
      </c>
      <c r="L45" s="14"/>
      <c r="M45" s="12"/>
      <c r="N45" s="12">
        <f>N44/O33</f>
        <v>104383.04723885564</v>
      </c>
      <c r="O45" s="45" t="s">
        <v>25</v>
      </c>
      <c r="P45" s="14"/>
      <c r="Q45" s="14"/>
      <c r="R45"/>
      <c r="S45" s="238"/>
      <c r="T45" s="59" t="s">
        <v>159</v>
      </c>
      <c r="U45" s="302">
        <v>43650</v>
      </c>
    </row>
    <row r="46" spans="2:23" s="230" customFormat="1" ht="17.399999999999999" x14ac:dyDescent="0.35">
      <c r="G46"/>
      <c r="J46" s="230">
        <f>J45/1.19</f>
        <v>49436.97478991597</v>
      </c>
      <c r="K46" s="250"/>
      <c r="L46" s="13"/>
      <c r="M46" s="14"/>
      <c r="N46" s="17">
        <f>N44/N43</f>
        <v>2.2000000000000002</v>
      </c>
      <c r="O46" s="15"/>
      <c r="P46"/>
      <c r="Q46"/>
      <c r="R46"/>
      <c r="S46" s="238"/>
      <c r="T46" s="59" t="s">
        <v>161</v>
      </c>
      <c r="U46" s="303" t="s">
        <v>160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162</v>
      </c>
      <c r="U47" s="304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I48" s="230" t="s">
        <v>176</v>
      </c>
      <c r="K48" s="12"/>
      <c r="S48" s="238"/>
      <c r="T48" s="59" t="s">
        <v>157</v>
      </c>
      <c r="U48" s="59">
        <v>474.45</v>
      </c>
    </row>
    <row r="49" spans="9:21" ht="14.4" customHeight="1" x14ac:dyDescent="0.3">
      <c r="I49" t="s">
        <v>177</v>
      </c>
      <c r="J49">
        <v>8990</v>
      </c>
      <c r="K49" s="12"/>
      <c r="T49" s="59"/>
      <c r="U49" s="59"/>
    </row>
    <row r="50" spans="9:21" x14ac:dyDescent="0.3">
      <c r="K50" s="250"/>
    </row>
    <row r="51" spans="9:21" x14ac:dyDescent="0.3">
      <c r="I51" t="s">
        <v>178</v>
      </c>
      <c r="K51" s="250"/>
      <c r="S51" s="270"/>
    </row>
    <row r="52" spans="9:21" x14ac:dyDescent="0.3">
      <c r="K52" s="250"/>
    </row>
    <row r="53" spans="9:21" ht="15" customHeight="1" x14ac:dyDescent="0.3">
      <c r="I53">
        <v>5190</v>
      </c>
    </row>
    <row r="54" spans="9:21" x14ac:dyDescent="0.3">
      <c r="I54">
        <f>I53/12</f>
        <v>432.5</v>
      </c>
    </row>
    <row r="55" spans="9:21" x14ac:dyDescent="0.3">
      <c r="N55">
        <v>40935</v>
      </c>
      <c r="O55" t="s">
        <v>17</v>
      </c>
      <c r="P55" t="s">
        <v>27</v>
      </c>
    </row>
    <row r="57" spans="9:21" x14ac:dyDescent="0.3">
      <c r="N57" s="54"/>
      <c r="O57" s="54"/>
    </row>
    <row r="58" spans="9:21" x14ac:dyDescent="0.3">
      <c r="R58" s="18"/>
      <c r="S58" s="18"/>
    </row>
    <row r="59" spans="9:21" x14ac:dyDescent="0.3">
      <c r="R59" s="18"/>
      <c r="S59" s="18"/>
    </row>
    <row r="60" spans="9:21" x14ac:dyDescent="0.3">
      <c r="R60" s="18"/>
      <c r="S60" s="18"/>
    </row>
    <row r="61" spans="9:21" x14ac:dyDescent="0.3">
      <c r="R61" s="18"/>
      <c r="S61" s="18"/>
    </row>
    <row r="62" spans="9:21" x14ac:dyDescent="0.3">
      <c r="R62" s="18"/>
      <c r="S62" s="18"/>
    </row>
    <row r="63" spans="9:21" x14ac:dyDescent="0.3">
      <c r="R63" s="18"/>
      <c r="S63" s="18"/>
    </row>
    <row r="64" spans="9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149</v>
      </c>
    </row>
    <row r="81" spans="3:3" x14ac:dyDescent="0.3">
      <c r="C81" t="s">
        <v>148</v>
      </c>
    </row>
    <row r="84" spans="3:3" x14ac:dyDescent="0.3">
      <c r="C84" t="s">
        <v>148</v>
      </c>
    </row>
    <row r="161" spans="3:3" x14ac:dyDescent="0.3">
      <c r="C161" t="s">
        <v>148</v>
      </c>
    </row>
    <row r="162" spans="3:3" x14ac:dyDescent="0.3">
      <c r="C162" t="s">
        <v>150</v>
      </c>
    </row>
    <row r="163" spans="3:3" x14ac:dyDescent="0.3">
      <c r="C163" t="s">
        <v>151</v>
      </c>
    </row>
    <row r="588" spans="3:3" x14ac:dyDescent="0.3">
      <c r="C588" t="s">
        <v>148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45461</v>
      </c>
    </row>
    <row r="6" spans="2:31" ht="16.2" thickBot="1" x14ac:dyDescent="0.35">
      <c r="B6" s="140" t="s">
        <v>2</v>
      </c>
      <c r="C6" s="139" t="str">
        <f>'2229'!C10</f>
        <v>CONSTRUCTORA BAYO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11001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-48915.431700120775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'2229'!H31</f>
        <v>466882</v>
      </c>
      <c r="E11" s="132">
        <f>D11*0.19</f>
        <v>88707.58</v>
      </c>
      <c r="F11" s="131">
        <f>E11+D11</f>
        <v>555589.57999999996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57074.568299879225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105084.4907874396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39074.568299879225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361797.50921256037</v>
      </c>
      <c r="E13" s="221">
        <f>(D11/D12)-1</f>
        <v>3.4429201350405636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30074.568299879225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-8925.4317001207746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173389.40979927534</v>
      </c>
      <c r="F15" s="216">
        <f>E15-D12</f>
        <v>68304.919011835736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-8925.4317001207746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31074.568299879225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'2229'!N38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25250.400000000001</v>
      </c>
      <c r="E20" s="121">
        <f>D20*0.19</f>
        <v>4797.576</v>
      </c>
      <c r="F20" s="120">
        <f>SUM(D20:E20)</f>
        <v>30047.976000000002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75250.399999999994</v>
      </c>
      <c r="E21" s="116">
        <f>SUM(E18:E20)</f>
        <v>14297.576000000001</v>
      </c>
      <c r="F21" s="115">
        <f>SUM(F18:F20)</f>
        <v>89547.975999999995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74410.004000000001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466882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75250.399999999994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361797.50921256037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361797.50921256037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2024-10-07T18:22:15Z</dcterms:modified>
</cp:coreProperties>
</file>