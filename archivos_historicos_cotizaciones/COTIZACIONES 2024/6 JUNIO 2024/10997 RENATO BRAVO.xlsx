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BD976203-F5FE-46DD-8C9F-601A283EE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" i="1" l="1"/>
  <c r="R40" i="1"/>
  <c r="R39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21" i="1"/>
  <c r="K22" i="1"/>
  <c r="L22" i="1"/>
  <c r="N22" i="1" s="1"/>
  <c r="O22" i="1" s="1"/>
  <c r="M22" i="1"/>
  <c r="K23" i="1"/>
  <c r="L23" i="1"/>
  <c r="M23" i="1"/>
  <c r="K24" i="1"/>
  <c r="L24" i="1"/>
  <c r="M24" i="1"/>
  <c r="N24" i="1"/>
  <c r="K25" i="1"/>
  <c r="L25" i="1"/>
  <c r="M25" i="1"/>
  <c r="N25" i="1"/>
  <c r="O25" i="1" s="1"/>
  <c r="K26" i="1"/>
  <c r="L26" i="1"/>
  <c r="N26" i="1" s="1"/>
  <c r="O26" i="1" s="1"/>
  <c r="M26" i="1"/>
  <c r="K27" i="1"/>
  <c r="L27" i="1"/>
  <c r="M27" i="1"/>
  <c r="K28" i="1"/>
  <c r="L28" i="1"/>
  <c r="M28" i="1"/>
  <c r="N28" i="1"/>
  <c r="K29" i="1"/>
  <c r="L29" i="1"/>
  <c r="M29" i="1"/>
  <c r="N29" i="1"/>
  <c r="O29" i="1" s="1"/>
  <c r="K30" i="1"/>
  <c r="L30" i="1"/>
  <c r="N30" i="1" s="1"/>
  <c r="O30" i="1" s="1"/>
  <c r="M30" i="1"/>
  <c r="K31" i="1"/>
  <c r="L31" i="1"/>
  <c r="M31" i="1"/>
  <c r="K32" i="1"/>
  <c r="L32" i="1"/>
  <c r="M32" i="1"/>
  <c r="K33" i="1"/>
  <c r="L33" i="1"/>
  <c r="M33" i="1"/>
  <c r="N33" i="1"/>
  <c r="K34" i="1"/>
  <c r="L34" i="1"/>
  <c r="M34" i="1"/>
  <c r="N34" i="1"/>
  <c r="O34" i="1" s="1"/>
  <c r="K35" i="1"/>
  <c r="L35" i="1"/>
  <c r="N35" i="1" s="1"/>
  <c r="O35" i="1" s="1"/>
  <c r="M35" i="1"/>
  <c r="K36" i="1"/>
  <c r="L36" i="1"/>
  <c r="N36" i="1" s="1"/>
  <c r="O36" i="1" s="1"/>
  <c r="M36" i="1"/>
  <c r="K37" i="1"/>
  <c r="L37" i="1"/>
  <c r="M37" i="1"/>
  <c r="N37" i="1"/>
  <c r="K21" i="1"/>
  <c r="O28" i="1" l="1"/>
  <c r="O24" i="1"/>
  <c r="N32" i="1"/>
  <c r="O32" i="1" s="1"/>
  <c r="N31" i="1"/>
  <c r="O31" i="1" s="1"/>
  <c r="N27" i="1"/>
  <c r="O27" i="1" s="1"/>
  <c r="N23" i="1"/>
  <c r="O23" i="1" s="1"/>
  <c r="O37" i="1"/>
  <c r="O33" i="1"/>
  <c r="J55" i="1"/>
  <c r="L21" i="1"/>
  <c r="M21" i="1"/>
  <c r="L40" i="1" l="1"/>
  <c r="S21" i="1"/>
  <c r="S40" i="1" s="1"/>
  <c r="S41" i="1" s="1"/>
  <c r="S42" i="1" s="1"/>
  <c r="N21" i="1"/>
  <c r="O21" i="1" s="1"/>
  <c r="O41" i="1" s="1"/>
  <c r="U48" i="1"/>
  <c r="U49" i="1" s="1"/>
  <c r="N47" i="1" l="1"/>
  <c r="O42" i="1" l="1"/>
  <c r="O43" i="1" s="1"/>
  <c r="O44" i="1" s="1"/>
  <c r="L46" i="1" s="1"/>
  <c r="M20" i="1"/>
  <c r="K20" i="1"/>
  <c r="N48" i="1" l="1"/>
  <c r="Q52" i="1"/>
  <c r="N4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1" i="1"/>
  <c r="N50" i="1"/>
  <c r="F18" i="3" l="1"/>
  <c r="N46" i="1" l="1"/>
  <c r="N52" i="1" s="1"/>
  <c r="N53" i="1" s="1"/>
  <c r="Q53" i="1"/>
  <c r="D20" i="3" l="1"/>
  <c r="E20" i="3" s="1"/>
  <c r="E21" i="3" s="1"/>
  <c r="N54" i="1" l="1"/>
  <c r="D21" i="3"/>
  <c r="M43" i="3" s="1"/>
  <c r="D12" i="3" s="1"/>
  <c r="F20" i="3"/>
  <c r="F21" i="3" s="1"/>
  <c r="N55" i="1" l="1"/>
  <c r="P20" i="1"/>
  <c r="E15" i="3"/>
  <c r="P37" i="1" l="1"/>
  <c r="Q37" i="1" s="1"/>
  <c r="G37" i="1" s="1"/>
  <c r="H37" i="1" s="1"/>
  <c r="P22" i="1"/>
  <c r="Q22" i="1" s="1"/>
  <c r="G22" i="1" s="1"/>
  <c r="H22" i="1" s="1"/>
  <c r="P23" i="1"/>
  <c r="Q23" i="1" s="1"/>
  <c r="G23" i="1" s="1"/>
  <c r="H23" i="1" s="1"/>
  <c r="P24" i="1"/>
  <c r="Q24" i="1" s="1"/>
  <c r="G24" i="1" s="1"/>
  <c r="H24" i="1" s="1"/>
  <c r="P25" i="1"/>
  <c r="Q25" i="1" s="1"/>
  <c r="G25" i="1" s="1"/>
  <c r="H25" i="1" s="1"/>
  <c r="P26" i="1"/>
  <c r="Q26" i="1" s="1"/>
  <c r="G26" i="1" s="1"/>
  <c r="H26" i="1" s="1"/>
  <c r="P27" i="1"/>
  <c r="Q27" i="1" s="1"/>
  <c r="G27" i="1" s="1"/>
  <c r="H27" i="1" s="1"/>
  <c r="P28" i="1"/>
  <c r="Q28" i="1" s="1"/>
  <c r="G28" i="1" s="1"/>
  <c r="H28" i="1" s="1"/>
  <c r="P29" i="1"/>
  <c r="Q29" i="1" s="1"/>
  <c r="G29" i="1" s="1"/>
  <c r="H29" i="1" s="1"/>
  <c r="P30" i="1"/>
  <c r="Q30" i="1" s="1"/>
  <c r="G30" i="1" s="1"/>
  <c r="H30" i="1" s="1"/>
  <c r="P31" i="1"/>
  <c r="Q31" i="1" s="1"/>
  <c r="G31" i="1" s="1"/>
  <c r="H31" i="1" s="1"/>
  <c r="P32" i="1"/>
  <c r="Q32" i="1" s="1"/>
  <c r="G32" i="1" s="1"/>
  <c r="H32" i="1" s="1"/>
  <c r="P33" i="1"/>
  <c r="Q33" i="1" s="1"/>
  <c r="G33" i="1" s="1"/>
  <c r="H33" i="1" s="1"/>
  <c r="P34" i="1"/>
  <c r="Q34" i="1" s="1"/>
  <c r="G34" i="1" s="1"/>
  <c r="H34" i="1" s="1"/>
  <c r="P35" i="1"/>
  <c r="Q35" i="1" s="1"/>
  <c r="G35" i="1" s="1"/>
  <c r="H35" i="1" s="1"/>
  <c r="P36" i="1"/>
  <c r="Q36" i="1" s="1"/>
  <c r="G36" i="1" s="1"/>
  <c r="H36" i="1" s="1"/>
  <c r="P21" i="1"/>
  <c r="F15" i="3"/>
  <c r="Q21" i="1" l="1"/>
  <c r="G21" i="1" s="1"/>
  <c r="H21" i="1" l="1"/>
  <c r="H40" i="1" l="1"/>
  <c r="H41" i="1" s="1"/>
  <c r="H42" i="1" s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<sst xmlns="http://schemas.openxmlformats.org/spreadsheetml/2006/main" count="261" uniqueCount="174">
  <si>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</si>
  <si>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</si>
  <si>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</si>
  <si>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</si>
  <si>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</si>
  <si>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</si>
  <si>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</si>
  <si>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</si>
  <si>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</si>
  <si>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</si>
  <si>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</si>
  <si>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</si>
  <si>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</si>
  <si>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</si>
  <si>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</si>
  <si>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</si>
  <si>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</si>
  <si>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</si>
  <si>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</si>
  <si>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</si>
  <si>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</si>
  <si>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</si>
  <si>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</si>
  <si>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</si>
  <si>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</si>
  <si>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</si>
  <si>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</si>
  <si>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</si>
  <si>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</si>
  <si>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</si>
  <si>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</si>
  <si>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</si>
  <si>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</si>
  <si>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</si>
  <si>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</si>
  <si>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</si>
  <si>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</si>
  <si>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</si>
  <si>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</si>
  <si>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</si>
  <si>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</si>
  <si>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</si>
  <si>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</si>
  <si>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</si>
  <si>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</si>
  <si>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</si>
  <si>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</si>
  <si>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</si>
  <si>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</si>
  <si>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</si>
  <si>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</si>
  <si>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</si>
  <si>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</si>
  <si>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</si>
  <si>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</si>
  <si>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</si>
  <si>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</si>
  <si>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</si>
  <si>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</si>
  <si>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</si>
  <si>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</si>
  <si>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</si>
  <si>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</si>
  <si>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</si>
  <si>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</si>
  <si>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</si>
  <si>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</si>
  <si>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</si>
  <si>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</si>
  <si>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</si>
  <si>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</si>
  <si>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</si>
  <si>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</si>
  <si>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</si>
  <si>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</si>
  <si>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</si>
  <si>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</si>
  <si>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</si>
  <si>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</si>
  <si>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</si>
  <si>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</si>
  <si>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</si>
  <si>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</si>
  <si>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</si>
  <si>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</si>
  <si>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</si>
  <si>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</si>
  <si>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</si>
  <si>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</si>
  <si>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</si>
  <si>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</si>
  <si>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</si>
  <si>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</si>
  <si>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</si>
  <si>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</si>
  <si>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</si>
  <si>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</si>
  <si>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</si>
  <si>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</si>
  <si>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</si>
  <si>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</si>
  <si>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</si>
  <si>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</si>
  <si>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</si>
  <si>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</si>
  <si>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</si>
  <si>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</si>
  <si>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</si>
  <si>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</si>
  <si>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</si>
  <si>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</si>
  <si>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</si>
  <si>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</si>
  <si>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</si>
  <si>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</si>
  <si>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</si>
  <si>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</si>
  <si>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</si>
  <si>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</si>
  <si>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</si>
  <si>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</si>
  <si>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</si>
  <si>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</si>
  <si>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</si>
  <si>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</si>
  <si>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</si>
  <si>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</si>
  <si>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</si>
  <si>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</si>
  <si>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</si>
  <si>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</si>
  <si>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</si>
  <si>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</si>
  <si>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</si>
  <si>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</si>
  <si>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</si>
  <si>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</si>
  <si>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</si>
  <si>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</si>
  <si>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</si>
  <si>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</si>
  <si>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</si>
  <si>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</si>
  <si>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</si>
  <si>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</si>
  <si>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</si>
  <si>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</si>
  <si>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</si>
  <si>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</si>
  <si>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</si>
  <si>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</si>
  <si>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</si>
  <si>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</si>
  <si>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</si>
  <si>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</si>
  <si>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</si>
  <si>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</si>
  <si>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</si>
  <si>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</si>
  <si>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</si>
  <si>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</si>
  <si>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</si>
  <si>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</si>
  <si>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</si>
  <si>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</si>
  <si>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</si>
  <si>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</si>
  <si>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</si>
  <si>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N° 10997</t>
  </si>
  <si>
    <t xml:space="preserve">+569 </t>
  </si>
  <si>
    <t>10 DIAS HABILES</t>
  </si>
  <si>
    <t>PR6</t>
  </si>
  <si>
    <t>PETROLEO 2237 MT</t>
  </si>
  <si>
    <t>RENATO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</si>
</sst>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44</xdr:row>
      <xdr:rowOff>26670</xdr:rowOff>
    </xdr:from>
    <xdr:to>
      <xdr:col>7</xdr:col>
      <xdr:colOff>1034435</xdr:colOff>
      <xdr:row>47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46</xdr:row>
      <xdr:rowOff>154305</xdr:rowOff>
    </xdr:from>
    <xdr:to>
      <xdr:col>7</xdr:col>
      <xdr:colOff>853440</xdr:colOff>
      <xdr:row>46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44</xdr:row>
      <xdr:rowOff>9525</xdr:rowOff>
    </xdr:from>
    <xdr:to>
      <xdr:col>5</xdr:col>
      <xdr:colOff>1714500</xdr:colOff>
      <xdr:row>47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39</xdr:row>
      <xdr:rowOff>9525</xdr:rowOff>
    </xdr:from>
    <xdr:to>
      <xdr:col>5</xdr:col>
      <xdr:colOff>1594096</xdr:colOff>
      <xdr:row>42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PIEZAS SE ENTREGAN CORTADAS A LA MEDIDA Y ENCHAPADAS CON TAPACANTO PVC 0,4MM LO MÁS PARECIDO AL COLOR DE LA LAMINA.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 CARA BLANCO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7"/>
  <sheetViews>
    <sheetView tabSelected="1" topLeftCell="D29" zoomScale="93" zoomScaleNormal="93" workbookViewId="0">
      <selection activeCell="R43" sqref="R43"/>
    </sheetView>
  </sheetViews>
  <sheetFormatPr baseColWidth="10" defaultRowHeight="14.4" x14ac:dyDescent="0.3"/>
  <cols>
    <col min="1" max="1" width="6" customWidth="1"/>
    <col min="2" max="2" width="10.5546875" customWidth="1"/>
    <col min="3" max="3" width="23.332031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173</v>
      </c>
      <c r="D10" s="243"/>
      <c r="E10" s="243"/>
      <c r="F10" s="244" t="s">
        <v>0</v>
      </c>
      <c r="G10" s="277">
        <v>45456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/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169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3" t="s">
        <v>166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N54</f>
        <v>93277.814239216154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171</v>
      </c>
      <c r="D21" s="326">
        <v>0.57799999999999996</v>
      </c>
      <c r="E21" s="326">
        <v>0.372</v>
      </c>
      <c r="F21" s="325" t="s">
        <v>172</v>
      </c>
      <c r="G21" s="327">
        <f>Q21</f>
        <v>24791.189851308722</v>
      </c>
      <c r="H21" s="327">
        <f>G21*B21</f>
        <v>24791.189851308722</v>
      </c>
      <c r="I21" s="265"/>
      <c r="J21" s="47"/>
      <c r="K21" s="331">
        <f>B21</f>
        <v>1</v>
      </c>
      <c r="L21" s="332">
        <f t="shared" ref="L21" si="1">D21+L$19</f>
        <v>0.628</v>
      </c>
      <c r="M21" s="39">
        <f t="shared" ref="M21" si="2">E21+M$19</f>
        <v>0.372</v>
      </c>
      <c r="N21" s="261">
        <f t="shared" ref="N21" si="3">L21*M21</f>
        <v>0.23361599999999999</v>
      </c>
      <c r="O21" s="259">
        <f t="shared" ref="O21" si="4">N21*K21</f>
        <v>0.23361599999999999</v>
      </c>
      <c r="P21" s="252">
        <f t="shared" ref="P21" si="5">P$20*N21</f>
        <v>21791.189851308722</v>
      </c>
      <c r="Q21" s="328">
        <f t="shared" ref="Q21" si="6">P21+Q$20</f>
        <v>24791.189851308722</v>
      </c>
      <c r="R21" s="298">
        <f>M21*2</f>
        <v>0.74399999999999999</v>
      </c>
      <c r="S21" s="46">
        <f>M21*2*K21</f>
        <v>0.74399999999999999</v>
      </c>
      <c r="T21" s="9"/>
      <c r="W21" s="4"/>
    </row>
    <row r="22" spans="2:24" ht="17.399999999999999" x14ac:dyDescent="0.3">
      <c r="B22" s="325">
        <v>1</v>
      </c>
      <c r="C22" s="325" t="s">
        <v>171</v>
      </c>
      <c r="D22" s="326">
        <v>0.57799999999999996</v>
      </c>
      <c r="E22" s="326">
        <v>0.36499999999999999</v>
      </c>
      <c r="F22" s="325" t="s">
        <v>172</v>
      </c>
      <c r="G22" s="327">
        <f t="shared" ref="G22:G37" si="7">Q22</f>
        <v>24381.140579913128</v>
      </c>
      <c r="H22" s="327">
        <f t="shared" ref="H22:H37" si="8">G22*B22</f>
        <v>24381.140579913128</v>
      </c>
      <c r="I22" s="265"/>
      <c r="J22" s="47"/>
      <c r="K22" s="331">
        <f t="shared" ref="K22:K37" si="9">B22</f>
        <v>1</v>
      </c>
      <c r="L22" s="332">
        <f t="shared" ref="L22:L37" si="10">D22+L$19</f>
        <v>0.628</v>
      </c>
      <c r="M22" s="39">
        <f t="shared" ref="M22:M37" si="11">E22+M$19</f>
        <v>0.36499999999999999</v>
      </c>
      <c r="N22" s="261">
        <f t="shared" ref="N22:N37" si="12">L22*M22</f>
        <v>0.22922000000000001</v>
      </c>
      <c r="O22" s="259">
        <f t="shared" ref="O22:O37" si="13">N22*K22</f>
        <v>0.22922000000000001</v>
      </c>
      <c r="P22" s="252">
        <f t="shared" ref="P22:P37" si="14">P$20*N22</f>
        <v>21381.140579913128</v>
      </c>
      <c r="Q22" s="328">
        <f t="shared" ref="Q22:Q37" si="15">P22+Q$20</f>
        <v>24381.140579913128</v>
      </c>
      <c r="R22" s="298">
        <f t="shared" ref="R22:R37" si="16">M22*2</f>
        <v>0.73</v>
      </c>
      <c r="S22" s="46"/>
      <c r="T22" s="9"/>
      <c r="W22" s="4"/>
    </row>
    <row r="23" spans="2:24" ht="17.399999999999999" x14ac:dyDescent="0.3">
      <c r="B23" s="325">
        <v>1</v>
      </c>
      <c r="C23" s="325" t="s">
        <v>171</v>
      </c>
      <c r="D23" s="326">
        <v>0.59</v>
      </c>
      <c r="E23" s="326">
        <v>0.26500000000000001</v>
      </c>
      <c r="F23" s="325" t="s">
        <v>172</v>
      </c>
      <c r="G23" s="327">
        <f t="shared" si="7"/>
        <v>18819.917294971059</v>
      </c>
      <c r="H23" s="327">
        <f t="shared" si="8"/>
        <v>18819.917294971059</v>
      </c>
      <c r="I23" s="265"/>
      <c r="J23" s="47"/>
      <c r="K23" s="47">
        <f t="shared" si="9"/>
        <v>1</v>
      </c>
      <c r="L23" s="39">
        <f t="shared" si="10"/>
        <v>0.64</v>
      </c>
      <c r="M23" s="39">
        <f t="shared" si="11"/>
        <v>0.26500000000000001</v>
      </c>
      <c r="N23" s="261">
        <f t="shared" si="12"/>
        <v>0.1696</v>
      </c>
      <c r="O23" s="259">
        <f t="shared" si="13"/>
        <v>0.1696</v>
      </c>
      <c r="P23" s="252">
        <f t="shared" si="14"/>
        <v>15819.917294971059</v>
      </c>
      <c r="Q23" s="328">
        <f t="shared" si="15"/>
        <v>18819.917294971059</v>
      </c>
      <c r="R23" s="298">
        <f t="shared" si="16"/>
        <v>0.53</v>
      </c>
      <c r="S23" s="46"/>
      <c r="T23" s="9"/>
      <c r="W23" s="4"/>
    </row>
    <row r="24" spans="2:24" ht="17.399999999999999" x14ac:dyDescent="0.3">
      <c r="B24" s="325">
        <v>1</v>
      </c>
      <c r="C24" s="325" t="s">
        <v>171</v>
      </c>
      <c r="D24" s="326">
        <v>0.59</v>
      </c>
      <c r="E24" s="326">
        <v>0.23</v>
      </c>
      <c r="F24" s="325" t="s">
        <v>172</v>
      </c>
      <c r="G24" s="327">
        <f t="shared" si="7"/>
        <v>16730.494256012618</v>
      </c>
      <c r="H24" s="327">
        <f t="shared" si="8"/>
        <v>16730.494256012618</v>
      </c>
      <c r="I24" s="265"/>
      <c r="J24" s="47"/>
      <c r="K24" s="47">
        <f t="shared" si="9"/>
        <v>1</v>
      </c>
      <c r="L24" s="39">
        <f t="shared" si="10"/>
        <v>0.64</v>
      </c>
      <c r="M24" s="39">
        <f t="shared" si="11"/>
        <v>0.23</v>
      </c>
      <c r="N24" s="261">
        <f t="shared" si="12"/>
        <v>0.1472</v>
      </c>
      <c r="O24" s="259">
        <f t="shared" si="13"/>
        <v>0.1472</v>
      </c>
      <c r="P24" s="252">
        <f t="shared" si="14"/>
        <v>13730.494256012618</v>
      </c>
      <c r="Q24" s="328">
        <f t="shared" si="15"/>
        <v>16730.494256012618</v>
      </c>
      <c r="R24" s="298">
        <f t="shared" si="16"/>
        <v>0.46</v>
      </c>
      <c r="S24" s="46"/>
      <c r="T24" s="9"/>
      <c r="W24" s="4"/>
    </row>
    <row r="25" spans="2:24" ht="17.399999999999999" x14ac:dyDescent="0.3">
      <c r="B25" s="325">
        <v>1</v>
      </c>
      <c r="C25" s="325" t="s">
        <v>171</v>
      </c>
      <c r="D25" s="326">
        <v>0.59</v>
      </c>
      <c r="E25" s="326">
        <v>0.24</v>
      </c>
      <c r="F25" s="325" t="s">
        <v>172</v>
      </c>
      <c r="G25" s="327">
        <f t="shared" si="7"/>
        <v>17327.472267143599</v>
      </c>
      <c r="H25" s="327">
        <f t="shared" si="8"/>
        <v>17327.472267143599</v>
      </c>
      <c r="I25" s="265"/>
      <c r="J25" s="47"/>
      <c r="K25" s="47">
        <f t="shared" si="9"/>
        <v>1</v>
      </c>
      <c r="L25" s="39">
        <f t="shared" si="10"/>
        <v>0.64</v>
      </c>
      <c r="M25" s="39">
        <f t="shared" si="11"/>
        <v>0.24</v>
      </c>
      <c r="N25" s="261">
        <f t="shared" si="12"/>
        <v>0.15359999999999999</v>
      </c>
      <c r="O25" s="259">
        <f t="shared" si="13"/>
        <v>0.15359999999999999</v>
      </c>
      <c r="P25" s="252">
        <f t="shared" si="14"/>
        <v>14327.472267143599</v>
      </c>
      <c r="Q25" s="328">
        <f t="shared" si="15"/>
        <v>17327.472267143599</v>
      </c>
      <c r="R25" s="298">
        <f t="shared" si="16"/>
        <v>0.48</v>
      </c>
      <c r="S25" s="46"/>
      <c r="T25" s="9"/>
      <c r="W25" s="4"/>
    </row>
    <row r="26" spans="2:24" ht="17.399999999999999" x14ac:dyDescent="0.3">
      <c r="B26" s="325">
        <v>1</v>
      </c>
      <c r="C26" s="325" t="s">
        <v>171</v>
      </c>
      <c r="D26" s="326">
        <v>0.55000000000000004</v>
      </c>
      <c r="E26" s="326">
        <v>0.26500000000000001</v>
      </c>
      <c r="F26" s="325" t="s">
        <v>172</v>
      </c>
      <c r="G26" s="327">
        <f t="shared" si="7"/>
        <v>17831.172464035371</v>
      </c>
      <c r="H26" s="327">
        <f t="shared" si="8"/>
        <v>17831.172464035371</v>
      </c>
      <c r="I26" s="265"/>
      <c r="J26" s="47"/>
      <c r="K26" s="47">
        <f t="shared" si="9"/>
        <v>1</v>
      </c>
      <c r="L26" s="39">
        <f t="shared" si="10"/>
        <v>0.60000000000000009</v>
      </c>
      <c r="M26" s="39">
        <f t="shared" si="11"/>
        <v>0.26500000000000001</v>
      </c>
      <c r="N26" s="261">
        <f t="shared" si="12"/>
        <v>0.15900000000000003</v>
      </c>
      <c r="O26" s="259">
        <f t="shared" si="13"/>
        <v>0.15900000000000003</v>
      </c>
      <c r="P26" s="252">
        <f t="shared" si="14"/>
        <v>14831.172464035371</v>
      </c>
      <c r="Q26" s="328">
        <f t="shared" si="15"/>
        <v>17831.172464035371</v>
      </c>
      <c r="R26" s="298">
        <f t="shared" si="16"/>
        <v>0.53</v>
      </c>
      <c r="S26" s="46"/>
      <c r="T26" s="9"/>
      <c r="W26" s="4"/>
    </row>
    <row r="27" spans="2:24" ht="17.399999999999999" x14ac:dyDescent="0.3">
      <c r="B27" s="325">
        <v>1</v>
      </c>
      <c r="C27" s="325" t="s">
        <v>171</v>
      </c>
      <c r="D27" s="326">
        <v>0.55000000000000004</v>
      </c>
      <c r="E27" s="326">
        <v>0.23</v>
      </c>
      <c r="F27" s="325" t="s">
        <v>172</v>
      </c>
      <c r="G27" s="327">
        <f t="shared" si="7"/>
        <v>15872.338365011832</v>
      </c>
      <c r="H27" s="327">
        <f t="shared" si="8"/>
        <v>15872.338365011832</v>
      </c>
      <c r="I27" s="265"/>
      <c r="J27" s="47"/>
      <c r="K27" s="47">
        <f t="shared" si="9"/>
        <v>1</v>
      </c>
      <c r="L27" s="39">
        <f t="shared" si="10"/>
        <v>0.60000000000000009</v>
      </c>
      <c r="M27" s="39">
        <f t="shared" si="11"/>
        <v>0.23</v>
      </c>
      <c r="N27" s="261">
        <f t="shared" si="12"/>
        <v>0.13800000000000004</v>
      </c>
      <c r="O27" s="259">
        <f t="shared" si="13"/>
        <v>0.13800000000000004</v>
      </c>
      <c r="P27" s="252">
        <f t="shared" si="14"/>
        <v>12872.338365011832</v>
      </c>
      <c r="Q27" s="328">
        <f t="shared" si="15"/>
        <v>15872.338365011832</v>
      </c>
      <c r="R27" s="298">
        <f t="shared" si="16"/>
        <v>0.46</v>
      </c>
      <c r="S27" s="46"/>
      <c r="T27" s="9"/>
      <c r="W27" s="4"/>
    </row>
    <row r="28" spans="2:24" ht="17.399999999999999" x14ac:dyDescent="0.3">
      <c r="B28" s="325">
        <v>1</v>
      </c>
      <c r="C28" s="325" t="s">
        <v>171</v>
      </c>
      <c r="D28" s="326">
        <v>0.55000000000000004</v>
      </c>
      <c r="E28" s="326">
        <v>0.24</v>
      </c>
      <c r="F28" s="325" t="s">
        <v>172</v>
      </c>
      <c r="G28" s="327">
        <f t="shared" si="7"/>
        <v>16432.005250447128</v>
      </c>
      <c r="H28" s="327">
        <f t="shared" si="8"/>
        <v>16432.005250447128</v>
      </c>
      <c r="I28" s="265"/>
      <c r="J28" s="47"/>
      <c r="K28" s="47">
        <f t="shared" si="9"/>
        <v>1</v>
      </c>
      <c r="L28" s="39">
        <f t="shared" si="10"/>
        <v>0.60000000000000009</v>
      </c>
      <c r="M28" s="39">
        <f t="shared" si="11"/>
        <v>0.24</v>
      </c>
      <c r="N28" s="261">
        <f t="shared" si="12"/>
        <v>0.14400000000000002</v>
      </c>
      <c r="O28" s="259">
        <f t="shared" si="13"/>
        <v>0.14400000000000002</v>
      </c>
      <c r="P28" s="252">
        <f t="shared" si="14"/>
        <v>13432.005250447128</v>
      </c>
      <c r="Q28" s="328">
        <f t="shared" si="15"/>
        <v>16432.005250447128</v>
      </c>
      <c r="R28" s="298">
        <f t="shared" si="16"/>
        <v>0.48</v>
      </c>
      <c r="S28" s="46"/>
      <c r="T28" s="9"/>
      <c r="W28" s="4"/>
    </row>
    <row r="29" spans="2:24" ht="17.399999999999999" x14ac:dyDescent="0.3">
      <c r="B29" s="325">
        <v>1</v>
      </c>
      <c r="C29" s="325" t="s">
        <v>171</v>
      </c>
      <c r="D29" s="326">
        <v>0.90500000000000003</v>
      </c>
      <c r="E29" s="326">
        <v>0.26500000000000001</v>
      </c>
      <c r="F29" s="325" t="s">
        <v>172</v>
      </c>
      <c r="G29" s="327">
        <f t="shared" si="7"/>
        <v>26606.282838589632</v>
      </c>
      <c r="H29" s="327">
        <f t="shared" si="8"/>
        <v>26606.282838589632</v>
      </c>
      <c r="I29" s="265"/>
      <c r="J29" s="47"/>
      <c r="K29" s="331">
        <f t="shared" si="9"/>
        <v>1</v>
      </c>
      <c r="L29" s="332">
        <f t="shared" si="10"/>
        <v>0.95500000000000007</v>
      </c>
      <c r="M29" s="39">
        <f t="shared" si="11"/>
        <v>0.26500000000000001</v>
      </c>
      <c r="N29" s="261">
        <f t="shared" si="12"/>
        <v>0.25307500000000005</v>
      </c>
      <c r="O29" s="259">
        <f t="shared" si="13"/>
        <v>0.25307500000000005</v>
      </c>
      <c r="P29" s="252">
        <f t="shared" si="14"/>
        <v>23606.282838589632</v>
      </c>
      <c r="Q29" s="328">
        <f t="shared" si="15"/>
        <v>26606.282838589632</v>
      </c>
      <c r="R29" s="298">
        <f t="shared" si="16"/>
        <v>0.53</v>
      </c>
      <c r="S29" s="46"/>
      <c r="T29" s="9"/>
      <c r="W29" s="4"/>
    </row>
    <row r="30" spans="2:24" ht="17.399999999999999" x14ac:dyDescent="0.3">
      <c r="B30" s="325">
        <v>1</v>
      </c>
      <c r="C30" s="325" t="s">
        <v>171</v>
      </c>
      <c r="D30" s="326">
        <v>0.90500000000000003</v>
      </c>
      <c r="E30" s="326">
        <v>0.23</v>
      </c>
      <c r="F30" s="325" t="s">
        <v>172</v>
      </c>
      <c r="G30" s="327">
        <f t="shared" si="7"/>
        <v>23488.471897643831</v>
      </c>
      <c r="H30" s="327">
        <f t="shared" si="8"/>
        <v>23488.471897643831</v>
      </c>
      <c r="I30" s="265"/>
      <c r="J30" s="47"/>
      <c r="K30" s="331">
        <f t="shared" si="9"/>
        <v>1</v>
      </c>
      <c r="L30" s="332">
        <f t="shared" si="10"/>
        <v>0.95500000000000007</v>
      </c>
      <c r="M30" s="39">
        <f t="shared" si="11"/>
        <v>0.23</v>
      </c>
      <c r="N30" s="261">
        <f t="shared" si="12"/>
        <v>0.21965000000000004</v>
      </c>
      <c r="O30" s="259">
        <f t="shared" si="13"/>
        <v>0.21965000000000004</v>
      </c>
      <c r="P30" s="252">
        <f t="shared" si="14"/>
        <v>20488.471897643831</v>
      </c>
      <c r="Q30" s="328">
        <f t="shared" si="15"/>
        <v>23488.471897643831</v>
      </c>
      <c r="R30" s="298">
        <f t="shared" si="16"/>
        <v>0.46</v>
      </c>
      <c r="S30" s="46"/>
      <c r="T30" s="9"/>
      <c r="W30" s="4"/>
    </row>
    <row r="31" spans="2:24" ht="17.399999999999999" x14ac:dyDescent="0.3">
      <c r="B31" s="325">
        <v>1</v>
      </c>
      <c r="C31" s="325" t="s">
        <v>171</v>
      </c>
      <c r="D31" s="326">
        <v>0.90500000000000003</v>
      </c>
      <c r="E31" s="326">
        <v>0.24</v>
      </c>
      <c r="F31" s="325" t="s">
        <v>172</v>
      </c>
      <c r="G31" s="327">
        <f t="shared" si="7"/>
        <v>24379.275023628343</v>
      </c>
      <c r="H31" s="327">
        <f t="shared" si="8"/>
        <v>24379.275023628343</v>
      </c>
      <c r="I31" s="265"/>
      <c r="J31" s="47"/>
      <c r="K31" s="331">
        <f t="shared" si="9"/>
        <v>1</v>
      </c>
      <c r="L31" s="332">
        <f t="shared" si="10"/>
        <v>0.95500000000000007</v>
      </c>
      <c r="M31" s="39">
        <f t="shared" si="11"/>
        <v>0.24</v>
      </c>
      <c r="N31" s="261">
        <f t="shared" si="12"/>
        <v>0.22920000000000001</v>
      </c>
      <c r="O31" s="259">
        <f t="shared" si="13"/>
        <v>0.22920000000000001</v>
      </c>
      <c r="P31" s="252">
        <f t="shared" si="14"/>
        <v>21379.275023628343</v>
      </c>
      <c r="Q31" s="328">
        <f t="shared" si="15"/>
        <v>24379.275023628343</v>
      </c>
      <c r="R31" s="298">
        <f t="shared" si="16"/>
        <v>0.48</v>
      </c>
      <c r="S31" s="46"/>
      <c r="T31" s="9"/>
      <c r="W31" s="4"/>
    </row>
    <row r="32" spans="2:24" ht="17.399999999999999" x14ac:dyDescent="0.3">
      <c r="B32" s="325">
        <v>1</v>
      </c>
      <c r="C32" s="325" t="s">
        <v>171</v>
      </c>
      <c r="D32" s="326">
        <v>0.625</v>
      </c>
      <c r="E32" s="326">
        <v>0.375</v>
      </c>
      <c r="F32" s="325" t="s">
        <v>172</v>
      </c>
      <c r="G32" s="327">
        <f t="shared" si="7"/>
        <v>26610.946729301591</v>
      </c>
      <c r="H32" s="327">
        <f t="shared" si="8"/>
        <v>26610.946729301591</v>
      </c>
      <c r="I32" s="265"/>
      <c r="J32" s="47"/>
      <c r="K32" s="331">
        <f t="shared" si="9"/>
        <v>1</v>
      </c>
      <c r="L32" s="332">
        <f t="shared" si="10"/>
        <v>0.67500000000000004</v>
      </c>
      <c r="M32" s="39">
        <f t="shared" si="11"/>
        <v>0.375</v>
      </c>
      <c r="N32" s="261">
        <f t="shared" si="12"/>
        <v>0.25312500000000004</v>
      </c>
      <c r="O32" s="259">
        <f t="shared" si="13"/>
        <v>0.25312500000000004</v>
      </c>
      <c r="P32" s="252">
        <f t="shared" si="14"/>
        <v>23610.946729301591</v>
      </c>
      <c r="Q32" s="328">
        <f t="shared" si="15"/>
        <v>26610.946729301591</v>
      </c>
      <c r="R32" s="298">
        <f t="shared" si="16"/>
        <v>0.75</v>
      </c>
      <c r="S32" s="46"/>
      <c r="T32" s="9"/>
      <c r="W32" s="4"/>
    </row>
    <row r="33" spans="2:23" ht="17.399999999999999" x14ac:dyDescent="0.3">
      <c r="B33" s="325">
        <v>1</v>
      </c>
      <c r="C33" s="325" t="s">
        <v>171</v>
      </c>
      <c r="D33" s="326">
        <v>0.625</v>
      </c>
      <c r="E33" s="326">
        <v>0.36</v>
      </c>
      <c r="F33" s="325" t="s">
        <v>172</v>
      </c>
      <c r="G33" s="327">
        <f t="shared" si="7"/>
        <v>25666.508860129525</v>
      </c>
      <c r="H33" s="327">
        <f t="shared" si="8"/>
        <v>25666.508860129525</v>
      </c>
      <c r="I33" s="265"/>
      <c r="J33" s="47"/>
      <c r="K33" s="331">
        <f t="shared" si="9"/>
        <v>1</v>
      </c>
      <c r="L33" s="332">
        <f t="shared" si="10"/>
        <v>0.67500000000000004</v>
      </c>
      <c r="M33" s="39">
        <f t="shared" si="11"/>
        <v>0.36</v>
      </c>
      <c r="N33" s="261">
        <f t="shared" si="12"/>
        <v>0.24299999999999999</v>
      </c>
      <c r="O33" s="259">
        <f t="shared" si="13"/>
        <v>0.24299999999999999</v>
      </c>
      <c r="P33" s="252">
        <f t="shared" si="14"/>
        <v>22666.508860129525</v>
      </c>
      <c r="Q33" s="328">
        <f t="shared" si="15"/>
        <v>25666.508860129525</v>
      </c>
      <c r="R33" s="298">
        <f t="shared" si="16"/>
        <v>0.72</v>
      </c>
      <c r="S33" s="46"/>
      <c r="T33" s="9"/>
      <c r="W33" s="4"/>
    </row>
    <row r="34" spans="2:23" ht="17.399999999999999" x14ac:dyDescent="0.3">
      <c r="B34" s="325">
        <v>1</v>
      </c>
      <c r="C34" s="325" t="s">
        <v>171</v>
      </c>
      <c r="D34" s="326">
        <v>0.63</v>
      </c>
      <c r="E34" s="326">
        <v>0.375</v>
      </c>
      <c r="F34" s="325" t="s">
        <v>172</v>
      </c>
      <c r="G34" s="327">
        <f t="shared" si="7"/>
        <v>26785.84263100012</v>
      </c>
      <c r="H34" s="327">
        <f t="shared" si="8"/>
        <v>26785.84263100012</v>
      </c>
      <c r="I34" s="265"/>
      <c r="J34" s="47"/>
      <c r="K34" s="331">
        <f t="shared" si="9"/>
        <v>1</v>
      </c>
      <c r="L34" s="332">
        <f t="shared" si="10"/>
        <v>0.68</v>
      </c>
      <c r="M34" s="39">
        <f t="shared" si="11"/>
        <v>0.375</v>
      </c>
      <c r="N34" s="261">
        <f t="shared" si="12"/>
        <v>0.255</v>
      </c>
      <c r="O34" s="259">
        <f t="shared" si="13"/>
        <v>0.255</v>
      </c>
      <c r="P34" s="252">
        <f t="shared" si="14"/>
        <v>23785.84263100012</v>
      </c>
      <c r="Q34" s="328">
        <f t="shared" si="15"/>
        <v>26785.84263100012</v>
      </c>
      <c r="R34" s="298">
        <f t="shared" si="16"/>
        <v>0.75</v>
      </c>
      <c r="S34" s="46"/>
      <c r="T34" s="9"/>
      <c r="W34" s="4"/>
    </row>
    <row r="35" spans="2:23" ht="17.399999999999999" x14ac:dyDescent="0.3">
      <c r="B35" s="325">
        <v>1</v>
      </c>
      <c r="C35" s="325" t="s">
        <v>171</v>
      </c>
      <c r="D35" s="326">
        <v>0.63</v>
      </c>
      <c r="E35" s="326">
        <v>0.36</v>
      </c>
      <c r="F35" s="325" t="s">
        <v>172</v>
      </c>
      <c r="G35" s="327">
        <f t="shared" si="7"/>
        <v>25834.408925760115</v>
      </c>
      <c r="H35" s="327">
        <f t="shared" si="8"/>
        <v>25834.408925760115</v>
      </c>
      <c r="I35" s="265"/>
      <c r="J35" s="47"/>
      <c r="K35" s="331">
        <f t="shared" si="9"/>
        <v>1</v>
      </c>
      <c r="L35" s="332">
        <f t="shared" si="10"/>
        <v>0.68</v>
      </c>
      <c r="M35" s="39">
        <f t="shared" si="11"/>
        <v>0.36</v>
      </c>
      <c r="N35" s="261">
        <f t="shared" si="12"/>
        <v>0.24480000000000002</v>
      </c>
      <c r="O35" s="259">
        <f t="shared" si="13"/>
        <v>0.24480000000000002</v>
      </c>
      <c r="P35" s="252">
        <f t="shared" si="14"/>
        <v>22834.408925760115</v>
      </c>
      <c r="Q35" s="328">
        <f t="shared" si="15"/>
        <v>25834.408925760115</v>
      </c>
      <c r="R35" s="298">
        <f t="shared" si="16"/>
        <v>0.72</v>
      </c>
      <c r="S35" s="46"/>
      <c r="T35" s="9"/>
      <c r="W35" s="4"/>
    </row>
    <row r="36" spans="2:23" ht="17.399999999999999" x14ac:dyDescent="0.3">
      <c r="B36" s="325">
        <v>1</v>
      </c>
      <c r="C36" s="325" t="s">
        <v>171</v>
      </c>
      <c r="D36" s="326">
        <v>0.74</v>
      </c>
      <c r="E36" s="326">
        <v>0.57999999999999996</v>
      </c>
      <c r="F36" s="325" t="s">
        <v>172</v>
      </c>
      <c r="G36" s="327">
        <f t="shared" si="7"/>
        <v>45739.89448440884</v>
      </c>
      <c r="H36" s="327">
        <f t="shared" si="8"/>
        <v>45739.89448440884</v>
      </c>
      <c r="I36" s="265"/>
      <c r="J36" s="47"/>
      <c r="K36" s="47">
        <f t="shared" si="9"/>
        <v>1</v>
      </c>
      <c r="L36" s="39">
        <f t="shared" si="10"/>
        <v>0.79</v>
      </c>
      <c r="M36" s="39">
        <f t="shared" si="11"/>
        <v>0.57999999999999996</v>
      </c>
      <c r="N36" s="261">
        <f t="shared" si="12"/>
        <v>0.4582</v>
      </c>
      <c r="O36" s="259">
        <f t="shared" si="13"/>
        <v>0.4582</v>
      </c>
      <c r="P36" s="252">
        <f t="shared" si="14"/>
        <v>42739.89448440884</v>
      </c>
      <c r="Q36" s="328">
        <f t="shared" si="15"/>
        <v>45739.89448440884</v>
      </c>
      <c r="R36" s="298">
        <f t="shared" si="16"/>
        <v>1.1599999999999999</v>
      </c>
      <c r="S36" s="46"/>
      <c r="T36" s="9"/>
      <c r="W36" s="4"/>
    </row>
    <row r="37" spans="2:23" ht="17.399999999999999" x14ac:dyDescent="0.3">
      <c r="B37" s="325">
        <v>1</v>
      </c>
      <c r="C37" s="325" t="s">
        <v>171</v>
      </c>
      <c r="D37" s="326">
        <v>0.74</v>
      </c>
      <c r="E37" s="326">
        <v>0.54500000000000004</v>
      </c>
      <c r="F37" s="325" t="s">
        <v>172</v>
      </c>
      <c r="G37" s="327">
        <f t="shared" si="7"/>
        <v>43160.76292069452</v>
      </c>
      <c r="H37" s="327">
        <f t="shared" si="8"/>
        <v>43160.76292069452</v>
      </c>
      <c r="I37" s="265"/>
      <c r="J37" s="47"/>
      <c r="K37" s="47">
        <f t="shared" si="9"/>
        <v>1</v>
      </c>
      <c r="L37" s="39">
        <f t="shared" si="10"/>
        <v>0.79</v>
      </c>
      <c r="M37" s="39">
        <f t="shared" si="11"/>
        <v>0.54500000000000004</v>
      </c>
      <c r="N37" s="261">
        <f t="shared" si="12"/>
        <v>0.43055000000000004</v>
      </c>
      <c r="O37" s="259">
        <f t="shared" si="13"/>
        <v>0.43055000000000004</v>
      </c>
      <c r="P37" s="252">
        <f t="shared" si="14"/>
        <v>40160.76292069452</v>
      </c>
      <c r="Q37" s="328">
        <f t="shared" si="15"/>
        <v>43160.76292069452</v>
      </c>
      <c r="R37" s="298">
        <f t="shared" si="16"/>
        <v>1.0900000000000001</v>
      </c>
      <c r="S37" s="46"/>
      <c r="T37" s="9"/>
      <c r="W37" s="4"/>
    </row>
    <row r="38" spans="2:23" ht="17.399999999999999" x14ac:dyDescent="0.3">
      <c r="B38" s="286"/>
      <c r="C38" s="286"/>
      <c r="D38" s="287"/>
      <c r="E38" s="287"/>
      <c r="F38" s="286"/>
      <c r="G38" s="330"/>
      <c r="H38" s="330"/>
      <c r="I38" s="265"/>
      <c r="J38" s="47"/>
      <c r="K38" s="47"/>
      <c r="L38" s="39"/>
      <c r="M38" s="39"/>
      <c r="N38" s="261"/>
      <c r="O38" s="259"/>
      <c r="P38" s="252"/>
      <c r="Q38" s="328"/>
      <c r="R38" s="298"/>
      <c r="S38" s="46"/>
      <c r="T38" s="9"/>
      <c r="W38" s="4"/>
    </row>
    <row r="39" spans="2:23" ht="18" thickBot="1" x14ac:dyDescent="0.35">
      <c r="B39" s="286"/>
      <c r="C39" s="286"/>
      <c r="D39" s="287"/>
      <c r="E39" s="287"/>
      <c r="F39" s="286"/>
      <c r="G39" s="265"/>
      <c r="H39" s="233"/>
      <c r="I39" s="233"/>
      <c r="J39" s="47"/>
      <c r="K39" s="47"/>
      <c r="L39" s="39"/>
      <c r="M39" s="39"/>
      <c r="N39" s="261"/>
      <c r="O39" s="259"/>
      <c r="P39" s="252"/>
      <c r="Q39" s="258"/>
      <c r="R39" s="298">
        <f>SUM(R21:R38)</f>
        <v>11.074</v>
      </c>
      <c r="S39" s="14"/>
      <c r="T39" s="9"/>
      <c r="W39" s="4"/>
    </row>
    <row r="40" spans="2:23" ht="17.399999999999999" x14ac:dyDescent="0.3">
      <c r="B40" s="286"/>
      <c r="C40" s="286"/>
      <c r="D40" s="287"/>
      <c r="E40" s="287"/>
      <c r="F40" s="286"/>
      <c r="G40" s="299" t="s">
        <v>29</v>
      </c>
      <c r="H40" s="300">
        <f>SUM(H21:H39)</f>
        <v>420458.12463999999</v>
      </c>
      <c r="I40" s="265"/>
      <c r="J40" s="47"/>
      <c r="K40" s="47"/>
      <c r="L40" s="39">
        <f>SUM(L21:L39)</f>
        <v>12.131</v>
      </c>
      <c r="M40" s="39"/>
      <c r="N40" s="261"/>
      <c r="O40" s="259"/>
      <c r="P40" s="252"/>
      <c r="Q40" s="258"/>
      <c r="R40" s="298">
        <f>R39*20%</f>
        <v>2.2147999999999999</v>
      </c>
      <c r="S40" s="46">
        <f>SUM(S21:S39)</f>
        <v>0.74399999999999999</v>
      </c>
      <c r="T40" s="9"/>
      <c r="W40" s="4"/>
    </row>
    <row r="41" spans="2:23" ht="17.399999999999999" x14ac:dyDescent="0.3">
      <c r="B41" s="280"/>
      <c r="C41" s="283"/>
      <c r="D41" s="284"/>
      <c r="E41" s="284"/>
      <c r="F41" s="285"/>
      <c r="G41" s="297" t="s">
        <v>52</v>
      </c>
      <c r="H41" s="295">
        <f>H40*19%</f>
        <v>79887.0436816</v>
      </c>
      <c r="I41" s="265"/>
      <c r="J41" s="47"/>
      <c r="K41" s="47"/>
      <c r="L41" s="39"/>
      <c r="M41" s="12"/>
      <c r="N41" s="12"/>
      <c r="O41" s="253">
        <f>SUM(O21:O38)</f>
        <v>3.9608360000000009</v>
      </c>
      <c r="P41" s="14"/>
      <c r="Q41" s="12"/>
      <c r="R41" s="239"/>
      <c r="S41" s="46">
        <f>S40*20%</f>
        <v>0.14880000000000002</v>
      </c>
      <c r="T41" s="9"/>
      <c r="W41" s="4"/>
    </row>
    <row r="42" spans="2:23" ht="18" thickBot="1" x14ac:dyDescent="0.35">
      <c r="B42" s="276"/>
      <c r="C42" s="282"/>
      <c r="D42" s="272"/>
      <c r="E42" s="272"/>
      <c r="F42" s="273"/>
      <c r="G42" s="281" t="s">
        <v>6</v>
      </c>
      <c r="H42" s="296">
        <f>H40+H41</f>
        <v>500345.16832160001</v>
      </c>
      <c r="I42" s="265"/>
      <c r="J42" s="47"/>
      <c r="K42" s="47"/>
      <c r="L42" s="39"/>
      <c r="M42" s="12"/>
      <c r="N42" s="12"/>
      <c r="O42" s="253">
        <f>O41</f>
        <v>3.9608360000000009</v>
      </c>
      <c r="P42" s="14"/>
      <c r="Q42" s="12"/>
      <c r="R42" s="239">
        <f>R39+R40</f>
        <v>13.2888</v>
      </c>
      <c r="S42" s="46">
        <f>S40+S41</f>
        <v>0.89280000000000004</v>
      </c>
      <c r="T42" s="9"/>
      <c r="W42" s="4"/>
    </row>
    <row r="43" spans="2:23" ht="17.399999999999999" x14ac:dyDescent="0.3">
      <c r="B43" s="276"/>
      <c r="C43" s="271"/>
      <c r="D43" s="272"/>
      <c r="E43" s="272"/>
      <c r="F43" s="273"/>
      <c r="I43" s="265"/>
      <c r="J43" s="47"/>
      <c r="K43" s="47"/>
      <c r="L43" s="14"/>
      <c r="M43" s="12"/>
      <c r="N43" s="12"/>
      <c r="O43" s="39">
        <f>O42*20%</f>
        <v>0.79216720000000018</v>
      </c>
      <c r="P43" s="39" t="s">
        <v>131</v>
      </c>
      <c r="Q43" s="42"/>
      <c r="R43" s="240"/>
      <c r="S43" s="14"/>
      <c r="T43" s="9"/>
      <c r="W43" s="4"/>
    </row>
    <row r="44" spans="2:23" ht="17.399999999999999" x14ac:dyDescent="0.3">
      <c r="B44" s="271"/>
      <c r="C44" s="271"/>
      <c r="D44" s="272"/>
      <c r="E44" s="272"/>
      <c r="F44" s="273"/>
      <c r="G44" s="274"/>
      <c r="H44" s="275"/>
      <c r="I44" s="265"/>
      <c r="J44" s="47"/>
      <c r="K44" s="47"/>
      <c r="L44" s="14"/>
      <c r="M44" s="12"/>
      <c r="N44" s="12"/>
      <c r="O44" s="46">
        <f>O42+O43</f>
        <v>4.7530032000000011</v>
      </c>
      <c r="P44" s="14"/>
      <c r="Q44" s="14"/>
      <c r="R44" s="238">
        <v>40</v>
      </c>
      <c r="S44" s="14"/>
      <c r="T44" s="9"/>
      <c r="W44" s="4"/>
    </row>
    <row r="45" spans="2:23" ht="17.399999999999999" x14ac:dyDescent="0.35">
      <c r="B45" s="269"/>
      <c r="C45" s="230"/>
      <c r="D45" s="230"/>
      <c r="E45" s="233"/>
      <c r="F45" s="234"/>
      <c r="G45" s="230"/>
      <c r="H45" s="275"/>
      <c r="I45" s="265"/>
      <c r="J45" s="47"/>
      <c r="K45" s="47"/>
      <c r="L45" s="14"/>
      <c r="M45" s="14"/>
      <c r="N45" s="14"/>
      <c r="O45" s="14"/>
      <c r="P45" s="14"/>
      <c r="Q45" s="14"/>
      <c r="R45" s="238"/>
      <c r="S45" s="14"/>
      <c r="T45" s="305" t="s">
        <v>22</v>
      </c>
      <c r="U45" s="302" t="s">
        <v>153</v>
      </c>
      <c r="V45" s="306">
        <v>44971</v>
      </c>
      <c r="W45" s="307"/>
    </row>
    <row r="46" spans="2:23" ht="17.399999999999999" x14ac:dyDescent="0.35">
      <c r="B46" s="235"/>
      <c r="C46" s="236"/>
      <c r="D46" s="237"/>
      <c r="E46" s="235"/>
      <c r="F46" s="230"/>
      <c r="G46" s="230"/>
      <c r="I46" s="265"/>
      <c r="J46" s="47"/>
      <c r="K46" s="47"/>
      <c r="L46" s="39">
        <f>O44</f>
        <v>4.7530032000000011</v>
      </c>
      <c r="M46" s="12">
        <v>3500</v>
      </c>
      <c r="N46" s="12">
        <f t="shared" ref="N46:N51" si="17">L46*M46</f>
        <v>16635.511200000004</v>
      </c>
      <c r="O46" s="14" t="s">
        <v>22</v>
      </c>
      <c r="P46" s="14"/>
      <c r="Q46" s="14"/>
      <c r="R46" s="241"/>
      <c r="S46" s="14"/>
      <c r="T46" s="305" t="s">
        <v>154</v>
      </c>
      <c r="U46" s="302">
        <v>3625</v>
      </c>
      <c r="V46" s="59" t="s">
        <v>155</v>
      </c>
      <c r="W46" s="307"/>
    </row>
    <row r="47" spans="2:23" ht="17.399999999999999" x14ac:dyDescent="0.35">
      <c r="B47" s="230"/>
      <c r="C47" s="230"/>
      <c r="D47" s="230"/>
      <c r="E47" s="230"/>
      <c r="F47" s="230"/>
      <c r="G47" s="230"/>
      <c r="I47" s="265"/>
      <c r="J47" s="47"/>
      <c r="K47" s="47"/>
      <c r="L47" s="249">
        <v>1.5</v>
      </c>
      <c r="M47" s="12">
        <v>45000</v>
      </c>
      <c r="N47" s="12">
        <f t="shared" si="17"/>
        <v>67500</v>
      </c>
      <c r="O47" s="39" t="s">
        <v>32</v>
      </c>
      <c r="P47" s="42"/>
      <c r="Q47" s="14"/>
      <c r="R47" s="240"/>
      <c r="S47" s="14"/>
      <c r="T47" s="305"/>
      <c r="U47" s="59">
        <v>906.25</v>
      </c>
      <c r="V47" s="59" t="s">
        <v>156</v>
      </c>
      <c r="W47" s="307"/>
    </row>
    <row r="48" spans="2:23" s="230" customFormat="1" ht="17.399999999999999" x14ac:dyDescent="0.35">
      <c r="I48" s="262"/>
      <c r="J48" s="232"/>
      <c r="K48" s="250"/>
      <c r="L48" s="14"/>
      <c r="M48" s="250">
        <v>41277</v>
      </c>
      <c r="N48" s="12">
        <f t="shared" si="17"/>
        <v>0</v>
      </c>
      <c r="O48" s="39" t="s">
        <v>31</v>
      </c>
      <c r="P48" s="42"/>
      <c r="R48" s="240"/>
      <c r="S48" s="256"/>
      <c r="T48" s="59"/>
      <c r="U48" s="59">
        <f>U47*20%</f>
        <v>181.25</v>
      </c>
      <c r="V48" s="307" t="s">
        <v>157</v>
      </c>
      <c r="W48" s="59"/>
    </row>
    <row r="49" spans="2:23" s="230" customFormat="1" ht="17.399999999999999" x14ac:dyDescent="0.35">
      <c r="B49" s="24" t="s">
        <v>152</v>
      </c>
      <c r="I49" s="262"/>
      <c r="J49" s="232"/>
      <c r="K49" s="250"/>
      <c r="L49" s="14">
        <v>2</v>
      </c>
      <c r="M49" s="250">
        <v>41900</v>
      </c>
      <c r="N49" s="12">
        <f t="shared" si="17"/>
        <v>83800</v>
      </c>
      <c r="O49" s="14" t="s">
        <v>142</v>
      </c>
      <c r="P49" s="17"/>
      <c r="R49" s="238"/>
      <c r="S49" s="256"/>
      <c r="T49" s="59"/>
      <c r="U49" s="59">
        <f>U47+U48</f>
        <v>1087.5</v>
      </c>
      <c r="V49" s="307" t="s">
        <v>158</v>
      </c>
      <c r="W49" s="59"/>
    </row>
    <row r="50" spans="2:23" s="230" customFormat="1" ht="17.399999999999999" x14ac:dyDescent="0.35">
      <c r="B50" s="24" t="s">
        <v>145</v>
      </c>
      <c r="C50"/>
      <c r="D50"/>
      <c r="E50"/>
      <c r="F50"/>
      <c r="I50" s="262"/>
      <c r="K50" s="250"/>
      <c r="L50" s="249"/>
      <c r="M50" s="250">
        <v>300</v>
      </c>
      <c r="N50" s="12">
        <f t="shared" si="17"/>
        <v>0</v>
      </c>
      <c r="O50" s="14" t="s">
        <v>33</v>
      </c>
      <c r="P50" s="14"/>
      <c r="Q50" s="230">
        <v>1.52</v>
      </c>
      <c r="R50" s="238"/>
      <c r="S50" s="238"/>
    </row>
    <row r="51" spans="2:23" s="230" customFormat="1" ht="17.399999999999999" x14ac:dyDescent="0.35">
      <c r="B51" s="29" t="s">
        <v>126</v>
      </c>
      <c r="C51"/>
      <c r="D51"/>
      <c r="E51"/>
      <c r="F51" s="229" t="s">
        <v>16</v>
      </c>
      <c r="I51" s="294"/>
      <c r="K51" s="250"/>
      <c r="L51" s="266"/>
      <c r="M51" s="12">
        <v>1500</v>
      </c>
      <c r="N51" s="12">
        <f t="shared" si="17"/>
        <v>0</v>
      </c>
      <c r="O51" s="14" t="s">
        <v>23</v>
      </c>
      <c r="P51" s="14"/>
      <c r="Q51">
        <v>2.44</v>
      </c>
      <c r="R51"/>
      <c r="S51" s="238"/>
      <c r="W51" s="231"/>
    </row>
    <row r="52" spans="2:23" s="230" customFormat="1" ht="17.399999999999999" x14ac:dyDescent="0.35">
      <c r="K52" s="250"/>
      <c r="L52" s="14"/>
      <c r="M52" s="12"/>
      <c r="N52" s="12">
        <f>SUM(N46:N51)</f>
        <v>167935.51120000001</v>
      </c>
      <c r="O52" s="39" t="s">
        <v>24</v>
      </c>
      <c r="P52" s="14"/>
      <c r="Q52">
        <f>Q50*Q51</f>
        <v>3.7088000000000001</v>
      </c>
      <c r="R52"/>
      <c r="S52" s="238"/>
      <c r="W52" s="231"/>
    </row>
    <row r="53" spans="2:23" s="230" customFormat="1" ht="17.399999999999999" x14ac:dyDescent="0.35">
      <c r="K53" s="250"/>
      <c r="L53" s="254" t="s">
        <v>34</v>
      </c>
      <c r="M53" s="12"/>
      <c r="N53" s="255">
        <f>N52*2.2</f>
        <v>369458.12464000005</v>
      </c>
      <c r="O53" s="14" t="s">
        <v>141</v>
      </c>
      <c r="P53" s="14"/>
      <c r="Q53" s="40">
        <f>O44/Q52</f>
        <v>1.2815474547023298</v>
      </c>
      <c r="R53"/>
      <c r="S53" s="257"/>
    </row>
    <row r="54" spans="2:23" s="230" customFormat="1" ht="17.399999999999999" x14ac:dyDescent="0.35">
      <c r="G54"/>
      <c r="H54" s="260"/>
      <c r="I54" s="260"/>
      <c r="J54" s="230">
        <v>49960</v>
      </c>
      <c r="K54" s="250"/>
      <c r="L54" s="14"/>
      <c r="M54" s="12"/>
      <c r="N54" s="12">
        <f>N53/O42</f>
        <v>93277.814239216154</v>
      </c>
      <c r="O54" s="45" t="s">
        <v>25</v>
      </c>
      <c r="P54" s="14"/>
      <c r="Q54" s="14"/>
      <c r="R54"/>
      <c r="S54" s="238"/>
      <c r="T54" s="59" t="s">
        <v>159</v>
      </c>
      <c r="U54" s="302">
        <v>43650</v>
      </c>
    </row>
    <row r="55" spans="2:23" s="230" customFormat="1" ht="17.399999999999999" x14ac:dyDescent="0.35">
      <c r="G55"/>
      <c r="H55" s="230" t="s">
        <v>165</v>
      </c>
      <c r="J55" s="230">
        <f>J54/1.19</f>
        <v>41983.193277310929</v>
      </c>
      <c r="K55" s="250"/>
      <c r="L55" s="13"/>
      <c r="M55" s="14"/>
      <c r="N55" s="17">
        <f>N53/N52</f>
        <v>2.2000000000000002</v>
      </c>
      <c r="O55" s="15"/>
      <c r="P55"/>
      <c r="Q55"/>
      <c r="R55"/>
      <c r="S55" s="238"/>
      <c r="T55" s="59" t="s">
        <v>161</v>
      </c>
      <c r="U55" s="303" t="s">
        <v>160</v>
      </c>
      <c r="V55" s="59">
        <v>2.4</v>
      </c>
    </row>
    <row r="56" spans="2:23" s="230" customFormat="1" ht="17.399999999999999" x14ac:dyDescent="0.35">
      <c r="G56" s="23"/>
      <c r="K56" s="12"/>
      <c r="S56" s="238"/>
      <c r="T56" s="59" t="s">
        <v>162</v>
      </c>
      <c r="U56" s="304">
        <v>395.37</v>
      </c>
    </row>
    <row r="57" spans="2:23" s="230" customFormat="1" ht="17.399999999999999" x14ac:dyDescent="0.35">
      <c r="B57"/>
      <c r="C57" s="228"/>
      <c r="D57" s="22"/>
      <c r="E57" s="22"/>
      <c r="F57" s="21"/>
      <c r="G57" s="23"/>
      <c r="K57" s="12"/>
      <c r="S57" s="238"/>
      <c r="T57" s="59" t="s">
        <v>157</v>
      </c>
      <c r="U57" s="59">
        <v>474.45</v>
      </c>
    </row>
    <row r="58" spans="2:23" ht="14.4" customHeight="1" x14ac:dyDescent="0.3">
      <c r="K58" s="12"/>
      <c r="T58" s="59"/>
      <c r="U58" s="59"/>
    </row>
    <row r="59" spans="2:23" x14ac:dyDescent="0.3">
      <c r="K59" s="250"/>
    </row>
    <row r="60" spans="2:23" x14ac:dyDescent="0.3">
      <c r="K60" s="250"/>
      <c r="S60" s="270"/>
    </row>
    <row r="61" spans="2:23" x14ac:dyDescent="0.3">
      <c r="K61" s="250"/>
    </row>
    <row r="62" spans="2:23" ht="15" customHeight="1" x14ac:dyDescent="0.3"/>
    <row r="64" spans="2:23" x14ac:dyDescent="0.3">
      <c r="N64">
        <v>40935</v>
      </c>
      <c r="O64" t="s">
        <v>17</v>
      </c>
      <c r="P64" t="s">
        <v>27</v>
      </c>
    </row>
    <row r="66" spans="14:19" x14ac:dyDescent="0.3">
      <c r="N66" s="54"/>
      <c r="O66" s="54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4" spans="14:19" x14ac:dyDescent="0.3">
      <c r="R74" s="18"/>
      <c r="S74" s="18"/>
    </row>
    <row r="75" spans="14:19" x14ac:dyDescent="0.3">
      <c r="R75" s="18"/>
      <c r="S75" s="18"/>
    </row>
    <row r="78" spans="14:19" x14ac:dyDescent="0.3">
      <c r="N78" s="43"/>
    </row>
    <row r="79" spans="14:19" x14ac:dyDescent="0.3">
      <c r="N79" s="43"/>
    </row>
    <row r="80" spans="14:19" x14ac:dyDescent="0.3">
      <c r="N80" s="6"/>
    </row>
    <row r="81" spans="3:14" x14ac:dyDescent="0.3">
      <c r="N81" s="6"/>
    </row>
    <row r="89" spans="3:14" x14ac:dyDescent="0.3">
      <c r="C89" t="s">
        <v>149</v>
      </c>
    </row>
    <row r="90" spans="3:14" x14ac:dyDescent="0.3">
      <c r="C90" t="s">
        <v>148</v>
      </c>
    </row>
    <row r="93" spans="3:14" x14ac:dyDescent="0.3">
      <c r="C93" t="s">
        <v>148</v>
      </c>
    </row>
    <row r="170" spans="3:3" x14ac:dyDescent="0.3">
      <c r="C170" t="s">
        <v>148</v>
      </c>
    </row>
    <row r="171" spans="3:3" x14ac:dyDescent="0.3">
      <c r="C171" t="s">
        <v>150</v>
      </c>
    </row>
    <row r="172" spans="3:3" x14ac:dyDescent="0.3">
      <c r="C172" t="s">
        <v>151</v>
      </c>
    </row>
    <row r="597" spans="3:3" x14ac:dyDescent="0.3">
      <c r="C597" t="s">
        <v>148</v>
      </c>
    </row>
  </sheetData>
  <mergeCells count="2">
    <mergeCell ref="F17:H17"/>
    <mergeCell ref="B19:H19"/>
  </mergeCells>
  <phoneticPr fontId="34" type="noConversion"/>
  <hyperlinks>
    <hyperlink ref="F5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45456</v>
      </c>
    </row>
    <row r="6" spans="2:31" ht="16.2" thickBot="1" x14ac:dyDescent="0.35">
      <c r="B6" s="140" t="s">
        <v>2</v>
      </c>
      <c r="C6" s="139" t="str">
        <f>'2229'!C10</f>
        <v>RENATO BRAVO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10997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-38734.713560120777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'2229'!H40</f>
        <v>420458.12463999999</v>
      </c>
      <c r="E11" s="132">
        <f>D11*0.19</f>
        <v>79887.0436816</v>
      </c>
      <c r="F11" s="131">
        <f>E11+D11</f>
        <v>500345.16832160001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67255.286439879215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113969.60198743962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49255.286439879223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306488.52265256038</v>
      </c>
      <c r="E13" s="221">
        <f>(D11/D12)-1</f>
        <v>2.6892128892960243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40255.286439879223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1255.2864398792226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188049.84327927534</v>
      </c>
      <c r="F15" s="216">
        <f>E15-D12</f>
        <v>74080.241291835729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1255.2864398792226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41255.286439879223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'2229'!N47</f>
        <v>67500</v>
      </c>
      <c r="E19" s="123">
        <f>D19*0.19</f>
        <v>12825</v>
      </c>
      <c r="F19" s="120">
        <f>SUM(D19:E19)</f>
        <v>80325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'2229'!N46</f>
        <v>16635.511200000004</v>
      </c>
      <c r="E20" s="121">
        <f>D20*0.19</f>
        <v>3160.7471280000009</v>
      </c>
      <c r="F20" s="120">
        <f>SUM(D20:E20)</f>
        <v>19796.258328000004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84135.511200000008</v>
      </c>
      <c r="E21" s="116">
        <f>SUM(E18:E20)</f>
        <v>15985.747128000001</v>
      </c>
      <c r="F21" s="115">
        <f>SUM(F18:F20)</f>
        <v>100121.258328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63901.296553599997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420458.12463999999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84135.511200000008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306488.52265256038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306488.52265256038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2024-06-18T19:52:56Z</dcterms:modified>
</cp:coreProperties>
</file>