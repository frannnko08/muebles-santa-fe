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6 JUNIO 2024\"/>
    </mc:Choice>
  </mc:AlternateContent>
  <xr:revisionPtr revIDLastSave="0" documentId="13_ncr:1_{BEB54263-1218-4261-A104-134578C781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0" i="1" l="1"/>
  <c r="R26" i="1"/>
  <c r="R25" i="1"/>
  <c r="R24" i="1"/>
  <c r="R23" i="1"/>
  <c r="R22" i="1"/>
  <c r="R21" i="1"/>
  <c r="K26" i="1"/>
  <c r="K25" i="1"/>
  <c r="K24" i="1"/>
  <c r="K23" i="1"/>
  <c r="K22" i="1"/>
  <c r="K21" i="1"/>
  <c r="H38" i="1"/>
  <c r="K36" i="1"/>
  <c r="R34" i="1"/>
  <c r="R27" i="1"/>
  <c r="R28" i="1"/>
  <c r="R29" i="1"/>
  <c r="R30" i="1"/>
  <c r="R31" i="1"/>
  <c r="R32" i="1"/>
  <c r="R33" i="1"/>
  <c r="R35" i="1"/>
  <c r="N48" i="1" l="1"/>
  <c r="N25" i="1"/>
  <c r="O25" i="1" s="1"/>
  <c r="M25" i="1"/>
  <c r="L25" i="1"/>
  <c r="M24" i="1"/>
  <c r="L24" i="1"/>
  <c r="N24" i="1" s="1"/>
  <c r="O24" i="1" s="1"/>
  <c r="N23" i="1"/>
  <c r="O23" i="1" s="1"/>
  <c r="M23" i="1"/>
  <c r="L23" i="1"/>
  <c r="M22" i="1"/>
  <c r="L22" i="1"/>
  <c r="N22" i="1" s="1"/>
  <c r="O22" i="1" s="1"/>
  <c r="N21" i="1"/>
  <c r="M21" i="1"/>
  <c r="L21" i="1"/>
  <c r="H25" i="1"/>
  <c r="H24" i="1"/>
  <c r="H23" i="1"/>
  <c r="H22" i="1"/>
  <c r="H21" i="1"/>
  <c r="O21" i="1" l="1"/>
  <c r="L33" i="1"/>
  <c r="M33" i="1"/>
  <c r="L34" i="1"/>
  <c r="M34" i="1"/>
  <c r="N34" i="1" s="1"/>
  <c r="L35" i="1"/>
  <c r="M35" i="1"/>
  <c r="H32" i="1"/>
  <c r="H33" i="1"/>
  <c r="H34" i="1"/>
  <c r="H35" i="1"/>
  <c r="M32" i="1"/>
  <c r="L32" i="1"/>
  <c r="L31" i="1"/>
  <c r="M31" i="1"/>
  <c r="H31" i="1"/>
  <c r="L27" i="1"/>
  <c r="M27" i="1"/>
  <c r="L28" i="1"/>
  <c r="M28" i="1"/>
  <c r="L29" i="1"/>
  <c r="M29" i="1"/>
  <c r="L30" i="1"/>
  <c r="M30" i="1"/>
  <c r="H27" i="1"/>
  <c r="H28" i="1"/>
  <c r="H29" i="1"/>
  <c r="H30" i="1"/>
  <c r="N35" i="1" l="1"/>
  <c r="O34" i="1"/>
  <c r="N32" i="1"/>
  <c r="O32" i="1" s="1"/>
  <c r="N27" i="1"/>
  <c r="O27" i="1" s="1"/>
  <c r="N28" i="1"/>
  <c r="N29" i="1"/>
  <c r="O29" i="1" s="1"/>
  <c r="O35" i="1"/>
  <c r="N33" i="1"/>
  <c r="O33" i="1" s="1"/>
  <c r="N30" i="1"/>
  <c r="O30" i="1" s="1"/>
  <c r="N31" i="1"/>
  <c r="O31" i="1" s="1"/>
  <c r="O28" i="1"/>
  <c r="L26" i="1"/>
  <c r="L40" i="1" s="1"/>
  <c r="M26" i="1"/>
  <c r="N26" i="1" l="1"/>
  <c r="O26" i="1" s="1"/>
  <c r="O41" i="1" s="1"/>
  <c r="J54" i="1" l="1"/>
  <c r="N47" i="1" l="1"/>
  <c r="O42" i="1" l="1"/>
  <c r="O43" i="1" s="1"/>
  <c r="O44" i="1" s="1"/>
  <c r="S59" i="1"/>
  <c r="M20" i="1" l="1"/>
  <c r="K20" i="1"/>
  <c r="N50" i="1" l="1"/>
  <c r="Q52" i="1"/>
  <c r="Q53" i="1" s="1"/>
  <c r="N51" i="1" l="1"/>
  <c r="S52" i="1" l="1"/>
  <c r="S5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53" i="1"/>
  <c r="N52" i="1"/>
  <c r="F18" i="3" l="1"/>
  <c r="L46" i="1" l="1"/>
  <c r="N46" i="1" l="1"/>
  <c r="N54" i="1" s="1"/>
  <c r="N55" i="1" s="1"/>
  <c r="S60" i="1"/>
  <c r="D20" i="3" l="1"/>
  <c r="E20" i="3" s="1"/>
  <c r="E21" i="3" s="1"/>
  <c r="N57" i="1" l="1"/>
  <c r="D21" i="3"/>
  <c r="M43" i="3" s="1"/>
  <c r="D12" i="3" s="1"/>
  <c r="F20" i="3"/>
  <c r="F21" i="3" s="1"/>
  <c r="N56" i="1" l="1"/>
  <c r="P20" i="1" s="1"/>
  <c r="E15" i="3"/>
  <c r="P22" i="1" l="1"/>
  <c r="Q22" i="1" s="1"/>
  <c r="P25" i="1"/>
  <c r="Q25" i="1" s="1"/>
  <c r="P23" i="1"/>
  <c r="Q23" i="1" s="1"/>
  <c r="P21" i="1"/>
  <c r="Q21" i="1" s="1"/>
  <c r="P24" i="1"/>
  <c r="Q24" i="1" s="1"/>
  <c r="P33" i="1"/>
  <c r="Q33" i="1" s="1"/>
  <c r="P34" i="1"/>
  <c r="Q34" i="1" s="1"/>
  <c r="P35" i="1"/>
  <c r="Q35" i="1" s="1"/>
  <c r="P31" i="1"/>
  <c r="Q31" i="1" s="1"/>
  <c r="P32" i="1"/>
  <c r="Q32" i="1" s="1"/>
  <c r="P27" i="1"/>
  <c r="Q27" i="1" s="1"/>
  <c r="P28" i="1"/>
  <c r="Q28" i="1" s="1"/>
  <c r="P29" i="1"/>
  <c r="Q29" i="1" s="1"/>
  <c r="P30" i="1"/>
  <c r="Q30" i="1" s="1"/>
  <c r="P26" i="1"/>
  <c r="F15" i="3"/>
  <c r="Q26" i="1" l="1"/>
  <c r="H26" i="1" s="1"/>
  <c r="K15" i="1" l="1"/>
  <c r="H39" i="1" l="1"/>
  <c r="H40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<sst xmlns="http://schemas.openxmlformats.org/spreadsheetml/2006/main" count="248" uniqueCount="167">
  <si>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</si>
  <si>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</si>
  <si>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</si>
  <si>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</si>
  <si>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</si>
  <si>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</si>
  <si>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</si>
  <si>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</si>
  <si>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</si>
  <si>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</si>
  <si>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</si>
  <si>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</si>
  <si>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</si>
  <si>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</si>
  <si>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</si>
  <si>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</si>
  <si>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</si>
  <si>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</si>
  <si>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</si>
  <si>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</si>
  <si>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</si>
  <si>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</si>
  <si>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</si>
  <si>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</si>
  <si>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</si>
  <si>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</si>
  <si>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</si>
  <si>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</si>
  <si>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</si>
  <si>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</si>
  <si>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</si>
  <si>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</si>
  <si>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</si>
  <si>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</si>
  <si>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</si>
  <si>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</si>
  <si>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</si>
  <si>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</si>
  <si>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</si>
  <si>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</si>
  <si>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</si>
  <si>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</si>
  <si>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</si>
  <si>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</si>
  <si>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</si>
  <si>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</si>
  <si>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</si>
  <si>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</si>
  <si>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</si>
  <si>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</si>
  <si>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</si>
  <si>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</si>
  <si>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</si>
  <si>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</si>
  <si>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</si>
  <si>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</si>
  <si>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</si>
  <si>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</si>
  <si>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</si>
  <si>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</si>
  <si>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</si>
  <si>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</si>
  <si>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</si>
  <si>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</si>
  <si>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</si>
  <si>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</si>
  <si>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</si>
  <si>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</si>
  <si>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</si>
  <si>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</si>
  <si>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</si>
  <si>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</si>
  <si>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</si>
  <si>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</si>
  <si>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</si>
  <si>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</si>
  <si>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</si>
  <si>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</si>
  <si>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</si>
  <si>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</si>
  <si>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</si>
  <si>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</si>
  <si>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</si>
  <si>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</si>
  <si>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</si>
  <si>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</si>
  <si>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</si>
  <si>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</si>
  <si>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</si>
  <si>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</si>
  <si>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</si>
  <si>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</si>
  <si>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</si>
  <si>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</si>
  <si>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</si>
  <si>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</si>
  <si>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</si>
  <si>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</si>
  <si>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</si>
  <si>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</si>
  <si>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</si>
  <si>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</si>
  <si>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</si>
  <si>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</si>
  <si>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</si>
  <si>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</si>
  <si>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</si>
  <si>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</si>
  <si>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</si>
  <si>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</si>
  <si>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</si>
  <si>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</si>
  <si>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</si>
  <si>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</si>
  <si>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</si>
  <si>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</si>
  <si>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</si>
  <si>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</si>
  <si>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</si>
  <si>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</si>
  <si>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</si>
  <si>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</si>
  <si>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</si>
  <si>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</si>
  <si>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</si>
  <si>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</si>
  <si>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</si>
  <si>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</si>
  <si>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</si>
  <si>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</si>
  <si>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</si>
  <si>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</si>
  <si>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</si>
  <si>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</si>
  <si>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</si>
  <si>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</si>
  <si>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</si>
  <si>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</si>
  <si>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</si>
  <si>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</si>
  <si>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</si>
  <si>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</si>
  <si>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</si>
  <si>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</si>
  <si>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</si>
  <si>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</si>
  <si>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</si>
  <si>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</si>
  <si>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</si>
  <si>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</si>
  <si>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</si>
  <si>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</si>
  <si>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>SANTIAGO</t>
  </si>
  <si>
    <t>DURACION COTIZACION: 5 DIAS                   FERNANDO DONOSO</t>
  </si>
  <si>
    <r>
      <t xml:space="preserve">CHEQUERA ELECTRONICA </t>
    </r>
    <r>
      <rPr>
        <b/>
        <sz val="9"/>
        <color rgb="FFFF0000"/>
        <rFont val="Calibri"/>
        <family val="2"/>
        <scheme val="minor"/>
      </rPr>
      <t>DEL</t>
    </r>
    <r>
      <rPr>
        <b/>
        <sz val="11"/>
        <color rgb="FFFF0000"/>
        <rFont val="Calibri"/>
        <family val="2"/>
        <scheme val="minor"/>
      </rPr>
      <t xml:space="preserve"> BANCO ESTADO N° 35571389078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FE.</t>
    </r>
  </si>
  <si>
    <t>RUT : 77.054.606 - 0, VENTAS@TOPMOBILI.CL</t>
  </si>
  <si>
    <t>ABONO 50%, SALDO C/ENTREGA</t>
  </si>
  <si>
    <t>MIGUEL ASENJO</t>
  </si>
  <si>
    <t xml:space="preserve">+569 </t>
  </si>
  <si>
    <t>CUBIERTA CON RESPALDO 10 CMS SOBRE LA BASE 90° R8</t>
  </si>
  <si>
    <t>WHITE ASWHOOD SF</t>
  </si>
  <si>
    <t>PR6</t>
  </si>
  <si>
    <t>7 - 10 DIAS HABILES</t>
  </si>
  <si>
    <t>SI</t>
  </si>
  <si>
    <t>N° 10987</t>
  </si>
  <si>
    <t>MDF 18MM 122X305</t>
  </si>
  <si>
    <t>MDF 18MM 152X244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</si>
</sst>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66" fontId="3" fillId="0" borderId="0" xfId="0" applyNumberFormat="1" applyFont="1" applyFill="1"/>
    <xf numFmtId="166" fontId="3" fillId="3" borderId="0" xfId="0" applyNumberFormat="1" applyFont="1" applyFill="1"/>
    <xf numFmtId="167" fontId="0" fillId="3" borderId="0" xfId="0" applyNumberFormat="1" applyFill="1"/>
    <xf numFmtId="167" fontId="3" fillId="10" borderId="0" xfId="2" applyNumberFormat="1" applyFont="1" applyFill="1" applyAlignment="1">
      <alignment horizontal="center"/>
    </xf>
    <xf numFmtId="167" fontId="3" fillId="11" borderId="0" xfId="2" applyNumberFormat="1" applyFont="1" applyFill="1" applyAlignment="1">
      <alignment horizontal="center"/>
    </xf>
    <xf numFmtId="167" fontId="0" fillId="11" borderId="0" xfId="0" applyNumberFormat="1" applyFill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41</xdr:row>
      <xdr:rowOff>5249</xdr:rowOff>
    </xdr:from>
    <xdr:to>
      <xdr:col>8</xdr:col>
      <xdr:colOff>7776</xdr:colOff>
      <xdr:row>44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43</xdr:row>
      <xdr:rowOff>154305</xdr:rowOff>
    </xdr:from>
    <xdr:to>
      <xdr:col>7</xdr:col>
      <xdr:colOff>853440</xdr:colOff>
      <xdr:row>43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9528</xdr:colOff>
      <xdr:row>41</xdr:row>
      <xdr:rowOff>9525</xdr:rowOff>
    </xdr:from>
    <xdr:to>
      <xdr:col>5</xdr:col>
      <xdr:colOff>1679511</xdr:colOff>
      <xdr:row>44</xdr:row>
      <xdr:rowOff>7775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30" y="5522362"/>
          <a:ext cx="6832922" cy="651393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36</xdr:row>
      <xdr:rowOff>225489</xdr:rowOff>
    </xdr:from>
    <xdr:to>
      <xdr:col>5</xdr:col>
      <xdr:colOff>1656183</xdr:colOff>
      <xdr:row>40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5069632"/>
          <a:ext cx="6814145" cy="66091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SOBREMEDIDAS EN EL LARGO.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SUSTRATO: MDF 18MM</a:t>
          </a: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97"/>
  <sheetViews>
    <sheetView tabSelected="1" topLeftCell="A20" zoomScale="98" zoomScaleNormal="98" workbookViewId="0">
      <selection activeCell="F35" sqref="F35"/>
    </sheetView>
  </sheetViews>
  <sheetFormatPr baseColWidth="10" defaultRowHeight="14.4" x14ac:dyDescent="0.3"/>
  <cols>
    <col min="1" max="1" width="6" customWidth="1"/>
    <col min="2" max="2" width="10.5546875" customWidth="1"/>
    <col min="3" max="3" width="54.21875" customWidth="1"/>
    <col min="4" max="4" width="11.109375" customWidth="1"/>
    <col min="5" max="5" width="10.5546875" customWidth="1"/>
    <col min="6" max="6" width="25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3" t="s">
        <v>164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157</v>
      </c>
      <c r="D10" s="243"/>
      <c r="E10" s="243"/>
      <c r="F10" s="244" t="s">
        <v>0</v>
      </c>
      <c r="G10" s="276">
        <v>45453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10"/>
      <c r="F11" t="s">
        <v>125</v>
      </c>
      <c r="G11" s="288" t="s">
        <v>162</v>
      </c>
      <c r="H11" s="289"/>
      <c r="P11" s="19"/>
      <c r="Q11" s="25" t="s">
        <v>19</v>
      </c>
      <c r="R11" s="19"/>
    </row>
    <row r="12" spans="2:23" ht="16.8" x14ac:dyDescent="0.4">
      <c r="B12" s="246" t="s">
        <v>146</v>
      </c>
      <c r="C12" s="310"/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x14ac:dyDescent="0.3">
      <c r="B13" s="246" t="s">
        <v>147</v>
      </c>
      <c r="D13" s="247"/>
      <c r="E13" s="247"/>
      <c r="F13" s="247"/>
      <c r="G13" s="277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7" t="s">
        <v>141</v>
      </c>
      <c r="C14" s="305"/>
      <c r="F14" s="29" t="s">
        <v>138</v>
      </c>
      <c r="G14" s="290" t="s">
        <v>137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4" t="s">
        <v>158</v>
      </c>
      <c r="D15" s="294"/>
      <c r="E15" s="247"/>
      <c r="F15" s="247" t="s">
        <v>136</v>
      </c>
      <c r="G15" s="295" t="s">
        <v>163</v>
      </c>
      <c r="H15" s="248"/>
      <c r="K15" s="18">
        <f>H38/L13</f>
        <v>132413.67495451789</v>
      </c>
    </row>
    <row r="16" spans="2:23" ht="16.8" x14ac:dyDescent="0.4">
      <c r="B16" s="291" t="s">
        <v>3</v>
      </c>
      <c r="C16" s="310"/>
      <c r="F16" s="292" t="s">
        <v>131</v>
      </c>
      <c r="G16" s="293" t="s">
        <v>156</v>
      </c>
      <c r="H16" s="289"/>
    </row>
    <row r="17" spans="2:24" ht="15" thickBot="1" x14ac:dyDescent="0.35">
      <c r="B17" s="296" t="s">
        <v>13</v>
      </c>
      <c r="C17" s="297" t="s">
        <v>152</v>
      </c>
      <c r="D17" s="298"/>
      <c r="E17" s="299"/>
      <c r="F17" s="324" t="s">
        <v>153</v>
      </c>
      <c r="G17" s="324"/>
      <c r="H17" s="325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thickBot="1" x14ac:dyDescent="0.35">
      <c r="B19" s="326" t="s">
        <v>148</v>
      </c>
      <c r="C19" s="327"/>
      <c r="D19" s="327"/>
      <c r="E19" s="327"/>
      <c r="F19" s="327"/>
      <c r="G19" s="327"/>
      <c r="H19" s="328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7.399999999999999" x14ac:dyDescent="0.3">
      <c r="B20" s="315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N56</f>
        <v>71057.144165059013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0">
        <v>3</v>
      </c>
      <c r="C21" s="321" t="s">
        <v>159</v>
      </c>
      <c r="D21" s="322">
        <v>2.75</v>
      </c>
      <c r="E21" s="322">
        <v>0.55000000000000004</v>
      </c>
      <c r="F21" s="320" t="s">
        <v>160</v>
      </c>
      <c r="G21" s="323">
        <v>107950</v>
      </c>
      <c r="H21" s="323">
        <f t="shared" ref="H21:H25" si="1">G21*B21</f>
        <v>323850</v>
      </c>
      <c r="I21" s="265"/>
      <c r="J21" s="47"/>
      <c r="K21" s="339">
        <f t="shared" ref="K21:K35" si="2">B21</f>
        <v>3</v>
      </c>
      <c r="L21" s="337">
        <f t="shared" ref="L21:L26" si="3">D21+L$19</f>
        <v>2.8</v>
      </c>
      <c r="M21" s="39">
        <f t="shared" ref="M21:M26" si="4">E21+M$19</f>
        <v>0.55000000000000004</v>
      </c>
      <c r="N21" s="261">
        <f t="shared" ref="N21:N26" si="5">L21*M21</f>
        <v>1.54</v>
      </c>
      <c r="O21" s="259">
        <f t="shared" ref="O21:O26" si="6">N21*K21</f>
        <v>4.62</v>
      </c>
      <c r="P21" s="252">
        <f t="shared" ref="P21:P26" si="7">P$20*N21</f>
        <v>109428.00201419089</v>
      </c>
      <c r="Q21" s="258">
        <f t="shared" ref="Q21:Q26" si="8">P21+Q$20</f>
        <v>112428.00201419089</v>
      </c>
      <c r="R21" s="307">
        <f t="shared" ref="R21:R35" si="9">K21*L21</f>
        <v>8.3999999999999986</v>
      </c>
      <c r="S21" s="14"/>
      <c r="T21" s="9"/>
      <c r="W21" s="4"/>
    </row>
    <row r="22" spans="2:24" ht="17.399999999999999" x14ac:dyDescent="0.3">
      <c r="B22" s="320">
        <v>7</v>
      </c>
      <c r="C22" s="321" t="s">
        <v>159</v>
      </c>
      <c r="D22" s="322">
        <v>2.85</v>
      </c>
      <c r="E22" s="322">
        <v>0.55000000000000004</v>
      </c>
      <c r="F22" s="320" t="s">
        <v>160</v>
      </c>
      <c r="G22" s="323">
        <v>111805</v>
      </c>
      <c r="H22" s="323">
        <f t="shared" si="1"/>
        <v>782635</v>
      </c>
      <c r="I22" s="265"/>
      <c r="J22" s="47"/>
      <c r="K22" s="339">
        <f t="shared" si="2"/>
        <v>7</v>
      </c>
      <c r="L22" s="337">
        <f t="shared" si="3"/>
        <v>2.9</v>
      </c>
      <c r="M22" s="39">
        <f t="shared" si="4"/>
        <v>0.55000000000000004</v>
      </c>
      <c r="N22" s="261">
        <f t="shared" si="5"/>
        <v>1.595</v>
      </c>
      <c r="O22" s="259">
        <f t="shared" si="6"/>
        <v>11.164999999999999</v>
      </c>
      <c r="P22" s="252">
        <f t="shared" si="7"/>
        <v>113336.14494326913</v>
      </c>
      <c r="Q22" s="258">
        <f t="shared" si="8"/>
        <v>116336.14494326913</v>
      </c>
      <c r="R22" s="307">
        <f t="shared" si="9"/>
        <v>20.3</v>
      </c>
      <c r="S22" s="14"/>
      <c r="T22" s="9"/>
      <c r="W22" s="4"/>
    </row>
    <row r="23" spans="2:24" ht="17.399999999999999" x14ac:dyDescent="0.3">
      <c r="B23" s="320">
        <v>7</v>
      </c>
      <c r="C23" s="321" t="s">
        <v>159</v>
      </c>
      <c r="D23" s="322">
        <v>2.95</v>
      </c>
      <c r="E23" s="322">
        <v>0.55000000000000004</v>
      </c>
      <c r="F23" s="320" t="s">
        <v>160</v>
      </c>
      <c r="G23" s="323">
        <v>115661</v>
      </c>
      <c r="H23" s="323">
        <f t="shared" si="1"/>
        <v>809627</v>
      </c>
      <c r="I23" s="265"/>
      <c r="J23" s="338">
        <v>20</v>
      </c>
      <c r="K23" s="339">
        <f t="shared" si="2"/>
        <v>7</v>
      </c>
      <c r="L23" s="337">
        <f t="shared" si="3"/>
        <v>3</v>
      </c>
      <c r="M23" s="39">
        <f t="shared" si="4"/>
        <v>0.55000000000000004</v>
      </c>
      <c r="N23" s="261">
        <f t="shared" si="5"/>
        <v>1.6500000000000001</v>
      </c>
      <c r="O23" s="259">
        <f t="shared" si="6"/>
        <v>11.55</v>
      </c>
      <c r="P23" s="252">
        <f t="shared" si="7"/>
        <v>117244.28787234738</v>
      </c>
      <c r="Q23" s="258">
        <f t="shared" si="8"/>
        <v>120244.28787234738</v>
      </c>
      <c r="R23" s="307">
        <f t="shared" si="9"/>
        <v>21</v>
      </c>
      <c r="S23" s="14"/>
      <c r="T23" s="9"/>
      <c r="W23" s="4"/>
    </row>
    <row r="24" spans="2:24" ht="17.399999999999999" x14ac:dyDescent="0.3">
      <c r="B24" s="320">
        <v>1</v>
      </c>
      <c r="C24" s="321" t="s">
        <v>159</v>
      </c>
      <c r="D24" s="322">
        <v>1.45</v>
      </c>
      <c r="E24" s="322">
        <v>0.55000000000000004</v>
      </c>
      <c r="F24" s="320" t="s">
        <v>160</v>
      </c>
      <c r="G24" s="323">
        <v>57830</v>
      </c>
      <c r="H24" s="323">
        <f t="shared" si="1"/>
        <v>57830</v>
      </c>
      <c r="I24" s="265"/>
      <c r="J24" s="47"/>
      <c r="K24" s="339">
        <f t="shared" si="2"/>
        <v>1</v>
      </c>
      <c r="L24" s="337">
        <f t="shared" si="3"/>
        <v>1.5</v>
      </c>
      <c r="M24" s="39">
        <f t="shared" si="4"/>
        <v>0.55000000000000004</v>
      </c>
      <c r="N24" s="261">
        <f t="shared" si="5"/>
        <v>0.82500000000000007</v>
      </c>
      <c r="O24" s="259">
        <f t="shared" si="6"/>
        <v>0.82500000000000007</v>
      </c>
      <c r="P24" s="252">
        <f t="shared" si="7"/>
        <v>58622.143936173692</v>
      </c>
      <c r="Q24" s="258">
        <f t="shared" si="8"/>
        <v>61622.143936173692</v>
      </c>
      <c r="R24" s="307">
        <f t="shared" si="9"/>
        <v>1.5</v>
      </c>
      <c r="S24" s="14"/>
      <c r="T24" s="9"/>
      <c r="W24" s="4"/>
    </row>
    <row r="25" spans="2:24" ht="17.399999999999999" x14ac:dyDescent="0.3">
      <c r="B25" s="320">
        <v>1</v>
      </c>
      <c r="C25" s="321" t="s">
        <v>159</v>
      </c>
      <c r="D25" s="322">
        <v>2.61</v>
      </c>
      <c r="E25" s="322">
        <v>0.55000000000000004</v>
      </c>
      <c r="F25" s="320" t="s">
        <v>160</v>
      </c>
      <c r="G25" s="323">
        <v>102552</v>
      </c>
      <c r="H25" s="323">
        <f t="shared" si="1"/>
        <v>102552</v>
      </c>
      <c r="I25" s="265"/>
      <c r="J25" s="47"/>
      <c r="K25" s="339">
        <f t="shared" si="2"/>
        <v>1</v>
      </c>
      <c r="L25" s="337">
        <f t="shared" si="3"/>
        <v>2.6599999999999997</v>
      </c>
      <c r="M25" s="39">
        <f t="shared" si="4"/>
        <v>0.55000000000000004</v>
      </c>
      <c r="N25" s="261">
        <f t="shared" si="5"/>
        <v>1.4629999999999999</v>
      </c>
      <c r="O25" s="259">
        <f t="shared" si="6"/>
        <v>1.4629999999999999</v>
      </c>
      <c r="P25" s="252">
        <f t="shared" si="7"/>
        <v>103956.60191348133</v>
      </c>
      <c r="Q25" s="258">
        <f t="shared" si="8"/>
        <v>106956.60191348133</v>
      </c>
      <c r="R25" s="307">
        <f t="shared" si="9"/>
        <v>2.6599999999999997</v>
      </c>
      <c r="S25" s="14"/>
      <c r="T25" s="9"/>
      <c r="W25" s="4"/>
    </row>
    <row r="26" spans="2:24" ht="17.399999999999999" x14ac:dyDescent="0.3">
      <c r="B26" s="320">
        <v>1</v>
      </c>
      <c r="C26" s="321" t="s">
        <v>159</v>
      </c>
      <c r="D26" s="322">
        <v>1.55</v>
      </c>
      <c r="E26" s="322">
        <v>0.6</v>
      </c>
      <c r="F26" s="320" t="s">
        <v>160</v>
      </c>
      <c r="G26" s="323">
        <v>67293</v>
      </c>
      <c r="H26" s="323">
        <f t="shared" ref="H26" si="10">G26*B26</f>
        <v>67293</v>
      </c>
      <c r="I26" s="265"/>
      <c r="J26" s="47"/>
      <c r="K26" s="339">
        <f t="shared" si="2"/>
        <v>1</v>
      </c>
      <c r="L26" s="337">
        <f t="shared" ref="L26" si="11">D26+L$19</f>
        <v>1.6</v>
      </c>
      <c r="M26" s="39">
        <f t="shared" ref="M26" si="12">E26+M$19</f>
        <v>0.6</v>
      </c>
      <c r="N26" s="261">
        <f t="shared" ref="N26" si="13">L26*M26</f>
        <v>0.96</v>
      </c>
      <c r="O26" s="259">
        <f t="shared" ref="O26" si="14">N26*K26</f>
        <v>0.96</v>
      </c>
      <c r="P26" s="252">
        <f t="shared" ref="P26" si="15">P$20*N26</f>
        <v>68214.85839845665</v>
      </c>
      <c r="Q26" s="258">
        <f t="shared" ref="Q26" si="16">P26+Q$20</f>
        <v>71214.85839845665</v>
      </c>
      <c r="R26" s="307">
        <f t="shared" si="9"/>
        <v>1.6</v>
      </c>
      <c r="S26" s="14"/>
      <c r="T26" s="9"/>
      <c r="W26" s="4"/>
    </row>
    <row r="27" spans="2:24" ht="17.399999999999999" x14ac:dyDescent="0.3">
      <c r="B27" s="320">
        <v>19</v>
      </c>
      <c r="C27" s="321" t="s">
        <v>161</v>
      </c>
      <c r="D27" s="322">
        <v>2.35</v>
      </c>
      <c r="E27" s="322">
        <v>0.39700000000000002</v>
      </c>
      <c r="F27" s="320" t="s">
        <v>160</v>
      </c>
      <c r="G27" s="323">
        <v>52870</v>
      </c>
      <c r="H27" s="323">
        <f t="shared" ref="H27:H30" si="17">G27*B27</f>
        <v>1004530</v>
      </c>
      <c r="I27" s="265"/>
      <c r="J27" s="47"/>
      <c r="K27" s="339"/>
      <c r="L27" s="336">
        <f t="shared" ref="L27:L30" si="18">D27+L$19</f>
        <v>2.4</v>
      </c>
      <c r="M27" s="336">
        <f t="shared" ref="M27:M30" si="19">E27+M$19</f>
        <v>0.39700000000000002</v>
      </c>
      <c r="N27" s="261">
        <f t="shared" ref="N27:N30" si="20">L27*M27</f>
        <v>0.95279999999999998</v>
      </c>
      <c r="O27" s="259">
        <f t="shared" ref="O27:O30" si="21">N27*K27</f>
        <v>0</v>
      </c>
      <c r="P27" s="252">
        <f t="shared" ref="P27:P30" si="22">P$20*N27</f>
        <v>67703.246960468226</v>
      </c>
      <c r="Q27" s="258">
        <f t="shared" ref="Q27:Q30" si="23">P27+Q$20</f>
        <v>70703.246960468226</v>
      </c>
      <c r="R27" s="307">
        <f t="shared" si="9"/>
        <v>0</v>
      </c>
      <c r="S27" s="14"/>
      <c r="T27" s="9"/>
      <c r="W27" s="4"/>
    </row>
    <row r="28" spans="2:24" ht="17.399999999999999" x14ac:dyDescent="0.3">
      <c r="B28" s="320">
        <v>1</v>
      </c>
      <c r="C28" s="321" t="s">
        <v>161</v>
      </c>
      <c r="D28" s="322">
        <v>1.6</v>
      </c>
      <c r="E28" s="322">
        <v>0.39700000000000002</v>
      </c>
      <c r="F28" s="320" t="s">
        <v>160</v>
      </c>
      <c r="G28" s="323">
        <v>36348</v>
      </c>
      <c r="H28" s="323">
        <f t="shared" si="17"/>
        <v>36348</v>
      </c>
      <c r="I28" s="265"/>
      <c r="J28" s="47"/>
      <c r="K28" s="339"/>
      <c r="L28" s="336">
        <f t="shared" si="18"/>
        <v>1.6500000000000001</v>
      </c>
      <c r="M28" s="336">
        <f t="shared" si="19"/>
        <v>0.39700000000000002</v>
      </c>
      <c r="N28" s="261">
        <f t="shared" si="20"/>
        <v>0.65505000000000013</v>
      </c>
      <c r="O28" s="259">
        <f t="shared" si="21"/>
        <v>0</v>
      </c>
      <c r="P28" s="252">
        <f t="shared" si="22"/>
        <v>46545.982285321916</v>
      </c>
      <c r="Q28" s="258">
        <f t="shared" si="23"/>
        <v>49545.982285321916</v>
      </c>
      <c r="R28" s="307">
        <f t="shared" si="9"/>
        <v>0</v>
      </c>
      <c r="S28" s="14"/>
      <c r="T28" s="9"/>
      <c r="W28" s="4"/>
    </row>
    <row r="29" spans="2:24" ht="17.399999999999999" x14ac:dyDescent="0.3">
      <c r="B29" s="320">
        <v>6</v>
      </c>
      <c r="C29" s="321" t="s">
        <v>161</v>
      </c>
      <c r="D29" s="322">
        <v>2.35</v>
      </c>
      <c r="E29" s="322">
        <v>0.43099999999999999</v>
      </c>
      <c r="F29" s="320" t="s">
        <v>160</v>
      </c>
      <c r="G29" s="323">
        <v>57398</v>
      </c>
      <c r="H29" s="323">
        <f t="shared" si="17"/>
        <v>344388</v>
      </c>
      <c r="I29" s="265"/>
      <c r="J29" s="47"/>
      <c r="K29" s="340"/>
      <c r="L29" s="336">
        <f t="shared" si="18"/>
        <v>2.4</v>
      </c>
      <c r="M29" s="336">
        <f t="shared" si="19"/>
        <v>0.43099999999999999</v>
      </c>
      <c r="N29" s="261">
        <f t="shared" si="20"/>
        <v>1.0344</v>
      </c>
      <c r="O29" s="259">
        <f t="shared" si="21"/>
        <v>0</v>
      </c>
      <c r="P29" s="252">
        <f t="shared" si="22"/>
        <v>73501.509924337035</v>
      </c>
      <c r="Q29" s="258">
        <f t="shared" si="23"/>
        <v>76501.509924337035</v>
      </c>
      <c r="R29" s="307">
        <f t="shared" si="9"/>
        <v>0</v>
      </c>
      <c r="S29" s="14"/>
      <c r="T29" s="9"/>
      <c r="W29" s="4"/>
    </row>
    <row r="30" spans="2:24" ht="17.399999999999999" x14ac:dyDescent="0.3">
      <c r="B30" s="320">
        <v>8</v>
      </c>
      <c r="C30" s="321" t="s">
        <v>161</v>
      </c>
      <c r="D30" s="322">
        <v>2.35</v>
      </c>
      <c r="E30" s="322">
        <v>0.372</v>
      </c>
      <c r="F30" s="320" t="s">
        <v>160</v>
      </c>
      <c r="G30" s="323">
        <v>49541</v>
      </c>
      <c r="H30" s="323">
        <f t="shared" si="17"/>
        <v>396328</v>
      </c>
      <c r="I30" s="265"/>
      <c r="J30" s="47"/>
      <c r="K30" s="340"/>
      <c r="L30" s="336">
        <f t="shared" si="18"/>
        <v>2.4</v>
      </c>
      <c r="M30" s="336">
        <f t="shared" si="19"/>
        <v>0.372</v>
      </c>
      <c r="N30" s="261">
        <f t="shared" si="20"/>
        <v>0.89279999999999993</v>
      </c>
      <c r="O30" s="259">
        <f t="shared" si="21"/>
        <v>0</v>
      </c>
      <c r="P30" s="252">
        <f t="shared" si="22"/>
        <v>63439.818310564682</v>
      </c>
      <c r="Q30" s="258">
        <f t="shared" si="23"/>
        <v>66439.818310564675</v>
      </c>
      <c r="R30" s="307">
        <f t="shared" si="9"/>
        <v>0</v>
      </c>
      <c r="S30" s="14"/>
      <c r="T30" s="9"/>
      <c r="W30" s="4"/>
    </row>
    <row r="31" spans="2:24" ht="17.399999999999999" x14ac:dyDescent="0.3">
      <c r="B31" s="320">
        <v>2</v>
      </c>
      <c r="C31" s="321" t="s">
        <v>161</v>
      </c>
      <c r="D31" s="322">
        <v>1.6</v>
      </c>
      <c r="E31" s="322">
        <v>0.372</v>
      </c>
      <c r="F31" s="320" t="s">
        <v>160</v>
      </c>
      <c r="G31" s="323">
        <v>34059</v>
      </c>
      <c r="H31" s="323">
        <f t="shared" ref="H31" si="24">G31*B31</f>
        <v>68118</v>
      </c>
      <c r="I31" s="265"/>
      <c r="J31" s="47"/>
      <c r="K31" s="340"/>
      <c r="L31" s="39">
        <f t="shared" ref="L31:L32" si="25">D31+L$19</f>
        <v>1.6500000000000001</v>
      </c>
      <c r="M31" s="39">
        <f t="shared" ref="M31:M32" si="26">E31+M$19</f>
        <v>0.372</v>
      </c>
      <c r="N31" s="261">
        <f t="shared" ref="N31:N32" si="27">L31*M31</f>
        <v>0.61380000000000001</v>
      </c>
      <c r="O31" s="259">
        <f t="shared" ref="O31:O32" si="28">N31*K31</f>
        <v>0</v>
      </c>
      <c r="P31" s="252">
        <f t="shared" ref="P31:P32" si="29">P$20*N31</f>
        <v>43614.875088513225</v>
      </c>
      <c r="Q31" s="258">
        <f t="shared" ref="Q31:Q32" si="30">P31+Q$20</f>
        <v>46614.875088513225</v>
      </c>
      <c r="R31" s="307">
        <f t="shared" si="9"/>
        <v>0</v>
      </c>
      <c r="S31" s="14"/>
      <c r="T31" s="9"/>
      <c r="W31" s="4"/>
    </row>
    <row r="32" spans="2:24" ht="17.399999999999999" x14ac:dyDescent="0.3">
      <c r="B32" s="320">
        <v>4</v>
      </c>
      <c r="C32" s="321" t="s">
        <v>161</v>
      </c>
      <c r="D32" s="322">
        <v>2.35</v>
      </c>
      <c r="E32" s="322">
        <v>0.38400000000000001</v>
      </c>
      <c r="F32" s="320" t="s">
        <v>160</v>
      </c>
      <c r="G32" s="323">
        <v>51139</v>
      </c>
      <c r="H32" s="323">
        <f t="shared" ref="H32:H35" si="31">G32*B32</f>
        <v>204556</v>
      </c>
      <c r="I32" s="265"/>
      <c r="J32" s="341">
        <v>12</v>
      </c>
      <c r="K32" s="340"/>
      <c r="L32" s="39">
        <f t="shared" si="25"/>
        <v>2.4</v>
      </c>
      <c r="M32" s="39">
        <f t="shared" si="26"/>
        <v>0.38400000000000001</v>
      </c>
      <c r="N32" s="261">
        <f t="shared" si="27"/>
        <v>0.92159999999999997</v>
      </c>
      <c r="O32" s="259">
        <f t="shared" si="28"/>
        <v>0</v>
      </c>
      <c r="P32" s="252">
        <f t="shared" si="29"/>
        <v>65486.264062518385</v>
      </c>
      <c r="Q32" s="258">
        <f t="shared" si="30"/>
        <v>68486.264062518385</v>
      </c>
      <c r="R32" s="307">
        <f t="shared" si="9"/>
        <v>0</v>
      </c>
      <c r="S32" s="14"/>
      <c r="T32" s="9"/>
      <c r="W32" s="4"/>
    </row>
    <row r="33" spans="1:23" ht="17.399999999999999" x14ac:dyDescent="0.3">
      <c r="B33" s="320">
        <v>1</v>
      </c>
      <c r="C33" s="321" t="s">
        <v>161</v>
      </c>
      <c r="D33" s="322">
        <v>1.6</v>
      </c>
      <c r="E33" s="322">
        <v>0.38400000000000001</v>
      </c>
      <c r="F33" s="320" t="s">
        <v>160</v>
      </c>
      <c r="G33" s="323">
        <v>35158</v>
      </c>
      <c r="H33" s="323">
        <f t="shared" si="31"/>
        <v>35158</v>
      </c>
      <c r="I33" s="265"/>
      <c r="J33" s="47"/>
      <c r="K33" s="340"/>
      <c r="L33" s="39">
        <f t="shared" ref="L33:L35" si="32">D33+L$19</f>
        <v>1.6500000000000001</v>
      </c>
      <c r="M33" s="39">
        <f t="shared" ref="M33:M35" si="33">E33+M$19</f>
        <v>0.38400000000000001</v>
      </c>
      <c r="N33" s="261">
        <f t="shared" ref="N33:N35" si="34">L33*M33</f>
        <v>0.63360000000000005</v>
      </c>
      <c r="O33" s="259">
        <f t="shared" ref="O33:O35" si="35">N33*K33</f>
        <v>0</v>
      </c>
      <c r="P33" s="252">
        <f t="shared" ref="P33:P35" si="36">P$20*N33</f>
        <v>45021.806542981394</v>
      </c>
      <c r="Q33" s="258">
        <f t="shared" ref="Q33:Q35" si="37">P33+Q$20</f>
        <v>48021.806542981394</v>
      </c>
      <c r="R33" s="307">
        <f t="shared" si="9"/>
        <v>0</v>
      </c>
      <c r="S33" s="14"/>
      <c r="T33" s="9"/>
      <c r="W33" s="4"/>
    </row>
    <row r="34" spans="1:23" ht="17.399999999999999" x14ac:dyDescent="0.3">
      <c r="B34" s="320">
        <v>1</v>
      </c>
      <c r="C34" s="321" t="s">
        <v>161</v>
      </c>
      <c r="D34" s="322">
        <v>2.35</v>
      </c>
      <c r="E34" s="322">
        <v>0.42299999999999999</v>
      </c>
      <c r="F34" s="320" t="s">
        <v>160</v>
      </c>
      <c r="G34" s="323">
        <v>56332</v>
      </c>
      <c r="H34" s="323">
        <f t="shared" si="31"/>
        <v>56332</v>
      </c>
      <c r="I34" s="265"/>
      <c r="J34" s="47"/>
      <c r="K34" s="340"/>
      <c r="L34" s="39">
        <f t="shared" si="32"/>
        <v>2.4</v>
      </c>
      <c r="M34" s="39">
        <f t="shared" si="33"/>
        <v>0.42299999999999999</v>
      </c>
      <c r="N34" s="261">
        <f t="shared" si="34"/>
        <v>1.0151999999999999</v>
      </c>
      <c r="O34" s="259">
        <f t="shared" si="35"/>
        <v>0</v>
      </c>
      <c r="P34" s="252">
        <f t="shared" si="36"/>
        <v>72137.212756367895</v>
      </c>
      <c r="Q34" s="258">
        <f t="shared" si="37"/>
        <v>75137.212756367895</v>
      </c>
      <c r="R34" s="307">
        <f t="shared" si="9"/>
        <v>0</v>
      </c>
      <c r="S34" s="14"/>
      <c r="T34" s="9"/>
      <c r="W34" s="4"/>
    </row>
    <row r="35" spans="1:23" ht="17.399999999999999" x14ac:dyDescent="0.3">
      <c r="B35" s="320">
        <v>2</v>
      </c>
      <c r="C35" s="321" t="s">
        <v>161</v>
      </c>
      <c r="D35" s="322">
        <v>1.6</v>
      </c>
      <c r="E35" s="322">
        <v>0.42299999999999999</v>
      </c>
      <c r="F35" s="320" t="s">
        <v>160</v>
      </c>
      <c r="G35" s="323">
        <v>38729</v>
      </c>
      <c r="H35" s="323">
        <f t="shared" si="31"/>
        <v>77458</v>
      </c>
      <c r="I35" s="265"/>
      <c r="J35" s="47"/>
      <c r="K35" s="340"/>
      <c r="L35" s="39">
        <f t="shared" si="32"/>
        <v>1.6500000000000001</v>
      </c>
      <c r="M35" s="39">
        <f t="shared" si="33"/>
        <v>0.42299999999999999</v>
      </c>
      <c r="N35" s="261">
        <f t="shared" si="34"/>
        <v>0.69795000000000007</v>
      </c>
      <c r="O35" s="259">
        <f t="shared" si="35"/>
        <v>0</v>
      </c>
      <c r="P35" s="252">
        <f t="shared" si="36"/>
        <v>49594.333770002944</v>
      </c>
      <c r="Q35" s="258">
        <f t="shared" si="37"/>
        <v>52594.333770002944</v>
      </c>
      <c r="R35" s="307">
        <f t="shared" si="9"/>
        <v>0</v>
      </c>
      <c r="S35" s="14"/>
      <c r="T35" s="9"/>
      <c r="W35" s="4"/>
    </row>
    <row r="36" spans="1:23" ht="17.399999999999999" x14ac:dyDescent="0.3">
      <c r="B36" s="285"/>
      <c r="C36" s="319"/>
      <c r="D36" s="286"/>
      <c r="E36" s="286"/>
      <c r="F36" s="285"/>
      <c r="G36" s="318"/>
      <c r="H36" s="318"/>
      <c r="I36" s="265"/>
      <c r="J36" s="47"/>
      <c r="K36" s="341">
        <f>SUM(K29:K35)</f>
        <v>0</v>
      </c>
      <c r="L36" s="39"/>
      <c r="M36" s="39"/>
      <c r="N36" s="261"/>
      <c r="O36" s="259"/>
      <c r="P36" s="252"/>
      <c r="Q36" s="258"/>
      <c r="R36" s="307"/>
      <c r="S36" s="14"/>
      <c r="T36" s="9"/>
      <c r="W36" s="4"/>
    </row>
    <row r="37" spans="1:23" ht="18" thickBot="1" x14ac:dyDescent="0.35">
      <c r="B37" s="285"/>
      <c r="C37" s="285"/>
      <c r="D37" s="286"/>
      <c r="E37" s="286"/>
      <c r="F37" s="285"/>
      <c r="G37" s="318"/>
      <c r="H37" s="318"/>
      <c r="I37" s="232"/>
      <c r="J37" s="47"/>
      <c r="K37" s="47"/>
      <c r="L37" s="39"/>
      <c r="M37" s="39"/>
      <c r="N37" s="261"/>
      <c r="O37" s="259"/>
      <c r="P37" s="252"/>
      <c r="Q37" s="258"/>
      <c r="R37" s="307"/>
      <c r="S37" s="14"/>
      <c r="T37" s="9"/>
      <c r="W37" s="4"/>
    </row>
    <row r="38" spans="1:23" ht="17.399999999999999" x14ac:dyDescent="0.3">
      <c r="B38" s="285"/>
      <c r="C38" s="285"/>
      <c r="D38" s="286"/>
      <c r="E38" s="286"/>
      <c r="F38" s="285"/>
      <c r="G38" s="308" t="s">
        <v>30</v>
      </c>
      <c r="H38" s="309">
        <f>SUM(H21:H35)</f>
        <v>4367003</v>
      </c>
      <c r="I38" s="232"/>
      <c r="J38" s="47"/>
      <c r="K38" s="47"/>
      <c r="L38" s="39"/>
      <c r="M38" s="39"/>
      <c r="N38" s="261"/>
      <c r="O38" s="259"/>
      <c r="P38" s="252"/>
      <c r="Q38" s="258"/>
      <c r="R38" s="307"/>
      <c r="S38" s="14"/>
      <c r="T38" s="9"/>
      <c r="W38" s="4"/>
    </row>
    <row r="39" spans="1:23" ht="17.399999999999999" x14ac:dyDescent="0.3">
      <c r="B39" s="279"/>
      <c r="C39" s="282"/>
      <c r="D39" s="283"/>
      <c r="E39" s="283"/>
      <c r="F39" s="284"/>
      <c r="G39" s="306" t="s">
        <v>53</v>
      </c>
      <c r="H39" s="303">
        <f>H38*0.19</f>
        <v>829730.57000000007</v>
      </c>
      <c r="I39" s="232"/>
      <c r="J39" s="47"/>
      <c r="K39" s="47"/>
      <c r="L39" s="39"/>
      <c r="M39" s="39"/>
      <c r="N39" s="261"/>
      <c r="O39" s="259"/>
      <c r="P39" s="252"/>
      <c r="Q39" s="258"/>
      <c r="R39" s="307"/>
      <c r="S39" s="14"/>
      <c r="T39" s="9"/>
      <c r="W39" s="4"/>
    </row>
    <row r="40" spans="1:23" ht="18" thickBot="1" x14ac:dyDescent="0.35">
      <c r="B40" s="275"/>
      <c r="C40" s="281"/>
      <c r="D40" s="272"/>
      <c r="E40" s="272"/>
      <c r="F40" s="273"/>
      <c r="G40" s="280" t="s">
        <v>6</v>
      </c>
      <c r="H40" s="304">
        <f>H38+H39</f>
        <v>5196733.57</v>
      </c>
      <c r="I40" s="265"/>
      <c r="J40" s="47"/>
      <c r="K40" s="47"/>
      <c r="L40" s="39">
        <f>SUM(L26:L26)*2</f>
        <v>3.2</v>
      </c>
      <c r="M40" s="39"/>
      <c r="N40" s="261"/>
      <c r="O40" s="259"/>
      <c r="P40" s="252"/>
      <c r="Q40" s="258"/>
      <c r="R40" s="307">
        <f>SUM(R21:R39)</f>
        <v>55.46</v>
      </c>
      <c r="S40" s="14"/>
      <c r="T40" s="9"/>
      <c r="W40" s="4"/>
    </row>
    <row r="41" spans="1:23" ht="17.399999999999999" x14ac:dyDescent="0.3">
      <c r="B41" s="275"/>
      <c r="C41" s="271"/>
      <c r="D41" s="272"/>
      <c r="E41" s="272"/>
      <c r="F41" s="273"/>
      <c r="I41" s="265"/>
      <c r="J41" s="47"/>
      <c r="K41" s="47"/>
      <c r="L41" s="39"/>
      <c r="M41" s="12"/>
      <c r="N41" s="12"/>
      <c r="O41" s="253">
        <f>SUM(O21:O37)</f>
        <v>30.583000000000002</v>
      </c>
      <c r="P41" s="14"/>
      <c r="Q41" s="12"/>
      <c r="R41" s="238"/>
      <c r="S41" s="14"/>
      <c r="T41" s="9"/>
      <c r="W41" s="4"/>
    </row>
    <row r="42" spans="1:23" ht="17.399999999999999" x14ac:dyDescent="0.35">
      <c r="B42" s="269"/>
      <c r="C42" s="230"/>
      <c r="D42" s="230"/>
      <c r="E42" s="232"/>
      <c r="F42" s="233"/>
      <c r="G42" s="230"/>
      <c r="H42" s="274"/>
      <c r="I42" s="265"/>
      <c r="J42" s="47"/>
      <c r="K42" s="47"/>
      <c r="L42" s="39"/>
      <c r="M42" s="12"/>
      <c r="N42" s="12"/>
      <c r="O42" s="253">
        <f>O41</f>
        <v>30.583000000000002</v>
      </c>
      <c r="P42" s="14"/>
      <c r="Q42" s="12"/>
      <c r="R42" s="238"/>
      <c r="S42" s="14"/>
      <c r="T42" s="9"/>
      <c r="W42" s="4"/>
    </row>
    <row r="43" spans="1:23" ht="17.399999999999999" x14ac:dyDescent="0.35">
      <c r="B43" s="234"/>
      <c r="C43" s="235"/>
      <c r="D43" s="236"/>
      <c r="E43" s="234"/>
      <c r="F43" s="230"/>
      <c r="G43" s="230"/>
      <c r="I43" s="265"/>
      <c r="J43" s="47"/>
      <c r="K43" s="47"/>
      <c r="L43" s="14"/>
      <c r="M43" s="12"/>
      <c r="N43" s="12"/>
      <c r="O43" s="39">
        <f>O42*0.2</f>
        <v>6.1166000000000009</v>
      </c>
      <c r="P43" s="39" t="s">
        <v>132</v>
      </c>
      <c r="Q43" s="42"/>
      <c r="R43" s="239"/>
      <c r="S43" s="14"/>
      <c r="T43" s="9"/>
      <c r="W43" s="4"/>
    </row>
    <row r="44" spans="1:23" ht="17.399999999999999" x14ac:dyDescent="0.35">
      <c r="B44" s="230"/>
      <c r="C44" s="230"/>
      <c r="D44" s="230"/>
      <c r="E44" s="230"/>
      <c r="F44" s="230"/>
      <c r="G44" s="230"/>
      <c r="I44" s="265"/>
      <c r="J44" s="312"/>
      <c r="K44" s="47"/>
      <c r="L44" s="14"/>
      <c r="M44" s="12"/>
      <c r="N44" s="12"/>
      <c r="O44" s="46">
        <f>O42+O43</f>
        <v>36.699600000000004</v>
      </c>
      <c r="P44" s="14"/>
      <c r="Q44" s="14"/>
      <c r="R44" s="237">
        <v>40</v>
      </c>
      <c r="S44" s="14"/>
      <c r="T44" s="9"/>
      <c r="W44" s="4"/>
    </row>
    <row r="45" spans="1:23" ht="17.399999999999999" x14ac:dyDescent="0.35">
      <c r="A45" s="230"/>
      <c r="B45" s="230"/>
      <c r="C45" s="230"/>
      <c r="D45" s="230"/>
      <c r="E45" s="230"/>
      <c r="F45" s="230"/>
      <c r="G45" s="230"/>
      <c r="H45" s="230"/>
      <c r="J45" s="312"/>
      <c r="K45" s="47"/>
      <c r="L45" s="14"/>
      <c r="M45" s="14"/>
      <c r="N45" s="14"/>
      <c r="O45" s="14"/>
      <c r="P45" s="14"/>
      <c r="Q45" s="14"/>
      <c r="R45" s="237"/>
      <c r="S45" s="14"/>
      <c r="T45" s="9"/>
      <c r="W45" s="4"/>
    </row>
    <row r="46" spans="1:23" ht="17.399999999999999" x14ac:dyDescent="0.35">
      <c r="A46" s="230"/>
      <c r="B46" s="24" t="s">
        <v>154</v>
      </c>
      <c r="C46" s="230"/>
      <c r="D46" s="230"/>
      <c r="E46" s="230"/>
      <c r="F46" s="230"/>
      <c r="G46" s="230"/>
      <c r="H46" s="230"/>
      <c r="I46" s="265"/>
      <c r="J46" s="47"/>
      <c r="K46" s="47"/>
      <c r="L46" s="39">
        <f>O44</f>
        <v>36.699600000000004</v>
      </c>
      <c r="M46" s="12">
        <v>2000</v>
      </c>
      <c r="N46" s="12">
        <f t="shared" ref="N46:N51" si="38">L46*M46</f>
        <v>73399.200000000012</v>
      </c>
      <c r="O46" s="14" t="s">
        <v>22</v>
      </c>
      <c r="P46" s="14" t="s">
        <v>23</v>
      </c>
      <c r="Q46" s="14"/>
      <c r="R46" s="240"/>
      <c r="S46" s="14"/>
      <c r="T46" s="9"/>
      <c r="W46" s="4"/>
    </row>
    <row r="47" spans="1:23" ht="17.399999999999999" x14ac:dyDescent="0.35">
      <c r="A47" s="230"/>
      <c r="B47" s="24" t="s">
        <v>155</v>
      </c>
      <c r="G47" s="230"/>
      <c r="H47" s="230"/>
      <c r="I47" s="265"/>
      <c r="J47" s="47"/>
      <c r="K47" s="47">
        <v>20</v>
      </c>
      <c r="L47" s="249">
        <v>13</v>
      </c>
      <c r="M47" s="12">
        <v>40000</v>
      </c>
      <c r="N47" s="12">
        <f t="shared" si="38"/>
        <v>520000</v>
      </c>
      <c r="O47" s="39" t="s">
        <v>165</v>
      </c>
      <c r="P47" s="42"/>
      <c r="Q47" s="14"/>
      <c r="R47" s="239"/>
      <c r="S47" s="14"/>
      <c r="T47" s="9"/>
      <c r="W47" s="4"/>
    </row>
    <row r="48" spans="1:23" s="230" customFormat="1" ht="17.399999999999999" x14ac:dyDescent="0.35">
      <c r="B48" s="29" t="s">
        <v>127</v>
      </c>
      <c r="C48"/>
      <c r="D48"/>
      <c r="E48"/>
      <c r="F48" s="229" t="s">
        <v>16</v>
      </c>
      <c r="I48" s="262"/>
      <c r="J48" s="47"/>
      <c r="K48" s="250">
        <v>1</v>
      </c>
      <c r="L48" s="14"/>
      <c r="M48" s="14">
        <v>22500</v>
      </c>
      <c r="N48" s="12">
        <f t="shared" si="38"/>
        <v>0</v>
      </c>
      <c r="O48" s="14" t="s">
        <v>166</v>
      </c>
      <c r="P48" s="14"/>
      <c r="R48" s="239"/>
      <c r="S48" s="256"/>
      <c r="V48" s="231"/>
    </row>
    <row r="49" spans="2:23" s="230" customFormat="1" ht="17.399999999999999" x14ac:dyDescent="0.35">
      <c r="I49" s="262"/>
      <c r="J49" s="311"/>
      <c r="K49" s="250"/>
      <c r="R49" s="237"/>
      <c r="S49" s="256"/>
      <c r="V49" s="231"/>
    </row>
    <row r="50" spans="2:23" s="230" customFormat="1" ht="17.399999999999999" x14ac:dyDescent="0.35">
      <c r="I50" s="262"/>
      <c r="J50" s="311"/>
      <c r="K50" s="250"/>
      <c r="L50" s="14"/>
      <c r="M50" s="250">
        <v>23500</v>
      </c>
      <c r="N50" s="12">
        <f>L50*M50</f>
        <v>0</v>
      </c>
      <c r="O50" s="39" t="s">
        <v>32</v>
      </c>
      <c r="P50" s="42"/>
      <c r="Q50" s="230">
        <v>1.52</v>
      </c>
      <c r="R50" s="237"/>
      <c r="S50" s="237"/>
    </row>
    <row r="51" spans="2:23" s="230" customFormat="1" ht="17.399999999999999" x14ac:dyDescent="0.35">
      <c r="I51" s="302"/>
      <c r="J51" s="47"/>
      <c r="K51" s="250">
        <v>20</v>
      </c>
      <c r="L51" s="14">
        <v>12</v>
      </c>
      <c r="M51" s="250">
        <v>32866</v>
      </c>
      <c r="N51" s="12">
        <f>L51*M51</f>
        <v>394392</v>
      </c>
      <c r="O51" s="14" t="s">
        <v>143</v>
      </c>
      <c r="P51" s="17"/>
      <c r="Q51">
        <v>2.44</v>
      </c>
      <c r="R51"/>
      <c r="S51" s="237">
        <v>1500</v>
      </c>
      <c r="W51" s="231"/>
    </row>
    <row r="52" spans="2:23" s="230" customFormat="1" ht="17.399999999999999" x14ac:dyDescent="0.35">
      <c r="I52" s="265"/>
      <c r="J52" s="47"/>
      <c r="K52" s="250"/>
      <c r="L52" s="249"/>
      <c r="M52" s="250">
        <v>800</v>
      </c>
      <c r="N52" s="12">
        <f>L52*M52</f>
        <v>0</v>
      </c>
      <c r="O52" s="14" t="s">
        <v>34</v>
      </c>
      <c r="P52" s="14"/>
      <c r="Q52">
        <f>Q50*Q51</f>
        <v>3.7088000000000001</v>
      </c>
      <c r="R52"/>
      <c r="S52" s="237">
        <f>R44*S51</f>
        <v>60000</v>
      </c>
      <c r="W52" s="231"/>
    </row>
    <row r="53" spans="2:23" s="230" customFormat="1" ht="17.399999999999999" x14ac:dyDescent="0.35">
      <c r="J53" s="47">
        <v>58690</v>
      </c>
      <c r="K53" s="250"/>
      <c r="L53" s="266"/>
      <c r="M53" s="12">
        <v>500</v>
      </c>
      <c r="N53" s="12">
        <f>L53*M53</f>
        <v>0</v>
      </c>
      <c r="O53" s="14" t="s">
        <v>24</v>
      </c>
      <c r="P53" s="14"/>
      <c r="Q53" s="46">
        <f>O44/Q52</f>
        <v>9.8952761000862814</v>
      </c>
      <c r="R53"/>
      <c r="S53" s="257" t="e">
        <f>S52/#REF!</f>
        <v>#REF!</v>
      </c>
    </row>
    <row r="54" spans="2:23" s="230" customFormat="1" ht="17.399999999999999" x14ac:dyDescent="0.35">
      <c r="G54"/>
      <c r="H54" s="260"/>
      <c r="I54" s="260"/>
      <c r="J54" s="47">
        <f>J53/1.19</f>
        <v>49319.327731092439</v>
      </c>
      <c r="K54" s="250"/>
      <c r="L54" s="14"/>
      <c r="M54" s="12"/>
      <c r="N54" s="12">
        <f>SUM(N46:N53)</f>
        <v>987791.2</v>
      </c>
      <c r="O54" s="39" t="s">
        <v>25</v>
      </c>
      <c r="P54" s="14"/>
      <c r="Q54" s="14"/>
      <c r="R54"/>
      <c r="S54" s="237"/>
    </row>
    <row r="55" spans="2:23" s="230" customFormat="1" ht="17.399999999999999" x14ac:dyDescent="0.35">
      <c r="G55"/>
      <c r="J55" s="47"/>
      <c r="K55" s="250"/>
      <c r="L55" s="254" t="s">
        <v>35</v>
      </c>
      <c r="M55" s="12"/>
      <c r="N55" s="255">
        <f>N54*2.2</f>
        <v>2173140.64</v>
      </c>
      <c r="O55" s="14" t="s">
        <v>142</v>
      </c>
      <c r="P55" s="14"/>
      <c r="Q55"/>
      <c r="R55"/>
      <c r="S55" s="237"/>
    </row>
    <row r="56" spans="2:23" s="230" customFormat="1" ht="17.399999999999999" x14ac:dyDescent="0.35">
      <c r="G56" s="23"/>
      <c r="J56" s="47"/>
      <c r="K56" s="12"/>
      <c r="L56" s="14"/>
      <c r="M56" s="12"/>
      <c r="N56" s="12">
        <f>N55/O42</f>
        <v>71057.144165059013</v>
      </c>
      <c r="O56" s="45" t="s">
        <v>26</v>
      </c>
      <c r="P56" s="14"/>
      <c r="S56" s="237"/>
    </row>
    <row r="57" spans="2:23" s="230" customFormat="1" ht="17.399999999999999" x14ac:dyDescent="0.35">
      <c r="B57"/>
      <c r="C57" s="228"/>
      <c r="D57" s="22"/>
      <c r="E57" s="22"/>
      <c r="F57" s="21"/>
      <c r="G57" s="23"/>
      <c r="J57" s="47"/>
      <c r="K57" s="12"/>
      <c r="L57" s="13"/>
      <c r="M57" s="14"/>
      <c r="N57" s="17">
        <f>N55/N54</f>
        <v>2.2000000000000002</v>
      </c>
      <c r="O57" s="15"/>
      <c r="P57"/>
      <c r="S57" s="237">
        <v>1.83</v>
      </c>
    </row>
    <row r="58" spans="2:23" ht="14.4" customHeight="1" x14ac:dyDescent="0.3">
      <c r="J58" s="47"/>
      <c r="K58" s="12"/>
      <c r="S58">
        <v>2.5</v>
      </c>
    </row>
    <row r="59" spans="2:23" x14ac:dyDescent="0.3">
      <c r="J59" s="47"/>
      <c r="K59" s="250"/>
      <c r="S59">
        <f>S57*S58</f>
        <v>4.5750000000000002</v>
      </c>
    </row>
    <row r="60" spans="2:23" x14ac:dyDescent="0.3">
      <c r="K60" s="250"/>
      <c r="S60" s="270">
        <f>O44/S59</f>
        <v>8.0217704918032791</v>
      </c>
    </row>
    <row r="61" spans="2:23" x14ac:dyDescent="0.3">
      <c r="K61" s="250"/>
    </row>
    <row r="62" spans="2:23" ht="15" customHeight="1" x14ac:dyDescent="0.3"/>
    <row r="64" spans="2:23" x14ac:dyDescent="0.3">
      <c r="N64">
        <v>40935</v>
      </c>
      <c r="O64" t="s">
        <v>17</v>
      </c>
      <c r="P64" t="s">
        <v>28</v>
      </c>
    </row>
    <row r="66" spans="14:19" x14ac:dyDescent="0.3">
      <c r="N66" s="54"/>
      <c r="O66" s="54"/>
    </row>
    <row r="67" spans="14:19" x14ac:dyDescent="0.3">
      <c r="R67" s="18"/>
      <c r="S67" s="18"/>
    </row>
    <row r="68" spans="14:19" x14ac:dyDescent="0.3">
      <c r="R68" s="18"/>
      <c r="S68" s="18"/>
    </row>
    <row r="69" spans="14:19" x14ac:dyDescent="0.3">
      <c r="R69" s="18"/>
      <c r="S69" s="18"/>
    </row>
    <row r="70" spans="14:19" x14ac:dyDescent="0.3">
      <c r="R70" s="18"/>
      <c r="S70" s="18"/>
    </row>
    <row r="71" spans="14:19" x14ac:dyDescent="0.3">
      <c r="R71" s="18"/>
      <c r="S71" s="18"/>
    </row>
    <row r="72" spans="14:19" x14ac:dyDescent="0.3">
      <c r="R72" s="18"/>
      <c r="S72" s="18"/>
    </row>
    <row r="73" spans="14:19" x14ac:dyDescent="0.3">
      <c r="R73" s="18"/>
      <c r="S73" s="18"/>
    </row>
    <row r="74" spans="14:19" x14ac:dyDescent="0.3">
      <c r="R74" s="18"/>
      <c r="S74" s="18"/>
    </row>
    <row r="75" spans="14:19" x14ac:dyDescent="0.3">
      <c r="R75" s="18"/>
      <c r="S75" s="18"/>
    </row>
    <row r="78" spans="14:19" x14ac:dyDescent="0.3">
      <c r="N78" s="43"/>
    </row>
    <row r="79" spans="14:19" x14ac:dyDescent="0.3">
      <c r="N79" s="43"/>
    </row>
    <row r="80" spans="14:19" x14ac:dyDescent="0.3">
      <c r="N80" s="6"/>
    </row>
    <row r="81" spans="3:14" x14ac:dyDescent="0.3">
      <c r="N81" s="6"/>
    </row>
    <row r="89" spans="3:14" x14ac:dyDescent="0.3">
      <c r="C89" t="s">
        <v>149</v>
      </c>
    </row>
    <row r="90" spans="3:14" x14ac:dyDescent="0.3">
      <c r="C90" t="s">
        <v>148</v>
      </c>
    </row>
    <row r="93" spans="3:14" x14ac:dyDescent="0.3">
      <c r="C93" t="s">
        <v>148</v>
      </c>
    </row>
    <row r="170" spans="3:3" x14ac:dyDescent="0.3">
      <c r="C170" t="s">
        <v>148</v>
      </c>
    </row>
    <row r="171" spans="3:3" x14ac:dyDescent="0.3">
      <c r="C171" t="s">
        <v>150</v>
      </c>
    </row>
    <row r="172" spans="3:3" x14ac:dyDescent="0.3">
      <c r="C172" t="s">
        <v>151</v>
      </c>
    </row>
    <row r="597" spans="3:3" x14ac:dyDescent="0.3">
      <c r="C597" t="s">
        <v>148</v>
      </c>
    </row>
  </sheetData>
  <mergeCells count="2">
    <mergeCell ref="F17:H17"/>
    <mergeCell ref="B19:H19"/>
  </mergeCells>
  <phoneticPr fontId="34" type="noConversion"/>
  <hyperlinks>
    <hyperlink ref="F4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3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45453</v>
      </c>
    </row>
    <row r="6" spans="2:31" ht="16.2" thickBot="1" x14ac:dyDescent="0.35">
      <c r="B6" s="140" t="s">
        <v>2</v>
      </c>
      <c r="C6" s="139" t="str">
        <f>'2229'!C10</f>
        <v>MIGUEL ASENJO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0" t="s">
        <v>100</v>
      </c>
      <c r="I7" s="331"/>
      <c r="J7" s="331"/>
      <c r="K7" s="332"/>
      <c r="N7" s="75"/>
      <c r="O7" s="329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10987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9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-556444.67836678738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'2229'!H38</f>
        <v>4367003</v>
      </c>
      <c r="E11" s="132">
        <f>D11*0.19</f>
        <v>829730.57000000007</v>
      </c>
      <c r="F11" s="131">
        <f>E11+D11</f>
        <v>5196733.57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-450454.67836678738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623233.29078743956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-468454.67836678738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3743769.7092125602</v>
      </c>
      <c r="E13" s="221">
        <f>(D11/D12)-1</f>
        <v>6.0070117635763678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-477454.67836678738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-516454.67836678738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1028334.9297992752</v>
      </c>
      <c r="F15" s="216">
        <f>E15-D12</f>
        <v>405101.63901183568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-516454.67836678738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-476454.67836678738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'2229'!N50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'2229'!N47</f>
        <v>520000</v>
      </c>
      <c r="E19" s="123">
        <f>D19*0.19</f>
        <v>98800</v>
      </c>
      <c r="F19" s="120">
        <f>SUM(D19:E19)</f>
        <v>618800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'2229'!N46</f>
        <v>73399.200000000012</v>
      </c>
      <c r="E20" s="121">
        <f>D20*0.19</f>
        <v>13945.848000000002</v>
      </c>
      <c r="F20" s="120">
        <f>SUM(D20:E20)</f>
        <v>87345.04800000001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593399.19999999995</v>
      </c>
      <c r="E21" s="116">
        <f>SUM(E18:E20)</f>
        <v>112745.848</v>
      </c>
      <c r="F21" s="115">
        <f>SUM(F18:F20)</f>
        <v>706145.04799999995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716984.72200000007</v>
      </c>
    </row>
    <row r="41" spans="2:16" ht="15" thickBot="1" x14ac:dyDescent="0.35">
      <c r="H41" s="333" t="s">
        <v>62</v>
      </c>
      <c r="I41" s="334"/>
      <c r="J41" s="334"/>
      <c r="K41" s="334"/>
      <c r="L41" s="334"/>
      <c r="M41" s="335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4367003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593399.19999999995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3743769.7092125602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3743769.7092125602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2024-06-11T19:30:39Z</cp:lastPrinted>
  <dcterms:created xsi:type="dcterms:W3CDTF">2013-03-18T13:35:42Z</dcterms:created>
  <dcterms:modified xsi:type="dcterms:W3CDTF">2024-06-11T19:34:48Z</dcterms:modified>
</cp:coreProperties>
</file>