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5182266F-EAEA-45C8-94D9-195141BC97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O27" i="1" l="1"/>
  <c r="H23" i="1"/>
  <c r="K22" i="1"/>
  <c r="K23" i="1"/>
  <c r="K21" i="1"/>
  <c r="L23" i="1"/>
  <c r="M23" i="1"/>
  <c r="L22" i="1"/>
  <c r="M22" i="1"/>
  <c r="H22" i="1"/>
  <c r="N23" i="1" l="1"/>
  <c r="O23" i="1"/>
  <c r="N22" i="1"/>
  <c r="O22" i="1" s="1"/>
  <c r="J41" i="1"/>
  <c r="L21" i="1"/>
  <c r="R21" i="1" s="1"/>
  <c r="M21" i="1"/>
  <c r="L26" i="1" l="1"/>
  <c r="R28" i="1"/>
  <c r="S21" i="1"/>
  <c r="S26" i="1" s="1"/>
  <c r="S27" i="1" s="1"/>
  <c r="S28" i="1" s="1"/>
  <c r="N21" i="1"/>
  <c r="O21" i="1" s="1"/>
  <c r="U34" i="1"/>
  <c r="U35" i="1" s="1"/>
  <c r="N33" i="1" l="1"/>
  <c r="O28" i="1" l="1"/>
  <c r="O29" i="1" s="1"/>
  <c r="O30" i="1" s="1"/>
  <c r="L32" i="1" s="1"/>
  <c r="M20" i="1"/>
  <c r="K20" i="1"/>
  <c r="N34" i="1" l="1"/>
  <c r="Q38" i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N38" i="1" s="1"/>
  <c r="N39" i="1" s="1"/>
  <c r="Q39" i="1"/>
  <c r="D20" i="3" l="1"/>
  <c r="E20" i="3" s="1"/>
  <c r="E21" i="3" s="1"/>
  <c r="N40" i="1" l="1"/>
  <c r="D21" i="3"/>
  <c r="M43" i="3" s="1"/>
  <c r="D12" i="3" s="1"/>
  <c r="F20" i="3"/>
  <c r="F21" i="3" s="1"/>
  <c r="N41" i="1" l="1"/>
  <c r="P20" i="1"/>
  <c r="E15" i="3"/>
  <c r="P22" i="1" l="1"/>
  <c r="Q22" i="1" s="1"/>
  <c r="P23" i="1"/>
  <c r="Q23" i="1" s="1"/>
  <c r="P21" i="1"/>
  <c r="F15" i="3"/>
  <c r="Q21" i="1" l="1"/>
  <c r="H21" i="1" l="1"/>
  <c r="H26" i="1" s="1"/>
  <c r="H28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<sst xmlns="http://schemas.openxmlformats.org/spreadsheetml/2006/main" count="234" uniqueCount="175">
  <si>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</si>
  <si>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</si>
  <si>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</si>
  <si>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</si>
  <si>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</si>
  <si>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</si>
  <si>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</si>
  <si>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</si>
  <si>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</si>
  <si>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</si>
  <si>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</si>
  <si>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</si>
  <si>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</si>
  <si>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</si>
  <si>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</si>
  <si>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</si>
  <si>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</si>
  <si>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</si>
  <si>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</si>
  <si>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</si>
  <si>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</si>
  <si>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</si>
  <si>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</si>
  <si>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</si>
  <si>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</si>
  <si>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</si>
  <si>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</si>
  <si>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</si>
  <si>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</si>
  <si>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</si>
  <si>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</si>
  <si>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</si>
  <si>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</si>
  <si>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</si>
  <si>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</si>
  <si>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</si>
  <si>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</si>
  <si>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</si>
  <si>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</si>
  <si>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</si>
  <si>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</si>
  <si>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</si>
  <si>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</si>
  <si>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</si>
  <si>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</si>
  <si>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</si>
  <si>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</si>
  <si>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</si>
  <si>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</si>
  <si>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</si>
  <si>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</si>
  <si>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</si>
  <si>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</si>
  <si>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</si>
  <si>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</si>
  <si>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</si>
  <si>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</si>
  <si>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</si>
  <si>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</si>
  <si>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</si>
  <si>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</si>
  <si>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</si>
  <si>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</si>
  <si>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</si>
  <si>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</si>
  <si>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</si>
  <si>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</si>
  <si>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</si>
  <si>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</si>
  <si>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</si>
  <si>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</si>
  <si>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</si>
  <si>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</si>
  <si>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</si>
  <si>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</si>
  <si>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</si>
  <si>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</si>
  <si>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</si>
  <si>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</si>
  <si>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</si>
  <si>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</si>
  <si>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</si>
  <si>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</si>
  <si>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</si>
  <si>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</si>
  <si>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</si>
  <si>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</si>
  <si>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</si>
  <si>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</si>
  <si>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</si>
  <si>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</si>
  <si>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</si>
  <si>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</si>
  <si>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</si>
  <si>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</si>
  <si>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</si>
  <si>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</si>
  <si>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</si>
  <si>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</si>
  <si>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</si>
  <si>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</si>
  <si>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</si>
  <si>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</si>
  <si>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</si>
  <si>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</si>
  <si>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</si>
  <si>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</si>
  <si>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</si>
  <si>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</si>
  <si>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</si>
  <si>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</si>
  <si>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</si>
  <si>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</si>
  <si>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</si>
  <si>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</si>
  <si>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</si>
  <si>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</si>
  <si>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</si>
  <si>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</si>
  <si>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</si>
  <si>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</si>
  <si>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</si>
  <si>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</si>
  <si>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</si>
  <si>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</si>
  <si>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</si>
  <si>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</si>
  <si>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</si>
  <si>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</si>
  <si>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</si>
  <si>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</si>
  <si>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</si>
  <si>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</si>
  <si>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</si>
  <si>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</si>
  <si>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</si>
  <si>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</si>
  <si>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</si>
  <si>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</si>
  <si>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</si>
  <si>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</si>
  <si>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</si>
  <si>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</si>
  <si>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</si>
  <si>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</si>
  <si>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</si>
  <si>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</si>
  <si>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</si>
  <si>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</si>
  <si>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</si>
  <si>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</si>
  <si>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</si>
  <si>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</si>
  <si>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</si>
  <si>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</si>
  <si>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</si>
  <si>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</si>
  <si>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</si>
  <si>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</si>
  <si>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</si>
  <si>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</si>
  <si>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</si>
  <si>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</si>
  <si>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</si>
  <si>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</si>
  <si>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</si>
  <si>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</si>
  <si>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</si>
  <si>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A 7 DIAS HABILES</t>
  </si>
  <si>
    <t>CUB CON RESPALDO  FRENTE 90° R8</t>
  </si>
  <si>
    <t>N° 10998</t>
  </si>
  <si>
    <t>CONSTRUCCIONES J&amp;T</t>
  </si>
  <si>
    <t>JOSE TAPIA</t>
  </si>
  <si>
    <t>+569 5417 0879</t>
  </si>
  <si>
    <t>MARINA DI CARRARA 3151 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</si>
</sst>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25</xdr:row>
      <xdr:rowOff>9525</xdr:rowOff>
    </xdr:from>
    <xdr:to>
      <xdr:col>5</xdr:col>
      <xdr:colOff>1594096</xdr:colOff>
      <xdr:row>28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zoomScale="93" zoomScaleNormal="93" workbookViewId="0">
      <selection activeCell="A28" sqref="A28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170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171</v>
      </c>
      <c r="D10" s="243"/>
      <c r="E10" s="243"/>
      <c r="F10" s="244" t="s">
        <v>0</v>
      </c>
      <c r="G10" s="277">
        <v>45460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/>
      <c r="H12" s="248"/>
      <c r="P12" s="19"/>
      <c r="Q12" s="25"/>
      <c r="R12" s="19"/>
    </row>
    <row r="13" spans="2:23" x14ac:dyDescent="0.3">
      <c r="B13" s="288" t="s">
        <v>147</v>
      </c>
      <c r="C13" t="s">
        <v>172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173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167</v>
      </c>
      <c r="D17" s="318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85464.711985041329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169</v>
      </c>
      <c r="D21" s="326">
        <v>2.0830000000000002</v>
      </c>
      <c r="E21" s="326">
        <v>0.6</v>
      </c>
      <c r="F21" s="325" t="s">
        <v>174</v>
      </c>
      <c r="G21" s="327">
        <v>112378</v>
      </c>
      <c r="H21" s="327">
        <f>G21*B21</f>
        <v>112378</v>
      </c>
      <c r="I21" s="265"/>
      <c r="J21" s="47"/>
      <c r="K21" s="47">
        <f>B21</f>
        <v>1</v>
      </c>
      <c r="L21" s="39">
        <f t="shared" ref="L21" si="1">D21+L$19</f>
        <v>2.133</v>
      </c>
      <c r="M21" s="39">
        <f t="shared" ref="M21" si="2">E21+M$19</f>
        <v>0.6</v>
      </c>
      <c r="N21" s="261">
        <f t="shared" ref="N21" si="3">L21*M21</f>
        <v>1.2798</v>
      </c>
      <c r="O21" s="259">
        <f t="shared" ref="O21" si="4">N21*K21</f>
        <v>1.2798</v>
      </c>
      <c r="P21" s="252">
        <f t="shared" ref="P21" si="5">P$20*N21</f>
        <v>109377.7383984559</v>
      </c>
      <c r="Q21" s="328">
        <f t="shared" ref="Q21" si="6">P21+Q$20</f>
        <v>112377.7383984559</v>
      </c>
      <c r="R21" s="298">
        <f>L21*K21</f>
        <v>2.133</v>
      </c>
      <c r="S21" s="46">
        <f>M21*2*K21</f>
        <v>1.2</v>
      </c>
      <c r="T21" s="9"/>
      <c r="W21" s="4"/>
    </row>
    <row r="22" spans="2:24" ht="17.399999999999999" x14ac:dyDescent="0.3">
      <c r="B22" s="325">
        <v>1</v>
      </c>
      <c r="C22" s="325" t="s">
        <v>169</v>
      </c>
      <c r="D22" s="326">
        <v>1.92</v>
      </c>
      <c r="E22" s="326">
        <v>0.4</v>
      </c>
      <c r="F22" s="325" t="s">
        <v>174</v>
      </c>
      <c r="G22" s="327">
        <v>70346</v>
      </c>
      <c r="H22" s="327">
        <f>G22*B22</f>
        <v>70346</v>
      </c>
      <c r="I22" s="265"/>
      <c r="J22" s="47"/>
      <c r="K22" s="47">
        <f t="shared" ref="K22:K23" si="7">B22</f>
        <v>1</v>
      </c>
      <c r="L22" s="39">
        <f t="shared" ref="L22" si="8">D22+L$19</f>
        <v>1.97</v>
      </c>
      <c r="M22" s="39">
        <f t="shared" ref="M22" si="9">E22+M$19</f>
        <v>0.4</v>
      </c>
      <c r="N22" s="261">
        <f t="shared" ref="N22" si="10">L22*M22</f>
        <v>0.78800000000000003</v>
      </c>
      <c r="O22" s="259">
        <f t="shared" ref="O22" si="11">N22*K22</f>
        <v>0.78800000000000003</v>
      </c>
      <c r="P22" s="252">
        <f t="shared" ref="P22" si="12">P$20*N22</f>
        <v>67346.193044212574</v>
      </c>
      <c r="Q22" s="328">
        <f t="shared" ref="Q22" si="13">P22+Q$20</f>
        <v>70346.193044212574</v>
      </c>
      <c r="R22" s="298"/>
      <c r="S22" s="46"/>
      <c r="T22" s="9"/>
      <c r="W22" s="4"/>
    </row>
    <row r="23" spans="2:24" ht="17.399999999999999" x14ac:dyDescent="0.3">
      <c r="B23" s="325">
        <v>1</v>
      </c>
      <c r="C23" s="325" t="s">
        <v>169</v>
      </c>
      <c r="D23" s="326">
        <v>2.0299999999999998</v>
      </c>
      <c r="E23" s="326">
        <v>0.6</v>
      </c>
      <c r="F23" s="325" t="s">
        <v>174</v>
      </c>
      <c r="G23" s="327">
        <v>109660</v>
      </c>
      <c r="H23" s="327">
        <f>G23*B23</f>
        <v>109660</v>
      </c>
      <c r="I23" s="265"/>
      <c r="J23" s="47"/>
      <c r="K23" s="47">
        <f t="shared" si="7"/>
        <v>1</v>
      </c>
      <c r="L23" s="39">
        <f t="shared" ref="L23" si="14">D23+L$19</f>
        <v>2.0799999999999996</v>
      </c>
      <c r="M23" s="39">
        <f t="shared" ref="M23" si="15">E23+M$19</f>
        <v>0.6</v>
      </c>
      <c r="N23" s="261">
        <f t="shared" ref="N23" si="16">L23*M23</f>
        <v>1.2479999999999998</v>
      </c>
      <c r="O23" s="259">
        <f t="shared" ref="O23" si="17">N23*K23</f>
        <v>1.2479999999999998</v>
      </c>
      <c r="P23" s="252">
        <f t="shared" ref="P23" si="18">P$20*N23</f>
        <v>106659.96055733156</v>
      </c>
      <c r="Q23" s="328">
        <f t="shared" ref="Q23" si="19">P23+Q$20</f>
        <v>109659.96055733156</v>
      </c>
      <c r="R23" s="298"/>
      <c r="S23" s="46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30"/>
      <c r="H24" s="330"/>
      <c r="I24" s="265"/>
      <c r="J24" s="47"/>
      <c r="K24" s="47"/>
      <c r="L24" s="39"/>
      <c r="M24" s="39"/>
      <c r="N24" s="261"/>
      <c r="O24" s="259"/>
      <c r="P24" s="252"/>
      <c r="Q24" s="328"/>
      <c r="R24" s="298"/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/>
      <c r="O25" s="259"/>
      <c r="P25" s="252"/>
      <c r="Q25" s="258"/>
      <c r="R25" s="29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299" t="s">
        <v>29</v>
      </c>
      <c r="H26" s="300">
        <f>SUM(H21:H25)</f>
        <v>292384</v>
      </c>
      <c r="I26" s="265"/>
      <c r="J26" s="47"/>
      <c r="K26" s="47"/>
      <c r="L26" s="39">
        <f>SUM(L21:L25)</f>
        <v>6.1829999999999998</v>
      </c>
      <c r="M26" s="39"/>
      <c r="N26" s="261"/>
      <c r="O26" s="259"/>
      <c r="P26" s="252"/>
      <c r="Q26" s="258"/>
      <c r="R26" s="298"/>
      <c r="S26" s="46">
        <f>SUM(S21:S25)</f>
        <v>1.2</v>
      </c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297" t="s">
        <v>52</v>
      </c>
      <c r="H27" s="295">
        <f>H26*19%</f>
        <v>55552.959999999999</v>
      </c>
      <c r="I27" s="265"/>
      <c r="J27" s="47"/>
      <c r="K27" s="47"/>
      <c r="L27" s="39"/>
      <c r="M27" s="12"/>
      <c r="N27" s="12"/>
      <c r="O27" s="253">
        <f>SUM(O21:O23)</f>
        <v>3.3157999999999999</v>
      </c>
      <c r="P27" s="14"/>
      <c r="Q27" s="12"/>
      <c r="R27" s="239"/>
      <c r="S27" s="46">
        <f>S26*20%</f>
        <v>0.24</v>
      </c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296">
        <f>H26+H27</f>
        <v>347936.96</v>
      </c>
      <c r="I28" s="265"/>
      <c r="J28" s="47"/>
      <c r="K28" s="47"/>
      <c r="L28" s="39"/>
      <c r="M28" s="12"/>
      <c r="N28" s="12"/>
      <c r="O28" s="253">
        <f>O27</f>
        <v>3.3157999999999999</v>
      </c>
      <c r="P28" s="14"/>
      <c r="Q28" s="12"/>
      <c r="R28" s="239">
        <f>SUM(R21:R27)</f>
        <v>2.133</v>
      </c>
      <c r="S28" s="46">
        <f>S26+S27</f>
        <v>1.44</v>
      </c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0.66315999999999997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3.9789599999999998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05" t="s">
        <v>22</v>
      </c>
      <c r="U31" s="302" t="s">
        <v>153</v>
      </c>
      <c r="V31" s="306">
        <v>44971</v>
      </c>
      <c r="W31" s="307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3.9789599999999998</v>
      </c>
      <c r="M32" s="12">
        <v>3500</v>
      </c>
      <c r="N32" s="12">
        <f t="shared" ref="N32:N37" si="20">L32*M32</f>
        <v>13926.359999999999</v>
      </c>
      <c r="O32" s="14" t="s">
        <v>22</v>
      </c>
      <c r="P32" s="14"/>
      <c r="Q32" s="14"/>
      <c r="R32" s="241"/>
      <c r="S32" s="14"/>
      <c r="T32" s="305" t="s">
        <v>154</v>
      </c>
      <c r="U32" s="302">
        <v>3625</v>
      </c>
      <c r="V32" s="59" t="s">
        <v>155</v>
      </c>
      <c r="W32" s="307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1.1000000000000001</v>
      </c>
      <c r="M33" s="12">
        <v>25000</v>
      </c>
      <c r="N33" s="12">
        <f t="shared" si="20"/>
        <v>27500.000000000004</v>
      </c>
      <c r="O33" s="39" t="s">
        <v>32</v>
      </c>
      <c r="P33" s="42"/>
      <c r="Q33" s="14"/>
      <c r="R33" s="240"/>
      <c r="S33" s="14"/>
      <c r="T33" s="305"/>
      <c r="U33" s="59">
        <v>906.25</v>
      </c>
      <c r="V33" s="59" t="s">
        <v>156</v>
      </c>
      <c r="W33" s="307"/>
    </row>
    <row r="34" spans="2:23" s="230" customFormat="1" ht="17.399999999999999" x14ac:dyDescent="0.35">
      <c r="I34" s="262"/>
      <c r="J34" s="232"/>
      <c r="K34" s="250"/>
      <c r="L34" s="14"/>
      <c r="M34" s="250">
        <v>41277</v>
      </c>
      <c r="N34" s="12">
        <f t="shared" si="20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07" t="s">
        <v>157</v>
      </c>
      <c r="W34" s="59"/>
    </row>
    <row r="35" spans="2:23" s="230" customFormat="1" ht="17.399999999999999" x14ac:dyDescent="0.35">
      <c r="B35" s="24" t="s">
        <v>152</v>
      </c>
      <c r="I35" s="262"/>
      <c r="J35" s="232"/>
      <c r="K35" s="250"/>
      <c r="L35" s="14">
        <v>1</v>
      </c>
      <c r="M35" s="250">
        <v>78110</v>
      </c>
      <c r="N35" s="12">
        <f t="shared" si="20"/>
        <v>78110</v>
      </c>
      <c r="O35" s="14" t="s">
        <v>142</v>
      </c>
      <c r="P35" s="17"/>
      <c r="R35" s="238"/>
      <c r="S35" s="256"/>
      <c r="T35" s="59"/>
      <c r="U35" s="59">
        <f>U33+U34</f>
        <v>1087.5</v>
      </c>
      <c r="V35" s="307" t="s">
        <v>158</v>
      </c>
      <c r="W35" s="59"/>
    </row>
    <row r="36" spans="2:23" s="230" customFormat="1" ht="17.399999999999999" x14ac:dyDescent="0.35">
      <c r="B36" s="24" t="s">
        <v>145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20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294"/>
      <c r="K37" s="250"/>
      <c r="L37" s="266">
        <v>6.1829999999999998</v>
      </c>
      <c r="M37" s="12">
        <v>1500</v>
      </c>
      <c r="N37" s="12">
        <f t="shared" si="20"/>
        <v>9274.5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128810.86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N38*2.2</f>
        <v>283383.89200000005</v>
      </c>
      <c r="O39" s="14" t="s">
        <v>141</v>
      </c>
      <c r="P39" s="14"/>
      <c r="Q39" s="40">
        <f>O30/Q38</f>
        <v>1.0728429680759275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29250</v>
      </c>
      <c r="K40" s="250">
        <v>0</v>
      </c>
      <c r="L40" s="14"/>
      <c r="M40" s="12"/>
      <c r="N40" s="12">
        <f>N39/O28</f>
        <v>85464.711985041329</v>
      </c>
      <c r="O40" s="45" t="s">
        <v>25</v>
      </c>
      <c r="P40" s="14"/>
      <c r="Q40" s="14"/>
      <c r="R40"/>
      <c r="S40" s="238"/>
      <c r="T40" s="59" t="s">
        <v>159</v>
      </c>
      <c r="U40" s="302">
        <v>43650</v>
      </c>
    </row>
    <row r="41" spans="2:23" s="230" customFormat="1" ht="17.399999999999999" x14ac:dyDescent="0.35">
      <c r="G41"/>
      <c r="H41" s="230" t="s">
        <v>165</v>
      </c>
      <c r="J41" s="230">
        <f>J40/1.19</f>
        <v>24579.831932773111</v>
      </c>
      <c r="K41" s="250"/>
      <c r="L41" s="13"/>
      <c r="M41" s="14"/>
      <c r="N41" s="17">
        <f>N39/N38</f>
        <v>2.2000000000000002</v>
      </c>
      <c r="O41" s="15"/>
      <c r="P41"/>
      <c r="Q41"/>
      <c r="R41"/>
      <c r="S41" s="238"/>
      <c r="T41" s="59" t="s">
        <v>161</v>
      </c>
      <c r="U41" s="303" t="s">
        <v>160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162</v>
      </c>
      <c r="U42" s="304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157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45460</v>
      </c>
    </row>
    <row r="6" spans="2:31" ht="16.2" thickBot="1" x14ac:dyDescent="0.35">
      <c r="B6" s="140" t="s">
        <v>2</v>
      </c>
      <c r="C6" s="139" t="str">
        <f>'2229'!C10</f>
        <v>CONSTRUCCIONES J&amp;T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10998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-29134.042700120772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292384</v>
      </c>
      <c r="E11" s="132">
        <f>D11*0.19</f>
        <v>55552.959999999999</v>
      </c>
      <c r="F11" s="131">
        <f>E11+D11</f>
        <v>347936.96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76855.957299879228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71260.450787439622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58855.957299879228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221123.54921256038</v>
      </c>
      <c r="E13" s="221">
        <f>(D11/D12)-1</f>
        <v>3.1030332641613834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49855.957299879228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10855.957299879228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117579.74379927537</v>
      </c>
      <c r="F15" s="216">
        <f>E15-D12</f>
        <v>46319.293011835747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10855.957299879228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50855.957299879228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27500.000000000004</v>
      </c>
      <c r="E19" s="123">
        <f>D19*0.19</f>
        <v>5225.0000000000009</v>
      </c>
      <c r="F19" s="120">
        <f>SUM(D19:E19)</f>
        <v>32725.000000000004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13926.359999999999</v>
      </c>
      <c r="E20" s="121">
        <f>D20*0.19</f>
        <v>2646.0083999999997</v>
      </c>
      <c r="F20" s="120">
        <f>SUM(D20:E20)</f>
        <v>16572.368399999999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41426.36</v>
      </c>
      <c r="E21" s="116">
        <f>SUM(E18:E20)</f>
        <v>7871.0084000000006</v>
      </c>
      <c r="F21" s="115">
        <f>SUM(F18:F20)</f>
        <v>49297.368400000007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47681.9516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292384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41426.36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221123.54921256038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221123.54921256038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2024-06-17T15:35:01Z</dcterms:modified>
</cp:coreProperties>
</file>