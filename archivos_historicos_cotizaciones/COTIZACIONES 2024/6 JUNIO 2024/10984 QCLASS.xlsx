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296567E7-BC68-46C3-A234-278BBA7DE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5" i="1" s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<sst xmlns="http://schemas.openxmlformats.org/spreadsheetml/2006/main" count="219" uniqueCount="166">
  <si>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</si>
  <si>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</si>
  <si>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</si>
  <si>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</si>
  <si>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</si>
  <si>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</si>
  <si>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</si>
  <si>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</si>
  <si>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</si>
  <si>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</si>
  <si>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</si>
  <si>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</si>
  <si>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</si>
  <si>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</si>
  <si>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</si>
  <si>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</si>
  <si>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</si>
  <si>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</si>
  <si>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</si>
  <si>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</si>
  <si>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</si>
  <si>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</si>
  <si>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</si>
  <si>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</si>
  <si>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</si>
  <si>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</si>
  <si>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</si>
  <si>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</si>
  <si>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</si>
  <si>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</si>
  <si>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</si>
  <si>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</si>
  <si>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</si>
  <si>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</si>
  <si>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</si>
  <si>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</si>
  <si>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</si>
  <si>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</si>
  <si>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</si>
  <si>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</si>
  <si>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</si>
  <si>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</si>
  <si>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</si>
  <si>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</si>
  <si>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</si>
  <si>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</si>
  <si>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</si>
  <si>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</si>
  <si>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</si>
  <si>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</si>
  <si>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</si>
  <si>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</si>
  <si>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</si>
  <si>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</si>
  <si>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</si>
  <si>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</si>
  <si>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</si>
  <si>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</si>
  <si>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</si>
  <si>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</si>
  <si>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</si>
  <si>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</si>
  <si>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</si>
  <si>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</si>
  <si>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</si>
  <si>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</si>
  <si>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</si>
  <si>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</si>
  <si>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</si>
  <si>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</si>
  <si>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</si>
  <si>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</si>
  <si>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</si>
  <si>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</si>
  <si>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</si>
  <si>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</si>
  <si>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</si>
  <si>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</si>
  <si>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</si>
  <si>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</si>
  <si>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</si>
  <si>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</si>
  <si>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</si>
  <si>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</si>
  <si>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</si>
  <si>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</si>
  <si>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</si>
  <si>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</si>
  <si>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</si>
  <si>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</si>
  <si>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</si>
  <si>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</si>
  <si>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</si>
  <si>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</si>
  <si>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</si>
  <si>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</si>
  <si>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</si>
  <si>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</si>
  <si>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</si>
  <si>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</si>
  <si>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</si>
  <si>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</si>
  <si>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</si>
  <si>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</si>
  <si>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</si>
  <si>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</si>
  <si>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</si>
  <si>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</si>
  <si>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</si>
  <si>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</si>
  <si>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</si>
  <si>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</si>
  <si>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</si>
  <si>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</si>
  <si>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</si>
  <si>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</si>
  <si>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</si>
  <si>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</si>
  <si>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</si>
  <si>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</si>
  <si>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</si>
  <si>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</si>
  <si>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</si>
  <si>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</si>
  <si>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</si>
  <si>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</si>
  <si>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</si>
  <si>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</si>
  <si>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</si>
  <si>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</si>
  <si>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</si>
  <si>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</si>
  <si>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</si>
  <si>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</si>
  <si>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</si>
  <si>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</si>
  <si>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</si>
  <si>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</si>
  <si>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</si>
  <si>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</si>
  <si>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</si>
  <si>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</si>
  <si>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</si>
  <si>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</si>
  <si>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</si>
  <si>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</si>
  <si>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</si>
  <si>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</si>
  <si>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</si>
  <si>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</si>
  <si>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</si>
  <si>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</si>
  <si>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</si>
  <si>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</si>
  <si>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</si>
  <si>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</si>
  <si>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</si>
  <si>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</si>
  <si>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VAINILLA 2109 BR</t>
  </si>
  <si>
    <t>QCLASS</t>
  </si>
  <si>
    <t>ABONO 50%, SALDO C/E</t>
  </si>
  <si>
    <t>10 DIAS HABILES</t>
  </si>
  <si>
    <t>N° 10984</t>
  </si>
  <si>
    <t>BANCA  POR 350 AMBOS LADOS</t>
  </si>
  <si>
    <t>MANUEL VARGAS</t>
  </si>
  <si>
    <t>+56966776601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</si>
</sst>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SUS COSTADOS</a:t>
          </a:r>
          <a:r>
            <a:rPr lang="es-CL" sz="1200" b="1" baseline="0"/>
            <a:t> CON TAPACANTO PVC 0,4MM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8" zoomScaleNormal="98" workbookViewId="0">
      <selection activeCell="D14" sqref="D14"/>
    </sheetView>
  </sheetViews>
  <sheetFormatPr baseColWidth="10" defaultRowHeight="14.4" x14ac:dyDescent="0.3"/>
  <cols>
    <col min="1" max="1" width="6" customWidth="1"/>
    <col min="2" max="2" width="10.5546875" customWidth="1"/>
    <col min="3" max="3" width="47.4414062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2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45448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164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165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160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 t="e">
        <f>N38</f>
        <v>#DIV/0!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4">
        <v>1</v>
      </c>
      <c r="C21" s="313" t="s">
        <v>163</v>
      </c>
      <c r="D21" s="314">
        <v>1.85</v>
      </c>
      <c r="E21" s="314">
        <v>0.3</v>
      </c>
      <c r="F21" s="313" t="s">
        <v>158</v>
      </c>
      <c r="G21" s="315">
        <v>198590</v>
      </c>
      <c r="H21" s="316">
        <f t="shared" ref="H21" si="1">G21*B21</f>
        <v>198590</v>
      </c>
      <c r="I21" s="265"/>
      <c r="J21" s="47"/>
      <c r="K21" s="47"/>
      <c r="L21" s="39">
        <f t="shared" ref="L21:M21" si="2">D21+L$19</f>
        <v>1.9000000000000001</v>
      </c>
      <c r="M21" s="39">
        <f t="shared" si="2"/>
        <v>0.3</v>
      </c>
      <c r="N21" s="261">
        <f>L21*M21</f>
        <v>0.57000000000000006</v>
      </c>
      <c r="O21" s="259">
        <f>N21*K21</f>
        <v>0</v>
      </c>
      <c r="P21" s="252" t="e">
        <f>P$20*N21</f>
        <v>#DIV/0!</v>
      </c>
      <c r="Q21" s="258" t="e">
        <f>P21+Q$20</f>
        <v>#DIV/0!</v>
      </c>
      <c r="R21" s="308">
        <f>K21*L21</f>
        <v>0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9"/>
      <c r="H22" s="319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198590</v>
      </c>
      <c r="I24" s="265"/>
      <c r="J24" s="47"/>
      <c r="K24" s="47"/>
      <c r="L24" s="39">
        <f>SUM(L21:L23)</f>
        <v>1.9000000000000001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37732.1</v>
      </c>
      <c r="I25" s="265"/>
      <c r="J25" s="47"/>
      <c r="K25" s="47"/>
      <c r="L25" s="39"/>
      <c r="M25" s="12"/>
      <c r="N25" s="12"/>
      <c r="O25" s="253">
        <f>SUM(O21:O21)</f>
        <v>0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236322.1</v>
      </c>
      <c r="I26" s="265"/>
      <c r="J26" s="47"/>
      <c r="K26" s="47"/>
      <c r="L26" s="39"/>
      <c r="M26" s="12"/>
      <c r="N26" s="12"/>
      <c r="O26" s="253">
        <f>O25</f>
        <v>0</v>
      </c>
      <c r="P26" s="14"/>
      <c r="Q26" s="12"/>
      <c r="R26" s="238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1"/>
      <c r="K28" s="47"/>
      <c r="L28" s="14"/>
      <c r="M28" s="12"/>
      <c r="N28" s="12"/>
      <c r="O28" s="46">
        <f>O26+O27</f>
        <v>0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1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</v>
      </c>
      <c r="M30" s="12">
        <v>3500</v>
      </c>
      <c r="N30" s="12">
        <f t="shared" ref="N30:N35" si="3">L30*M30</f>
        <v>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3"/>
        <v>45000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20"/>
      <c r="K33" s="250"/>
      <c r="L33" s="14">
        <v>2</v>
      </c>
      <c r="M33" s="250">
        <v>36500</v>
      </c>
      <c r="N33" s="12">
        <f t="shared" si="3"/>
        <v>73000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20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118000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43180</v>
      </c>
      <c r="K37" s="250"/>
      <c r="L37" s="254" t="s">
        <v>35</v>
      </c>
      <c r="M37" s="12"/>
      <c r="N37" s="255">
        <f>N36*2.5</f>
        <v>295000</v>
      </c>
      <c r="O37" s="14" t="s">
        <v>142</v>
      </c>
      <c r="P37" s="14"/>
      <c r="Q37" s="46">
        <f>O26/Q36</f>
        <v>0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36285.71428571429</v>
      </c>
      <c r="K38" s="250"/>
      <c r="L38" s="14"/>
      <c r="M38" s="12"/>
      <c r="N38" s="12" t="e">
        <f>N37/O26</f>
        <v>#DIV/0!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2.5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45448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10984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-12518.958366787441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198590</v>
      </c>
      <c r="E11" s="132">
        <f>D11*0.19</f>
        <v>37732.1</v>
      </c>
      <c r="F11" s="131">
        <f>E11+D11</f>
        <v>236322.1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93471.041633212561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74834.090787439607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75471.041633212561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123755.90921256039</v>
      </c>
      <c r="E13" s="221">
        <f>(D11/D12)-1</f>
        <v>1.6537370590107039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66471.041633212561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27471.041633212561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123476.24979927535</v>
      </c>
      <c r="F15" s="216">
        <f>E15-D12</f>
        <v>48642.159011835742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27471.041633212561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67471.041633212561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45000</v>
      </c>
      <c r="E21" s="116">
        <f>SUM(E18:E20)</f>
        <v>8550</v>
      </c>
      <c r="F21" s="115">
        <f>SUM(F18:F20)</f>
        <v>53550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29182.1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198590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45000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123755.90921256039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123755.90921256039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2024-06-05T16:32:46Z</dcterms:modified>
</cp:coreProperties>
</file>