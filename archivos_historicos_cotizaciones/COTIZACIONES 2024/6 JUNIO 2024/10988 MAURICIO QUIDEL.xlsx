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D89C145F-E541-49CF-A1FC-CC8B95AA3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21" i="1"/>
  <c r="K22" i="1"/>
  <c r="K23" i="1"/>
  <c r="K24" i="1"/>
  <c r="K25" i="1"/>
  <c r="K26" i="1"/>
  <c r="K27" i="1"/>
  <c r="K28" i="1"/>
  <c r="K29" i="1"/>
  <c r="K30" i="1"/>
  <c r="K21" i="1"/>
  <c r="L29" i="1"/>
  <c r="M29" i="1"/>
  <c r="L30" i="1"/>
  <c r="M30" i="1"/>
  <c r="M28" i="1"/>
  <c r="L28" i="1"/>
  <c r="L25" i="1"/>
  <c r="M25" i="1"/>
  <c r="L26" i="1"/>
  <c r="M26" i="1"/>
  <c r="L27" i="1"/>
  <c r="M27" i="1"/>
  <c r="N29" i="1" l="1"/>
  <c r="O29" i="1" s="1"/>
  <c r="N27" i="1"/>
  <c r="O27" i="1" s="1"/>
  <c r="N25" i="1"/>
  <c r="O25" i="1" s="1"/>
  <c r="N30" i="1"/>
  <c r="O30" i="1" s="1"/>
  <c r="N28" i="1"/>
  <c r="O28" i="1" s="1"/>
  <c r="N26" i="1"/>
  <c r="O26" i="1" s="1"/>
  <c r="H25" i="1" l="1"/>
  <c r="H26" i="1"/>
  <c r="H27" i="1"/>
  <c r="H28" i="1"/>
  <c r="H29" i="1"/>
  <c r="H30" i="1"/>
  <c r="L22" i="1"/>
  <c r="M22" i="1"/>
  <c r="L23" i="1"/>
  <c r="M23" i="1"/>
  <c r="L24" i="1"/>
  <c r="M24" i="1"/>
  <c r="H22" i="1"/>
  <c r="H23" i="1"/>
  <c r="H24" i="1"/>
  <c r="R22" i="1" l="1"/>
  <c r="N22" i="1"/>
  <c r="O22" i="1" s="1"/>
  <c r="N24" i="1"/>
  <c r="O24" i="1" s="1"/>
  <c r="N23" i="1"/>
  <c r="O23" i="1" s="1"/>
  <c r="R24" i="1"/>
  <c r="R23" i="1"/>
  <c r="L21" i="1"/>
  <c r="L35" i="1" s="1"/>
  <c r="M21" i="1"/>
  <c r="R21" i="1" l="1"/>
  <c r="N21" i="1"/>
  <c r="O21" i="1" s="1"/>
  <c r="O36" i="1" s="1"/>
  <c r="J49" i="1" l="1"/>
  <c r="N42" i="1" l="1"/>
  <c r="O37" i="1" l="1"/>
  <c r="O38" i="1" s="1"/>
  <c r="O39" i="1" s="1"/>
  <c r="S54" i="1"/>
  <c r="M20" i="1" l="1"/>
  <c r="K20" i="1"/>
  <c r="N43" i="1" l="1"/>
  <c r="Q47" i="1"/>
  <c r="Q48" i="1" s="1"/>
  <c r="N44" i="1" l="1"/>
  <c r="S47" i="1" l="1"/>
  <c r="S4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6" i="1"/>
  <c r="N45" i="1"/>
  <c r="F18" i="3" l="1"/>
  <c r="L41" i="1" l="1"/>
  <c r="N41" i="1" l="1"/>
  <c r="N47" i="1" s="1"/>
  <c r="N48" i="1" s="1"/>
  <c r="S55" i="1"/>
  <c r="D20" i="3" l="1"/>
  <c r="E20" i="3" s="1"/>
  <c r="E21" i="3" s="1"/>
  <c r="N50" i="1" l="1"/>
  <c r="D21" i="3"/>
  <c r="M43" i="3" s="1"/>
  <c r="D12" i="3" s="1"/>
  <c r="F20" i="3"/>
  <c r="F21" i="3" s="1"/>
  <c r="N49" i="1" l="1"/>
  <c r="P20" i="1" s="1"/>
  <c r="E15" i="3"/>
  <c r="P28" i="1" l="1"/>
  <c r="Q28" i="1" s="1"/>
  <c r="P30" i="1"/>
  <c r="Q30" i="1" s="1"/>
  <c r="P29" i="1"/>
  <c r="Q29" i="1" s="1"/>
  <c r="P26" i="1"/>
  <c r="Q26" i="1" s="1"/>
  <c r="P25" i="1"/>
  <c r="Q25" i="1" s="1"/>
  <c r="P27" i="1"/>
  <c r="Q27" i="1" s="1"/>
  <c r="P22" i="1"/>
  <c r="Q22" i="1" s="1"/>
  <c r="P23" i="1"/>
  <c r="Q23" i="1" s="1"/>
  <c r="P24" i="1"/>
  <c r="Q24" i="1" s="1"/>
  <c r="P21" i="1"/>
  <c r="F15" i="3"/>
  <c r="Q21" i="1" l="1"/>
  <c r="H33" i="1" s="1"/>
  <c r="R37" i="1"/>
  <c r="K15" i="1" l="1"/>
  <c r="H3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<sst xmlns="http://schemas.openxmlformats.org/spreadsheetml/2006/main" count="237" uniqueCount="164">
  <si>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</si>
  <si>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</si>
  <si>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</si>
  <si>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</si>
  <si>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</si>
  <si>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</si>
  <si>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</si>
  <si>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</si>
  <si>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</si>
  <si>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</si>
  <si>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</si>
  <si>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</si>
  <si>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</si>
  <si>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</si>
  <si>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</si>
  <si>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</si>
  <si>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</si>
  <si>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</si>
  <si>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</si>
  <si>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</si>
  <si>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</si>
  <si>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</si>
  <si>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</si>
  <si>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</si>
  <si>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</si>
  <si>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</si>
  <si>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</si>
  <si>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</si>
  <si>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</si>
  <si>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</si>
  <si>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</si>
  <si>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</si>
  <si>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</si>
  <si>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</si>
  <si>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</si>
  <si>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</si>
  <si>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</si>
  <si>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</si>
  <si>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</si>
  <si>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</si>
  <si>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</si>
  <si>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</si>
  <si>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</si>
  <si>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</si>
  <si>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</si>
  <si>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</si>
  <si>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</si>
  <si>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</si>
  <si>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</si>
  <si>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</si>
  <si>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</si>
  <si>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</si>
  <si>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</si>
  <si>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</si>
  <si>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</si>
  <si>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</si>
  <si>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</si>
  <si>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</si>
  <si>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</si>
  <si>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</si>
  <si>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</si>
  <si>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</si>
  <si>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</si>
  <si>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</si>
  <si>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</si>
  <si>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</si>
  <si>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</si>
  <si>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</si>
  <si>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</si>
  <si>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</si>
  <si>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</si>
  <si>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</si>
  <si>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</si>
  <si>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</si>
  <si>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</si>
  <si>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</si>
  <si>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</si>
  <si>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</si>
  <si>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</si>
  <si>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</si>
  <si>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</si>
  <si>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</si>
  <si>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</si>
  <si>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</si>
  <si>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</si>
  <si>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</si>
  <si>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</si>
  <si>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</si>
  <si>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</si>
  <si>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</si>
  <si>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</si>
  <si>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</si>
  <si>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</si>
  <si>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</si>
  <si>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</si>
  <si>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</si>
  <si>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</si>
  <si>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</si>
  <si>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</si>
  <si>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</si>
  <si>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</si>
  <si>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</si>
  <si>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</si>
  <si>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</si>
  <si>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</si>
  <si>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</si>
  <si>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</si>
  <si>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</si>
  <si>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</si>
  <si>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</si>
  <si>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</si>
  <si>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</si>
  <si>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</si>
  <si>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</si>
  <si>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</si>
  <si>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</si>
  <si>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</si>
  <si>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</si>
  <si>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</si>
  <si>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</si>
  <si>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</si>
  <si>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</si>
  <si>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</si>
  <si>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</si>
  <si>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</si>
  <si>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</si>
  <si>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</si>
  <si>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</si>
  <si>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</si>
  <si>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</si>
  <si>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</si>
  <si>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</si>
  <si>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</si>
  <si>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</si>
  <si>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</si>
  <si>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</si>
  <si>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</si>
  <si>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</si>
  <si>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</si>
  <si>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</si>
  <si>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</si>
  <si>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</si>
  <si>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</si>
  <si>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</si>
  <si>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</si>
  <si>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</si>
  <si>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</si>
  <si>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</si>
  <si>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</si>
  <si>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</si>
  <si>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</si>
  <si>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</si>
  <si>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</si>
  <si>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</si>
  <si>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</si>
  <si>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</si>
  <si>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</si>
  <si>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</si>
  <si>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7 DIAS HABILES</t>
  </si>
  <si>
    <t>RENE AGUIRRE</t>
  </si>
  <si>
    <t>PR6</t>
  </si>
  <si>
    <t>WINTER SAMSARA MAPLE 14689 SF</t>
  </si>
  <si>
    <t>SANTIAGO</t>
  </si>
  <si>
    <t>N° 10988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</si>
</sst>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1" fontId="5" fillId="2" borderId="0" xfId="4" applyFont="1" applyFill="1" applyBorder="1" applyAlignment="1">
      <alignment horizontal="center"/>
    </xf>
    <xf numFmtId="167" fontId="5" fillId="0" borderId="0" xfId="2" applyNumberFormat="1" applyFont="1" applyFill="1" applyBorder="1"/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20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36</xdr:row>
      <xdr:rowOff>5249</xdr:rowOff>
    </xdr:from>
    <xdr:to>
      <xdr:col>8</xdr:col>
      <xdr:colOff>7776</xdr:colOff>
      <xdr:row>39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36</xdr:row>
      <xdr:rowOff>9525</xdr:rowOff>
    </xdr:from>
    <xdr:to>
      <xdr:col>5</xdr:col>
      <xdr:colOff>1679511</xdr:colOff>
      <xdr:row>39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31</xdr:row>
      <xdr:rowOff>225489</xdr:rowOff>
    </xdr:from>
    <xdr:to>
      <xdr:col>5</xdr:col>
      <xdr:colOff>1656183</xdr:colOff>
      <xdr:row>35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SE ENTREGAN CORTADAS A LA MEDIDA Y ENCHAPADAS CON TAPACANTO PVC 0,4MM LO</a:t>
          </a:r>
          <a:r>
            <a:rPr lang="es-CL" sz="1200" b="1" baseline="0"/>
            <a:t> MAS PARECIDO AL COLOR DE LA LAMINA.</a:t>
          </a:r>
        </a:p>
        <a:p>
          <a:pPr algn="l"/>
          <a:endParaRPr lang="es-CL" sz="1200" b="1" baseline="0"/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2"/>
  <sheetViews>
    <sheetView tabSelected="1" topLeftCell="A5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5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45453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157</v>
      </c>
      <c r="D15" s="294"/>
      <c r="E15" s="247"/>
      <c r="F15" s="247" t="s">
        <v>136</v>
      </c>
      <c r="G15" s="295" t="s">
        <v>137</v>
      </c>
      <c r="H15" s="248"/>
      <c r="K15" s="18">
        <f>H33/L13</f>
        <v>22714.432989690722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162</v>
      </c>
      <c r="D17" s="298"/>
      <c r="E17" s="299"/>
      <c r="F17" s="326" t="s">
        <v>153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8" t="s">
        <v>148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N49</f>
        <v>90768.528835659992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2</v>
      </c>
      <c r="C21" s="321" t="s">
        <v>160</v>
      </c>
      <c r="D21" s="322">
        <v>0.68799999999999994</v>
      </c>
      <c r="E21" s="322">
        <v>0.43</v>
      </c>
      <c r="F21" s="321" t="s">
        <v>161</v>
      </c>
      <c r="G21" s="325">
        <v>31804</v>
      </c>
      <c r="H21" s="325">
        <f t="shared" ref="H21:H24" si="1">G21*B21</f>
        <v>63608</v>
      </c>
      <c r="I21" s="265"/>
      <c r="J21" s="47"/>
      <c r="K21" s="47">
        <f>B21</f>
        <v>2</v>
      </c>
      <c r="L21" s="39">
        <f t="shared" ref="L21" si="2">D21+L$19</f>
        <v>0.73799999999999999</v>
      </c>
      <c r="M21" s="39">
        <f t="shared" ref="M21" si="3">E21+M$19</f>
        <v>0.43</v>
      </c>
      <c r="N21" s="261">
        <f t="shared" ref="N21" si="4">L21*M21</f>
        <v>0.31734000000000001</v>
      </c>
      <c r="O21" s="259">
        <f t="shared" ref="O21" si="5">N21*K21</f>
        <v>0.63468000000000002</v>
      </c>
      <c r="P21" s="252">
        <f t="shared" ref="P21" si="6">P$20*N21</f>
        <v>28804.484940708342</v>
      </c>
      <c r="Q21" s="323">
        <f t="shared" ref="Q21" si="7">P21+Q$20</f>
        <v>31804.484940708342</v>
      </c>
      <c r="R21" s="307">
        <f t="shared" ref="R21" si="8">K21*L21</f>
        <v>1.476</v>
      </c>
      <c r="S21" s="14"/>
      <c r="T21" s="9"/>
      <c r="W21" s="4"/>
    </row>
    <row r="22" spans="2:24" ht="17.399999999999999" x14ac:dyDescent="0.3">
      <c r="B22" s="320">
        <v>1</v>
      </c>
      <c r="C22" s="321" t="s">
        <v>160</v>
      </c>
      <c r="D22" s="322">
        <v>0.79900000000000004</v>
      </c>
      <c r="E22" s="322">
        <v>0.43</v>
      </c>
      <c r="F22" s="321" t="s">
        <v>161</v>
      </c>
      <c r="G22" s="325">
        <v>36137</v>
      </c>
      <c r="H22" s="325">
        <f t="shared" si="1"/>
        <v>36137</v>
      </c>
      <c r="I22" s="265"/>
      <c r="J22" s="47"/>
      <c r="K22" s="47">
        <f t="shared" ref="K22:K30" si="9">B22</f>
        <v>1</v>
      </c>
      <c r="L22" s="39">
        <f t="shared" ref="L22:L24" si="10">D22+L$19</f>
        <v>0.84900000000000009</v>
      </c>
      <c r="M22" s="39">
        <f t="shared" ref="M22:M24" si="11">E22+M$19</f>
        <v>0.43</v>
      </c>
      <c r="N22" s="261">
        <f t="shared" ref="N22:N24" si="12">L22*M22</f>
        <v>0.36507000000000001</v>
      </c>
      <c r="O22" s="259">
        <f t="shared" ref="O22:O24" si="13">N22*K22</f>
        <v>0.36507000000000001</v>
      </c>
      <c r="P22" s="252">
        <f t="shared" ref="P22:P24" si="14">P$20*N22</f>
        <v>33136.866822034397</v>
      </c>
      <c r="Q22" s="323">
        <f t="shared" ref="Q22:Q24" si="15">P22+Q$20</f>
        <v>36136.866822034397</v>
      </c>
      <c r="R22" s="307">
        <f t="shared" ref="R22:R24" si="16">K22*L22</f>
        <v>0.84900000000000009</v>
      </c>
      <c r="S22" s="14"/>
      <c r="T22" s="9"/>
      <c r="W22" s="4"/>
    </row>
    <row r="23" spans="2:24" ht="17.399999999999999" x14ac:dyDescent="0.3">
      <c r="B23" s="320">
        <v>1</v>
      </c>
      <c r="C23" s="321" t="s">
        <v>160</v>
      </c>
      <c r="D23" s="322">
        <v>0.64200000000000002</v>
      </c>
      <c r="E23" s="322">
        <v>0.43</v>
      </c>
      <c r="F23" s="321" t="s">
        <v>161</v>
      </c>
      <c r="G23" s="325">
        <v>30009</v>
      </c>
      <c r="H23" s="325">
        <f t="shared" si="1"/>
        <v>30009</v>
      </c>
      <c r="I23" s="265"/>
      <c r="J23" s="47"/>
      <c r="K23" s="47">
        <f t="shared" si="9"/>
        <v>1</v>
      </c>
      <c r="L23" s="39">
        <f t="shared" si="10"/>
        <v>0.69200000000000006</v>
      </c>
      <c r="M23" s="39">
        <f t="shared" si="11"/>
        <v>0.43</v>
      </c>
      <c r="N23" s="261">
        <f t="shared" si="12"/>
        <v>0.29756000000000005</v>
      </c>
      <c r="O23" s="259">
        <f t="shared" si="13"/>
        <v>0.29756000000000005</v>
      </c>
      <c r="P23" s="252">
        <f t="shared" si="14"/>
        <v>27009.083440338993</v>
      </c>
      <c r="Q23" s="323">
        <f t="shared" si="15"/>
        <v>30009.083440338993</v>
      </c>
      <c r="R23" s="307">
        <f t="shared" si="16"/>
        <v>0.69200000000000006</v>
      </c>
      <c r="S23" s="14"/>
      <c r="T23" s="9"/>
      <c r="W23" s="4"/>
    </row>
    <row r="24" spans="2:24" ht="17.399999999999999" x14ac:dyDescent="0.3">
      <c r="B24" s="320">
        <v>1</v>
      </c>
      <c r="C24" s="321" t="s">
        <v>160</v>
      </c>
      <c r="D24" s="322">
        <v>0.61799999999999999</v>
      </c>
      <c r="E24" s="322">
        <v>0.43</v>
      </c>
      <c r="F24" s="321" t="s">
        <v>161</v>
      </c>
      <c r="G24" s="325">
        <v>29072</v>
      </c>
      <c r="H24" s="325">
        <f t="shared" si="1"/>
        <v>29072</v>
      </c>
      <c r="I24" s="265"/>
      <c r="J24" s="47"/>
      <c r="K24" s="47">
        <f t="shared" si="9"/>
        <v>1</v>
      </c>
      <c r="L24" s="39">
        <f t="shared" si="10"/>
        <v>0.66800000000000004</v>
      </c>
      <c r="M24" s="39">
        <f t="shared" si="11"/>
        <v>0.43</v>
      </c>
      <c r="N24" s="261">
        <f t="shared" si="12"/>
        <v>0.28724</v>
      </c>
      <c r="O24" s="259">
        <f t="shared" si="13"/>
        <v>0.28724</v>
      </c>
      <c r="P24" s="252">
        <f t="shared" si="14"/>
        <v>26072.352222754977</v>
      </c>
      <c r="Q24" s="323">
        <f t="shared" si="15"/>
        <v>29072.352222754977</v>
      </c>
      <c r="R24" s="307">
        <f t="shared" si="16"/>
        <v>0.66800000000000004</v>
      </c>
      <c r="S24" s="14"/>
      <c r="T24" s="9"/>
      <c r="W24" s="4"/>
    </row>
    <row r="25" spans="2:24" ht="17.399999999999999" x14ac:dyDescent="0.3">
      <c r="B25" s="320">
        <v>2</v>
      </c>
      <c r="C25" s="321" t="s">
        <v>160</v>
      </c>
      <c r="D25" s="322">
        <v>1.6180000000000001</v>
      </c>
      <c r="E25" s="322">
        <v>0.34200000000000003</v>
      </c>
      <c r="F25" s="321" t="s">
        <v>161</v>
      </c>
      <c r="G25" s="325">
        <v>54779</v>
      </c>
      <c r="H25" s="325">
        <f t="shared" ref="H25:H30" si="17">G25*B25</f>
        <v>109558</v>
      </c>
      <c r="I25" s="265"/>
      <c r="J25" s="47"/>
      <c r="K25" s="338">
        <f t="shared" si="9"/>
        <v>2</v>
      </c>
      <c r="L25" s="39">
        <f t="shared" ref="L25:L28" si="18">D25+L$19</f>
        <v>1.6680000000000001</v>
      </c>
      <c r="M25" s="39">
        <f t="shared" ref="M25:M28" si="19">E25+M$19</f>
        <v>0.34200000000000003</v>
      </c>
      <c r="N25" s="261">
        <f t="shared" ref="N25:N28" si="20">L25*M25</f>
        <v>0.57045600000000007</v>
      </c>
      <c r="O25" s="259">
        <f t="shared" ref="O25:O30" si="21">N25*K25</f>
        <v>1.1409120000000001</v>
      </c>
      <c r="P25" s="252">
        <f t="shared" ref="P25:P28" si="22">P$20*N25</f>
        <v>51779.45188547526</v>
      </c>
      <c r="Q25" s="323">
        <f t="shared" ref="Q25:Q28" si="23">P25+Q$20</f>
        <v>54779.45188547526</v>
      </c>
      <c r="R25" s="307"/>
      <c r="S25" s="14"/>
      <c r="T25" s="9"/>
      <c r="W25" s="4"/>
    </row>
    <row r="26" spans="2:24" ht="17.399999999999999" x14ac:dyDescent="0.3">
      <c r="B26" s="320">
        <v>2</v>
      </c>
      <c r="C26" s="321" t="s">
        <v>160</v>
      </c>
      <c r="D26" s="322">
        <v>1.6180000000000001</v>
      </c>
      <c r="E26" s="322">
        <v>0.34300000000000003</v>
      </c>
      <c r="F26" s="321" t="s">
        <v>161</v>
      </c>
      <c r="G26" s="325">
        <v>54931</v>
      </c>
      <c r="H26" s="325">
        <f t="shared" si="17"/>
        <v>109862</v>
      </c>
      <c r="I26" s="265"/>
      <c r="J26" s="47"/>
      <c r="K26" s="338">
        <f t="shared" si="9"/>
        <v>2</v>
      </c>
      <c r="L26" s="39">
        <f t="shared" si="18"/>
        <v>1.6680000000000001</v>
      </c>
      <c r="M26" s="39">
        <f t="shared" si="19"/>
        <v>0.34300000000000003</v>
      </c>
      <c r="N26" s="261">
        <f t="shared" si="20"/>
        <v>0.57212400000000008</v>
      </c>
      <c r="O26" s="259">
        <f t="shared" si="21"/>
        <v>1.1442480000000002</v>
      </c>
      <c r="P26" s="252">
        <f t="shared" si="22"/>
        <v>51930.853791573143</v>
      </c>
      <c r="Q26" s="323">
        <f t="shared" si="23"/>
        <v>54930.853791573143</v>
      </c>
      <c r="R26" s="307"/>
      <c r="S26" s="14"/>
      <c r="T26" s="9"/>
      <c r="W26" s="4"/>
    </row>
    <row r="27" spans="2:24" ht="17.399999999999999" x14ac:dyDescent="0.3">
      <c r="B27" s="320">
        <v>2</v>
      </c>
      <c r="C27" s="321" t="s">
        <v>160</v>
      </c>
      <c r="D27" s="322">
        <v>1.6180000000000001</v>
      </c>
      <c r="E27" s="322">
        <v>0.39800000000000002</v>
      </c>
      <c r="F27" s="321" t="s">
        <v>161</v>
      </c>
      <c r="G27" s="325">
        <v>63258</v>
      </c>
      <c r="H27" s="325">
        <f t="shared" si="17"/>
        <v>126516</v>
      </c>
      <c r="I27" s="265"/>
      <c r="J27" s="47">
        <v>5</v>
      </c>
      <c r="K27" s="338">
        <f t="shared" si="9"/>
        <v>2</v>
      </c>
      <c r="L27" s="39">
        <f t="shared" si="18"/>
        <v>1.6680000000000001</v>
      </c>
      <c r="M27" s="39">
        <f t="shared" si="19"/>
        <v>0.39800000000000002</v>
      </c>
      <c r="N27" s="261">
        <f t="shared" si="20"/>
        <v>0.66386400000000012</v>
      </c>
      <c r="O27" s="259">
        <f t="shared" si="21"/>
        <v>1.3277280000000002</v>
      </c>
      <c r="P27" s="252">
        <f t="shared" si="22"/>
        <v>60257.958626956599</v>
      </c>
      <c r="Q27" s="323">
        <f t="shared" si="23"/>
        <v>63257.958626956599</v>
      </c>
      <c r="R27" s="307"/>
      <c r="S27" s="14"/>
      <c r="T27" s="9"/>
      <c r="W27" s="4"/>
    </row>
    <row r="28" spans="2:24" ht="17.399999999999999" x14ac:dyDescent="0.3">
      <c r="B28" s="320">
        <v>2</v>
      </c>
      <c r="C28" s="321" t="s">
        <v>160</v>
      </c>
      <c r="D28" s="322">
        <v>1.6180000000000001</v>
      </c>
      <c r="E28" s="322">
        <v>0.32</v>
      </c>
      <c r="F28" s="321" t="s">
        <v>161</v>
      </c>
      <c r="G28" s="325">
        <v>51449</v>
      </c>
      <c r="H28" s="325">
        <f t="shared" si="17"/>
        <v>102898</v>
      </c>
      <c r="I28" s="265"/>
      <c r="J28" s="47"/>
      <c r="K28" s="338">
        <f t="shared" si="9"/>
        <v>2</v>
      </c>
      <c r="L28" s="39">
        <f t="shared" si="18"/>
        <v>1.6680000000000001</v>
      </c>
      <c r="M28" s="39">
        <f t="shared" si="19"/>
        <v>0.32</v>
      </c>
      <c r="N28" s="261">
        <f t="shared" si="20"/>
        <v>0.53376000000000001</v>
      </c>
      <c r="O28" s="259">
        <f t="shared" si="21"/>
        <v>1.06752</v>
      </c>
      <c r="P28" s="252">
        <f t="shared" si="22"/>
        <v>48448.60995132188</v>
      </c>
      <c r="Q28" s="323">
        <f t="shared" si="23"/>
        <v>51448.60995132188</v>
      </c>
      <c r="R28" s="307"/>
      <c r="S28" s="14"/>
      <c r="T28" s="9"/>
      <c r="W28" s="4"/>
    </row>
    <row r="29" spans="2:24" ht="17.399999999999999" x14ac:dyDescent="0.3">
      <c r="B29" s="320">
        <v>2</v>
      </c>
      <c r="C29" s="321" t="s">
        <v>160</v>
      </c>
      <c r="D29" s="322">
        <v>1.6180000000000001</v>
      </c>
      <c r="E29" s="322">
        <v>0.308</v>
      </c>
      <c r="F29" s="321" t="s">
        <v>161</v>
      </c>
      <c r="G29" s="325">
        <v>49632</v>
      </c>
      <c r="H29" s="325">
        <f t="shared" si="17"/>
        <v>99264</v>
      </c>
      <c r="I29" s="265"/>
      <c r="J29" s="47"/>
      <c r="K29" s="338">
        <f t="shared" si="9"/>
        <v>2</v>
      </c>
      <c r="L29" s="39">
        <f t="shared" ref="L29:L30" si="24">D29+L$19</f>
        <v>1.6680000000000001</v>
      </c>
      <c r="M29" s="39">
        <f t="shared" ref="M29:M30" si="25">E29+M$19</f>
        <v>0.308</v>
      </c>
      <c r="N29" s="261">
        <f t="shared" ref="N29" si="26">L29*M29</f>
        <v>0.51374400000000009</v>
      </c>
      <c r="O29" s="259">
        <f t="shared" si="21"/>
        <v>1.0274880000000002</v>
      </c>
      <c r="P29" s="252">
        <f t="shared" ref="P29:P30" si="27">P$20*N29</f>
        <v>46631.787078147318</v>
      </c>
      <c r="Q29" s="323">
        <f t="shared" ref="Q29:Q30" si="28">P29+Q$20</f>
        <v>49631.787078147318</v>
      </c>
      <c r="R29" s="307"/>
      <c r="S29" s="14"/>
      <c r="T29" s="9"/>
      <c r="W29" s="4"/>
    </row>
    <row r="30" spans="2:24" ht="17.399999999999999" x14ac:dyDescent="0.3">
      <c r="B30" s="320">
        <v>1</v>
      </c>
      <c r="C30" s="321" t="s">
        <v>160</v>
      </c>
      <c r="D30" s="322">
        <v>1.3080000000000001</v>
      </c>
      <c r="E30" s="322">
        <v>0.318</v>
      </c>
      <c r="F30" s="321" t="s">
        <v>161</v>
      </c>
      <c r="G30" s="325">
        <v>42198</v>
      </c>
      <c r="H30" s="325">
        <f t="shared" si="17"/>
        <v>42198</v>
      </c>
      <c r="I30" s="265"/>
      <c r="J30" s="47"/>
      <c r="K30" s="338">
        <f t="shared" si="9"/>
        <v>1</v>
      </c>
      <c r="L30" s="39">
        <f t="shared" si="24"/>
        <v>1.3580000000000001</v>
      </c>
      <c r="M30" s="39">
        <f t="shared" si="25"/>
        <v>0.318</v>
      </c>
      <c r="N30" s="261">
        <f t="shared" ref="N30" si="29">L30*M30</f>
        <v>0.43184400000000006</v>
      </c>
      <c r="O30" s="259">
        <f t="shared" si="21"/>
        <v>0.43184400000000006</v>
      </c>
      <c r="P30" s="252">
        <f t="shared" si="27"/>
        <v>39197.844566506756</v>
      </c>
      <c r="Q30" s="323">
        <f t="shared" si="28"/>
        <v>42197.844566506756</v>
      </c>
      <c r="R30" s="307"/>
      <c r="S30" s="14"/>
      <c r="T30" s="9"/>
      <c r="W30" s="4"/>
    </row>
    <row r="31" spans="2:24" ht="17.399999999999999" x14ac:dyDescent="0.3">
      <c r="B31" s="285"/>
      <c r="C31" s="319"/>
      <c r="D31" s="286"/>
      <c r="E31" s="286"/>
      <c r="F31" s="285"/>
      <c r="G31" s="318"/>
      <c r="H31" s="318"/>
      <c r="I31" s="265"/>
      <c r="J31" s="47"/>
      <c r="K31" s="47"/>
      <c r="L31" s="39"/>
      <c r="M31" s="39"/>
      <c r="N31" s="261"/>
      <c r="O31" s="259"/>
      <c r="P31" s="252"/>
      <c r="Q31" s="323"/>
      <c r="R31" s="307"/>
      <c r="S31" s="14"/>
      <c r="T31" s="9"/>
      <c r="W31" s="4"/>
    </row>
    <row r="32" spans="2:24" ht="18" thickBot="1" x14ac:dyDescent="0.35">
      <c r="B32" s="285"/>
      <c r="C32" s="285"/>
      <c r="D32" s="286"/>
      <c r="E32" s="286"/>
      <c r="F32" s="285"/>
      <c r="G32" s="318"/>
      <c r="H32" s="318"/>
      <c r="I32" s="232"/>
      <c r="J32" s="47"/>
      <c r="K32" s="47"/>
      <c r="L32" s="39"/>
      <c r="M32" s="39"/>
      <c r="N32" s="261"/>
      <c r="O32" s="259"/>
      <c r="P32" s="252"/>
      <c r="Q32" s="323"/>
      <c r="R32" s="307"/>
      <c r="S32" s="14"/>
      <c r="T32" s="9"/>
      <c r="W32" s="4"/>
    </row>
    <row r="33" spans="1:23" ht="17.399999999999999" x14ac:dyDescent="0.3">
      <c r="B33" s="285"/>
      <c r="C33" s="285"/>
      <c r="D33" s="286"/>
      <c r="E33" s="286"/>
      <c r="F33" s="285"/>
      <c r="G33" s="308" t="s">
        <v>30</v>
      </c>
      <c r="H33" s="309">
        <f>SUM(H21:H30)</f>
        <v>749122</v>
      </c>
      <c r="I33" s="232"/>
      <c r="J33" s="47"/>
      <c r="K33" s="47"/>
      <c r="L33" s="39"/>
      <c r="M33" s="39"/>
      <c r="N33" s="261"/>
      <c r="O33" s="259"/>
      <c r="P33" s="252"/>
      <c r="Q33" s="323"/>
      <c r="R33" s="307"/>
      <c r="S33" s="14"/>
      <c r="T33" s="9"/>
      <c r="W33" s="4"/>
    </row>
    <row r="34" spans="1:23" ht="17.399999999999999" x14ac:dyDescent="0.3">
      <c r="B34" s="279"/>
      <c r="C34" s="282"/>
      <c r="D34" s="283"/>
      <c r="E34" s="283"/>
      <c r="F34" s="284"/>
      <c r="G34" s="306" t="s">
        <v>53</v>
      </c>
      <c r="H34" s="303">
        <f>H33*19%</f>
        <v>142333.18</v>
      </c>
      <c r="I34" s="232"/>
      <c r="J34" s="47"/>
      <c r="K34" s="47"/>
      <c r="L34" s="39"/>
      <c r="M34" s="39"/>
      <c r="N34" s="261"/>
      <c r="O34" s="259"/>
      <c r="P34" s="252"/>
      <c r="Q34" s="323"/>
      <c r="R34" s="307"/>
      <c r="S34" s="14"/>
      <c r="T34" s="9"/>
      <c r="W34" s="4"/>
    </row>
    <row r="35" spans="1:23" ht="18" thickBot="1" x14ac:dyDescent="0.35">
      <c r="B35" s="275"/>
      <c r="C35" s="281"/>
      <c r="D35" s="272"/>
      <c r="E35" s="272"/>
      <c r="F35" s="273"/>
      <c r="G35" s="280" t="s">
        <v>6</v>
      </c>
      <c r="H35" s="304">
        <f>H33+H34</f>
        <v>891455.17999999993</v>
      </c>
      <c r="I35" s="265"/>
      <c r="J35" s="47"/>
      <c r="K35" s="47"/>
      <c r="L35" s="39">
        <f>SUM(L21:L21)*2</f>
        <v>1.476</v>
      </c>
      <c r="M35" s="39"/>
      <c r="N35" s="261"/>
      <c r="O35" s="259"/>
      <c r="P35" s="252"/>
      <c r="Q35" s="323"/>
      <c r="R35" s="307"/>
      <c r="S35" s="14"/>
      <c r="T35" s="9"/>
      <c r="W35" s="4"/>
    </row>
    <row r="36" spans="1:23" ht="17.399999999999999" x14ac:dyDescent="0.3">
      <c r="B36" s="275"/>
      <c r="C36" s="271"/>
      <c r="D36" s="272"/>
      <c r="E36" s="272"/>
      <c r="F36" s="273"/>
      <c r="I36" s="265"/>
      <c r="J36" s="47"/>
      <c r="K36" s="47"/>
      <c r="L36" s="39"/>
      <c r="M36" s="12"/>
      <c r="N36" s="12"/>
      <c r="O36" s="253">
        <f>SUM(O21:O32)</f>
        <v>7.7242900000000008</v>
      </c>
      <c r="P36" s="14"/>
      <c r="Q36" s="324"/>
      <c r="R36" s="238"/>
      <c r="S36" s="14"/>
      <c r="T36" s="9"/>
      <c r="W36" s="4"/>
    </row>
    <row r="37" spans="1:23" ht="17.399999999999999" x14ac:dyDescent="0.35">
      <c r="B37" s="269"/>
      <c r="C37" s="230"/>
      <c r="D37" s="230"/>
      <c r="E37" s="232"/>
      <c r="F37" s="233"/>
      <c r="G37" s="230"/>
      <c r="H37" s="274"/>
      <c r="I37" s="265"/>
      <c r="J37" s="47"/>
      <c r="K37" s="47"/>
      <c r="L37" s="39"/>
      <c r="M37" s="12"/>
      <c r="N37" s="12"/>
      <c r="O37" s="253">
        <f>O36</f>
        <v>7.7242900000000008</v>
      </c>
      <c r="P37" s="14"/>
      <c r="Q37" s="324"/>
      <c r="R37" s="238">
        <f>SUM(R21:R36)</f>
        <v>3.6850000000000005</v>
      </c>
      <c r="S37" s="14"/>
      <c r="T37" s="9"/>
      <c r="W37" s="4"/>
    </row>
    <row r="38" spans="1:23" ht="17.399999999999999" x14ac:dyDescent="0.35">
      <c r="B38" s="234"/>
      <c r="C38" s="235"/>
      <c r="D38" s="236"/>
      <c r="E38" s="234"/>
      <c r="F38" s="230"/>
      <c r="G38" s="230"/>
      <c r="I38" s="265"/>
      <c r="J38" s="47"/>
      <c r="K38" s="47"/>
      <c r="L38" s="14"/>
      <c r="M38" s="12"/>
      <c r="N38" s="12"/>
      <c r="O38" s="39">
        <f>O37*0.2</f>
        <v>1.5448580000000003</v>
      </c>
      <c r="P38" s="39" t="s">
        <v>132</v>
      </c>
      <c r="Q38" s="42"/>
      <c r="R38" s="239"/>
      <c r="S38" s="14"/>
      <c r="T38" s="9"/>
      <c r="W38" s="4"/>
    </row>
    <row r="39" spans="1:23" ht="17.399999999999999" x14ac:dyDescent="0.35">
      <c r="B39" s="230"/>
      <c r="C39" s="230"/>
      <c r="D39" s="230"/>
      <c r="E39" s="230"/>
      <c r="F39" s="230"/>
      <c r="G39" s="230"/>
      <c r="I39" s="265"/>
      <c r="J39" s="312"/>
      <c r="K39" s="47"/>
      <c r="L39" s="14"/>
      <c r="M39" s="12"/>
      <c r="N39" s="12"/>
      <c r="O39" s="46">
        <f>O37+O38</f>
        <v>9.2691480000000013</v>
      </c>
      <c r="P39" s="14"/>
      <c r="Q39" s="14"/>
      <c r="R39" s="237">
        <v>40</v>
      </c>
      <c r="S39" s="14"/>
      <c r="T39" s="9"/>
      <c r="W39" s="4"/>
    </row>
    <row r="40" spans="1:23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312"/>
      <c r="K40" s="47"/>
      <c r="L40" s="14"/>
      <c r="M40" s="14"/>
      <c r="N40" s="14"/>
      <c r="O40" s="14"/>
      <c r="P40" s="14"/>
      <c r="Q40" s="14"/>
      <c r="R40" s="237"/>
      <c r="S40" s="14"/>
      <c r="T40" s="9"/>
      <c r="W40" s="4"/>
    </row>
    <row r="41" spans="1:23" ht="17.399999999999999" x14ac:dyDescent="0.35">
      <c r="A41" s="230"/>
      <c r="B41" s="24" t="s">
        <v>154</v>
      </c>
      <c r="C41" s="230"/>
      <c r="D41" s="230"/>
      <c r="E41" s="230"/>
      <c r="F41" s="230"/>
      <c r="G41" s="230"/>
      <c r="H41" s="230"/>
      <c r="I41" s="265"/>
      <c r="J41" s="47"/>
      <c r="K41" s="47"/>
      <c r="L41" s="39">
        <f>O39</f>
        <v>9.2691480000000013</v>
      </c>
      <c r="M41" s="12">
        <v>3500</v>
      </c>
      <c r="N41" s="12">
        <f t="shared" ref="N41:N46" si="30">L41*M41</f>
        <v>32442.018000000004</v>
      </c>
      <c r="O41" s="14" t="s">
        <v>22</v>
      </c>
      <c r="P41" s="14" t="s">
        <v>23</v>
      </c>
      <c r="Q41" s="14"/>
      <c r="R41" s="240"/>
      <c r="S41" s="14"/>
      <c r="T41" s="9"/>
      <c r="W41" s="4"/>
    </row>
    <row r="42" spans="1:23" ht="17.399999999999999" x14ac:dyDescent="0.35">
      <c r="A42" s="230"/>
      <c r="B42" s="24" t="s">
        <v>155</v>
      </c>
      <c r="G42" s="230"/>
      <c r="H42" s="230"/>
      <c r="I42" s="265"/>
      <c r="J42" s="47"/>
      <c r="K42" s="47"/>
      <c r="L42" s="249">
        <v>2.5</v>
      </c>
      <c r="M42" s="12">
        <v>43500</v>
      </c>
      <c r="N42" s="12">
        <f t="shared" si="30"/>
        <v>108750</v>
      </c>
      <c r="O42" s="39" t="s">
        <v>152</v>
      </c>
      <c r="P42" s="42"/>
      <c r="Q42" s="14"/>
      <c r="R42" s="239"/>
      <c r="S42" s="14"/>
      <c r="T42" s="9"/>
      <c r="W42" s="4"/>
    </row>
    <row r="43" spans="1:23" s="230" customFormat="1" ht="17.399999999999999" x14ac:dyDescent="0.35">
      <c r="B43" s="29" t="s">
        <v>127</v>
      </c>
      <c r="C43"/>
      <c r="D43"/>
      <c r="E43"/>
      <c r="F43" s="229" t="s">
        <v>16</v>
      </c>
      <c r="I43" s="262"/>
      <c r="J43" s="47"/>
      <c r="K43" s="250"/>
      <c r="L43" s="14"/>
      <c r="M43" s="250">
        <v>23500</v>
      </c>
      <c r="N43" s="12">
        <f t="shared" si="30"/>
        <v>0</v>
      </c>
      <c r="O43" s="39" t="s">
        <v>32</v>
      </c>
      <c r="P43" s="42"/>
      <c r="R43" s="239"/>
      <c r="S43" s="256"/>
      <c r="V43" s="231"/>
    </row>
    <row r="44" spans="1:23" s="230" customFormat="1" ht="17.399999999999999" x14ac:dyDescent="0.35">
      <c r="I44" s="262"/>
      <c r="J44" s="311"/>
      <c r="K44" s="250"/>
      <c r="L44" s="14">
        <v>5</v>
      </c>
      <c r="M44" s="250">
        <v>35500</v>
      </c>
      <c r="N44" s="12">
        <f t="shared" si="30"/>
        <v>177500</v>
      </c>
      <c r="O44" s="14" t="s">
        <v>143</v>
      </c>
      <c r="P44" s="17"/>
      <c r="R44" s="237"/>
      <c r="S44" s="256"/>
      <c r="V44" s="231"/>
    </row>
    <row r="45" spans="1:23" s="230" customFormat="1" ht="17.399999999999999" x14ac:dyDescent="0.35">
      <c r="I45" s="262"/>
      <c r="J45" s="311"/>
      <c r="K45" s="250"/>
      <c r="L45" s="249"/>
      <c r="M45" s="250">
        <v>800</v>
      </c>
      <c r="N45" s="12">
        <f t="shared" si="30"/>
        <v>0</v>
      </c>
      <c r="O45" s="14" t="s">
        <v>34</v>
      </c>
      <c r="P45" s="14"/>
      <c r="Q45" s="230">
        <v>1.52</v>
      </c>
      <c r="R45" s="237"/>
      <c r="S45" s="237"/>
    </row>
    <row r="46" spans="1:23" s="230" customFormat="1" ht="17.399999999999999" x14ac:dyDescent="0.35">
      <c r="I46" s="302"/>
      <c r="J46" s="47"/>
      <c r="K46" s="250"/>
      <c r="L46" s="266"/>
      <c r="M46" s="12">
        <v>500</v>
      </c>
      <c r="N46" s="12">
        <f t="shared" si="30"/>
        <v>0</v>
      </c>
      <c r="O46" s="14" t="s">
        <v>24</v>
      </c>
      <c r="P46" s="14"/>
      <c r="Q46">
        <v>2.44</v>
      </c>
      <c r="R46"/>
      <c r="S46" s="237">
        <v>1500</v>
      </c>
      <c r="W46" s="231"/>
    </row>
    <row r="47" spans="1:23" s="230" customFormat="1" ht="17.399999999999999" x14ac:dyDescent="0.35">
      <c r="I47" s="265"/>
      <c r="J47" s="47"/>
      <c r="K47" s="250"/>
      <c r="L47" s="14"/>
      <c r="M47" s="12"/>
      <c r="N47" s="12">
        <f>SUM(N41:N46)</f>
        <v>318692.01800000004</v>
      </c>
      <c r="O47" s="39" t="s">
        <v>25</v>
      </c>
      <c r="P47" s="14"/>
      <c r="Q47">
        <f>Q45*Q46</f>
        <v>3.7088000000000001</v>
      </c>
      <c r="R47"/>
      <c r="S47" s="237">
        <f>R39*S46</f>
        <v>60000</v>
      </c>
      <c r="W47" s="231"/>
    </row>
    <row r="48" spans="1:23" s="230" customFormat="1" ht="17.399999999999999" x14ac:dyDescent="0.35">
      <c r="J48" s="47">
        <v>88110</v>
      </c>
      <c r="K48" s="250"/>
      <c r="L48" s="254" t="s">
        <v>35</v>
      </c>
      <c r="M48" s="12"/>
      <c r="N48" s="255">
        <f>N47*2.2</f>
        <v>701122.43960000016</v>
      </c>
      <c r="O48" s="14" t="s">
        <v>142</v>
      </c>
      <c r="P48" s="14"/>
      <c r="Q48" s="46">
        <f>O39/Q47</f>
        <v>2.4992310181190684</v>
      </c>
      <c r="R48"/>
      <c r="S48" s="257" t="e">
        <f>S47/#REF!</f>
        <v>#REF!</v>
      </c>
    </row>
    <row r="49" spans="2:19" s="230" customFormat="1" ht="17.399999999999999" x14ac:dyDescent="0.35">
      <c r="G49"/>
      <c r="H49" s="260"/>
      <c r="I49" s="260"/>
      <c r="J49" s="47">
        <f>J48/1.19</f>
        <v>74042.016806722691</v>
      </c>
      <c r="K49" s="250"/>
      <c r="L49" s="14"/>
      <c r="M49" s="12"/>
      <c r="N49" s="12">
        <f>N48/O37</f>
        <v>90768.528835659992</v>
      </c>
      <c r="O49" s="45" t="s">
        <v>26</v>
      </c>
      <c r="P49" s="14"/>
      <c r="Q49" s="14"/>
      <c r="R49"/>
      <c r="S49" s="237"/>
    </row>
    <row r="50" spans="2:19" s="230" customFormat="1" ht="17.399999999999999" x14ac:dyDescent="0.35">
      <c r="G50"/>
      <c r="J50" s="47"/>
      <c r="K50" s="250"/>
      <c r="L50" s="13"/>
      <c r="M50" s="14"/>
      <c r="N50" s="17">
        <f>N48/N47</f>
        <v>2.2000000000000002</v>
      </c>
      <c r="O50" s="15"/>
      <c r="P50"/>
      <c r="Q50"/>
      <c r="R50"/>
      <c r="S50" s="237"/>
    </row>
    <row r="51" spans="2:19" s="230" customFormat="1" ht="17.399999999999999" x14ac:dyDescent="0.35">
      <c r="G51" s="23"/>
      <c r="J51" s="47"/>
      <c r="K51" s="12"/>
      <c r="S51" s="237"/>
    </row>
    <row r="52" spans="2:19" s="230" customFormat="1" ht="17.399999999999999" x14ac:dyDescent="0.35">
      <c r="B52"/>
      <c r="C52" s="228"/>
      <c r="D52" s="22"/>
      <c r="E52" s="22"/>
      <c r="F52" s="21"/>
      <c r="G52" s="23"/>
      <c r="J52" s="47"/>
      <c r="K52" s="12"/>
      <c r="S52" s="237">
        <v>1.83</v>
      </c>
    </row>
    <row r="53" spans="2:19" ht="14.4" customHeight="1" x14ac:dyDescent="0.3">
      <c r="J53" s="47"/>
      <c r="K53" s="12"/>
      <c r="S53">
        <v>2.5</v>
      </c>
    </row>
    <row r="54" spans="2:19" x14ac:dyDescent="0.3">
      <c r="J54" s="47"/>
      <c r="K54" s="250"/>
      <c r="S54">
        <f>S52*S53</f>
        <v>4.5750000000000002</v>
      </c>
    </row>
    <row r="55" spans="2:19" x14ac:dyDescent="0.3">
      <c r="K55" s="250"/>
      <c r="S55" s="270">
        <f>O39/S54</f>
        <v>2.0260432786885247</v>
      </c>
    </row>
    <row r="56" spans="2:19" x14ac:dyDescent="0.3">
      <c r="K56" s="250"/>
    </row>
    <row r="57" spans="2:19" ht="15" customHeight="1" x14ac:dyDescent="0.3"/>
    <row r="59" spans="2:19" x14ac:dyDescent="0.3">
      <c r="N59">
        <v>40935</v>
      </c>
      <c r="O59" t="s">
        <v>17</v>
      </c>
      <c r="P59" t="s">
        <v>28</v>
      </c>
    </row>
    <row r="61" spans="2:19" x14ac:dyDescent="0.3">
      <c r="N61" s="54"/>
      <c r="O61" s="54"/>
    </row>
    <row r="62" spans="2:19" x14ac:dyDescent="0.3">
      <c r="R62" s="18"/>
      <c r="S62" s="18"/>
    </row>
    <row r="63" spans="2:19" x14ac:dyDescent="0.3">
      <c r="R63" s="18"/>
      <c r="S63" s="18"/>
    </row>
    <row r="64" spans="2:19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3" spans="14:19" x14ac:dyDescent="0.3">
      <c r="N73" s="43"/>
    </row>
    <row r="74" spans="14:19" x14ac:dyDescent="0.3">
      <c r="N74" s="43"/>
    </row>
    <row r="75" spans="14:19" x14ac:dyDescent="0.3">
      <c r="N75" s="6"/>
    </row>
    <row r="76" spans="14:19" x14ac:dyDescent="0.3">
      <c r="N76" s="6"/>
    </row>
    <row r="84" spans="3:3" x14ac:dyDescent="0.3">
      <c r="C84" t="s">
        <v>149</v>
      </c>
    </row>
    <row r="85" spans="3:3" x14ac:dyDescent="0.3">
      <c r="C85" t="s">
        <v>148</v>
      </c>
    </row>
    <row r="88" spans="3:3" x14ac:dyDescent="0.3">
      <c r="C88" t="s">
        <v>148</v>
      </c>
    </row>
    <row r="165" spans="3:3" x14ac:dyDescent="0.3">
      <c r="C165" t="s">
        <v>148</v>
      </c>
    </row>
    <row r="166" spans="3:3" x14ac:dyDescent="0.3">
      <c r="C166" t="s">
        <v>150</v>
      </c>
    </row>
    <row r="167" spans="3:3" x14ac:dyDescent="0.3">
      <c r="C167" t="s">
        <v>151</v>
      </c>
    </row>
    <row r="592" spans="3:3" x14ac:dyDescent="0.3">
      <c r="C592" t="s">
        <v>148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45453</v>
      </c>
    </row>
    <row r="6" spans="2:31" ht="16.2" thickBot="1" x14ac:dyDescent="0.35">
      <c r="B6" s="140" t="s">
        <v>2</v>
      </c>
      <c r="C6" s="139" t="str">
        <f>'2229'!C10</f>
        <v>RENE AGUIRRE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-77821.486750120777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'2229'!H33</f>
        <v>749122</v>
      </c>
      <c r="E11" s="132">
        <f>D11*0.19</f>
        <v>142333.18</v>
      </c>
      <c r="F11" s="131">
        <f>E11+D11</f>
        <v>891455.17999999993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28168.513249879223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171026.10878743962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10168.513249879223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578095.89121256035</v>
      </c>
      <c r="E13" s="221">
        <f>(D11/D12)-1</f>
        <v>3.3801616332805002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1168.5132498792227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-37831.486750120777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282193.07949927537</v>
      </c>
      <c r="F15" s="216">
        <f>E15-D12</f>
        <v>111166.97071183575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-37831.486750120777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2168.5132498792227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'2229'!N42</f>
        <v>108750</v>
      </c>
      <c r="E19" s="123">
        <f>D19*0.19</f>
        <v>20662.5</v>
      </c>
      <c r="F19" s="120">
        <f>SUM(D19:E19)</f>
        <v>129412.5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'2229'!N41</f>
        <v>32442.018000000004</v>
      </c>
      <c r="E20" s="121">
        <f>D20*0.19</f>
        <v>6163.9834200000005</v>
      </c>
      <c r="F20" s="120">
        <f>SUM(D20:E20)</f>
        <v>38606.001420000001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141192.01800000001</v>
      </c>
      <c r="E21" s="116">
        <f>SUM(E18:E20)</f>
        <v>26826.48342</v>
      </c>
      <c r="F21" s="115">
        <f>SUM(F18:F20)</f>
        <v>168018.50141999999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115506.69657999999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749122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141192.01800000001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578095.89121256035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578095.89121256035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2024-06-10T19:42:17Z</dcterms:modified>
</cp:coreProperties>
</file>