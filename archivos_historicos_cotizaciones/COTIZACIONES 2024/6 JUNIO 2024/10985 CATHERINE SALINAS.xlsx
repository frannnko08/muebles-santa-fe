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AC1B4452-2C53-4346-8135-B9B7D242F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H26" i="1"/>
  <c r="H24" i="1"/>
  <c r="L24" i="1"/>
  <c r="M24" i="1"/>
  <c r="K24" i="1"/>
  <c r="H25" i="1"/>
  <c r="K25" i="1"/>
  <c r="H22" i="1"/>
  <c r="M22" i="1"/>
  <c r="L22" i="1"/>
  <c r="K22" i="1"/>
  <c r="K23" i="1"/>
  <c r="L23" i="1"/>
  <c r="M23" i="1"/>
  <c r="N24" i="1" l="1"/>
  <c r="O24" i="1" s="1"/>
  <c r="R24" i="1"/>
  <c r="N22" i="1"/>
  <c r="O22" i="1" s="1"/>
  <c r="S23" i="1"/>
  <c r="N23" i="1"/>
  <c r="O23" i="1" s="1"/>
  <c r="R23" i="1"/>
  <c r="K21" i="1"/>
  <c r="J43" i="1"/>
  <c r="L21" i="1"/>
  <c r="L28" i="1" s="1"/>
  <c r="M21" i="1"/>
  <c r="S21" i="1" l="1"/>
  <c r="S28" i="1" s="1"/>
  <c r="S29" i="1" s="1"/>
  <c r="S30" i="1" s="1"/>
  <c r="R21" i="1"/>
  <c r="R30" i="1" s="1"/>
  <c r="N21" i="1"/>
  <c r="O21" i="1" s="1"/>
  <c r="U36" i="1"/>
  <c r="U37" i="1" s="1"/>
  <c r="N35" i="1" l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E15" i="3"/>
  <c r="P22" i="1" l="1"/>
  <c r="Q22" i="1" s="1"/>
  <c r="P24" i="1"/>
  <c r="Q24" i="1" s="1"/>
  <c r="P23" i="1"/>
  <c r="Q23" i="1" s="1"/>
  <c r="H23" i="1" s="1"/>
  <c r="P21" i="1"/>
  <c r="F15" i="3"/>
  <c r="Q21" i="1" l="1"/>
  <c r="H21" i="1" l="1"/>
  <c r="H28" i="1" s="1"/>
  <c r="H30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/>
</calcChain>
</file>

<file path=xl/sharedStrings.xml><?xml version="1.0" encoding="utf-8"?>
<sst xmlns="http://schemas.openxmlformats.org/spreadsheetml/2006/main" count="239" uniqueCount="180">
  <si>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</si>
  <si>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</si>
  <si>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</si>
  <si>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</si>
  <si>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</si>
  <si>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</si>
  <si>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</si>
  <si>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</si>
  <si>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</si>
  <si>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</si>
  <si>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</si>
  <si>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</si>
  <si>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</si>
  <si>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</si>
  <si>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</si>
  <si>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</si>
  <si>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</si>
  <si>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</si>
  <si>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</si>
  <si>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</si>
  <si>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</si>
  <si>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</si>
  <si>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</si>
  <si>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</si>
  <si>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</si>
  <si>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</si>
  <si>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</si>
  <si>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</si>
  <si>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</si>
  <si>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</si>
  <si>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</si>
  <si>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</si>
  <si>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</si>
  <si>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</si>
  <si>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</si>
  <si>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</si>
  <si>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</si>
  <si>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</si>
  <si>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</si>
  <si>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</si>
  <si>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</si>
  <si>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</si>
  <si>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</si>
  <si>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</si>
  <si>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</si>
  <si>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</si>
  <si>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</si>
  <si>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</si>
  <si>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</si>
  <si>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</si>
  <si>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</si>
  <si>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</si>
  <si>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</si>
  <si>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</si>
  <si>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</si>
  <si>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</si>
  <si>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</si>
  <si>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</si>
  <si>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</si>
  <si>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</si>
  <si>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</si>
  <si>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</si>
  <si>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</si>
  <si>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</si>
  <si>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</si>
  <si>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</si>
  <si>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</si>
  <si>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</si>
  <si>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</si>
  <si>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</si>
  <si>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</si>
  <si>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</si>
  <si>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</si>
  <si>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</si>
  <si>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</si>
  <si>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</si>
  <si>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</si>
  <si>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</si>
  <si>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</si>
  <si>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</si>
  <si>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</si>
  <si>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</si>
  <si>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</si>
  <si>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</si>
  <si>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</si>
  <si>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</si>
  <si>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</si>
  <si>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</si>
  <si>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</si>
  <si>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</si>
  <si>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</si>
  <si>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</si>
  <si>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</si>
  <si>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</si>
  <si>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</si>
  <si>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</si>
  <si>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</si>
  <si>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</si>
  <si>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</si>
  <si>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</si>
  <si>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</si>
  <si>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</si>
  <si>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</si>
  <si>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</si>
  <si>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</si>
  <si>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</si>
  <si>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</si>
  <si>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</si>
  <si>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</si>
  <si>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</si>
  <si>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</si>
  <si>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</si>
  <si>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</si>
  <si>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</si>
  <si>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</si>
  <si>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</si>
  <si>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</si>
  <si>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</si>
  <si>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</si>
  <si>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</si>
  <si>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</si>
  <si>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</si>
  <si>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</si>
  <si>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</si>
  <si>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</si>
  <si>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</si>
  <si>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</si>
  <si>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</si>
  <si>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</si>
  <si>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</si>
  <si>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</si>
  <si>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</si>
  <si>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</si>
  <si>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</si>
  <si>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</si>
  <si>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</si>
  <si>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</si>
  <si>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</si>
  <si>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</si>
  <si>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</si>
  <si>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</si>
  <si>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</si>
  <si>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</si>
  <si>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</si>
  <si>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</si>
  <si>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</si>
  <si>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</si>
  <si>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</si>
  <si>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</si>
  <si>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</si>
  <si>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</si>
  <si>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</si>
  <si>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</si>
  <si>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</si>
  <si>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</si>
  <si>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</si>
  <si>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</si>
  <si>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</si>
  <si>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</si>
  <si>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</si>
  <si>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</si>
  <si>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</si>
  <si>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</si>
  <si>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</si>
  <si>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</si>
  <si>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</si>
  <si>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</si>
  <si>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</si>
  <si>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</si>
  <si>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+569 9449 0390</t>
  </si>
  <si>
    <t>CATHERINE SALINAS</t>
  </si>
  <si>
    <t>CUB CON RESPALDO FRENTE 90° R8</t>
  </si>
  <si>
    <t>N° 10985</t>
  </si>
  <si>
    <t>10 DIAS HABILES</t>
  </si>
  <si>
    <t>CUB SIN RESPALDO FRENTE 90° R8</t>
  </si>
  <si>
    <t>CORTE TIPO ZETA</t>
  </si>
  <si>
    <t>DESFONDADOS</t>
  </si>
  <si>
    <t>LAVAPLATO Y ENCIMERA</t>
  </si>
  <si>
    <t>FLORENTINO NEGRO 0513 BR</t>
  </si>
  <si>
    <t>CUB SIN RESPALDO FRENTE 90° R8**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</si>
</sst>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27</xdr:row>
      <xdr:rowOff>9525</xdr:rowOff>
    </xdr:from>
    <xdr:to>
      <xdr:col>5</xdr:col>
      <xdr:colOff>1594096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SIN REGRUESO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 LLEVA UNION DE LAMINADO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12" zoomScale="93" zoomScaleNormal="93" workbookViewId="0">
      <selection activeCell="H29" sqref="H2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45453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169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2:24" ht="15" thickBot="1" x14ac:dyDescent="0.35">
      <c r="B17" s="317" t="s">
        <v>13</v>
      </c>
      <c r="C17" s="318" t="s">
        <v>167</v>
      </c>
      <c r="D17" s="319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64159.608627190522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174</v>
      </c>
      <c r="D21" s="327">
        <v>2.6</v>
      </c>
      <c r="E21" s="327">
        <v>0.59</v>
      </c>
      <c r="F21" s="326" t="s">
        <v>178</v>
      </c>
      <c r="G21" s="328">
        <v>93601</v>
      </c>
      <c r="H21" s="328">
        <f>G21*B21</f>
        <v>93601</v>
      </c>
      <c r="I21" s="265"/>
      <c r="J21" s="47"/>
      <c r="K21" s="47">
        <f>B21</f>
        <v>1</v>
      </c>
      <c r="L21" s="39">
        <f t="shared" ref="L21" si="1">D21+L$19</f>
        <v>2.65</v>
      </c>
      <c r="M21" s="39">
        <f t="shared" ref="M21" si="2">E21+M$19</f>
        <v>0.59</v>
      </c>
      <c r="N21" s="261">
        <f t="shared" ref="N21" si="3">L21*M21</f>
        <v>1.5634999999999999</v>
      </c>
      <c r="O21" s="259">
        <f t="shared" ref="O21" si="4">N21*K21</f>
        <v>1.5634999999999999</v>
      </c>
      <c r="P21" s="252">
        <f t="shared" ref="P21" si="5">P$20*N21</f>
        <v>100313.54808861237</v>
      </c>
      <c r="Q21" s="329">
        <f t="shared" ref="Q21" si="6">P21+Q$20</f>
        <v>105313.54808861237</v>
      </c>
      <c r="R21" s="298">
        <f>L21*K21*2</f>
        <v>5.3</v>
      </c>
      <c r="S21" s="46">
        <f>M21*2*K21</f>
        <v>1.18</v>
      </c>
      <c r="T21" s="9"/>
      <c r="W21" s="4"/>
    </row>
    <row r="22" spans="2:24" ht="17.399999999999999" x14ac:dyDescent="0.3">
      <c r="B22" s="326">
        <v>1</v>
      </c>
      <c r="C22" s="326" t="s">
        <v>179</v>
      </c>
      <c r="D22" s="327">
        <v>3.1230000000000002</v>
      </c>
      <c r="E22" s="327">
        <v>0.59</v>
      </c>
      <c r="F22" s="326" t="s">
        <v>178</v>
      </c>
      <c r="G22" s="328">
        <v>125111</v>
      </c>
      <c r="H22" s="328">
        <f>G22*B22</f>
        <v>125111</v>
      </c>
      <c r="I22" s="265"/>
      <c r="J22" s="47"/>
      <c r="K22" s="47">
        <f>B22</f>
        <v>1</v>
      </c>
      <c r="L22" s="39">
        <f t="shared" ref="L22" si="7">D22+L$19</f>
        <v>3.173</v>
      </c>
      <c r="M22" s="39">
        <f t="shared" ref="M22" si="8">E22+M$19</f>
        <v>0.59</v>
      </c>
      <c r="N22" s="261">
        <f t="shared" ref="N22" si="9">L22*M22</f>
        <v>1.8720699999999999</v>
      </c>
      <c r="O22" s="259">
        <f t="shared" ref="O22" si="10">N22*K22</f>
        <v>1.8720699999999999</v>
      </c>
      <c r="P22" s="252">
        <f t="shared" ref="P22" si="11">P$20*N22</f>
        <v>120111.27852270455</v>
      </c>
      <c r="Q22" s="329">
        <f t="shared" ref="Q22" si="12">P22+Q$20</f>
        <v>125111.27852270455</v>
      </c>
      <c r="R22" s="298"/>
      <c r="S22" s="46"/>
      <c r="T22" s="9"/>
      <c r="W22" s="4"/>
    </row>
    <row r="23" spans="2:24" ht="17.399999999999999" x14ac:dyDescent="0.3">
      <c r="B23" s="326">
        <v>1</v>
      </c>
      <c r="C23" s="326" t="s">
        <v>171</v>
      </c>
      <c r="D23" s="327">
        <v>1.6</v>
      </c>
      <c r="E23" s="327">
        <v>0.37</v>
      </c>
      <c r="F23" s="326" t="s">
        <v>178</v>
      </c>
      <c r="G23" s="328">
        <v>40353</v>
      </c>
      <c r="H23" s="328">
        <f t="shared" ref="H23:H25" si="13">G23*B23</f>
        <v>40353</v>
      </c>
      <c r="I23" s="265"/>
      <c r="J23" s="47"/>
      <c r="K23" s="47">
        <f t="shared" ref="K23:K25" si="14">B23</f>
        <v>1</v>
      </c>
      <c r="L23" s="39">
        <f t="shared" ref="L23" si="15">D23+L$19</f>
        <v>1.6500000000000001</v>
      </c>
      <c r="M23" s="39">
        <f t="shared" ref="M23" si="16">E23+M$19</f>
        <v>0.37</v>
      </c>
      <c r="N23" s="261">
        <f t="shared" ref="N23" si="17">L23*M23</f>
        <v>0.61050000000000004</v>
      </c>
      <c r="O23" s="259">
        <f t="shared" ref="O23" si="18">N23*K23</f>
        <v>0.61050000000000004</v>
      </c>
      <c r="P23" s="252">
        <f t="shared" ref="P23" si="19">P$20*N23</f>
        <v>39169.441066899817</v>
      </c>
      <c r="Q23" s="329">
        <f t="shared" ref="Q23" si="20">P23+Q$20</f>
        <v>44169.441066899817</v>
      </c>
      <c r="R23" s="298">
        <f t="shared" ref="R23" si="21">L23*K23*2</f>
        <v>3.3000000000000003</v>
      </c>
      <c r="S23" s="46">
        <f t="shared" ref="S23" si="22">M23*2*K23</f>
        <v>0.74</v>
      </c>
      <c r="T23" s="9"/>
      <c r="W23" s="4"/>
    </row>
    <row r="24" spans="2:24" ht="17.399999999999999" x14ac:dyDescent="0.3">
      <c r="B24" s="326">
        <v>2</v>
      </c>
      <c r="C24" s="326" t="s">
        <v>33</v>
      </c>
      <c r="D24" s="327">
        <v>3.12</v>
      </c>
      <c r="E24" s="327">
        <v>0.06</v>
      </c>
      <c r="F24" s="326" t="s">
        <v>178</v>
      </c>
      <c r="G24" s="328">
        <v>15771</v>
      </c>
      <c r="H24" s="328">
        <f t="shared" si="13"/>
        <v>31542</v>
      </c>
      <c r="I24" s="265"/>
      <c r="J24" s="47"/>
      <c r="K24" s="47">
        <f t="shared" si="14"/>
        <v>2</v>
      </c>
      <c r="L24" s="39">
        <f t="shared" ref="L24" si="23">D24+L$19</f>
        <v>3.17</v>
      </c>
      <c r="M24" s="39">
        <f t="shared" ref="M24" si="24">E24+M$19</f>
        <v>0.06</v>
      </c>
      <c r="N24" s="261">
        <f t="shared" ref="N24" si="25">L24*M24</f>
        <v>0.19019999999999998</v>
      </c>
      <c r="O24" s="259">
        <f t="shared" ref="O24" si="26">N24*K24</f>
        <v>0.38039999999999996</v>
      </c>
      <c r="P24" s="252">
        <f t="shared" ref="P24" si="27">P$20*N24</f>
        <v>12203.157560891636</v>
      </c>
      <c r="Q24" s="329">
        <f t="shared" ref="Q24" si="28">P24+Q$20</f>
        <v>17203.157560891636</v>
      </c>
      <c r="R24" s="298">
        <f t="shared" ref="R24" si="29">L24*K24*2</f>
        <v>12.68</v>
      </c>
      <c r="S24" s="46"/>
      <c r="T24" s="9"/>
      <c r="W24" s="4"/>
    </row>
    <row r="25" spans="2:24" ht="17.399999999999999" x14ac:dyDescent="0.3">
      <c r="B25" s="326">
        <v>1</v>
      </c>
      <c r="C25" s="326" t="s">
        <v>175</v>
      </c>
      <c r="D25" s="327"/>
      <c r="E25" s="327"/>
      <c r="F25" s="326"/>
      <c r="G25" s="328">
        <v>30000</v>
      </c>
      <c r="H25" s="328">
        <f t="shared" si="13"/>
        <v>30000</v>
      </c>
      <c r="I25" s="265"/>
      <c r="J25" s="47"/>
      <c r="K25" s="47">
        <f t="shared" si="14"/>
        <v>1</v>
      </c>
      <c r="L25" s="39"/>
      <c r="M25" s="39"/>
      <c r="N25" s="261"/>
      <c r="O25" s="259"/>
      <c r="P25" s="252"/>
      <c r="Q25" s="258"/>
      <c r="R25" s="298"/>
      <c r="S25" s="46"/>
      <c r="T25" s="9"/>
      <c r="W25" s="4"/>
    </row>
    <row r="26" spans="2:24" ht="17.399999999999999" x14ac:dyDescent="0.3">
      <c r="B26" s="326">
        <v>2</v>
      </c>
      <c r="C26" s="326" t="s">
        <v>176</v>
      </c>
      <c r="D26" s="327"/>
      <c r="E26" s="327"/>
      <c r="F26" s="326" t="s">
        <v>177</v>
      </c>
      <c r="G26" s="328">
        <v>12500</v>
      </c>
      <c r="H26" s="328">
        <f t="shared" ref="H26" si="30">G26*B26</f>
        <v>25000</v>
      </c>
      <c r="I26" s="265"/>
      <c r="J26" s="47"/>
      <c r="K26" s="47"/>
      <c r="L26" s="39"/>
      <c r="M26" s="39"/>
      <c r="N26" s="261"/>
      <c r="O26" s="259"/>
      <c r="P26" s="252"/>
      <c r="Q26" s="258"/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345607</v>
      </c>
      <c r="I28" s="265"/>
      <c r="J28" s="47"/>
      <c r="K28" s="47"/>
      <c r="L28" s="39">
        <f>SUM(L21:L27)</f>
        <v>10.643000000000001</v>
      </c>
      <c r="M28" s="39"/>
      <c r="N28" s="261"/>
      <c r="O28" s="259"/>
      <c r="P28" s="252"/>
      <c r="Q28" s="258"/>
      <c r="R28" s="298"/>
      <c r="S28" s="46">
        <f>SUM(S21:S27)</f>
        <v>1.92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/>
      <c r="I29" s="265"/>
      <c r="J29" s="47"/>
      <c r="K29" s="47"/>
      <c r="L29" s="39"/>
      <c r="M29" s="12"/>
      <c r="N29" s="12"/>
      <c r="O29" s="253">
        <f>SUM(O21:O24)</f>
        <v>4.4264700000000001</v>
      </c>
      <c r="P29" s="14"/>
      <c r="Q29" s="12"/>
      <c r="R29" s="239"/>
      <c r="S29" s="46">
        <f>S28*20%</f>
        <v>0.38400000000000001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345607</v>
      </c>
      <c r="I30" s="265"/>
      <c r="J30" s="47"/>
      <c r="K30" s="47"/>
      <c r="L30" s="39"/>
      <c r="M30" s="12"/>
      <c r="N30" s="12"/>
      <c r="O30" s="253">
        <f>O29</f>
        <v>4.4264700000000001</v>
      </c>
      <c r="P30" s="14"/>
      <c r="Q30" s="12"/>
      <c r="R30" s="239">
        <f>SUM(R21:R29)</f>
        <v>21.28</v>
      </c>
      <c r="S30" s="46">
        <f>S28+S29</f>
        <v>2.3039999999999998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0.88529400000000003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5.3117640000000002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153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5.3117640000000002</v>
      </c>
      <c r="M34" s="12">
        <v>3500</v>
      </c>
      <c r="N34" s="12">
        <f t="shared" ref="N34:N39" si="31">L34*M34</f>
        <v>18591.173999999999</v>
      </c>
      <c r="O34" s="14" t="s">
        <v>22</v>
      </c>
      <c r="P34" s="14"/>
      <c r="Q34" s="14"/>
      <c r="R34" s="241"/>
      <c r="S34" s="14"/>
      <c r="T34" s="305" t="s">
        <v>154</v>
      </c>
      <c r="U34" s="302">
        <v>3625</v>
      </c>
      <c r="V34" s="59" t="s">
        <v>155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1.5</v>
      </c>
      <c r="M35" s="12">
        <v>25000</v>
      </c>
      <c r="N35" s="12">
        <f t="shared" si="31"/>
        <v>37500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156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70000</v>
      </c>
      <c r="N36" s="12">
        <f t="shared" si="31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2</v>
      </c>
      <c r="M37" s="250">
        <v>36500</v>
      </c>
      <c r="N37" s="12">
        <f t="shared" si="31"/>
        <v>73000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31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/>
      <c r="M39" s="12">
        <v>1500</v>
      </c>
      <c r="N39" s="12">
        <f t="shared" si="31"/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129091.174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284000.58280000003</v>
      </c>
      <c r="O41" s="14" t="s">
        <v>141</v>
      </c>
      <c r="P41" s="14"/>
      <c r="Q41" s="40">
        <f>O32/Q40</f>
        <v>1.4322055651423642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43190</v>
      </c>
      <c r="K42" s="250"/>
      <c r="L42" s="14"/>
      <c r="M42" s="12"/>
      <c r="N42" s="12">
        <f>N41/O30</f>
        <v>64159.608627190522</v>
      </c>
      <c r="O42" s="45" t="s">
        <v>25</v>
      </c>
      <c r="P42" s="14"/>
      <c r="Q42" s="14"/>
      <c r="R42"/>
      <c r="S42" s="238"/>
      <c r="T42" s="59" t="s">
        <v>159</v>
      </c>
      <c r="U42" s="302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36294.117647058825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0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45453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10985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-33971.718850120778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345607</v>
      </c>
      <c r="E11" s="132">
        <f>D11*0.19</f>
        <v>65665.33</v>
      </c>
      <c r="F11" s="131">
        <f>E11+D11</f>
        <v>411272.33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72018.281149879214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85925.264787439606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54018.281149879222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259681.73521256039</v>
      </c>
      <c r="E13" s="221">
        <f>(D11/D12)-1</f>
        <v>3.0221813788407452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45018.281149879222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6018.2811498792216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141776.68689927534</v>
      </c>
      <c r="F15" s="216">
        <f>E15-D12</f>
        <v>55851.422111835738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6018.2811498792216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46018.281149879222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18591.173999999999</v>
      </c>
      <c r="E20" s="121">
        <f>D20*0.19</f>
        <v>3532.3230599999997</v>
      </c>
      <c r="F20" s="120">
        <f>SUM(D20:E20)</f>
        <v>22123.497059999998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56091.173999999999</v>
      </c>
      <c r="E21" s="116">
        <f>SUM(E18:E20)</f>
        <v>10657.323059999999</v>
      </c>
      <c r="F21" s="115">
        <f>SUM(F18:F20)</f>
        <v>66748.497059999994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55008.006940000007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345607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56091.173999999999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259681.73521256039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259681.73521256039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2024-06-10T20:42:50Z</dcterms:modified>
</cp:coreProperties>
</file>