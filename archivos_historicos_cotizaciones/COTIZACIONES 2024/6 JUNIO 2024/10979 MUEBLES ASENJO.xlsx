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847CCA66-4566-4B1E-99A3-006EE6457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H27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H22" i="1"/>
  <c r="H23" i="1"/>
  <c r="H24" i="1"/>
  <c r="H25" i="1"/>
  <c r="K21" i="1" l="1"/>
  <c r="L21" i="1"/>
  <c r="L29" i="1" s="1"/>
  <c r="M21" i="1"/>
  <c r="R21" i="1" l="1"/>
  <c r="N21" i="1"/>
  <c r="O21" i="1" s="1"/>
  <c r="J43" i="1" l="1"/>
  <c r="N36" i="1" l="1"/>
  <c r="O31" i="1" l="1"/>
  <c r="O32" i="1" s="1"/>
  <c r="O33" i="1" s="1"/>
  <c r="S48" i="1"/>
  <c r="M20" i="1" l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L35" i="1" l="1"/>
  <c r="N35" i="1" l="1"/>
  <c r="N41" i="1" s="1"/>
  <c r="N42" i="1" s="1"/>
  <c r="S49" i="1"/>
  <c r="D20" i="3" l="1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2" i="1" l="1"/>
  <c r="Q22" i="1" s="1"/>
  <c r="P23" i="1"/>
  <c r="Q23" i="1" s="1"/>
  <c r="P24" i="1"/>
  <c r="Q24" i="1" s="1"/>
  <c r="P25" i="1"/>
  <c r="Q25" i="1" s="1"/>
  <c r="P21" i="1"/>
  <c r="F15" i="3"/>
  <c r="Q21" i="1" l="1"/>
  <c r="H21" i="1" s="1"/>
  <c r="R31" i="1"/>
  <c r="K15" i="1" l="1"/>
  <c r="H28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<sst xmlns="http://schemas.openxmlformats.org/spreadsheetml/2006/main" count="227" uniqueCount="164">
  <si>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</si>
  <si>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</si>
  <si>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</si>
  <si>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</si>
  <si>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</si>
  <si>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</si>
  <si>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</si>
  <si>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</si>
  <si>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</si>
  <si>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</si>
  <si>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</si>
  <si>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</si>
  <si>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</si>
  <si>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</si>
  <si>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</si>
  <si>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</si>
  <si>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</si>
  <si>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</si>
  <si>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</si>
  <si>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</si>
  <si>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</si>
  <si>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</si>
  <si>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</si>
  <si>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</si>
  <si>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</si>
  <si>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</si>
  <si>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</si>
  <si>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</si>
  <si>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</si>
  <si>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</si>
  <si>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</si>
  <si>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</si>
  <si>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</si>
  <si>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</si>
  <si>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</si>
  <si>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</si>
  <si>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</si>
  <si>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</si>
  <si>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</si>
  <si>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</si>
  <si>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</si>
  <si>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</si>
  <si>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</si>
  <si>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</si>
  <si>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</si>
  <si>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</si>
  <si>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</si>
  <si>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</si>
  <si>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</si>
  <si>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</si>
  <si>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</si>
  <si>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</si>
  <si>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</si>
  <si>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</si>
  <si>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</si>
  <si>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</si>
  <si>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</si>
  <si>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</si>
  <si>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</si>
  <si>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</si>
  <si>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</si>
  <si>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</si>
  <si>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</si>
  <si>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</si>
  <si>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</si>
  <si>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</si>
  <si>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</si>
  <si>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</si>
  <si>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</si>
  <si>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</si>
  <si>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</si>
  <si>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</si>
  <si>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</si>
  <si>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</si>
  <si>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</si>
  <si>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</si>
  <si>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</si>
  <si>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</si>
  <si>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</si>
  <si>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</si>
  <si>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</si>
  <si>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</si>
  <si>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</si>
  <si>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</si>
  <si>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</si>
  <si>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</si>
  <si>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</si>
  <si>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</si>
  <si>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</si>
  <si>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</si>
  <si>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</si>
  <si>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</si>
  <si>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</si>
  <si>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</si>
  <si>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</si>
  <si>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</si>
  <si>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</si>
  <si>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</si>
  <si>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</si>
  <si>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</si>
  <si>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</si>
  <si>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</si>
  <si>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</si>
  <si>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</si>
  <si>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</si>
  <si>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</si>
  <si>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</si>
  <si>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</si>
  <si>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</si>
  <si>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</si>
  <si>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</si>
  <si>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</si>
  <si>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</si>
  <si>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</si>
  <si>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</si>
  <si>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</si>
  <si>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</si>
  <si>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</si>
  <si>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</si>
  <si>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</si>
  <si>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</si>
  <si>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</si>
  <si>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</si>
  <si>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</si>
  <si>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</si>
  <si>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</si>
  <si>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</si>
  <si>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</si>
  <si>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</si>
  <si>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</si>
  <si>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</si>
  <si>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</si>
  <si>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</si>
  <si>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</si>
  <si>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</si>
  <si>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</si>
  <si>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</si>
  <si>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</si>
  <si>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</si>
  <si>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</si>
  <si>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</si>
  <si>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</si>
  <si>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</si>
  <si>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</si>
  <si>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</si>
  <si>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</si>
  <si>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</si>
  <si>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</si>
  <si>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</si>
  <si>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</si>
  <si>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</si>
  <si>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</si>
  <si>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</si>
  <si>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</si>
  <si>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</si>
  <si>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</si>
  <si>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</si>
  <si>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</si>
  <si>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</si>
  <si>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>MIGUEL ASENJO</t>
  </si>
  <si>
    <t xml:space="preserve">+569 </t>
  </si>
  <si>
    <t>N° 10979</t>
  </si>
  <si>
    <t>CUBIERTA CON RESPALDO 10 CMS SOBRE LA BASE 90° R8</t>
  </si>
  <si>
    <t>WHITE ASWHOOD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</si>
</sst>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5249</xdr:rowOff>
    </xdr:from>
    <xdr:to>
      <xdr:col>8</xdr:col>
      <xdr:colOff>7776</xdr:colOff>
      <xdr:row>33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30</xdr:row>
      <xdr:rowOff>9525</xdr:rowOff>
    </xdr:from>
    <xdr:to>
      <xdr:col>5</xdr:col>
      <xdr:colOff>1679511</xdr:colOff>
      <xdr:row>33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25</xdr:row>
      <xdr:rowOff>225489</xdr:rowOff>
    </xdr:from>
    <xdr:to>
      <xdr:col>5</xdr:col>
      <xdr:colOff>1656183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6"/>
  <sheetViews>
    <sheetView tabSelected="1" topLeftCell="A12" zoomScale="98" zoomScaleNormal="98" workbookViewId="0">
      <selection activeCell="A31" sqref="A31"/>
    </sheetView>
  </sheetViews>
  <sheetFormatPr baseColWidth="10" defaultRowHeight="14.4" x14ac:dyDescent="0.3"/>
  <cols>
    <col min="1" max="1" width="6" customWidth="1"/>
    <col min="2" max="2" width="10.5546875" customWidth="1"/>
    <col min="3" max="3" width="54.218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H27/L13</f>
        <v>65100.667070952099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2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73896.208158287045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7</v>
      </c>
      <c r="C21" s="324" t="s">
        <v>162</v>
      </c>
      <c r="D21" s="320">
        <v>2.71</v>
      </c>
      <c r="E21" s="320">
        <v>0.55000000000000004</v>
      </c>
      <c r="F21" s="319" t="s">
        <v>163</v>
      </c>
      <c r="G21" s="321">
        <v>110421</v>
      </c>
      <c r="H21" s="322">
        <f t="shared" ref="H21" si="1">G21*B21</f>
        <v>772947</v>
      </c>
      <c r="I21" s="265"/>
      <c r="J21" s="47"/>
      <c r="K21" s="47">
        <f t="shared" ref="K21" si="2">B21</f>
        <v>7</v>
      </c>
      <c r="L21" s="39">
        <f t="shared" ref="L21" si="3">D21+L$19</f>
        <v>2.76</v>
      </c>
      <c r="M21" s="39">
        <f t="shared" ref="M21" si="4">E21+M$19</f>
        <v>0.55000000000000004</v>
      </c>
      <c r="N21" s="261">
        <f t="shared" ref="N21" si="5">L21*M21</f>
        <v>1.518</v>
      </c>
      <c r="O21" s="259">
        <f t="shared" ref="O21" si="6">N21*K21</f>
        <v>10.625999999999999</v>
      </c>
      <c r="P21" s="252">
        <f t="shared" ref="P21" si="7">P$20*N21</f>
        <v>112174.44398427973</v>
      </c>
      <c r="Q21" s="258">
        <f t="shared" ref="Q21" si="8">P21+Q$20</f>
        <v>115174.44398427973</v>
      </c>
      <c r="R21" s="307">
        <f t="shared" ref="R21" si="9">K21*L21</f>
        <v>19.32</v>
      </c>
      <c r="S21" s="14"/>
      <c r="T21" s="9"/>
      <c r="W21" s="4"/>
    </row>
    <row r="22" spans="2:24" ht="18" thickBot="1" x14ac:dyDescent="0.35">
      <c r="B22" s="318">
        <v>7</v>
      </c>
      <c r="C22" s="324" t="s">
        <v>162</v>
      </c>
      <c r="D22" s="320">
        <v>2.8</v>
      </c>
      <c r="E22" s="320">
        <v>0.55000000000000004</v>
      </c>
      <c r="F22" s="319" t="s">
        <v>163</v>
      </c>
      <c r="G22" s="321">
        <v>114021</v>
      </c>
      <c r="H22" s="322">
        <f t="shared" ref="H22:H25" si="10">G22*B22</f>
        <v>798147</v>
      </c>
      <c r="I22" s="265"/>
      <c r="J22" s="47"/>
      <c r="K22" s="47">
        <f t="shared" ref="K22:K25" si="11">B22</f>
        <v>7</v>
      </c>
      <c r="L22" s="39">
        <f t="shared" ref="L22:L25" si="12">D22+L$19</f>
        <v>2.8499999999999996</v>
      </c>
      <c r="M22" s="39">
        <f t="shared" ref="M22:M25" si="13">E22+M$19</f>
        <v>0.55000000000000004</v>
      </c>
      <c r="N22" s="261">
        <f t="shared" ref="N22:N25" si="14">L22*M22</f>
        <v>1.5674999999999999</v>
      </c>
      <c r="O22" s="259">
        <f t="shared" ref="O22:O25" si="15">N22*K22</f>
        <v>10.9725</v>
      </c>
      <c r="P22" s="252">
        <f t="shared" ref="P22:P25" si="16">P$20*N22</f>
        <v>115832.30628811494</v>
      </c>
      <c r="Q22" s="258">
        <f t="shared" ref="Q22:Q25" si="17">P22+Q$20</f>
        <v>118832.30628811494</v>
      </c>
      <c r="R22" s="307">
        <f t="shared" ref="R22:R25" si="18">K22*L22</f>
        <v>19.949999999999996</v>
      </c>
      <c r="S22" s="14"/>
      <c r="T22" s="9"/>
      <c r="W22" s="4"/>
    </row>
    <row r="23" spans="2:24" ht="18" thickBot="1" x14ac:dyDescent="0.35">
      <c r="B23" s="318">
        <v>1</v>
      </c>
      <c r="C23" s="324" t="s">
        <v>162</v>
      </c>
      <c r="D23" s="320">
        <v>1.55</v>
      </c>
      <c r="E23" s="320">
        <v>0.6</v>
      </c>
      <c r="F23" s="319" t="s">
        <v>163</v>
      </c>
      <c r="G23" s="321">
        <v>69831</v>
      </c>
      <c r="H23" s="322">
        <f t="shared" si="10"/>
        <v>69831</v>
      </c>
      <c r="I23" s="265"/>
      <c r="J23" s="47"/>
      <c r="K23" s="47">
        <f t="shared" si="11"/>
        <v>1</v>
      </c>
      <c r="L23" s="39">
        <f t="shared" si="12"/>
        <v>1.6</v>
      </c>
      <c r="M23" s="39">
        <f t="shared" si="13"/>
        <v>0.6</v>
      </c>
      <c r="N23" s="261">
        <f t="shared" si="14"/>
        <v>0.96</v>
      </c>
      <c r="O23" s="259">
        <f t="shared" si="15"/>
        <v>0.96</v>
      </c>
      <c r="P23" s="252">
        <f t="shared" si="16"/>
        <v>70940.35983195556</v>
      </c>
      <c r="Q23" s="258">
        <f t="shared" si="17"/>
        <v>73940.35983195556</v>
      </c>
      <c r="R23" s="307">
        <f t="shared" si="18"/>
        <v>1.6</v>
      </c>
      <c r="S23" s="14"/>
      <c r="T23" s="9"/>
      <c r="W23" s="4"/>
    </row>
    <row r="24" spans="2:24" ht="18" thickBot="1" x14ac:dyDescent="0.35">
      <c r="B24" s="318">
        <v>5</v>
      </c>
      <c r="C24" s="324" t="s">
        <v>162</v>
      </c>
      <c r="D24" s="320">
        <v>2.2000000000000002</v>
      </c>
      <c r="E24" s="320">
        <v>0.55000000000000004</v>
      </c>
      <c r="F24" s="319" t="s">
        <v>163</v>
      </c>
      <c r="G24" s="321">
        <v>90017</v>
      </c>
      <c r="H24" s="322">
        <f t="shared" si="10"/>
        <v>450085</v>
      </c>
      <c r="I24" s="265"/>
      <c r="J24" s="47"/>
      <c r="K24" s="47">
        <f t="shared" si="11"/>
        <v>5</v>
      </c>
      <c r="L24" s="39">
        <f t="shared" si="12"/>
        <v>2.25</v>
      </c>
      <c r="M24" s="39">
        <f t="shared" si="13"/>
        <v>0.55000000000000004</v>
      </c>
      <c r="N24" s="261">
        <f t="shared" si="14"/>
        <v>1.2375</v>
      </c>
      <c r="O24" s="259">
        <f t="shared" si="15"/>
        <v>6.1875</v>
      </c>
      <c r="P24" s="252">
        <f t="shared" si="16"/>
        <v>91446.557595880222</v>
      </c>
      <c r="Q24" s="258">
        <f t="shared" si="17"/>
        <v>94446.557595880222</v>
      </c>
      <c r="R24" s="307">
        <f t="shared" si="18"/>
        <v>11.25</v>
      </c>
      <c r="S24" s="14"/>
      <c r="T24" s="9"/>
      <c r="W24" s="4"/>
    </row>
    <row r="25" spans="2:24" ht="17.399999999999999" x14ac:dyDescent="0.3">
      <c r="B25" s="318">
        <v>1</v>
      </c>
      <c r="C25" s="324" t="s">
        <v>162</v>
      </c>
      <c r="D25" s="320">
        <v>1.35</v>
      </c>
      <c r="E25" s="320">
        <v>0.55000000000000004</v>
      </c>
      <c r="F25" s="319" t="s">
        <v>163</v>
      </c>
      <c r="G25" s="321">
        <v>56010</v>
      </c>
      <c r="H25" s="322">
        <f t="shared" si="10"/>
        <v>56010</v>
      </c>
      <c r="I25" s="265"/>
      <c r="J25" s="47"/>
      <c r="K25" s="47">
        <f t="shared" si="11"/>
        <v>1</v>
      </c>
      <c r="L25" s="39">
        <f t="shared" si="12"/>
        <v>1.4000000000000001</v>
      </c>
      <c r="M25" s="39">
        <f t="shared" si="13"/>
        <v>0.55000000000000004</v>
      </c>
      <c r="N25" s="261">
        <f t="shared" si="14"/>
        <v>0.77000000000000013</v>
      </c>
      <c r="O25" s="259">
        <f t="shared" si="15"/>
        <v>0.77000000000000013</v>
      </c>
      <c r="P25" s="252">
        <f t="shared" si="16"/>
        <v>56900.080281881033</v>
      </c>
      <c r="Q25" s="258">
        <f t="shared" si="17"/>
        <v>59900.080281881033</v>
      </c>
      <c r="R25" s="307">
        <f t="shared" si="18"/>
        <v>1.4000000000000001</v>
      </c>
      <c r="S25" s="14"/>
      <c r="T25" s="9"/>
      <c r="W25" s="4"/>
    </row>
    <row r="26" spans="2:24" ht="18" thickBot="1" x14ac:dyDescent="0.35">
      <c r="B26" s="285"/>
      <c r="C26" s="285"/>
      <c r="D26" s="286"/>
      <c r="E26" s="286"/>
      <c r="F26" s="285"/>
      <c r="G26" s="323"/>
      <c r="H26" s="323"/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85"/>
      <c r="C27" s="285"/>
      <c r="D27" s="286"/>
      <c r="E27" s="286"/>
      <c r="F27" s="285"/>
      <c r="G27" s="308" t="s">
        <v>30</v>
      </c>
      <c r="H27" s="309">
        <f>SUM(H21:H25)</f>
        <v>2147020</v>
      </c>
      <c r="I27" s="232"/>
      <c r="J27" s="47"/>
      <c r="K27" s="47"/>
      <c r="L27" s="39"/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79"/>
      <c r="C28" s="282"/>
      <c r="D28" s="283"/>
      <c r="E28" s="283"/>
      <c r="F28" s="284"/>
      <c r="G28" s="306" t="s">
        <v>53</v>
      </c>
      <c r="H28" s="303">
        <f>H27*0.19</f>
        <v>407933.8</v>
      </c>
      <c r="I28" s="232"/>
      <c r="J28" s="47"/>
      <c r="K28" s="47"/>
      <c r="L28" s="39"/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8" thickBot="1" x14ac:dyDescent="0.35">
      <c r="B29" s="275"/>
      <c r="C29" s="281"/>
      <c r="D29" s="272"/>
      <c r="E29" s="272"/>
      <c r="F29" s="273"/>
      <c r="G29" s="280" t="s">
        <v>6</v>
      </c>
      <c r="H29" s="304">
        <f>H27+H28</f>
        <v>2554953.7999999998</v>
      </c>
      <c r="I29" s="265"/>
      <c r="J29" s="47"/>
      <c r="K29" s="47"/>
      <c r="L29" s="39">
        <f>SUM(L21:L21)*2</f>
        <v>5.52</v>
      </c>
      <c r="M29" s="39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275"/>
      <c r="C30" s="271"/>
      <c r="D30" s="272"/>
      <c r="E30" s="272"/>
      <c r="F30" s="273"/>
      <c r="I30" s="265"/>
      <c r="J30" s="47"/>
      <c r="K30" s="47"/>
      <c r="L30" s="39"/>
      <c r="M30" s="12"/>
      <c r="N30" s="12"/>
      <c r="O30" s="253">
        <f>SUM(O21:O26)</f>
        <v>29.516000000000002</v>
      </c>
      <c r="P30" s="14"/>
      <c r="Q30" s="12"/>
      <c r="R30" s="238"/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4"/>
      <c r="I31" s="265"/>
      <c r="J31" s="47"/>
      <c r="K31" s="47"/>
      <c r="L31" s="39"/>
      <c r="M31" s="12"/>
      <c r="N31" s="12"/>
      <c r="O31" s="253">
        <f>O30</f>
        <v>29.516000000000002</v>
      </c>
      <c r="P31" s="14"/>
      <c r="Q31" s="12"/>
      <c r="R31" s="238">
        <f>SUM(R21:R30)</f>
        <v>53.519999999999996</v>
      </c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14"/>
      <c r="M32" s="12"/>
      <c r="N32" s="12"/>
      <c r="O32" s="39">
        <f>O31*0.2</f>
        <v>5.9032000000000009</v>
      </c>
      <c r="P32" s="39" t="s">
        <v>132</v>
      </c>
      <c r="Q32" s="42"/>
      <c r="R32" s="239"/>
      <c r="S32" s="14"/>
      <c r="T32" s="9"/>
      <c r="W32" s="4"/>
    </row>
    <row r="33" spans="1:23" ht="17.399999999999999" x14ac:dyDescent="0.35">
      <c r="B33" s="230"/>
      <c r="C33" s="230"/>
      <c r="D33" s="230"/>
      <c r="E33" s="230"/>
      <c r="F33" s="230"/>
      <c r="G33" s="230"/>
      <c r="I33" s="265"/>
      <c r="J33" s="312"/>
      <c r="K33" s="47"/>
      <c r="L33" s="14"/>
      <c r="M33" s="12"/>
      <c r="N33" s="12"/>
      <c r="O33" s="46">
        <f>O31+O32</f>
        <v>35.419200000000004</v>
      </c>
      <c r="P33" s="14"/>
      <c r="Q33" s="14"/>
      <c r="R33" s="237">
        <v>40</v>
      </c>
      <c r="S33" s="14"/>
      <c r="T33" s="9"/>
      <c r="W33" s="4"/>
    </row>
    <row r="34" spans="1:23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312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1:23" ht="17.399999999999999" x14ac:dyDescent="0.35">
      <c r="A35" s="230"/>
      <c r="B35" s="24" t="s">
        <v>155</v>
      </c>
      <c r="C35" s="230"/>
      <c r="D35" s="230"/>
      <c r="E35" s="230"/>
      <c r="F35" s="230"/>
      <c r="G35" s="230"/>
      <c r="H35" s="230"/>
      <c r="I35" s="265"/>
      <c r="J35" s="47"/>
      <c r="K35" s="47"/>
      <c r="L35" s="39">
        <f>O33</f>
        <v>35.419200000000004</v>
      </c>
      <c r="M35" s="12">
        <v>2000</v>
      </c>
      <c r="N35" s="12">
        <f t="shared" ref="N35:N40" si="19">L35*M35</f>
        <v>70838.400000000009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1:23" ht="17.399999999999999" x14ac:dyDescent="0.35">
      <c r="A36" s="230"/>
      <c r="B36" s="24" t="s">
        <v>156</v>
      </c>
      <c r="G36" s="230"/>
      <c r="H36" s="230"/>
      <c r="I36" s="265"/>
      <c r="J36" s="47"/>
      <c r="K36" s="47"/>
      <c r="L36" s="249">
        <v>11</v>
      </c>
      <c r="M36" s="12">
        <v>21500</v>
      </c>
      <c r="N36" s="12">
        <f t="shared" si="19"/>
        <v>236500</v>
      </c>
      <c r="O36" s="39" t="s">
        <v>152</v>
      </c>
      <c r="P36" s="42"/>
      <c r="Q36" s="14"/>
      <c r="R36" s="239"/>
      <c r="S36" s="14"/>
      <c r="T36" s="9"/>
      <c r="W36" s="4"/>
    </row>
    <row r="37" spans="1:23" s="230" customFormat="1" ht="17.399999999999999" x14ac:dyDescent="0.35">
      <c r="B37" s="29" t="s">
        <v>127</v>
      </c>
      <c r="C37"/>
      <c r="D37"/>
      <c r="E37"/>
      <c r="F37" s="229" t="s">
        <v>16</v>
      </c>
      <c r="I37" s="262"/>
      <c r="J37" s="47"/>
      <c r="K37" s="250"/>
      <c r="L37" s="14"/>
      <c r="M37" s="250">
        <v>23500</v>
      </c>
      <c r="N37" s="12">
        <f t="shared" si="19"/>
        <v>0</v>
      </c>
      <c r="O37" s="39" t="s">
        <v>32</v>
      </c>
      <c r="P37" s="42"/>
      <c r="R37" s="239"/>
      <c r="S37" s="256"/>
      <c r="V37" s="231"/>
    </row>
    <row r="38" spans="1:23" s="230" customFormat="1" ht="17.399999999999999" x14ac:dyDescent="0.35">
      <c r="I38" s="262"/>
      <c r="J38" s="311"/>
      <c r="K38" s="250"/>
      <c r="L38" s="14">
        <v>20</v>
      </c>
      <c r="M38" s="250">
        <v>32866</v>
      </c>
      <c r="N38" s="12">
        <f t="shared" si="19"/>
        <v>657320</v>
      </c>
      <c r="O38" s="14" t="s">
        <v>143</v>
      </c>
      <c r="P38" s="17"/>
      <c r="R38" s="237"/>
      <c r="S38" s="256"/>
      <c r="V38" s="231"/>
    </row>
    <row r="39" spans="1:23" s="230" customFormat="1" ht="17.399999999999999" x14ac:dyDescent="0.35">
      <c r="I39" s="262"/>
      <c r="J39" s="311"/>
      <c r="K39" s="250"/>
      <c r="L39" s="249"/>
      <c r="M39" s="250">
        <v>800</v>
      </c>
      <c r="N39" s="12">
        <f t="shared" si="19"/>
        <v>0</v>
      </c>
      <c r="O39" s="14" t="s">
        <v>34</v>
      </c>
      <c r="P39" s="14"/>
      <c r="Q39" s="230">
        <v>1.52</v>
      </c>
      <c r="R39" s="237"/>
      <c r="S39" s="237"/>
    </row>
    <row r="40" spans="1:23" s="230" customFormat="1" ht="17.399999999999999" x14ac:dyDescent="0.35">
      <c r="I40" s="302"/>
      <c r="J40" s="47"/>
      <c r="K40" s="250"/>
      <c r="L40" s="266">
        <v>53.52</v>
      </c>
      <c r="M40" s="12">
        <v>500</v>
      </c>
      <c r="N40" s="12">
        <f t="shared" si="19"/>
        <v>26760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1:23" s="230" customFormat="1" ht="17.399999999999999" x14ac:dyDescent="0.35">
      <c r="I41" s="265"/>
      <c r="J41" s="47"/>
      <c r="K41" s="250"/>
      <c r="L41" s="14"/>
      <c r="M41" s="12"/>
      <c r="N41" s="12">
        <f>SUM(N35:N40)</f>
        <v>991418.4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1:23" s="230" customFormat="1" ht="17.399999999999999" x14ac:dyDescent="0.35">
      <c r="J42" s="47">
        <v>58690</v>
      </c>
      <c r="K42" s="250"/>
      <c r="L42" s="254" t="s">
        <v>35</v>
      </c>
      <c r="M42" s="12"/>
      <c r="N42" s="255">
        <f>N41*2.2</f>
        <v>2181120.4800000004</v>
      </c>
      <c r="O42" s="14" t="s">
        <v>142</v>
      </c>
      <c r="P42" s="14"/>
      <c r="Q42" s="46">
        <f>O33/Q41</f>
        <v>9.5500431406384827</v>
      </c>
      <c r="R42"/>
      <c r="S42" s="257" t="e">
        <f>S41/#REF!</f>
        <v>#REF!</v>
      </c>
    </row>
    <row r="43" spans="1:23" s="230" customFormat="1" ht="17.399999999999999" x14ac:dyDescent="0.35">
      <c r="G43"/>
      <c r="H43" s="260"/>
      <c r="I43" s="260"/>
      <c r="J43" s="47">
        <f>J42/1.19</f>
        <v>49319.327731092439</v>
      </c>
      <c r="K43" s="250"/>
      <c r="L43" s="14"/>
      <c r="M43" s="12"/>
      <c r="N43" s="12">
        <f>N42/O31</f>
        <v>73896.208158287045</v>
      </c>
      <c r="O43" s="45" t="s">
        <v>26</v>
      </c>
      <c r="P43" s="14"/>
      <c r="Q43" s="14"/>
      <c r="R43"/>
      <c r="S43" s="237"/>
    </row>
    <row r="44" spans="1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1:23" s="230" customFormat="1" ht="17.399999999999999" x14ac:dyDescent="0.35">
      <c r="G45" s="23"/>
      <c r="J45" s="47"/>
      <c r="K45" s="12"/>
      <c r="S45" s="237"/>
    </row>
    <row r="46" spans="1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1:23" ht="14.4" customHeight="1" x14ac:dyDescent="0.3">
      <c r="J47" s="47"/>
      <c r="K47" s="12"/>
      <c r="S47">
        <v>2.5</v>
      </c>
    </row>
    <row r="48" spans="1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7.7419016393442623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149</v>
      </c>
    </row>
    <row r="79" spans="3:14" x14ac:dyDescent="0.3">
      <c r="C79" t="s">
        <v>148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150</v>
      </c>
    </row>
    <row r="161" spans="3:3" x14ac:dyDescent="0.3">
      <c r="C161" t="s">
        <v>151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45447</v>
      </c>
    </row>
    <row r="6" spans="2:31" ht="16.2" thickBot="1" x14ac:dyDescent="0.35">
      <c r="B6" s="140" t="s">
        <v>2</v>
      </c>
      <c r="C6" s="139" t="str">
        <f>'2229'!C10</f>
        <v>MIGUEL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-265114.23170012078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2147020</v>
      </c>
      <c r="E11" s="132">
        <f>D11*0.19</f>
        <v>407933.8</v>
      </c>
      <c r="F11" s="131">
        <f>E11+D11</f>
        <v>2554953.7999999998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-159124.23170012078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337172.49078743963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-177124.23170012078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1809847.5092125605</v>
      </c>
      <c r="E13" s="221">
        <f>(D11/D12)-1</f>
        <v>5.3677199613343456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-186124.23170012078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-225124.23170012078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556334.60979927541</v>
      </c>
      <c r="F15" s="216">
        <f>E15-D12</f>
        <v>219162.11901183578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-225124.23170012078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-185124.23170012078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236500</v>
      </c>
      <c r="E19" s="123">
        <f>D19*0.19</f>
        <v>44935</v>
      </c>
      <c r="F19" s="120">
        <f>SUM(D19:E19)</f>
        <v>281435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70838.400000000009</v>
      </c>
      <c r="E20" s="121">
        <f>D20*0.19</f>
        <v>13459.296000000002</v>
      </c>
      <c r="F20" s="120">
        <f>SUM(D20:E20)</f>
        <v>84297.696000000011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307338.40000000002</v>
      </c>
      <c r="E21" s="116">
        <f>SUM(E18:E20)</f>
        <v>58394.296000000002</v>
      </c>
      <c r="F21" s="115">
        <f>SUM(F18:F20)</f>
        <v>365732.696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349539.50399999996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2147020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307338.40000000002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1809847.5092125605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1809847.5092125605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2024-06-12T18:34:36Z</dcterms:modified>
</cp:coreProperties>
</file>