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6 JUNIO 2024\"/>
    </mc:Choice>
  </mc:AlternateContent>
  <xr:revisionPtr revIDLastSave="0" documentId="13_ncr:1_{B96DDA65-69A1-4C7B-863E-939ACE74568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9" i="1" l="1"/>
  <c r="N44" i="1"/>
  <c r="O32" i="1"/>
  <c r="L25" i="1"/>
  <c r="N25" i="1" s="1"/>
  <c r="O25" i="1" s="1"/>
  <c r="M25" i="1"/>
  <c r="L26" i="1"/>
  <c r="M26" i="1"/>
  <c r="N26" i="1" s="1"/>
  <c r="O26" i="1" s="1"/>
  <c r="L27" i="1"/>
  <c r="N27" i="1" s="1"/>
  <c r="O27" i="1" s="1"/>
  <c r="M27" i="1"/>
  <c r="H25" i="1"/>
  <c r="H26" i="1"/>
  <c r="H27" i="1"/>
  <c r="B28" i="1"/>
  <c r="K27" i="1"/>
  <c r="K26" i="1"/>
  <c r="K25" i="1"/>
  <c r="K22" i="1"/>
  <c r="L22" i="1"/>
  <c r="M22" i="1"/>
  <c r="K23" i="1"/>
  <c r="L23" i="1"/>
  <c r="M23" i="1"/>
  <c r="K24" i="1"/>
  <c r="L24" i="1"/>
  <c r="M24" i="1"/>
  <c r="H22" i="1"/>
  <c r="H23" i="1"/>
  <c r="H24" i="1"/>
  <c r="N22" i="1" l="1"/>
  <c r="R22" i="1"/>
  <c r="N24" i="1"/>
  <c r="N23" i="1"/>
  <c r="O23" i="1" s="1"/>
  <c r="R24" i="1"/>
  <c r="R23" i="1"/>
  <c r="O24" i="1"/>
  <c r="O22" i="1"/>
  <c r="K21" i="1"/>
  <c r="L21" i="1"/>
  <c r="L31" i="1" s="1"/>
  <c r="M21" i="1"/>
  <c r="R21" i="1" l="1"/>
  <c r="N21" i="1"/>
  <c r="O21" i="1" s="1"/>
  <c r="J45" i="1" l="1"/>
  <c r="N38" i="1" l="1"/>
  <c r="O33" i="1" l="1"/>
  <c r="O34" i="1" s="1"/>
  <c r="O35" i="1" s="1"/>
  <c r="S50" i="1"/>
  <c r="M20" i="1" l="1"/>
  <c r="K20" i="1"/>
  <c r="N39" i="1" l="1"/>
  <c r="Q43" i="1"/>
  <c r="Q44" i="1" s="1"/>
  <c r="N40" i="1" l="1"/>
  <c r="S43" i="1" l="1"/>
  <c r="S44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42" i="1"/>
  <c r="N41" i="1"/>
  <c r="F18" i="3" l="1"/>
  <c r="L37" i="1" l="1"/>
  <c r="N37" i="1" l="1"/>
  <c r="N43" i="1" s="1"/>
  <c r="S51" i="1"/>
  <c r="D20" i="3" l="1"/>
  <c r="E20" i="3" s="1"/>
  <c r="E21" i="3" s="1"/>
  <c r="N46" i="1" l="1"/>
  <c r="D21" i="3"/>
  <c r="M43" i="3" s="1"/>
  <c r="D12" i="3" s="1"/>
  <c r="F20" i="3"/>
  <c r="F21" i="3" s="1"/>
  <c r="N45" i="1" l="1"/>
  <c r="P20" i="1" s="1"/>
  <c r="E15" i="3"/>
  <c r="P25" i="1" l="1"/>
  <c r="Q25" i="1" s="1"/>
  <c r="P27" i="1"/>
  <c r="Q27" i="1" s="1"/>
  <c r="P26" i="1"/>
  <c r="Q26" i="1" s="1"/>
  <c r="P22" i="1"/>
  <c r="Q22" i="1" s="1"/>
  <c r="P23" i="1"/>
  <c r="Q23" i="1" s="1"/>
  <c r="P24" i="1"/>
  <c r="Q24" i="1" s="1"/>
  <c r="P21" i="1"/>
  <c r="F15" i="3"/>
  <c r="Q21" i="1" l="1"/>
  <c r="H21" i="1" s="1"/>
  <c r="R33" i="1"/>
  <c r="K15" i="1" l="1"/>
  <c r="H30" i="1" l="1"/>
  <c r="H31" i="1" s="1"/>
  <c r="D11" i="3" l="1"/>
  <c r="X9" i="3" s="1"/>
  <c r="X15" i="3" s="1"/>
  <c r="D13" i="3" l="1"/>
  <c r="X11" i="3"/>
  <c r="M42" i="3"/>
  <c r="M46" i="3" s="1"/>
  <c r="M49" i="3" s="1"/>
  <c r="X14" i="3"/>
  <c r="X13" i="3"/>
  <c r="X12" i="3"/>
  <c r="X16" i="3"/>
  <c r="E11" i="3"/>
  <c r="D40" i="3" s="1"/>
  <c r="E13" i="3"/>
  <c r="F11" i="3" l="1"/>
</calcChain>
</file>

<file path=xl/sharedStrings.xml><?xml version="1.0" encoding="utf-8"?>
<sst xmlns="http://schemas.openxmlformats.org/spreadsheetml/2006/main" count="231" uniqueCount="164">
  <si>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</si>
  <si>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</si>
  <si>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</si>
  <si>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</si>
  <si>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</si>
  <si>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</si>
  <si>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</si>
  <si>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</si>
  <si>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</si>
  <si>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</si>
  <si>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</si>
  <si>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</si>
  <si>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</si>
  <si>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</si>
  <si>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</si>
  <si>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</si>
  <si>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</si>
  <si>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</si>
  <si>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</si>
  <si>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</si>
  <si>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</si>
  <si>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</si>
  <si>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</si>
  <si>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TRASCARA ENCHAPADA, ES POR 2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</si>
  <si>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</si>
  <si>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</si>
  <si>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</si>
  <si>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</si>
  <si>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</si>
  <si>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</si>
  <si>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</si>
  <si>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</si>
  <si>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</si>
  <si>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</si>
  <si>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</si>
  <si>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</si>
  <si>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</si>
  <si>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</si>
  <si>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</si>
  <si>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</si>
  <si>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</si>
  <si>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</si>
  <si>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</si>
  <si>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</si>
  <si>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</si>
  <si>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</si>
  <si>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</si>
  <si>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</si>
  <si>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</si>
  <si>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</si>
  <si>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</si>
  <si>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</si>
  <si>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</si>
  <si>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</si>
  <si>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</si>
  <si>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</si>
  <si>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</si>
  <si>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</si>
  <si>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</si>
  <si>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</si>
  <si>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</si>
  <si>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</si>
  <si>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</si>
  <si>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</si>
  <si>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</si>
  <si>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</si>
  <si>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</si>
  <si>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</si>
  <si>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</si>
  <si>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</si>
  <si>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</si>
  <si>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</si>
  <si>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</si>
  <si>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</si>
  <si>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</si>
  <si>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</si>
  <si>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</si>
  <si>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</si>
  <si>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</si>
  <si>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</si>
  <si>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</si>
  <si>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</si>
  <si>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</si>
  <si>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</si>
  <si>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</si>
  <si>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</si>
  <si>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</si>
  <si>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</si>
  <si>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</si>
  <si>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</si>
  <si>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</si>
  <si>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</si>
  <si>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</si>
  <si>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</si>
  <si>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</si>
  <si>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</si>
  <si>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</si>
  <si>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</si>
  <si>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</si>
  <si>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</si>
  <si>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</si>
  <si>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</si>
  <si>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</si>
  <si>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</si>
  <si>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</si>
  <si>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</si>
  <si>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</si>
  <si>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</si>
  <si>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</si>
  <si>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</si>
  <si>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</si>
  <si>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</si>
  <si>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</si>
  <si>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</si>
  <si>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</si>
  <si>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</si>
  <si>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</si>
  <si>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</si>
  <si>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</si>
  <si>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</si>
  <si>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</si>
  <si>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</si>
  <si>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</si>
  <si>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</si>
  <si>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</si>
  <si>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</si>
  <si>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</si>
  <si>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</si>
  <si>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</si>
  <si>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</si>
  <si>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</si>
  <si>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</si>
  <si>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</si>
  <si>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</si>
  <si>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</si>
  <si>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</si>
  <si>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</si>
  <si>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</si>
  <si>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</si>
  <si>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</si>
  <si>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</si>
  <si>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</si>
  <si>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</si>
  <si>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</si>
  <si>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</si>
  <si>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</si>
  <si>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</si>
  <si>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</si>
  <si>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</si>
  <si>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</si>
  <si>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</si>
  <si>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</si>
  <si>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t>MDF25MM</t>
  </si>
  <si>
    <t>SANTIAGO</t>
  </si>
  <si>
    <t>DURACION COTIZACION: 5 DIAS                   FERNANDO DONOSO</t>
  </si>
  <si>
    <r>
      <t xml:space="preserve">CHEQUERA ELECTRONICA </t>
    </r>
    <r>
      <rPr>
        <b/>
        <sz val="9"/>
        <color rgb="FFFF0000"/>
        <rFont val="Calibri"/>
        <family val="2"/>
        <scheme val="minor"/>
      </rPr>
      <t>DEL</t>
    </r>
    <r>
      <rPr>
        <b/>
        <sz val="11"/>
        <color rgb="FFFF0000"/>
        <rFont val="Calibri"/>
        <family val="2"/>
        <scheme val="minor"/>
      </rPr>
      <t xml:space="preserve"> BANCO ESTADO N° 35571389078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FE.</t>
    </r>
  </si>
  <si>
    <t>RUT : 77.054.606 - 0, VENTAS@TOPMOBILI.CL</t>
  </si>
  <si>
    <t>ABONO 50%, SALDO C/ENTREGA</t>
  </si>
  <si>
    <t xml:space="preserve">+569 </t>
  </si>
  <si>
    <t>FRANCISCO MORENO</t>
  </si>
  <si>
    <t>7 DIAS HABILES</t>
  </si>
  <si>
    <t>N° 10980</t>
  </si>
  <si>
    <t xml:space="preserve">VAINILLA BRILLO 2109 </t>
  </si>
  <si>
    <t>PR6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</si>
</sst>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</numFmts>
  <fonts count="38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rgb="FF000000"/>
      <name val="Segoe UI"/>
      <family val="2"/>
    </font>
    <font>
      <sz val="1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39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8" fillId="8" borderId="47" xfId="0" applyFont="1" applyFill="1" applyBorder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6" fillId="0" borderId="0" xfId="0" applyFont="1"/>
    <xf numFmtId="167" fontId="32" fillId="0" borderId="0" xfId="0" applyNumberFormat="1" applyFont="1"/>
    <xf numFmtId="167" fontId="0" fillId="0" borderId="0" xfId="0" applyNumberFormat="1" applyAlignment="1">
      <alignment horizontal="center"/>
    </xf>
    <xf numFmtId="0" fontId="24" fillId="20" borderId="3" xfId="0" applyFont="1" applyFill="1" applyBorder="1" applyAlignment="1">
      <alignment horizontal="center"/>
    </xf>
    <xf numFmtId="0" fontId="35" fillId="0" borderId="0" xfId="3" quotePrefix="1" applyFont="1" applyFill="1" applyBorder="1" applyAlignment="1">
      <alignment horizontal="left"/>
    </xf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32" fillId="0" borderId="28" xfId="0" applyFont="1" applyBorder="1" applyAlignment="1">
      <alignment horizontal="center" vertical="center"/>
    </xf>
    <xf numFmtId="0" fontId="32" fillId="0" borderId="36" xfId="0" applyFont="1" applyBorder="1" applyAlignment="1">
      <alignment horizontal="center" vertical="center"/>
    </xf>
    <xf numFmtId="166" fontId="32" fillId="0" borderId="36" xfId="0" applyNumberFormat="1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167" fontId="11" fillId="0" borderId="0" xfId="2" applyNumberFormat="1" applyFont="1" applyFill="1" applyBorder="1" applyAlignment="1">
      <alignment horizontal="center" vertical="center"/>
    </xf>
    <xf numFmtId="0" fontId="37" fillId="0" borderId="36" xfId="0" applyFont="1" applyBorder="1" applyAlignment="1">
      <alignment horizontal="center" vertical="center"/>
    </xf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167" fontId="0" fillId="7" borderId="0" xfId="0" applyNumberFormat="1" applyFill="1"/>
    <xf numFmtId="166" fontId="3" fillId="7" borderId="0" xfId="0" applyNumberFormat="1" applyFont="1" applyFill="1"/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32</xdr:row>
      <xdr:rowOff>5249</xdr:rowOff>
    </xdr:from>
    <xdr:to>
      <xdr:col>8</xdr:col>
      <xdr:colOff>7776</xdr:colOff>
      <xdr:row>35</xdr:row>
      <xdr:rowOff>5250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054137" y="5735800"/>
          <a:ext cx="2012108" cy="653144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34</xdr:row>
      <xdr:rowOff>154305</xdr:rowOff>
    </xdr:from>
    <xdr:to>
      <xdr:col>7</xdr:col>
      <xdr:colOff>853440</xdr:colOff>
      <xdr:row>34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9528</xdr:colOff>
      <xdr:row>32</xdr:row>
      <xdr:rowOff>9525</xdr:rowOff>
    </xdr:from>
    <xdr:to>
      <xdr:col>5</xdr:col>
      <xdr:colOff>1679511</xdr:colOff>
      <xdr:row>35</xdr:row>
      <xdr:rowOff>7775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421630" y="5522362"/>
          <a:ext cx="6832922" cy="651393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4977</xdr:colOff>
      <xdr:row>27</xdr:row>
      <xdr:rowOff>225489</xdr:rowOff>
    </xdr:from>
    <xdr:to>
      <xdr:col>5</xdr:col>
      <xdr:colOff>1656183</xdr:colOff>
      <xdr:row>31</xdr:row>
      <xdr:rowOff>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17079" y="5069632"/>
          <a:ext cx="6814145" cy="660919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PUERTAS SE</a:t>
          </a:r>
          <a:r>
            <a:rPr lang="es-CL" sz="1200" b="1" baseline="0"/>
            <a:t> ENTREGAN CORTADAS A LA MEDIDA</a:t>
          </a:r>
        </a:p>
        <a:p>
          <a:pPr algn="l"/>
          <a:r>
            <a:rPr lang="es-CL" sz="1200" b="1" u="dbl" baseline="0">
              <a:solidFill>
                <a:srgbClr val="FF0000"/>
              </a:solidFill>
            </a:rPr>
            <a:t>SUSTRATO: MDF MELAMIL 18MM </a:t>
          </a:r>
        </a:p>
      </xdr:txBody>
    </xdr:sp>
    <xdr:clientData/>
  </xdr:twoCellAnchor>
  <xdr:twoCellAnchor editAs="oneCell">
    <xdr:from>
      <xdr:col>1</xdr:col>
      <xdr:colOff>16328</xdr:colOff>
      <xdr:row>0</xdr:row>
      <xdr:rowOff>38255</xdr:rowOff>
    </xdr:from>
    <xdr:to>
      <xdr:col>2</xdr:col>
      <xdr:colOff>810472</xdr:colOff>
      <xdr:row>6</xdr:row>
      <xdr:rowOff>59210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8430" y="38255"/>
          <a:ext cx="1517266" cy="115617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X588"/>
  <sheetViews>
    <sheetView tabSelected="1" topLeftCell="A3" zoomScale="98" zoomScaleNormal="98" workbookViewId="0">
      <selection activeCell="G11" sqref="G11"/>
    </sheetView>
  </sheetViews>
  <sheetFormatPr baseColWidth="10" defaultRowHeight="14.4" x14ac:dyDescent="0.3"/>
  <cols>
    <col min="1" max="1" width="6" customWidth="1"/>
    <col min="2" max="2" width="10.5546875" customWidth="1"/>
    <col min="3" max="3" width="24.77734375" customWidth="1"/>
    <col min="4" max="4" width="11.109375" customWidth="1"/>
    <col min="5" max="5" width="10.5546875" customWidth="1"/>
    <col min="6" max="6" width="25.55468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8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1" t="s">
        <v>144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140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145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126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0" t="s">
        <v>128</v>
      </c>
      <c r="C8" s="301"/>
      <c r="D8" s="313" t="s">
        <v>161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242" t="s">
        <v>2</v>
      </c>
      <c r="C10" s="278" t="s">
        <v>159</v>
      </c>
      <c r="D10" s="243"/>
      <c r="E10" s="243"/>
      <c r="F10" s="244" t="s">
        <v>0</v>
      </c>
      <c r="G10" s="276">
        <v>45498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7" t="s">
        <v>12</v>
      </c>
      <c r="C11" s="310"/>
      <c r="F11" t="s">
        <v>125</v>
      </c>
      <c r="G11" s="288" t="s">
        <v>160</v>
      </c>
      <c r="H11" s="289"/>
      <c r="P11" s="19"/>
      <c r="Q11" s="25" t="s">
        <v>19</v>
      </c>
      <c r="R11" s="19"/>
    </row>
    <row r="12" spans="2:23" ht="16.8" x14ac:dyDescent="0.4">
      <c r="B12" s="246" t="s">
        <v>146</v>
      </c>
      <c r="C12" s="310"/>
      <c r="D12" s="247"/>
      <c r="E12" s="247"/>
      <c r="F12" s="247" t="s">
        <v>129</v>
      </c>
      <c r="G12" s="277" t="s">
        <v>137</v>
      </c>
      <c r="H12" s="248"/>
      <c r="P12" s="19"/>
      <c r="Q12" s="25"/>
      <c r="R12" s="19"/>
    </row>
    <row r="13" spans="2:23" x14ac:dyDescent="0.3">
      <c r="B13" s="246" t="s">
        <v>147</v>
      </c>
      <c r="D13" s="247"/>
      <c r="E13" s="247"/>
      <c r="F13" s="247"/>
      <c r="G13" s="277"/>
      <c r="H13" s="248"/>
      <c r="L13">
        <v>32.979999999999997</v>
      </c>
      <c r="M13" t="s">
        <v>17</v>
      </c>
      <c r="P13" s="19"/>
      <c r="Q13" s="25"/>
      <c r="R13" s="19"/>
    </row>
    <row r="14" spans="2:23" x14ac:dyDescent="0.3">
      <c r="B14" s="287" t="s">
        <v>141</v>
      </c>
      <c r="C14" s="305"/>
      <c r="F14" s="29" t="s">
        <v>138</v>
      </c>
      <c r="G14" s="290" t="s">
        <v>137</v>
      </c>
      <c r="H14" s="289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14" t="s">
        <v>158</v>
      </c>
      <c r="D15" s="294"/>
      <c r="E15" s="247"/>
      <c r="F15" s="247" t="s">
        <v>136</v>
      </c>
      <c r="G15" s="295" t="s">
        <v>137</v>
      </c>
      <c r="H15" s="248"/>
      <c r="K15" s="18">
        <f>H29/L13</f>
        <v>9877.5924802910868</v>
      </c>
    </row>
    <row r="16" spans="2:23" ht="16.8" x14ac:dyDescent="0.4">
      <c r="B16" s="291" t="s">
        <v>3</v>
      </c>
      <c r="C16" s="310"/>
      <c r="F16" s="292" t="s">
        <v>131</v>
      </c>
      <c r="G16" s="293" t="s">
        <v>157</v>
      </c>
      <c r="H16" s="289"/>
    </row>
    <row r="17" spans="2:24" ht="15" thickBot="1" x14ac:dyDescent="0.35">
      <c r="B17" s="296" t="s">
        <v>13</v>
      </c>
      <c r="C17" s="297" t="s">
        <v>153</v>
      </c>
      <c r="D17" s="298"/>
      <c r="E17" s="299"/>
      <c r="F17" s="325" t="s">
        <v>154</v>
      </c>
      <c r="G17" s="325"/>
      <c r="H17" s="326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thickBot="1" x14ac:dyDescent="0.35">
      <c r="B19" s="327" t="s">
        <v>148</v>
      </c>
      <c r="C19" s="328"/>
      <c r="D19" s="328"/>
      <c r="E19" s="328"/>
      <c r="F19" s="328"/>
      <c r="G19" s="328"/>
      <c r="H19" s="329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135</v>
      </c>
      <c r="R19" s="10" t="s">
        <v>139</v>
      </c>
      <c r="T19" s="9"/>
      <c r="U19" s="9"/>
      <c r="W19" s="6"/>
      <c r="X19" s="6"/>
    </row>
    <row r="20" spans="2:24" ht="18" thickBot="1" x14ac:dyDescent="0.35">
      <c r="B20" s="315" t="s">
        <v>7</v>
      </c>
      <c r="C20" s="316" t="s">
        <v>1</v>
      </c>
      <c r="D20" s="316" t="s">
        <v>10</v>
      </c>
      <c r="E20" s="316" t="s">
        <v>11</v>
      </c>
      <c r="F20" s="316" t="s">
        <v>8</v>
      </c>
      <c r="G20" s="316" t="s">
        <v>5</v>
      </c>
      <c r="H20" s="317" t="s">
        <v>6</v>
      </c>
      <c r="I20" s="265"/>
      <c r="J20" s="47"/>
      <c r="K20" s="268" t="str">
        <f t="shared" ref="K20" si="0">B20</f>
        <v>UNIDAD</v>
      </c>
      <c r="L20" s="267" t="s">
        <v>133</v>
      </c>
      <c r="M20" s="39" t="str">
        <f>E20</f>
        <v>ANCHO</v>
      </c>
      <c r="N20" s="261" t="s">
        <v>134</v>
      </c>
      <c r="O20" s="259" t="s">
        <v>17</v>
      </c>
      <c r="P20" s="252">
        <f>N45</f>
        <v>58803.615384615376</v>
      </c>
      <c r="Q20" s="258">
        <v>3000</v>
      </c>
      <c r="R20" s="38"/>
      <c r="S20" s="14" t="s">
        <v>130</v>
      </c>
      <c r="T20" s="9"/>
      <c r="W20" s="4"/>
    </row>
    <row r="21" spans="2:24" ht="18" thickBot="1" x14ac:dyDescent="0.35">
      <c r="B21" s="318">
        <v>1</v>
      </c>
      <c r="C21" s="324" t="s">
        <v>163</v>
      </c>
      <c r="D21" s="320">
        <v>0.75</v>
      </c>
      <c r="E21" s="320">
        <v>0.315</v>
      </c>
      <c r="F21" s="319" t="s">
        <v>162</v>
      </c>
      <c r="G21" s="321">
        <v>17819</v>
      </c>
      <c r="H21" s="322">
        <f t="shared" ref="H21" si="1">G21*B21</f>
        <v>17819</v>
      </c>
      <c r="I21" s="265"/>
      <c r="J21" s="47"/>
      <c r="K21" s="337">
        <f t="shared" ref="K21" si="2">B21</f>
        <v>1</v>
      </c>
      <c r="L21" s="338">
        <f t="shared" ref="L21" si="3">D21+L$19</f>
        <v>0.8</v>
      </c>
      <c r="M21" s="39">
        <f t="shared" ref="M21" si="4">E21+M$19</f>
        <v>0.315</v>
      </c>
      <c r="N21" s="261">
        <f t="shared" ref="N21" si="5">L21*M21</f>
        <v>0.252</v>
      </c>
      <c r="O21" s="259">
        <f t="shared" ref="O21" si="6">N21*K21</f>
        <v>0.252</v>
      </c>
      <c r="P21" s="252">
        <f t="shared" ref="P21" si="7">P$20*N21</f>
        <v>14818.511076923074</v>
      </c>
      <c r="Q21" s="258">
        <f t="shared" ref="Q21" si="8">P21+Q$20</f>
        <v>17818.511076923074</v>
      </c>
      <c r="R21" s="307">
        <f t="shared" ref="R21" si="9">K21*L21</f>
        <v>0.8</v>
      </c>
      <c r="S21" s="14"/>
      <c r="T21" s="9"/>
      <c r="W21" s="4"/>
    </row>
    <row r="22" spans="2:24" ht="18" thickBot="1" x14ac:dyDescent="0.35">
      <c r="B22" s="318">
        <v>1</v>
      </c>
      <c r="C22" s="324" t="s">
        <v>163</v>
      </c>
      <c r="D22" s="320">
        <v>0.75</v>
      </c>
      <c r="E22" s="320">
        <v>0.45300000000000001</v>
      </c>
      <c r="F22" s="319" t="s">
        <v>162</v>
      </c>
      <c r="G22" s="321">
        <v>24310</v>
      </c>
      <c r="H22" s="322">
        <f t="shared" ref="H22:H24" si="10">G22*B22</f>
        <v>24310</v>
      </c>
      <c r="I22" s="265"/>
      <c r="J22" s="47"/>
      <c r="K22" s="337">
        <f t="shared" ref="K22:K27" si="11">B22</f>
        <v>1</v>
      </c>
      <c r="L22" s="338">
        <f t="shared" ref="L22:L24" si="12">D22+L$19</f>
        <v>0.8</v>
      </c>
      <c r="M22" s="39">
        <f t="shared" ref="M22:M24" si="13">E22+M$19</f>
        <v>0.45300000000000001</v>
      </c>
      <c r="N22" s="261">
        <f t="shared" ref="N22:N24" si="14">L22*M22</f>
        <v>0.36240000000000006</v>
      </c>
      <c r="O22" s="259">
        <f t="shared" ref="O22:O24" si="15">N22*K22</f>
        <v>0.36240000000000006</v>
      </c>
      <c r="P22" s="252">
        <f t="shared" ref="P22:P24" si="16">P$20*N22</f>
        <v>21310.430215384615</v>
      </c>
      <c r="Q22" s="258">
        <f t="shared" ref="Q22:Q24" si="17">P22+Q$20</f>
        <v>24310.430215384615</v>
      </c>
      <c r="R22" s="307">
        <f t="shared" ref="R22:R24" si="18">K22*L22</f>
        <v>0.8</v>
      </c>
      <c r="S22" s="14"/>
      <c r="T22" s="9"/>
      <c r="W22" s="4"/>
    </row>
    <row r="23" spans="2:24" ht="18" thickBot="1" x14ac:dyDescent="0.35">
      <c r="B23" s="318">
        <v>4</v>
      </c>
      <c r="C23" s="324" t="s">
        <v>163</v>
      </c>
      <c r="D23" s="320">
        <v>0.75</v>
      </c>
      <c r="E23" s="320">
        <v>0.34699999999999998</v>
      </c>
      <c r="F23" s="319" t="s">
        <v>162</v>
      </c>
      <c r="G23" s="321">
        <v>19324</v>
      </c>
      <c r="H23" s="322">
        <f t="shared" si="10"/>
        <v>77296</v>
      </c>
      <c r="I23" s="265"/>
      <c r="J23" s="47"/>
      <c r="K23" s="337">
        <f t="shared" si="11"/>
        <v>4</v>
      </c>
      <c r="L23" s="338">
        <f t="shared" si="12"/>
        <v>0.8</v>
      </c>
      <c r="M23" s="39">
        <f t="shared" si="13"/>
        <v>0.34699999999999998</v>
      </c>
      <c r="N23" s="261">
        <f t="shared" si="14"/>
        <v>0.27760000000000001</v>
      </c>
      <c r="O23" s="259">
        <f t="shared" si="15"/>
        <v>1.1104000000000001</v>
      </c>
      <c r="P23" s="252">
        <f t="shared" si="16"/>
        <v>16323.883630769229</v>
      </c>
      <c r="Q23" s="258">
        <f t="shared" si="17"/>
        <v>19323.883630769229</v>
      </c>
      <c r="R23" s="307">
        <f t="shared" si="18"/>
        <v>3.2</v>
      </c>
      <c r="S23" s="14"/>
      <c r="T23" s="9"/>
      <c r="W23" s="4"/>
    </row>
    <row r="24" spans="2:24" ht="18" thickBot="1" x14ac:dyDescent="0.35">
      <c r="B24" s="318">
        <v>3</v>
      </c>
      <c r="C24" s="324" t="s">
        <v>163</v>
      </c>
      <c r="D24" s="320">
        <v>0.75</v>
      </c>
      <c r="E24" s="320">
        <v>0.64700000000000002</v>
      </c>
      <c r="F24" s="319" t="s">
        <v>162</v>
      </c>
      <c r="G24" s="321">
        <v>33437</v>
      </c>
      <c r="H24" s="322">
        <f t="shared" si="10"/>
        <v>100311</v>
      </c>
      <c r="I24" s="265"/>
      <c r="J24" s="47"/>
      <c r="K24" s="47">
        <f t="shared" si="11"/>
        <v>3</v>
      </c>
      <c r="L24" s="39">
        <f t="shared" si="12"/>
        <v>0.8</v>
      </c>
      <c r="M24" s="39">
        <f t="shared" si="13"/>
        <v>0.64700000000000002</v>
      </c>
      <c r="N24" s="261">
        <f t="shared" si="14"/>
        <v>0.51760000000000006</v>
      </c>
      <c r="O24" s="259">
        <f t="shared" si="15"/>
        <v>1.5528000000000002</v>
      </c>
      <c r="P24" s="252">
        <f t="shared" si="16"/>
        <v>30436.751323076922</v>
      </c>
      <c r="Q24" s="258">
        <f t="shared" si="17"/>
        <v>33436.751323076925</v>
      </c>
      <c r="R24" s="307">
        <f t="shared" si="18"/>
        <v>2.4000000000000004</v>
      </c>
      <c r="S24" s="14"/>
      <c r="T24" s="9"/>
      <c r="W24" s="4"/>
    </row>
    <row r="25" spans="2:24" ht="18" thickBot="1" x14ac:dyDescent="0.35">
      <c r="B25" s="318">
        <v>3</v>
      </c>
      <c r="C25" s="324" t="s">
        <v>163</v>
      </c>
      <c r="D25" s="320">
        <v>0.75</v>
      </c>
      <c r="E25" s="320">
        <v>0.497</v>
      </c>
      <c r="F25" s="319" t="s">
        <v>162</v>
      </c>
      <c r="G25" s="321">
        <v>26380</v>
      </c>
      <c r="H25" s="322">
        <f t="shared" ref="H25:H27" si="19">G25*B25</f>
        <v>79140</v>
      </c>
      <c r="I25" s="265"/>
      <c r="J25" s="47"/>
      <c r="K25" s="47">
        <f t="shared" si="11"/>
        <v>3</v>
      </c>
      <c r="L25" s="39">
        <f t="shared" ref="L25:L27" si="20">D25+L$19</f>
        <v>0.8</v>
      </c>
      <c r="M25" s="39">
        <f t="shared" ref="M25:M27" si="21">E25+M$19</f>
        <v>0.497</v>
      </c>
      <c r="N25" s="261">
        <f t="shared" ref="N25:N27" si="22">L25*M25</f>
        <v>0.39760000000000001</v>
      </c>
      <c r="O25" s="259">
        <f t="shared" ref="O25:O27" si="23">N25*K25</f>
        <v>1.1928000000000001</v>
      </c>
      <c r="P25" s="252">
        <f t="shared" ref="P25:P27" si="24">P$20*N25</f>
        <v>23380.317476923075</v>
      </c>
      <c r="Q25" s="258">
        <f t="shared" ref="Q25:Q27" si="25">P25+Q$20</f>
        <v>26380.317476923075</v>
      </c>
      <c r="R25" s="307"/>
      <c r="S25" s="14"/>
      <c r="T25" s="9"/>
      <c r="W25" s="4"/>
    </row>
    <row r="26" spans="2:24" ht="18" thickBot="1" x14ac:dyDescent="0.35">
      <c r="B26" s="318">
        <v>1</v>
      </c>
      <c r="C26" s="324" t="s">
        <v>163</v>
      </c>
      <c r="D26" s="320">
        <v>0.75</v>
      </c>
      <c r="E26" s="320">
        <v>0.29699999999999999</v>
      </c>
      <c r="F26" s="319" t="s">
        <v>162</v>
      </c>
      <c r="G26" s="321">
        <v>16972</v>
      </c>
      <c r="H26" s="322">
        <f t="shared" si="19"/>
        <v>16972</v>
      </c>
      <c r="I26" s="265"/>
      <c r="J26" s="47"/>
      <c r="K26" s="47">
        <f t="shared" si="11"/>
        <v>1</v>
      </c>
      <c r="L26" s="39">
        <f t="shared" si="20"/>
        <v>0.8</v>
      </c>
      <c r="M26" s="39">
        <f t="shared" si="21"/>
        <v>0.29699999999999999</v>
      </c>
      <c r="N26" s="261">
        <f t="shared" si="22"/>
        <v>0.23760000000000001</v>
      </c>
      <c r="O26" s="259">
        <f t="shared" si="23"/>
        <v>0.23760000000000001</v>
      </c>
      <c r="P26" s="252">
        <f t="shared" si="24"/>
        <v>13971.739015384614</v>
      </c>
      <c r="Q26" s="258">
        <f t="shared" si="25"/>
        <v>16971.739015384614</v>
      </c>
      <c r="R26" s="307"/>
      <c r="S26" s="14"/>
      <c r="T26" s="9"/>
      <c r="W26" s="4"/>
    </row>
    <row r="27" spans="2:24" ht="17.399999999999999" x14ac:dyDescent="0.3">
      <c r="B27" s="318">
        <v>1</v>
      </c>
      <c r="C27" s="324" t="s">
        <v>163</v>
      </c>
      <c r="D27" s="320">
        <v>0.75</v>
      </c>
      <c r="E27" s="320">
        <v>0.14699999999999999</v>
      </c>
      <c r="F27" s="319" t="s">
        <v>162</v>
      </c>
      <c r="G27" s="321">
        <v>9915</v>
      </c>
      <c r="H27" s="322">
        <f t="shared" si="19"/>
        <v>9915</v>
      </c>
      <c r="I27" s="265"/>
      <c r="J27" s="47"/>
      <c r="K27" s="47">
        <f t="shared" si="11"/>
        <v>1</v>
      </c>
      <c r="L27" s="39">
        <f t="shared" si="20"/>
        <v>0.8</v>
      </c>
      <c r="M27" s="39">
        <f t="shared" si="21"/>
        <v>0.14699999999999999</v>
      </c>
      <c r="N27" s="261">
        <f t="shared" si="22"/>
        <v>0.1176</v>
      </c>
      <c r="O27" s="259">
        <f t="shared" si="23"/>
        <v>0.1176</v>
      </c>
      <c r="P27" s="252">
        <f t="shared" si="24"/>
        <v>6915.3051692307681</v>
      </c>
      <c r="Q27" s="258">
        <f t="shared" si="25"/>
        <v>9915.3051692307672</v>
      </c>
      <c r="R27" s="307"/>
      <c r="S27" s="14"/>
      <c r="T27" s="9"/>
      <c r="W27" s="4"/>
    </row>
    <row r="28" spans="2:24" ht="18" thickBot="1" x14ac:dyDescent="0.35">
      <c r="B28" s="285">
        <f>SUM(B21:B27)</f>
        <v>14</v>
      </c>
      <c r="C28" s="285"/>
      <c r="D28" s="286"/>
      <c r="E28" s="286"/>
      <c r="F28" s="285"/>
      <c r="G28" s="323"/>
      <c r="H28" s="323"/>
      <c r="I28" s="232"/>
      <c r="J28" s="47">
        <v>302320</v>
      </c>
      <c r="K28" s="47"/>
      <c r="L28" s="39"/>
      <c r="M28" s="39"/>
      <c r="N28" s="261"/>
      <c r="O28" s="259"/>
      <c r="P28" s="252"/>
      <c r="Q28" s="258"/>
      <c r="R28" s="307"/>
      <c r="S28" s="14"/>
      <c r="T28" s="9"/>
      <c r="W28" s="4"/>
    </row>
    <row r="29" spans="2:24" ht="17.399999999999999" x14ac:dyDescent="0.3">
      <c r="B29" s="285"/>
      <c r="C29" s="285"/>
      <c r="D29" s="286"/>
      <c r="E29" s="286"/>
      <c r="F29" s="285"/>
      <c r="G29" s="308" t="s">
        <v>30</v>
      </c>
      <c r="H29" s="309">
        <f>SUM(H21:H27)</f>
        <v>325763</v>
      </c>
      <c r="I29" s="232"/>
      <c r="J29" s="47"/>
      <c r="K29" s="47"/>
      <c r="L29" s="39"/>
      <c r="M29" s="39"/>
      <c r="N29" s="261"/>
      <c r="O29" s="259"/>
      <c r="P29" s="252"/>
      <c r="Q29" s="258"/>
      <c r="R29" s="307"/>
      <c r="S29" s="14"/>
      <c r="T29" s="9"/>
      <c r="W29" s="4"/>
    </row>
    <row r="30" spans="2:24" ht="17.399999999999999" x14ac:dyDescent="0.3">
      <c r="B30" s="279"/>
      <c r="C30" s="282"/>
      <c r="D30" s="283"/>
      <c r="E30" s="283"/>
      <c r="F30" s="284"/>
      <c r="G30" s="306" t="s">
        <v>53</v>
      </c>
      <c r="H30" s="303">
        <f>H29*0.19</f>
        <v>61894.97</v>
      </c>
      <c r="I30" s="232"/>
      <c r="J30" s="47"/>
      <c r="K30" s="47"/>
      <c r="L30" s="39"/>
      <c r="M30" s="39"/>
      <c r="N30" s="261"/>
      <c r="O30" s="259"/>
      <c r="P30" s="252"/>
      <c r="Q30" s="258"/>
      <c r="R30" s="307"/>
      <c r="S30" s="14"/>
      <c r="T30" s="9"/>
      <c r="W30" s="4"/>
    </row>
    <row r="31" spans="2:24" ht="18" thickBot="1" x14ac:dyDescent="0.35">
      <c r="B31" s="275"/>
      <c r="C31" s="281"/>
      <c r="D31" s="272"/>
      <c r="E31" s="272"/>
      <c r="F31" s="273"/>
      <c r="G31" s="280" t="s">
        <v>6</v>
      </c>
      <c r="H31" s="304">
        <f>H29+H30</f>
        <v>387657.97</v>
      </c>
      <c r="I31" s="265"/>
      <c r="J31" s="47"/>
      <c r="K31" s="47"/>
      <c r="L31" s="39">
        <f>SUM(L21:L21)*2</f>
        <v>1.6</v>
      </c>
      <c r="M31" s="39"/>
      <c r="N31" s="261"/>
      <c r="O31" s="259"/>
      <c r="P31" s="252"/>
      <c r="Q31" s="258"/>
      <c r="R31" s="307"/>
      <c r="S31" s="14"/>
      <c r="T31" s="9"/>
      <c r="W31" s="4"/>
    </row>
    <row r="32" spans="2:24" ht="17.399999999999999" x14ac:dyDescent="0.3">
      <c r="B32" s="275"/>
      <c r="C32" s="271"/>
      <c r="D32" s="272"/>
      <c r="E32" s="272"/>
      <c r="F32" s="273"/>
      <c r="I32" s="265"/>
      <c r="J32" s="47"/>
      <c r="K32" s="47"/>
      <c r="L32" s="39"/>
      <c r="M32" s="12"/>
      <c r="N32" s="12"/>
      <c r="O32" s="253">
        <f>SUM(O21:O28)</f>
        <v>4.8256000000000006</v>
      </c>
      <c r="P32" s="14"/>
      <c r="Q32" s="12"/>
      <c r="R32" s="238"/>
      <c r="S32" s="14"/>
      <c r="T32" s="9"/>
      <c r="W32" s="4"/>
    </row>
    <row r="33" spans="1:23" ht="17.399999999999999" x14ac:dyDescent="0.35">
      <c r="B33" s="269"/>
      <c r="C33" s="230"/>
      <c r="D33" s="230"/>
      <c r="E33" s="232"/>
      <c r="F33" s="233"/>
      <c r="G33" s="230"/>
      <c r="H33" s="274"/>
      <c r="I33" s="265"/>
      <c r="J33" s="47"/>
      <c r="K33" s="47"/>
      <c r="L33" s="39"/>
      <c r="M33" s="12"/>
      <c r="N33" s="12"/>
      <c r="O33" s="253">
        <f>O32</f>
        <v>4.8256000000000006</v>
      </c>
      <c r="P33" s="14"/>
      <c r="Q33" s="12"/>
      <c r="R33" s="238">
        <f>SUM(R21:R32)</f>
        <v>7.2000000000000011</v>
      </c>
      <c r="S33" s="14"/>
      <c r="T33" s="9"/>
      <c r="W33" s="4"/>
    </row>
    <row r="34" spans="1:23" ht="17.399999999999999" x14ac:dyDescent="0.35">
      <c r="B34" s="234"/>
      <c r="C34" s="235"/>
      <c r="D34" s="236"/>
      <c r="E34" s="234"/>
      <c r="F34" s="230"/>
      <c r="G34" s="230"/>
      <c r="I34" s="265"/>
      <c r="J34" s="47"/>
      <c r="K34" s="47"/>
      <c r="L34" s="14"/>
      <c r="M34" s="12"/>
      <c r="N34" s="12"/>
      <c r="O34" s="39">
        <f>O33*0.2</f>
        <v>0.9651200000000002</v>
      </c>
      <c r="P34" s="39" t="s">
        <v>132</v>
      </c>
      <c r="Q34" s="42"/>
      <c r="R34" s="239"/>
      <c r="S34" s="14"/>
      <c r="T34" s="9"/>
      <c r="W34" s="4"/>
    </row>
    <row r="35" spans="1:23" ht="17.399999999999999" x14ac:dyDescent="0.35">
      <c r="B35" s="230"/>
      <c r="C35" s="230"/>
      <c r="D35" s="230"/>
      <c r="E35" s="230"/>
      <c r="F35" s="230"/>
      <c r="G35" s="230"/>
      <c r="I35" s="265"/>
      <c r="J35" s="312"/>
      <c r="K35" s="47"/>
      <c r="L35" s="14"/>
      <c r="M35" s="12"/>
      <c r="N35" s="12"/>
      <c r="O35" s="46">
        <f>O33+O34</f>
        <v>5.7907200000000003</v>
      </c>
      <c r="P35" s="14"/>
      <c r="Q35" s="14"/>
      <c r="R35" s="237">
        <v>40</v>
      </c>
      <c r="S35" s="14"/>
      <c r="T35" s="9"/>
      <c r="W35" s="4"/>
    </row>
    <row r="36" spans="1:23" ht="17.399999999999999" x14ac:dyDescent="0.35">
      <c r="A36" s="230"/>
      <c r="B36" s="230"/>
      <c r="C36" s="230"/>
      <c r="D36" s="230"/>
      <c r="E36" s="230"/>
      <c r="F36" s="230"/>
      <c r="G36" s="230"/>
      <c r="H36" s="230"/>
      <c r="J36" s="312"/>
      <c r="K36" s="47"/>
      <c r="L36" s="14"/>
      <c r="M36" s="14"/>
      <c r="N36" s="14"/>
      <c r="O36" s="14"/>
      <c r="P36" s="14"/>
      <c r="Q36" s="14"/>
      <c r="R36" s="237"/>
      <c r="S36" s="14"/>
      <c r="T36" s="9"/>
      <c r="W36" s="4"/>
    </row>
    <row r="37" spans="1:23" ht="17.399999999999999" x14ac:dyDescent="0.35">
      <c r="A37" s="230"/>
      <c r="B37" s="24" t="s">
        <v>155</v>
      </c>
      <c r="C37" s="230"/>
      <c r="D37" s="230"/>
      <c r="E37" s="230"/>
      <c r="F37" s="230"/>
      <c r="G37" s="230"/>
      <c r="H37" s="230"/>
      <c r="I37" s="265"/>
      <c r="J37" s="47"/>
      <c r="K37" s="47"/>
      <c r="L37" s="39">
        <f>O35</f>
        <v>5.7907200000000003</v>
      </c>
      <c r="M37" s="12">
        <v>3500</v>
      </c>
      <c r="N37" s="12">
        <f t="shared" ref="N37:N42" si="26">L37*M37</f>
        <v>20267.52</v>
      </c>
      <c r="O37" s="14" t="s">
        <v>22</v>
      </c>
      <c r="P37" s="14" t="s">
        <v>23</v>
      </c>
      <c r="Q37" s="14"/>
      <c r="R37" s="240"/>
      <c r="S37" s="14"/>
      <c r="T37" s="9"/>
      <c r="W37" s="4"/>
    </row>
    <row r="38" spans="1:23" ht="17.399999999999999" x14ac:dyDescent="0.35">
      <c r="A38" s="230"/>
      <c r="B38" s="24" t="s">
        <v>156</v>
      </c>
      <c r="G38" s="230"/>
      <c r="H38" s="230"/>
      <c r="I38" s="265"/>
      <c r="J38" s="47"/>
      <c r="K38" s="47"/>
      <c r="L38" s="249">
        <v>1</v>
      </c>
      <c r="M38" s="12">
        <v>45000</v>
      </c>
      <c r="N38" s="12">
        <f t="shared" si="26"/>
        <v>45000</v>
      </c>
      <c r="O38" s="39" t="s">
        <v>152</v>
      </c>
      <c r="P38" s="42"/>
      <c r="Q38" s="14"/>
      <c r="R38" s="239"/>
      <c r="S38" s="14"/>
      <c r="T38" s="9"/>
      <c r="W38" s="4"/>
    </row>
    <row r="39" spans="1:23" s="230" customFormat="1" ht="17.399999999999999" x14ac:dyDescent="0.35">
      <c r="B39" s="29" t="s">
        <v>127</v>
      </c>
      <c r="C39"/>
      <c r="D39"/>
      <c r="E39"/>
      <c r="F39" s="229" t="s">
        <v>16</v>
      </c>
      <c r="I39" s="262"/>
      <c r="J39" s="47"/>
      <c r="K39" s="250"/>
      <c r="L39" s="14"/>
      <c r="M39" s="250">
        <v>23500</v>
      </c>
      <c r="N39" s="12">
        <f t="shared" si="26"/>
        <v>0</v>
      </c>
      <c r="O39" s="39" t="s">
        <v>32</v>
      </c>
      <c r="P39" s="42"/>
      <c r="R39" s="239"/>
      <c r="S39" s="256"/>
      <c r="V39" s="231"/>
    </row>
    <row r="40" spans="1:23" s="230" customFormat="1" ht="17.399999999999999" x14ac:dyDescent="0.35">
      <c r="I40" s="262"/>
      <c r="J40" s="311"/>
      <c r="K40" s="250"/>
      <c r="L40" s="14">
        <v>2</v>
      </c>
      <c r="M40" s="250">
        <v>28522</v>
      </c>
      <c r="N40" s="12">
        <f t="shared" si="26"/>
        <v>57044</v>
      </c>
      <c r="O40" s="14" t="s">
        <v>143</v>
      </c>
      <c r="P40" s="17"/>
      <c r="R40" s="237"/>
      <c r="S40" s="256"/>
      <c r="V40" s="231"/>
    </row>
    <row r="41" spans="1:23" s="230" customFormat="1" ht="17.399999999999999" x14ac:dyDescent="0.35">
      <c r="I41" s="262"/>
      <c r="J41" s="311"/>
      <c r="K41" s="250"/>
      <c r="L41" s="249"/>
      <c r="M41" s="250">
        <v>800</v>
      </c>
      <c r="N41" s="12">
        <f t="shared" si="26"/>
        <v>0</v>
      </c>
      <c r="O41" s="14" t="s">
        <v>34</v>
      </c>
      <c r="P41" s="14"/>
      <c r="Q41" s="230">
        <v>1.83</v>
      </c>
      <c r="R41" s="237"/>
      <c r="S41" s="237"/>
    </row>
    <row r="42" spans="1:23" s="230" customFormat="1" ht="17.399999999999999" x14ac:dyDescent="0.35">
      <c r="I42" s="302"/>
      <c r="J42" s="47"/>
      <c r="K42" s="250"/>
      <c r="L42" s="266"/>
      <c r="M42" s="12">
        <v>500</v>
      </c>
      <c r="N42" s="12">
        <f t="shared" si="26"/>
        <v>0</v>
      </c>
      <c r="O42" s="14" t="s">
        <v>24</v>
      </c>
      <c r="P42" s="14"/>
      <c r="Q42">
        <v>3.66</v>
      </c>
      <c r="R42"/>
      <c r="S42" s="237">
        <v>1500</v>
      </c>
      <c r="W42" s="231"/>
    </row>
    <row r="43" spans="1:23" s="230" customFormat="1" ht="17.399999999999999" x14ac:dyDescent="0.35">
      <c r="I43" s="265"/>
      <c r="J43" s="47"/>
      <c r="K43" s="250"/>
      <c r="L43" s="14"/>
      <c r="M43" s="12"/>
      <c r="N43" s="12">
        <f>SUM(N37:N42)</f>
        <v>122311.52</v>
      </c>
      <c r="O43" s="39" t="s">
        <v>25</v>
      </c>
      <c r="P43" s="14"/>
      <c r="Q43">
        <f>Q41*Q42</f>
        <v>6.6978000000000009</v>
      </c>
      <c r="R43"/>
      <c r="S43" s="237">
        <f>R35*S42</f>
        <v>60000</v>
      </c>
      <c r="W43" s="231"/>
    </row>
    <row r="44" spans="1:23" s="230" customFormat="1" ht="17.399999999999999" x14ac:dyDescent="0.35">
      <c r="J44" s="47">
        <v>58690</v>
      </c>
      <c r="K44" s="250"/>
      <c r="L44" s="254" t="s">
        <v>35</v>
      </c>
      <c r="M44" s="12"/>
      <c r="N44" s="255">
        <f>N43*2.32</f>
        <v>283762.72639999999</v>
      </c>
      <c r="O44" s="14" t="s">
        <v>142</v>
      </c>
      <c r="P44" s="14"/>
      <c r="Q44" s="46">
        <f>O35/Q43</f>
        <v>0.8645704559706171</v>
      </c>
      <c r="R44"/>
      <c r="S44" s="257" t="e">
        <f>S43/#REF!</f>
        <v>#REF!</v>
      </c>
    </row>
    <row r="45" spans="1:23" s="230" customFormat="1" ht="17.399999999999999" x14ac:dyDescent="0.35">
      <c r="G45"/>
      <c r="H45" s="260"/>
      <c r="I45" s="260"/>
      <c r="J45" s="47">
        <f>J44/1.19</f>
        <v>49319.327731092439</v>
      </c>
      <c r="K45" s="250"/>
      <c r="L45" s="14"/>
      <c r="M45" s="12"/>
      <c r="N45" s="12">
        <f>N44/O33</f>
        <v>58803.615384615376</v>
      </c>
      <c r="O45" s="45" t="s">
        <v>26</v>
      </c>
      <c r="P45" s="14"/>
      <c r="Q45" s="14"/>
      <c r="R45"/>
      <c r="S45" s="237"/>
    </row>
    <row r="46" spans="1:23" s="230" customFormat="1" ht="17.399999999999999" x14ac:dyDescent="0.35">
      <c r="G46"/>
      <c r="J46" s="47"/>
      <c r="K46" s="250"/>
      <c r="L46" s="13"/>
      <c r="M46" s="14"/>
      <c r="N46" s="17">
        <f>N44/N43</f>
        <v>2.3199999999999998</v>
      </c>
      <c r="O46" s="15"/>
      <c r="P46"/>
      <c r="Q46"/>
      <c r="R46"/>
      <c r="S46" s="237"/>
    </row>
    <row r="47" spans="1:23" s="230" customFormat="1" ht="17.399999999999999" x14ac:dyDescent="0.35">
      <c r="G47" s="23"/>
      <c r="J47" s="47"/>
      <c r="K47" s="12"/>
      <c r="S47" s="237"/>
    </row>
    <row r="48" spans="1:23" s="230" customFormat="1" ht="17.399999999999999" x14ac:dyDescent="0.35">
      <c r="B48"/>
      <c r="C48" s="228"/>
      <c r="D48" s="22"/>
      <c r="E48" s="22"/>
      <c r="F48" s="21"/>
      <c r="G48" s="23"/>
      <c r="J48" s="47"/>
      <c r="K48" s="12"/>
      <c r="S48" s="237">
        <v>1.83</v>
      </c>
    </row>
    <row r="49" spans="10:19" ht="14.4" customHeight="1" x14ac:dyDescent="0.3">
      <c r="J49" s="47"/>
      <c r="K49" s="12"/>
      <c r="S49">
        <v>2.5</v>
      </c>
    </row>
    <row r="50" spans="10:19" x14ac:dyDescent="0.3">
      <c r="J50" s="47"/>
      <c r="K50" s="250"/>
      <c r="S50">
        <f>S48*S49</f>
        <v>4.5750000000000002</v>
      </c>
    </row>
    <row r="51" spans="10:19" x14ac:dyDescent="0.3">
      <c r="K51" s="250"/>
      <c r="S51" s="270">
        <f>O35/S50</f>
        <v>1.2657311475409836</v>
      </c>
    </row>
    <row r="52" spans="10:19" x14ac:dyDescent="0.3">
      <c r="K52" s="250"/>
    </row>
    <row r="53" spans="10:19" ht="15" customHeight="1" x14ac:dyDescent="0.3"/>
    <row r="55" spans="10:19" x14ac:dyDescent="0.3">
      <c r="N55">
        <v>40935</v>
      </c>
      <c r="O55" t="s">
        <v>17</v>
      </c>
      <c r="P55" t="s">
        <v>28</v>
      </c>
    </row>
    <row r="57" spans="10:19" x14ac:dyDescent="0.3">
      <c r="N57" s="54"/>
      <c r="O57" s="54"/>
    </row>
    <row r="58" spans="10:19" x14ac:dyDescent="0.3">
      <c r="R58" s="18"/>
      <c r="S58" s="18"/>
    </row>
    <row r="59" spans="10:19" x14ac:dyDescent="0.3">
      <c r="R59" s="18"/>
      <c r="S59" s="18"/>
    </row>
    <row r="60" spans="10:19" x14ac:dyDescent="0.3">
      <c r="R60" s="18"/>
      <c r="S60" s="18"/>
    </row>
    <row r="61" spans="10:19" x14ac:dyDescent="0.3">
      <c r="R61" s="18"/>
      <c r="S61" s="18"/>
    </row>
    <row r="62" spans="10:19" x14ac:dyDescent="0.3">
      <c r="R62" s="18"/>
      <c r="S62" s="18"/>
    </row>
    <row r="63" spans="10:19" x14ac:dyDescent="0.3">
      <c r="R63" s="18"/>
      <c r="S63" s="18"/>
    </row>
    <row r="64" spans="10:19" x14ac:dyDescent="0.3">
      <c r="R64" s="18"/>
      <c r="S64" s="18"/>
    </row>
    <row r="65" spans="3:19" x14ac:dyDescent="0.3">
      <c r="R65" s="18"/>
      <c r="S65" s="18"/>
    </row>
    <row r="66" spans="3:19" x14ac:dyDescent="0.3">
      <c r="R66" s="18"/>
      <c r="S66" s="18"/>
    </row>
    <row r="69" spans="3:19" x14ac:dyDescent="0.3">
      <c r="N69" s="43"/>
    </row>
    <row r="70" spans="3:19" x14ac:dyDescent="0.3">
      <c r="N70" s="43"/>
    </row>
    <row r="71" spans="3:19" x14ac:dyDescent="0.3">
      <c r="N71" s="6"/>
    </row>
    <row r="72" spans="3:19" x14ac:dyDescent="0.3">
      <c r="N72" s="6"/>
    </row>
    <row r="80" spans="3:19" x14ac:dyDescent="0.3">
      <c r="C80" t="s">
        <v>149</v>
      </c>
    </row>
    <row r="81" spans="3:3" x14ac:dyDescent="0.3">
      <c r="C81" t="s">
        <v>148</v>
      </c>
    </row>
    <row r="84" spans="3:3" x14ac:dyDescent="0.3">
      <c r="C84" t="s">
        <v>148</v>
      </c>
    </row>
    <row r="161" spans="3:3" x14ac:dyDescent="0.3">
      <c r="C161" t="s">
        <v>148</v>
      </c>
    </row>
    <row r="162" spans="3:3" x14ac:dyDescent="0.3">
      <c r="C162" t="s">
        <v>150</v>
      </c>
    </row>
    <row r="163" spans="3:3" x14ac:dyDescent="0.3">
      <c r="C163" t="s">
        <v>151</v>
      </c>
    </row>
    <row r="588" spans="3:3" x14ac:dyDescent="0.3">
      <c r="C588" t="s">
        <v>148</v>
      </c>
    </row>
  </sheetData>
  <mergeCells count="2">
    <mergeCell ref="F17:H17"/>
    <mergeCell ref="B19:H19"/>
  </mergeCells>
  <phoneticPr fontId="34" type="noConversion"/>
  <hyperlinks>
    <hyperlink ref="F39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0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107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45498</v>
      </c>
    </row>
    <row r="6" spans="2:31" ht="16.2" thickBot="1" x14ac:dyDescent="0.35">
      <c r="B6" s="140" t="s">
        <v>2</v>
      </c>
      <c r="C6" s="139" t="str">
        <f>'2229'!C10</f>
        <v>FRANCISCO MORENO</v>
      </c>
      <c r="D6" s="138"/>
      <c r="E6" s="138"/>
      <c r="F6" s="138"/>
      <c r="N6" s="75" t="s">
        <v>106</v>
      </c>
      <c r="O6" s="75"/>
      <c r="P6" s="142" t="s">
        <v>105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1" t="s">
        <v>100</v>
      </c>
      <c r="I7" s="332"/>
      <c r="J7" s="332"/>
      <c r="K7" s="333"/>
      <c r="N7" s="75"/>
      <c r="O7" s="330" t="s">
        <v>104</v>
      </c>
      <c r="P7" s="141" t="s">
        <v>103</v>
      </c>
      <c r="Q7" s="141"/>
    </row>
    <row r="8" spans="2:31" ht="16.2" thickBot="1" x14ac:dyDescent="0.35">
      <c r="B8" s="140" t="s">
        <v>102</v>
      </c>
      <c r="C8" s="139" t="str">
        <f>'2229'!D8</f>
        <v>N° 10980</v>
      </c>
      <c r="D8" s="138"/>
      <c r="E8" s="138"/>
      <c r="F8" s="138"/>
      <c r="H8" s="182" t="s">
        <v>119</v>
      </c>
      <c r="I8" s="154" t="s">
        <v>118</v>
      </c>
      <c r="J8" s="227" t="s">
        <v>97</v>
      </c>
      <c r="K8" s="135" t="s">
        <v>6</v>
      </c>
      <c r="L8" s="134" t="s">
        <v>6</v>
      </c>
      <c r="N8" s="75"/>
      <c r="O8" s="330"/>
      <c r="P8" s="75" t="s">
        <v>101</v>
      </c>
      <c r="Q8" s="75"/>
      <c r="X8">
        <f>SUM(Q11:Q16)</f>
        <v>6</v>
      </c>
    </row>
    <row r="9" spans="2:31" ht="15" thickBot="1" x14ac:dyDescent="0.35">
      <c r="H9" s="197" t="s">
        <v>98</v>
      </c>
      <c r="I9" s="198" t="s">
        <v>117</v>
      </c>
      <c r="J9" s="183" t="s">
        <v>94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-28140.890366787437</v>
      </c>
    </row>
    <row r="10" spans="2:31" ht="16.2" thickBot="1" x14ac:dyDescent="0.35">
      <c r="D10" s="218" t="s">
        <v>30</v>
      </c>
      <c r="E10" s="219" t="s">
        <v>53</v>
      </c>
      <c r="F10" s="220" t="s">
        <v>6</v>
      </c>
      <c r="H10" s="190">
        <v>3</v>
      </c>
      <c r="I10" s="204">
        <v>350</v>
      </c>
      <c r="J10" s="201" t="s">
        <v>34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95</v>
      </c>
      <c r="D11" s="133">
        <f>'2229'!H29</f>
        <v>325763</v>
      </c>
      <c r="E11" s="132">
        <f>D11*0.19</f>
        <v>61894.97</v>
      </c>
      <c r="F11" s="131">
        <f>E11+D11</f>
        <v>387657.97</v>
      </c>
      <c r="H11" s="191">
        <v>3</v>
      </c>
      <c r="I11" s="174">
        <v>500</v>
      </c>
      <c r="J11" s="148" t="s">
        <v>24</v>
      </c>
      <c r="K11" s="158">
        <f t="shared" si="0"/>
        <v>1500</v>
      </c>
      <c r="Q11" s="7">
        <v>1</v>
      </c>
      <c r="R11" s="7" t="s">
        <v>37</v>
      </c>
      <c r="S11" s="51">
        <v>2.8</v>
      </c>
      <c r="T11" s="51">
        <v>0.62</v>
      </c>
      <c r="U11" s="7" t="s">
        <v>40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77849.10963321256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99</v>
      </c>
      <c r="D12" s="136">
        <f>SUM(M43:M45)</f>
        <v>95101.610787439626</v>
      </c>
      <c r="F12" s="61"/>
      <c r="H12" s="191">
        <v>0</v>
      </c>
      <c r="I12" s="174">
        <v>7500</v>
      </c>
      <c r="J12" s="150" t="s">
        <v>113</v>
      </c>
      <c r="K12" s="158">
        <f t="shared" si="0"/>
        <v>0</v>
      </c>
      <c r="L12" s="61"/>
      <c r="Q12" s="7">
        <v>1</v>
      </c>
      <c r="R12" s="7" t="s">
        <v>37</v>
      </c>
      <c r="S12" s="51">
        <v>2.2999999999999998</v>
      </c>
      <c r="T12" s="51">
        <v>0.62</v>
      </c>
      <c r="U12" s="7" t="s">
        <v>40</v>
      </c>
      <c r="V12" s="55">
        <v>87990</v>
      </c>
      <c r="W12" s="49">
        <f t="shared" si="1"/>
        <v>87990</v>
      </c>
      <c r="X12" s="176">
        <f t="shared" si="2"/>
        <v>59849.10963321256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93</v>
      </c>
      <c r="D13" s="217">
        <f>D11-D12</f>
        <v>230661.38921256037</v>
      </c>
      <c r="E13" s="221">
        <f>(D11/D12)-1</f>
        <v>2.4254204245615636</v>
      </c>
      <c r="H13" s="191">
        <v>0</v>
      </c>
      <c r="I13" s="174">
        <v>50</v>
      </c>
      <c r="J13" s="150" t="s">
        <v>114</v>
      </c>
      <c r="K13" s="158">
        <f t="shared" si="0"/>
        <v>0</v>
      </c>
      <c r="L13" s="61"/>
      <c r="Q13" s="7">
        <v>1</v>
      </c>
      <c r="R13" s="7" t="s">
        <v>37</v>
      </c>
      <c r="S13" s="51">
        <v>2.0299999999999998</v>
      </c>
      <c r="T13" s="51">
        <v>0.62</v>
      </c>
      <c r="U13" s="7" t="s">
        <v>40</v>
      </c>
      <c r="V13" s="55">
        <v>78990</v>
      </c>
      <c r="W13" s="49">
        <f t="shared" si="1"/>
        <v>78990</v>
      </c>
      <c r="X13" s="176">
        <f t="shared" si="2"/>
        <v>50849.10963321256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124</v>
      </c>
      <c r="E14" s="179" t="s">
        <v>30</v>
      </c>
      <c r="F14" s="178" t="s">
        <v>112</v>
      </c>
      <c r="H14" s="191">
        <v>0</v>
      </c>
      <c r="I14" s="174">
        <v>50</v>
      </c>
      <c r="J14" s="150" t="s">
        <v>115</v>
      </c>
      <c r="K14" s="158">
        <f t="shared" si="0"/>
        <v>0</v>
      </c>
      <c r="L14" s="61"/>
      <c r="P14" s="126"/>
      <c r="Q14" s="7">
        <v>1</v>
      </c>
      <c r="R14" s="7" t="s">
        <v>37</v>
      </c>
      <c r="S14" s="51">
        <v>1.08</v>
      </c>
      <c r="T14" s="51">
        <v>0.62</v>
      </c>
      <c r="U14" s="7" t="s">
        <v>40</v>
      </c>
      <c r="V14" s="55">
        <v>39990</v>
      </c>
      <c r="W14" s="49">
        <f t="shared" si="1"/>
        <v>39990</v>
      </c>
      <c r="X14" s="176">
        <f t="shared" si="2"/>
        <v>11849.109633212563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123</v>
      </c>
      <c r="D15" s="214">
        <v>0.65</v>
      </c>
      <c r="E15" s="215">
        <f>(100%+D15)*D12</f>
        <v>156917.65779927539</v>
      </c>
      <c r="F15" s="216">
        <f>E15-D12</f>
        <v>61816.047011835763</v>
      </c>
      <c r="H15" s="191">
        <v>0</v>
      </c>
      <c r="I15" s="174">
        <v>10</v>
      </c>
      <c r="J15" s="150" t="s">
        <v>116</v>
      </c>
      <c r="K15" s="158">
        <f t="shared" si="0"/>
        <v>0</v>
      </c>
      <c r="L15" s="61"/>
      <c r="Q15" s="7">
        <v>1</v>
      </c>
      <c r="R15" s="7" t="s">
        <v>37</v>
      </c>
      <c r="S15" s="51">
        <v>1.08</v>
      </c>
      <c r="T15" s="51">
        <v>0.62</v>
      </c>
      <c r="U15" s="7" t="s">
        <v>40</v>
      </c>
      <c r="V15" s="55">
        <v>39990</v>
      </c>
      <c r="W15" s="49">
        <f t="shared" si="1"/>
        <v>39990</v>
      </c>
      <c r="X15" s="176">
        <f t="shared" si="2"/>
        <v>11849.109633212563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92</v>
      </c>
      <c r="K16" s="158">
        <f t="shared" si="0"/>
        <v>0</v>
      </c>
      <c r="L16" s="61"/>
      <c r="Q16" s="7">
        <v>1</v>
      </c>
      <c r="R16" s="7" t="s">
        <v>37</v>
      </c>
      <c r="S16" s="51">
        <v>2.06</v>
      </c>
      <c r="T16" s="51">
        <v>0.62</v>
      </c>
      <c r="U16" s="7" t="s">
        <v>40</v>
      </c>
      <c r="V16" s="55">
        <v>79990</v>
      </c>
      <c r="W16" s="49">
        <f t="shared" si="1"/>
        <v>79990</v>
      </c>
      <c r="X16" s="176">
        <f t="shared" si="2"/>
        <v>51849.10963321256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90</v>
      </c>
      <c r="C17" s="129" t="s">
        <v>89</v>
      </c>
      <c r="D17" s="129" t="s">
        <v>30</v>
      </c>
      <c r="E17" s="128" t="s">
        <v>53</v>
      </c>
      <c r="F17" s="127" t="s">
        <v>6</v>
      </c>
      <c r="H17" s="193">
        <v>1</v>
      </c>
      <c r="I17" s="202"/>
      <c r="J17" s="188" t="s">
        <v>91</v>
      </c>
      <c r="K17" s="158">
        <f t="shared" si="0"/>
        <v>0</v>
      </c>
      <c r="L17" s="61"/>
      <c r="Q17" s="7">
        <v>6</v>
      </c>
      <c r="R17" s="7" t="s">
        <v>38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87</v>
      </c>
      <c r="D18" s="122">
        <f>'2229'!N39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88</v>
      </c>
      <c r="K18" s="158">
        <f t="shared" si="0"/>
        <v>0</v>
      </c>
      <c r="L18" s="61"/>
      <c r="Q18" s="7">
        <v>1</v>
      </c>
      <c r="R18" s="56" t="s">
        <v>39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33</v>
      </c>
      <c r="D19" s="122">
        <f>'2229'!N38</f>
        <v>45000</v>
      </c>
      <c r="E19" s="123">
        <f>D19*0.19</f>
        <v>8550</v>
      </c>
      <c r="F19" s="120">
        <f>SUM(D19:E19)</f>
        <v>53550</v>
      </c>
      <c r="H19" s="192">
        <v>1</v>
      </c>
      <c r="I19" s="202"/>
      <c r="J19" s="184" t="s">
        <v>86</v>
      </c>
      <c r="K19" s="158">
        <f t="shared" si="0"/>
        <v>0</v>
      </c>
      <c r="L19" s="61"/>
      <c r="Q19" s="16"/>
      <c r="T19" s="5"/>
      <c r="U19" s="6"/>
      <c r="V19" s="30" t="s">
        <v>30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'2229'!N37</f>
        <v>20267.52</v>
      </c>
      <c r="E20" s="121">
        <f>D20*0.19</f>
        <v>3850.8288000000002</v>
      </c>
      <c r="F20" s="120">
        <f>SUM(D20:E20)</f>
        <v>24118.3488</v>
      </c>
      <c r="H20" s="192">
        <v>1</v>
      </c>
      <c r="I20" s="202"/>
      <c r="J20" s="184" t="s">
        <v>85</v>
      </c>
      <c r="K20" s="158">
        <f t="shared" si="0"/>
        <v>0</v>
      </c>
      <c r="V20" s="31" t="s">
        <v>31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65267.520000000004</v>
      </c>
      <c r="E21" s="116">
        <f>SUM(E18:E20)</f>
        <v>12400.828799999999</v>
      </c>
      <c r="F21" s="115">
        <f>SUM(F18:F20)</f>
        <v>77668.348800000007</v>
      </c>
      <c r="H21" s="192">
        <v>1</v>
      </c>
      <c r="I21" s="202"/>
      <c r="J21" s="184" t="s">
        <v>84</v>
      </c>
      <c r="K21" s="158">
        <f t="shared" si="0"/>
        <v>0</v>
      </c>
      <c r="M21" s="153">
        <f>B32/9</f>
        <v>2318.840579710145</v>
      </c>
      <c r="Q21" s="50" t="s">
        <v>41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82</v>
      </c>
      <c r="C22" s="113" t="s">
        <v>81</v>
      </c>
      <c r="D22" s="112" t="s">
        <v>80</v>
      </c>
      <c r="E22" s="111" t="s">
        <v>79</v>
      </c>
      <c r="F22" s="110" t="s">
        <v>6</v>
      </c>
      <c r="H22" s="192">
        <v>1</v>
      </c>
      <c r="I22" s="202"/>
      <c r="J22" s="148" t="s">
        <v>83</v>
      </c>
      <c r="K22" s="158">
        <f t="shared" si="0"/>
        <v>0</v>
      </c>
      <c r="M22" s="105"/>
      <c r="N22" s="58"/>
      <c r="Q22" s="50" t="s">
        <v>36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27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78</v>
      </c>
      <c r="K23" s="158">
        <f t="shared" si="0"/>
        <v>0</v>
      </c>
      <c r="M23" s="105"/>
      <c r="N23" s="58"/>
      <c r="Q23" s="50" t="s">
        <v>29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76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119</v>
      </c>
      <c r="I24" s="155" t="s">
        <v>117</v>
      </c>
      <c r="J24" s="181" t="s">
        <v>77</v>
      </c>
      <c r="K24" s="152" t="s">
        <v>96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75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110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73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74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72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71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70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108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69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120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24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121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67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122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66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43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42</v>
      </c>
      <c r="K33" s="97">
        <f t="shared" si="5"/>
        <v>0</v>
      </c>
    </row>
    <row r="34" spans="2:16" ht="15" thickBot="1" x14ac:dyDescent="0.35">
      <c r="B34" s="83" t="s">
        <v>65</v>
      </c>
      <c r="C34" s="82" t="s">
        <v>64</v>
      </c>
      <c r="D34" s="81">
        <f>L9</f>
        <v>2550</v>
      </c>
      <c r="H34" s="192">
        <v>1</v>
      </c>
      <c r="I34" s="174"/>
      <c r="J34" s="148" t="s">
        <v>109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63</v>
      </c>
      <c r="D35" s="78">
        <f>L24</f>
        <v>0</v>
      </c>
      <c r="H35" s="194">
        <v>6</v>
      </c>
      <c r="I35" s="206"/>
      <c r="J35" s="180" t="s">
        <v>111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61</v>
      </c>
      <c r="D36" s="78">
        <f>L36</f>
        <v>18467.665666666668</v>
      </c>
      <c r="E36" s="58"/>
      <c r="H36" s="151" t="s">
        <v>98</v>
      </c>
      <c r="I36" s="155" t="s">
        <v>117</v>
      </c>
      <c r="J36" s="189" t="s">
        <v>68</v>
      </c>
      <c r="K36" s="152" t="s">
        <v>96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44</v>
      </c>
      <c r="D37" s="73"/>
      <c r="H37" s="199">
        <f>$E$33</f>
        <v>3.9000000000000004</v>
      </c>
      <c r="I37" s="204">
        <f>32609.69/9</f>
        <v>3623.2988888888885</v>
      </c>
      <c r="J37" s="187" t="s">
        <v>47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45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46</v>
      </c>
      <c r="K39" s="84">
        <f>I39*H39</f>
        <v>565.5</v>
      </c>
    </row>
    <row r="40" spans="2:16" ht="15" thickBot="1" x14ac:dyDescent="0.35">
      <c r="B40" s="68" t="s">
        <v>54</v>
      </c>
      <c r="C40" s="67" t="s">
        <v>53</v>
      </c>
      <c r="D40" s="66">
        <f>E11-E21</f>
        <v>49494.141199999998</v>
      </c>
    </row>
    <row r="41" spans="2:16" ht="15" thickBot="1" x14ac:dyDescent="0.35">
      <c r="H41" s="334" t="s">
        <v>62</v>
      </c>
      <c r="I41" s="335"/>
      <c r="J41" s="335"/>
      <c r="K41" s="335"/>
      <c r="L41" s="335"/>
      <c r="M41" s="336"/>
    </row>
    <row r="42" spans="2:16" ht="15" thickBot="1" x14ac:dyDescent="0.35">
      <c r="B42" s="75" t="s">
        <v>48</v>
      </c>
      <c r="C42" s="75"/>
      <c r="D42" s="207">
        <f>E33</f>
        <v>3.9000000000000004</v>
      </c>
      <c r="H42" s="77" t="s">
        <v>60</v>
      </c>
      <c r="I42" s="159" t="s">
        <v>59</v>
      </c>
      <c r="J42" s="160"/>
      <c r="K42" s="160"/>
      <c r="L42" s="161"/>
      <c r="M42" s="76">
        <f>D11</f>
        <v>325763</v>
      </c>
    </row>
    <row r="43" spans="2:16" ht="15" thickBot="1" x14ac:dyDescent="0.35">
      <c r="D43" s="57"/>
      <c r="H43" s="72" t="s">
        <v>58</v>
      </c>
      <c r="I43" s="162" t="s">
        <v>57</v>
      </c>
      <c r="J43" s="163"/>
      <c r="K43" s="163"/>
      <c r="L43" s="164"/>
      <c r="M43" s="64">
        <f>D21</f>
        <v>65267.520000000004</v>
      </c>
    </row>
    <row r="44" spans="2:16" x14ac:dyDescent="0.3">
      <c r="D44" s="57"/>
      <c r="I44" s="165" t="s">
        <v>56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55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52</v>
      </c>
      <c r="J46" s="172"/>
      <c r="K46" s="172"/>
      <c r="L46" s="173"/>
      <c r="M46" s="62">
        <f>M42-(SUM(M43:M45))</f>
        <v>230661.38921256037</v>
      </c>
    </row>
    <row r="47" spans="2:16" x14ac:dyDescent="0.3">
      <c r="I47" s="162" t="s">
        <v>51</v>
      </c>
      <c r="J47" s="163"/>
      <c r="K47" s="163"/>
      <c r="L47" s="164"/>
      <c r="M47" s="64"/>
    </row>
    <row r="48" spans="2:16" ht="15" thickBot="1" x14ac:dyDescent="0.35">
      <c r="D48" s="60"/>
      <c r="I48" s="168" t="s">
        <v>50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49</v>
      </c>
      <c r="J49" s="172"/>
      <c r="K49" s="172"/>
      <c r="L49" s="173"/>
      <c r="M49" s="62">
        <f>M46-SUM(M47:M48)</f>
        <v>230661.38921256037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2024-05-31T13:28:03Z</cp:lastPrinted>
  <dcterms:created xsi:type="dcterms:W3CDTF">2013-03-18T13:35:42Z</dcterms:created>
  <dcterms:modified xsi:type="dcterms:W3CDTF">2024-07-25T14:53:26Z</dcterms:modified>
</cp:coreProperties>
</file>