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3568ADE1-9F85-4EF7-A606-F13FB01D4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2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E15" i="3"/>
  <c r="P21" i="1" l="1"/>
  <c r="F15" i="3"/>
  <c r="Q21" i="1" l="1"/>
  <c r="H21" i="1" l="1"/>
  <c r="H25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<sst xmlns="http://schemas.openxmlformats.org/spreadsheetml/2006/main" count="231" uniqueCount="175">
  <si>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</si>
  <si>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</si>
  <si>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</si>
  <si>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</si>
  <si>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</si>
  <si>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</si>
  <si>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</si>
  <si>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</si>
  <si>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</si>
  <si>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</si>
  <si>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</si>
  <si>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</si>
  <si>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</si>
  <si>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</si>
  <si>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</si>
  <si>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</si>
  <si>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</si>
  <si>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</si>
  <si>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</si>
  <si>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</si>
  <si>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</si>
  <si>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</si>
  <si>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</si>
  <si>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</si>
  <si>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</si>
  <si>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</si>
  <si>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</si>
  <si>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</si>
  <si>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</si>
  <si>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</si>
  <si>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</si>
  <si>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</si>
  <si>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</si>
  <si>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</si>
  <si>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</si>
  <si>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</si>
  <si>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</si>
  <si>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</si>
  <si>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</si>
  <si>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</si>
  <si>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</si>
  <si>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</si>
  <si>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</si>
  <si>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</si>
  <si>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</si>
  <si>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</si>
  <si>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</si>
  <si>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</si>
  <si>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</si>
  <si>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</si>
  <si>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</si>
  <si>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</si>
  <si>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</si>
  <si>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</si>
  <si>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</si>
  <si>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</si>
  <si>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</si>
  <si>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</si>
  <si>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</si>
  <si>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</si>
  <si>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</si>
  <si>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</si>
  <si>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</si>
  <si>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</si>
  <si>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</si>
  <si>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</si>
  <si>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</si>
  <si>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</si>
  <si>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</si>
  <si>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</si>
  <si>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</si>
  <si>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</si>
  <si>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</si>
  <si>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</si>
  <si>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</si>
  <si>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</si>
  <si>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</si>
  <si>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</si>
  <si>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</si>
  <si>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</si>
  <si>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</si>
  <si>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</si>
  <si>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</si>
  <si>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</si>
  <si>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</si>
  <si>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</si>
  <si>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</si>
  <si>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</si>
  <si>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</si>
  <si>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</si>
  <si>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</si>
  <si>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</si>
  <si>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</si>
  <si>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</si>
  <si>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</si>
  <si>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</si>
  <si>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</si>
  <si>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</si>
  <si>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</si>
  <si>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</si>
  <si>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</si>
  <si>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</si>
  <si>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</si>
  <si>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</si>
  <si>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</si>
  <si>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</si>
  <si>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</si>
  <si>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</si>
  <si>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</si>
  <si>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</si>
  <si>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</si>
  <si>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</si>
  <si>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</si>
  <si>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</si>
  <si>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</si>
  <si>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</si>
  <si>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</si>
  <si>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</si>
  <si>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</si>
  <si>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</si>
  <si>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</si>
  <si>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</si>
  <si>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</si>
  <si>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</si>
  <si>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</si>
  <si>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</si>
  <si>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</si>
  <si>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</si>
  <si>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</si>
  <si>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</si>
  <si>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</si>
  <si>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</si>
  <si>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</si>
  <si>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</si>
  <si>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</si>
  <si>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</si>
  <si>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</si>
  <si>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</si>
  <si>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</si>
  <si>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</si>
  <si>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</si>
  <si>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</si>
  <si>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</si>
  <si>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</si>
  <si>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</si>
  <si>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</si>
  <si>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</si>
  <si>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</si>
  <si>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</si>
  <si>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</si>
  <si>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</si>
  <si>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</si>
  <si>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</si>
  <si>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</si>
  <si>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</si>
  <si>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</si>
  <si>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</si>
  <si>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</si>
  <si>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</si>
  <si>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</si>
  <si>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</si>
  <si>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</si>
  <si>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</si>
  <si>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</si>
  <si>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</si>
  <si>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</si>
  <si>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</si>
  <si>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</si>
  <si>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10993</t>
  </si>
  <si>
    <t>QUEZADA Y BOETSCH S.A.</t>
  </si>
  <si>
    <t>FRANCIS DIAZ</t>
  </si>
  <si>
    <t>10 DIAS HABILES</t>
  </si>
  <si>
    <t>ORGANIC MAPLE 1511</t>
  </si>
  <si>
    <t>ENCHAPE RECTO 1 CARA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</si>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</sst>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12MM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2" zoomScale="93" zoomScaleNormal="93" workbookViewId="0">
      <selection activeCell="H27" sqref="H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45456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170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42">
        <v>56222334357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72253.917698226855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14</v>
      </c>
      <c r="C21" s="325" t="s">
        <v>173</v>
      </c>
      <c r="D21" s="326">
        <v>2.4</v>
      </c>
      <c r="E21" s="326">
        <v>1.22</v>
      </c>
      <c r="F21" s="325" t="s">
        <v>172</v>
      </c>
      <c r="G21" s="327">
        <v>215967</v>
      </c>
      <c r="H21" s="327">
        <f>G21*B21</f>
        <v>3023538</v>
      </c>
      <c r="I21" s="265"/>
      <c r="J21" s="47">
        <v>115320</v>
      </c>
      <c r="K21" s="47">
        <v>14</v>
      </c>
      <c r="L21" s="39">
        <f t="shared" ref="L21" si="1">D21+L$19</f>
        <v>2.4499999999999997</v>
      </c>
      <c r="M21" s="39">
        <f t="shared" ref="M21" si="2">E21+M$19</f>
        <v>1.22</v>
      </c>
      <c r="N21" s="261">
        <f t="shared" ref="N21" si="3">L21*M21</f>
        <v>2.9889999999999994</v>
      </c>
      <c r="O21" s="259">
        <f t="shared" ref="O21" si="4">N21*K21</f>
        <v>41.845999999999989</v>
      </c>
      <c r="P21" s="252">
        <f t="shared" ref="P21" si="5">P$20*N21</f>
        <v>215966.96000000002</v>
      </c>
      <c r="Q21" s="328">
        <f t="shared" ref="Q21" si="6">P21+Q$20</f>
        <v>218966.96000000002</v>
      </c>
      <c r="R21" s="298">
        <f>L21*K21*2</f>
        <v>68.599999999999994</v>
      </c>
      <c r="S21" s="46">
        <f>M21*2*K21</f>
        <v>34.159999999999997</v>
      </c>
      <c r="T21" s="9"/>
      <c r="W21" s="4"/>
    </row>
    <row r="22" spans="2:24" ht="17.399999999999999" x14ac:dyDescent="0.3">
      <c r="B22" s="325">
        <v>40</v>
      </c>
      <c r="C22" s="325" t="s">
        <v>174</v>
      </c>
      <c r="D22" s="326"/>
      <c r="E22" s="326"/>
      <c r="F22" s="325"/>
      <c r="G22" s="329">
        <v>39500</v>
      </c>
      <c r="H22" s="327">
        <f>G22*B22</f>
        <v>1580000</v>
      </c>
      <c r="I22" s="265"/>
      <c r="J22" s="47"/>
      <c r="K22" s="47"/>
      <c r="L22" s="39"/>
      <c r="M22" s="39"/>
      <c r="N22" s="261"/>
      <c r="O22" s="259"/>
      <c r="P22" s="252"/>
      <c r="Q22" s="328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9"/>
      <c r="H23" s="329"/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4603538</v>
      </c>
      <c r="I25" s="265"/>
      <c r="J25" s="47"/>
      <c r="K25" s="47"/>
      <c r="L25" s="39">
        <f>SUM(L21:L24)</f>
        <v>2.4499999999999997</v>
      </c>
      <c r="M25" s="39"/>
      <c r="N25" s="261"/>
      <c r="O25" s="259"/>
      <c r="P25" s="252"/>
      <c r="Q25" s="258"/>
      <c r="R25" s="298"/>
      <c r="S25" s="46">
        <f>SUM(S21:S24)</f>
        <v>34.159999999999997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f>H25*19%</f>
        <v>874672.22</v>
      </c>
      <c r="I26" s="265"/>
      <c r="J26" s="47"/>
      <c r="K26" s="47"/>
      <c r="L26" s="39"/>
      <c r="M26" s="12"/>
      <c r="N26" s="12"/>
      <c r="O26" s="253">
        <f>SUM(O21:O21)</f>
        <v>41.845999999999989</v>
      </c>
      <c r="P26" s="14"/>
      <c r="Q26" s="12"/>
      <c r="R26" s="239"/>
      <c r="S26" s="46">
        <f>S25*20%</f>
        <v>6.8319999999999999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5478210.2199999997</v>
      </c>
      <c r="I27" s="265"/>
      <c r="J27" s="47"/>
      <c r="K27" s="47"/>
      <c r="L27" s="39"/>
      <c r="M27" s="12"/>
      <c r="N27" s="12"/>
      <c r="O27" s="253">
        <f>O26</f>
        <v>41.845999999999989</v>
      </c>
      <c r="P27" s="14"/>
      <c r="Q27" s="12"/>
      <c r="R27" s="239">
        <f>SUM(R21:R26)</f>
        <v>68.599999999999994</v>
      </c>
      <c r="S27" s="46">
        <f>S25+S26</f>
        <v>40.991999999999997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8.3691999999999975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50.215199999999989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50.215199999999989</v>
      </c>
      <c r="M31" s="12">
        <v>3500</v>
      </c>
      <c r="N31" s="12">
        <f t="shared" ref="N31:N36" si="7">L31*M31</f>
        <v>175753.19999999995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14</v>
      </c>
      <c r="M32" s="12">
        <v>20000</v>
      </c>
      <c r="N32" s="12">
        <f t="shared" si="7"/>
        <v>280000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41277</v>
      </c>
      <c r="N33" s="12">
        <f t="shared" si="7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14</v>
      </c>
      <c r="M34" s="250">
        <v>65613</v>
      </c>
      <c r="N34" s="12">
        <f t="shared" si="7"/>
        <v>918582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7"/>
        <v>0</v>
      </c>
      <c r="O35" s="14" t="s">
        <v>33</v>
      </c>
      <c r="P35" s="14"/>
      <c r="Q35" s="230">
        <v>2.4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/>
      <c r="M36" s="12">
        <v>1500</v>
      </c>
      <c r="N36" s="12">
        <f t="shared" si="7"/>
        <v>0</v>
      </c>
      <c r="O36" s="14" t="s">
        <v>23</v>
      </c>
      <c r="P36" s="14"/>
      <c r="Q36">
        <v>1.22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1374335.2</v>
      </c>
      <c r="O37" s="39" t="s">
        <v>24</v>
      </c>
      <c r="P37" s="14"/>
      <c r="Q37">
        <f>Q35*Q36</f>
        <v>2.9279999999999999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3023537.44</v>
      </c>
      <c r="O38" s="14" t="s">
        <v>141</v>
      </c>
      <c r="P38" s="14"/>
      <c r="Q38" s="40">
        <f>O29/Q37</f>
        <v>17.149999999999995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23490</v>
      </c>
      <c r="K39" s="250"/>
      <c r="L39" s="14"/>
      <c r="M39" s="12"/>
      <c r="N39" s="12">
        <f>N38/O27</f>
        <v>72253.917698226855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19739.495798319327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45456</v>
      </c>
    </row>
    <row r="6" spans="2:31" ht="16.2" thickBot="1" x14ac:dyDescent="0.35">
      <c r="B6" s="140" t="s">
        <v>2</v>
      </c>
      <c r="C6" s="139" t="str">
        <f>'2229'!C10</f>
        <v>QUEZADA Y BOETSCH S.A.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-633719.82836678752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4603538</v>
      </c>
      <c r="E11" s="132">
        <f>D11*0.19</f>
        <v>874672.22</v>
      </c>
      <c r="F11" s="131">
        <f>E11+D11</f>
        <v>5478210.2199999997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-527729.82836678752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485587.29078743956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-545729.82836678752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4117950.7092125602</v>
      </c>
      <c r="E13" s="221">
        <f>(D11/D12)-1</f>
        <v>8.4803510868968512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-554729.82836678752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-593729.82836678752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801219.02979927522</v>
      </c>
      <c r="F15" s="216">
        <f>E15-D12</f>
        <v>315631.73901183566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-593729.82836678752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-553729.82836678752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280000</v>
      </c>
      <c r="E19" s="123">
        <f>D19*0.19</f>
        <v>53200</v>
      </c>
      <c r="F19" s="120">
        <f>SUM(D19:E19)</f>
        <v>333200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175753.19999999995</v>
      </c>
      <c r="E20" s="121">
        <f>D20*0.19</f>
        <v>33393.107999999993</v>
      </c>
      <c r="F20" s="120">
        <f>SUM(D20:E20)</f>
        <v>209146.30799999996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455753.19999999995</v>
      </c>
      <c r="E21" s="116">
        <f>SUM(E18:E20)</f>
        <v>86593.107999999993</v>
      </c>
      <c r="F21" s="115">
        <f>SUM(F18:F20)</f>
        <v>542346.30799999996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788079.11199999996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4603538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455753.19999999995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4117950.7092125602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4117950.7092125602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2024-06-13T17:01:03Z</cp:lastPrinted>
  <dcterms:created xsi:type="dcterms:W3CDTF">2013-03-18T13:35:42Z</dcterms:created>
  <dcterms:modified xsi:type="dcterms:W3CDTF">2024-06-13T18:52:22Z</dcterms:modified>
</cp:coreProperties>
</file>