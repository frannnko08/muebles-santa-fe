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6FE12585-13E2-4E0F-98FB-281061241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R21" i="1"/>
  <c r="K22" i="1"/>
  <c r="K23" i="1"/>
  <c r="K24" i="1"/>
  <c r="K21" i="1"/>
  <c r="L23" i="1"/>
  <c r="N23" i="1" s="1"/>
  <c r="M23" i="1"/>
  <c r="L24" i="1"/>
  <c r="N24" i="1" s="1"/>
  <c r="M24" i="1"/>
  <c r="H24" i="1"/>
  <c r="L22" i="1"/>
  <c r="M22" i="1"/>
  <c r="H22" i="1"/>
  <c r="O24" i="1" l="1"/>
  <c r="O23" i="1"/>
  <c r="R24" i="1"/>
  <c r="N22" i="1"/>
  <c r="O22" i="1" s="1"/>
  <c r="J42" i="1"/>
  <c r="L21" i="1"/>
  <c r="M21" i="1"/>
  <c r="L27" i="1" l="1"/>
  <c r="R29" i="1"/>
  <c r="S21" i="1"/>
  <c r="S27" i="1" s="1"/>
  <c r="S28" i="1" s="1"/>
  <c r="S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E15" i="3"/>
  <c r="P22" i="1" l="1"/>
  <c r="Q22" i="1" s="1"/>
  <c r="P24" i="1"/>
  <c r="Q24" i="1" s="1"/>
  <c r="P23" i="1"/>
  <c r="Q23" i="1" s="1"/>
  <c r="P21" i="1"/>
  <c r="F15" i="3"/>
  <c r="Q21" i="1" l="1"/>
  <c r="H21" i="1" l="1"/>
  <c r="H27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<sst xmlns="http://schemas.openxmlformats.org/spreadsheetml/2006/main" count="235" uniqueCount="175">
  <si>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</si>
  <si>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</si>
  <si>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</si>
  <si>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</si>
  <si>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</si>
  <si>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</si>
  <si>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</si>
  <si>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</si>
  <si>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</si>
  <si>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</si>
  <si>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</si>
  <si>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</si>
  <si>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</si>
  <si>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</si>
  <si>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</si>
  <si>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</si>
  <si>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</si>
  <si>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</si>
  <si>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</si>
  <si>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</si>
  <si>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</si>
  <si>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</si>
  <si>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</si>
  <si>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</si>
  <si>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</si>
  <si>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</si>
  <si>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</si>
  <si>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</si>
  <si>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</si>
  <si>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</si>
  <si>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</si>
  <si>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</si>
  <si>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</si>
  <si>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</si>
  <si>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</si>
  <si>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</si>
  <si>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</si>
  <si>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</si>
  <si>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</si>
  <si>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</si>
  <si>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</si>
  <si>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</si>
  <si>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</si>
  <si>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</si>
  <si>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</si>
  <si>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</si>
  <si>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</si>
  <si>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</si>
  <si>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</si>
  <si>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</si>
  <si>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</si>
  <si>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</si>
  <si>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</si>
  <si>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</si>
  <si>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</si>
  <si>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</si>
  <si>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</si>
  <si>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</si>
  <si>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</si>
  <si>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</si>
  <si>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</si>
  <si>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</si>
  <si>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</si>
  <si>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</si>
  <si>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</si>
  <si>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</si>
  <si>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</si>
  <si>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</si>
  <si>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</si>
  <si>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</si>
  <si>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</si>
  <si>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</si>
  <si>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</si>
  <si>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</si>
  <si>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</si>
  <si>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</si>
  <si>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</si>
  <si>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</si>
  <si>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</si>
  <si>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</si>
  <si>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</si>
  <si>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</si>
  <si>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</si>
  <si>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</si>
  <si>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</si>
  <si>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</si>
  <si>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</si>
  <si>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</si>
  <si>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</si>
  <si>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</si>
  <si>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</si>
  <si>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</si>
  <si>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</si>
  <si>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</si>
  <si>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</si>
  <si>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</si>
  <si>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</si>
  <si>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</si>
  <si>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</si>
  <si>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</si>
  <si>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</si>
  <si>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</si>
  <si>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</si>
  <si>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</si>
  <si>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</si>
  <si>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</si>
  <si>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</si>
  <si>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</si>
  <si>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</si>
  <si>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</si>
  <si>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</si>
  <si>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</si>
  <si>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</si>
  <si>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</si>
  <si>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</si>
  <si>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</si>
  <si>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</si>
  <si>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</si>
  <si>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</si>
  <si>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</si>
  <si>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</si>
  <si>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</si>
  <si>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</si>
  <si>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</si>
  <si>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</si>
  <si>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</si>
  <si>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</si>
  <si>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</si>
  <si>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</si>
  <si>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</si>
  <si>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</si>
  <si>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</si>
  <si>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</si>
  <si>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</si>
  <si>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</si>
  <si>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</si>
  <si>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</si>
  <si>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</si>
  <si>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</si>
  <si>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</si>
  <si>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</si>
  <si>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</si>
  <si>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</si>
  <si>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</si>
  <si>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</si>
  <si>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</si>
  <si>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</si>
  <si>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</si>
  <si>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</si>
  <si>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</si>
  <si>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</si>
  <si>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</si>
  <si>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</si>
  <si>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</si>
  <si>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</si>
  <si>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</si>
  <si>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</si>
  <si>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</si>
  <si>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</si>
  <si>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</si>
  <si>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</si>
  <si>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</si>
  <si>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</si>
  <si>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</si>
  <si>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</si>
  <si>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</si>
  <si>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</si>
  <si>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</si>
  <si>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A 7 DIAS HABILES</t>
  </si>
  <si>
    <t>N° 10995</t>
  </si>
  <si>
    <t>DON HECTOR</t>
  </si>
  <si>
    <t xml:space="preserve">+569 </t>
  </si>
  <si>
    <t>CUB CON RESPALDO  FRENTE 90° R8</t>
  </si>
  <si>
    <t>CUB SIN RESPALDO  FRENTE 90° R8</t>
  </si>
  <si>
    <t>CLASICC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</si>
</sst>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B5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66622.91653134134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2.2000000000000002</v>
      </c>
      <c r="E21" s="326">
        <v>0.55000000000000004</v>
      </c>
      <c r="F21" s="325" t="s">
        <v>174</v>
      </c>
      <c r="G21" s="327">
        <v>85446</v>
      </c>
      <c r="H21" s="327">
        <f>G21*B21</f>
        <v>85446</v>
      </c>
      <c r="I21" s="265"/>
      <c r="J21" s="47"/>
      <c r="K21" s="47">
        <f>B21</f>
        <v>1</v>
      </c>
      <c r="L21" s="39">
        <f t="shared" ref="L21" si="1">D21+L$19</f>
        <v>2.25</v>
      </c>
      <c r="M21" s="39">
        <f t="shared" ref="M21" si="2">E21+M$19</f>
        <v>0.55000000000000004</v>
      </c>
      <c r="N21" s="261">
        <f t="shared" ref="N21" si="3">L21*M21</f>
        <v>1.2375</v>
      </c>
      <c r="O21" s="259">
        <f t="shared" ref="O21" si="4">N21*K21</f>
        <v>1.2375</v>
      </c>
      <c r="P21" s="252">
        <f t="shared" ref="P21" si="5">P$20*N21</f>
        <v>82445.859207534915</v>
      </c>
      <c r="Q21" s="328">
        <f t="shared" ref="Q21" si="6">P21+Q$20</f>
        <v>85445.859207534915</v>
      </c>
      <c r="R21" s="298">
        <f>L21*K21</f>
        <v>2.25</v>
      </c>
      <c r="S21" s="46">
        <f>M21*2*K21</f>
        <v>1.1000000000000001</v>
      </c>
      <c r="T21" s="9"/>
      <c r="W21" s="4"/>
    </row>
    <row r="22" spans="2:24" ht="17.399999999999999" x14ac:dyDescent="0.3">
      <c r="B22" s="325">
        <v>1</v>
      </c>
      <c r="C22" s="325" t="s">
        <v>173</v>
      </c>
      <c r="D22" s="326">
        <v>0.63</v>
      </c>
      <c r="E22" s="326">
        <v>0.55000000000000004</v>
      </c>
      <c r="F22" s="325" t="s">
        <v>174</v>
      </c>
      <c r="G22" s="327">
        <v>27917</v>
      </c>
      <c r="H22" s="327">
        <f>G22*B22</f>
        <v>27917</v>
      </c>
      <c r="I22" s="265"/>
      <c r="J22" s="47"/>
      <c r="K22" s="47">
        <f t="shared" ref="K22:K24" si="7">B22</f>
        <v>1</v>
      </c>
      <c r="L22" s="39">
        <f t="shared" ref="L22" si="8">D22+L$19</f>
        <v>0.68</v>
      </c>
      <c r="M22" s="39">
        <f t="shared" ref="M22" si="9">E22+M$19</f>
        <v>0.55000000000000004</v>
      </c>
      <c r="N22" s="261">
        <f t="shared" ref="N22" si="10">L22*M22</f>
        <v>0.37400000000000005</v>
      </c>
      <c r="O22" s="259">
        <f t="shared" ref="O22" si="11">N22*K22</f>
        <v>0.37400000000000005</v>
      </c>
      <c r="P22" s="252">
        <f t="shared" ref="P22" si="12">P$20*N22</f>
        <v>24916.970782721666</v>
      </c>
      <c r="Q22" s="328">
        <f t="shared" ref="Q22" si="13">P22+Q$20</f>
        <v>27916.970782721666</v>
      </c>
      <c r="R22" s="298"/>
      <c r="S22" s="46"/>
      <c r="T22" s="9"/>
      <c r="W22" s="4"/>
    </row>
    <row r="23" spans="2:24" ht="17.399999999999999" x14ac:dyDescent="0.3">
      <c r="B23" s="325">
        <v>1</v>
      </c>
      <c r="C23" s="325" t="s">
        <v>173</v>
      </c>
      <c r="D23" s="326">
        <v>0.6</v>
      </c>
      <c r="E23" s="326">
        <v>0.55000000000000004</v>
      </c>
      <c r="F23" s="325" t="s">
        <v>174</v>
      </c>
      <c r="G23" s="327">
        <v>26818</v>
      </c>
      <c r="H23" s="327">
        <f>G23*B23</f>
        <v>26818</v>
      </c>
      <c r="I23" s="265"/>
      <c r="J23" s="47"/>
      <c r="K23" s="47">
        <f t="shared" si="7"/>
        <v>1</v>
      </c>
      <c r="L23" s="39">
        <f t="shared" ref="L23:L24" si="14">D23+L$19</f>
        <v>0.65</v>
      </c>
      <c r="M23" s="39">
        <f t="shared" ref="M23:M24" si="15">E23+M$19</f>
        <v>0.55000000000000004</v>
      </c>
      <c r="N23" s="261">
        <f t="shared" ref="N23:N24" si="16">L23*M23</f>
        <v>0.35750000000000004</v>
      </c>
      <c r="O23" s="259">
        <f t="shared" ref="O23:O24" si="17">N23*K23</f>
        <v>0.35750000000000004</v>
      </c>
      <c r="P23" s="252">
        <f t="shared" ref="P23:P24" si="18">P$20*N23</f>
        <v>23817.692659954533</v>
      </c>
      <c r="Q23" s="328">
        <f t="shared" ref="Q23:Q24" si="19">P23+Q$20</f>
        <v>26817.692659954533</v>
      </c>
      <c r="R23" s="298"/>
      <c r="S23" s="46"/>
      <c r="T23" s="9"/>
      <c r="W23" s="4"/>
    </row>
    <row r="24" spans="2:24" ht="17.399999999999999" x14ac:dyDescent="0.3">
      <c r="B24" s="325">
        <v>1</v>
      </c>
      <c r="C24" s="325" t="s">
        <v>172</v>
      </c>
      <c r="D24" s="326">
        <v>1.8</v>
      </c>
      <c r="E24" s="326">
        <v>0.6</v>
      </c>
      <c r="F24" s="325" t="s">
        <v>174</v>
      </c>
      <c r="G24" s="327">
        <v>76951</v>
      </c>
      <c r="H24" s="327">
        <f>G24*B24</f>
        <v>76951</v>
      </c>
      <c r="I24" s="265"/>
      <c r="J24" s="47"/>
      <c r="K24" s="47">
        <f t="shared" si="7"/>
        <v>1</v>
      </c>
      <c r="L24" s="39">
        <f t="shared" si="14"/>
        <v>1.85</v>
      </c>
      <c r="M24" s="39">
        <f t="shared" si="15"/>
        <v>0.6</v>
      </c>
      <c r="N24" s="261">
        <f t="shared" si="16"/>
        <v>1.1100000000000001</v>
      </c>
      <c r="O24" s="259">
        <f t="shared" si="17"/>
        <v>1.1100000000000001</v>
      </c>
      <c r="P24" s="252">
        <f t="shared" si="18"/>
        <v>73951.437349788888</v>
      </c>
      <c r="Q24" s="328">
        <f t="shared" si="19"/>
        <v>76951.437349788888</v>
      </c>
      <c r="R24" s="298">
        <f t="shared" ref="R24" si="20">L24*K24</f>
        <v>1.85</v>
      </c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217132</v>
      </c>
      <c r="I27" s="265"/>
      <c r="J27" s="47"/>
      <c r="K27" s="47"/>
      <c r="L27" s="39">
        <f>SUM(L21:L26)</f>
        <v>5.43</v>
      </c>
      <c r="M27" s="39"/>
      <c r="N27" s="261"/>
      <c r="O27" s="259"/>
      <c r="P27" s="252"/>
      <c r="Q27" s="258"/>
      <c r="R27" s="298"/>
      <c r="S27" s="46">
        <f>SUM(S21:S26)</f>
        <v>1.1000000000000001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SUM(O21:O24)</f>
        <v>3.0790000000000006</v>
      </c>
      <c r="P28" s="14"/>
      <c r="Q28" s="12"/>
      <c r="R28" s="239"/>
      <c r="S28" s="46">
        <f>S27*20%</f>
        <v>0.22000000000000003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217132</v>
      </c>
      <c r="I29" s="265"/>
      <c r="J29" s="47"/>
      <c r="K29" s="47"/>
      <c r="L29" s="39"/>
      <c r="M29" s="12"/>
      <c r="N29" s="12"/>
      <c r="O29" s="253">
        <f>O28</f>
        <v>3.0790000000000006</v>
      </c>
      <c r="P29" s="14"/>
      <c r="Q29" s="12"/>
      <c r="R29" s="239">
        <f>SUM(R21:R28)</f>
        <v>4.0999999999999996</v>
      </c>
      <c r="S29" s="46">
        <f>S27+S28</f>
        <v>1.32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0.61580000000000013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3.6948000000000008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3.6948000000000008</v>
      </c>
      <c r="M33" s="12">
        <v>3500</v>
      </c>
      <c r="N33" s="12">
        <f t="shared" ref="N33:N38" si="21">L33*M33</f>
        <v>12931.800000000003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25000</v>
      </c>
      <c r="N34" s="12">
        <f t="shared" si="21"/>
        <v>25000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41277</v>
      </c>
      <c r="N35" s="12">
        <f t="shared" si="21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2</v>
      </c>
      <c r="M36" s="250">
        <v>24580</v>
      </c>
      <c r="N36" s="12">
        <f t="shared" si="21"/>
        <v>49160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21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4.0999999999999996</v>
      </c>
      <c r="M38" s="12">
        <v>1500</v>
      </c>
      <c r="N38" s="12">
        <f t="shared" si="21"/>
        <v>6149.9999999999991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93241.8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205131.96000000002</v>
      </c>
      <c r="O40" s="14" t="s">
        <v>141</v>
      </c>
      <c r="P40" s="14"/>
      <c r="Q40" s="40">
        <f>O31/Q39</f>
        <v>0.99622519413287336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29250</v>
      </c>
      <c r="K41" s="250">
        <v>0</v>
      </c>
      <c r="L41" s="14"/>
      <c r="M41" s="12"/>
      <c r="N41" s="12">
        <f>N40/O29</f>
        <v>66622.91653134134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24579.831932773111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45456</v>
      </c>
    </row>
    <row r="6" spans="2:31" ht="16.2" thickBot="1" x14ac:dyDescent="0.35">
      <c r="B6" s="140" t="s">
        <v>2</v>
      </c>
      <c r="C6" s="139" t="str">
        <f>'2229'!C10</f>
        <v>DON HECTOR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-17553.046700120769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217132</v>
      </c>
      <c r="E11" s="132">
        <f>D11*0.19</f>
        <v>41255.08</v>
      </c>
      <c r="F11" s="131">
        <f>E11+D11</f>
        <v>258387.08000000002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88436.953299879227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67765.890787439625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70436.953299879227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149366.10921256038</v>
      </c>
      <c r="E13" s="221">
        <f>(D11/D12)-1</f>
        <v>2.2041488347150202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61436.953299879227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22436.953299879231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111813.71979927538</v>
      </c>
      <c r="F15" s="216">
        <f>E15-D12</f>
        <v>44047.829011835754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22436.953299879231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62436.953299879227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12931.800000000003</v>
      </c>
      <c r="E20" s="121">
        <f>D20*0.19</f>
        <v>2457.0420000000004</v>
      </c>
      <c r="F20" s="120">
        <f>SUM(D20:E20)</f>
        <v>15388.842000000004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37931.800000000003</v>
      </c>
      <c r="E21" s="116">
        <f>SUM(E18:E20)</f>
        <v>7207.0420000000004</v>
      </c>
      <c r="F21" s="115">
        <f>SUM(F18:F20)</f>
        <v>45138.842000000004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34048.038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217132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37931.800000000003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149366.10921256038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149366.10921256038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2024-06-13T18:59:13Z</dcterms:modified>
</cp:coreProperties>
</file>