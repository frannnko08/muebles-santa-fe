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6E8CBEB8-2927-4300-9653-C5694A029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K22" i="1"/>
  <c r="L22" i="1"/>
  <c r="M22" i="1"/>
  <c r="N22" i="1"/>
  <c r="O22" i="1" s="1"/>
  <c r="K23" i="1"/>
  <c r="L23" i="1"/>
  <c r="M23" i="1"/>
  <c r="N23" i="1"/>
  <c r="O23" i="1"/>
  <c r="H22" i="1"/>
  <c r="H23" i="1"/>
  <c r="K21" i="1"/>
  <c r="L21" i="1"/>
  <c r="L27" i="1" s="1"/>
  <c r="M21" i="1"/>
  <c r="R21" i="1" l="1"/>
  <c r="N21" i="1"/>
  <c r="O21" i="1" s="1"/>
  <c r="J41" i="1" l="1"/>
  <c r="N34" i="1" l="1"/>
  <c r="O29" i="1" l="1"/>
  <c r="O30" i="1" s="1"/>
  <c r="O31" i="1" s="1"/>
  <c r="S46" i="1"/>
  <c r="M20" i="1" l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N40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Q23" i="1" s="1"/>
  <c r="P22" i="1"/>
  <c r="Q22" i="1" s="1"/>
  <c r="P21" i="1"/>
  <c r="F15" i="3"/>
  <c r="Q21" i="1" l="1"/>
  <c r="H21" i="1" s="1"/>
  <c r="H25" i="1" s="1"/>
  <c r="R29" i="1"/>
  <c r="K1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<sst xmlns="http://schemas.openxmlformats.org/spreadsheetml/2006/main" count="224" uniqueCount="166">
  <si>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</si>
  <si>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</si>
  <si>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</si>
  <si>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</si>
  <si>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</si>
  <si>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</si>
  <si>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</si>
  <si>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</si>
  <si>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</si>
  <si>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</si>
  <si>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</si>
  <si>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</si>
  <si>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</si>
  <si>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</si>
  <si>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</si>
  <si>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</si>
  <si>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</si>
  <si>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</si>
  <si>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</si>
  <si>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</si>
  <si>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</si>
  <si>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</si>
  <si>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</si>
  <si>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</si>
  <si>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</si>
  <si>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</si>
  <si>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</si>
  <si>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</si>
  <si>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</si>
  <si>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</si>
  <si>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</si>
  <si>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</si>
  <si>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</si>
  <si>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</si>
  <si>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</si>
  <si>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</si>
  <si>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</si>
  <si>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</si>
  <si>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</si>
  <si>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</si>
  <si>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</si>
  <si>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</si>
  <si>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</si>
  <si>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</si>
  <si>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</si>
  <si>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</si>
  <si>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</si>
  <si>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</si>
  <si>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</si>
  <si>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</si>
  <si>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</si>
  <si>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</si>
  <si>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</si>
  <si>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</si>
  <si>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</si>
  <si>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</si>
  <si>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</si>
  <si>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</si>
  <si>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</si>
  <si>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</si>
  <si>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</si>
  <si>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</si>
  <si>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</si>
  <si>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</si>
  <si>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</si>
  <si>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</si>
  <si>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</si>
  <si>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</si>
  <si>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</si>
  <si>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</si>
  <si>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</si>
  <si>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</si>
  <si>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</si>
  <si>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</si>
  <si>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</si>
  <si>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</si>
  <si>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</si>
  <si>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</si>
  <si>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</si>
  <si>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</si>
  <si>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</si>
  <si>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</si>
  <si>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</si>
  <si>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</si>
  <si>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</si>
  <si>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</si>
  <si>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</si>
  <si>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</si>
  <si>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</si>
  <si>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</si>
  <si>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</si>
  <si>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</si>
  <si>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</si>
  <si>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</si>
  <si>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</si>
  <si>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</si>
  <si>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</si>
  <si>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</si>
  <si>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</si>
  <si>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</si>
  <si>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</si>
  <si>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</si>
  <si>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</si>
  <si>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</si>
  <si>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</si>
  <si>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</si>
  <si>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</si>
  <si>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</si>
  <si>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</si>
  <si>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</si>
  <si>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</si>
  <si>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</si>
  <si>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</si>
  <si>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</si>
  <si>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</si>
  <si>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</si>
  <si>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</si>
  <si>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</si>
  <si>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</si>
  <si>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</si>
  <si>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</si>
  <si>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</si>
  <si>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</si>
  <si>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</si>
  <si>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</si>
  <si>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</si>
  <si>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</si>
  <si>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</si>
  <si>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</si>
  <si>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</si>
  <si>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</si>
  <si>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</si>
  <si>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</si>
  <si>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</si>
  <si>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</si>
  <si>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</si>
  <si>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</si>
  <si>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</si>
  <si>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</si>
  <si>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</si>
  <si>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</si>
  <si>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</si>
  <si>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</si>
  <si>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</si>
  <si>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</si>
  <si>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</si>
  <si>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</si>
  <si>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</si>
  <si>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</si>
  <si>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</si>
  <si>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</si>
  <si>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</si>
  <si>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</si>
  <si>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</si>
  <si>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</si>
  <si>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</si>
  <si>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</si>
  <si>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7 DIAS HABILES</t>
  </si>
  <si>
    <t>FEMENIAS MUEBLES</t>
  </si>
  <si>
    <t>CHRISTIAN FEMENIAS</t>
  </si>
  <si>
    <t>+569 97278419</t>
  </si>
  <si>
    <t>VIÑA DEL MAR</t>
  </si>
  <si>
    <t>CUB S/R R6</t>
  </si>
  <si>
    <t>GREY NEBULA 4622-60</t>
  </si>
  <si>
    <t>N° 11003</t>
  </si>
  <si>
    <t>CUB MESA R6 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</si>
</sst>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28</xdr:row>
      <xdr:rowOff>9525</xdr:rowOff>
    </xdr:from>
    <xdr:to>
      <xdr:col>5</xdr:col>
      <xdr:colOff>1679511</xdr:colOff>
      <xdr:row>31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225489</xdr:rowOff>
    </xdr:from>
    <xdr:to>
      <xdr:col>5</xdr:col>
      <xdr:colOff>1656183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 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A4" zoomScale="98" zoomScaleNormal="98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24.77734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45467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2502.1528198908431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1:24" ht="15" thickBot="1" x14ac:dyDescent="0.35">
      <c r="B17" s="296" t="s">
        <v>13</v>
      </c>
      <c r="C17" s="297" t="s">
        <v>161</v>
      </c>
      <c r="D17" s="298"/>
      <c r="E17" s="299"/>
      <c r="F17" s="328" t="s">
        <v>153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67265.215004574551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1</v>
      </c>
      <c r="C21" s="324" t="s">
        <v>162</v>
      </c>
      <c r="D21" s="320">
        <v>0.75</v>
      </c>
      <c r="E21" s="320">
        <v>0.5</v>
      </c>
      <c r="F21" s="319" t="s">
        <v>163</v>
      </c>
      <c r="G21" s="321">
        <v>29906</v>
      </c>
      <c r="H21" s="322">
        <f t="shared" ref="H21" si="1">G21*B21</f>
        <v>29906</v>
      </c>
      <c r="I21" s="265"/>
      <c r="J21" s="47"/>
      <c r="K21" s="47">
        <f t="shared" ref="K21" si="2">B21</f>
        <v>1</v>
      </c>
      <c r="L21" s="39">
        <f t="shared" ref="L21" si="3">D21+L$19</f>
        <v>0.8</v>
      </c>
      <c r="M21" s="39">
        <f t="shared" ref="M21" si="4">E21+M$19</f>
        <v>0.5</v>
      </c>
      <c r="N21" s="261">
        <f t="shared" ref="N21" si="5">L21*M21</f>
        <v>0.4</v>
      </c>
      <c r="O21" s="259">
        <f t="shared" ref="O21" si="6">N21*K21</f>
        <v>0.4</v>
      </c>
      <c r="P21" s="252">
        <f t="shared" ref="P21" si="7">P$20*N21</f>
        <v>26906.086001829823</v>
      </c>
      <c r="Q21" s="258">
        <f t="shared" ref="Q21" si="8">P21+Q$20</f>
        <v>29906.086001829823</v>
      </c>
      <c r="R21" s="307">
        <f t="shared" ref="R21" si="9">K21*L21</f>
        <v>0.8</v>
      </c>
      <c r="S21" s="14"/>
      <c r="T21" s="9"/>
      <c r="W21" s="4"/>
    </row>
    <row r="22" spans="1:24" ht="18" thickBot="1" x14ac:dyDescent="0.35">
      <c r="B22" s="325">
        <v>1</v>
      </c>
      <c r="C22" s="326" t="s">
        <v>165</v>
      </c>
      <c r="D22" s="327">
        <v>1.1499999999999999</v>
      </c>
      <c r="E22" s="327">
        <v>0.5</v>
      </c>
      <c r="F22" s="319" t="s">
        <v>163</v>
      </c>
      <c r="G22" s="321">
        <v>43359</v>
      </c>
      <c r="H22" s="322">
        <f t="shared" ref="H22:H23" si="10">G22*B22</f>
        <v>43359</v>
      </c>
      <c r="I22" s="265"/>
      <c r="J22" s="47"/>
      <c r="K22" s="47">
        <f t="shared" ref="K22:K23" si="11">B22</f>
        <v>1</v>
      </c>
      <c r="L22" s="39">
        <f t="shared" ref="L22:L23" si="12">D22+L$19</f>
        <v>1.2</v>
      </c>
      <c r="M22" s="39">
        <f t="shared" ref="M22:M23" si="13">E22+M$19</f>
        <v>0.5</v>
      </c>
      <c r="N22" s="261">
        <f t="shared" ref="N22:N23" si="14">L22*M22</f>
        <v>0.6</v>
      </c>
      <c r="O22" s="259">
        <f t="shared" ref="O22:O23" si="15">N22*K22</f>
        <v>0.6</v>
      </c>
      <c r="P22" s="252">
        <f t="shared" ref="P22:P23" si="16">P$20*N22</f>
        <v>40359.129002744732</v>
      </c>
      <c r="Q22" s="258">
        <f t="shared" ref="Q22:Q23" si="17">P22+Q$20</f>
        <v>43359.129002744732</v>
      </c>
      <c r="R22" s="307"/>
      <c r="S22" s="14"/>
      <c r="T22" s="9"/>
      <c r="W22" s="4"/>
    </row>
    <row r="23" spans="1:24" ht="17.399999999999999" x14ac:dyDescent="0.3">
      <c r="B23" s="325">
        <v>1</v>
      </c>
      <c r="C23" s="326" t="s">
        <v>34</v>
      </c>
      <c r="D23" s="327">
        <v>1.5</v>
      </c>
      <c r="E23" s="327">
        <v>0.06</v>
      </c>
      <c r="F23" s="319" t="s">
        <v>163</v>
      </c>
      <c r="G23" s="321">
        <v>9256</v>
      </c>
      <c r="H23" s="322">
        <f t="shared" si="10"/>
        <v>9256</v>
      </c>
      <c r="I23" s="265"/>
      <c r="J23" s="47"/>
      <c r="K23" s="47">
        <f t="shared" si="11"/>
        <v>1</v>
      </c>
      <c r="L23" s="39">
        <f t="shared" si="12"/>
        <v>1.55</v>
      </c>
      <c r="M23" s="39">
        <f t="shared" si="13"/>
        <v>0.06</v>
      </c>
      <c r="N23" s="261">
        <f t="shared" si="14"/>
        <v>9.2999999999999999E-2</v>
      </c>
      <c r="O23" s="259">
        <f t="shared" si="15"/>
        <v>9.2999999999999999E-2</v>
      </c>
      <c r="P23" s="252">
        <f t="shared" si="16"/>
        <v>6255.6649954254335</v>
      </c>
      <c r="Q23" s="258">
        <f t="shared" si="17"/>
        <v>9255.6649954254335</v>
      </c>
      <c r="R23" s="307"/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323"/>
      <c r="H24" s="323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SUM(H21:H23)</f>
        <v>82521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15678.99</v>
      </c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98199.99</v>
      </c>
      <c r="I27" s="265"/>
      <c r="J27" s="47"/>
      <c r="K27" s="47"/>
      <c r="L27" s="39">
        <f>SUM(L21:L21)*2</f>
        <v>1.6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39"/>
      <c r="M28" s="12"/>
      <c r="N28" s="12"/>
      <c r="O28" s="253">
        <f>SUM(O21:O24)*2</f>
        <v>2.1859999999999999</v>
      </c>
      <c r="P28" s="14"/>
      <c r="Q28" s="12"/>
      <c r="R28" s="238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47"/>
      <c r="K29" s="47"/>
      <c r="L29" s="39"/>
      <c r="M29" s="12"/>
      <c r="N29" s="12"/>
      <c r="O29" s="253">
        <f>O28</f>
        <v>2.1859999999999999</v>
      </c>
      <c r="P29" s="14"/>
      <c r="Q29" s="12"/>
      <c r="R29" s="238">
        <f>SUM(R21:R28)</f>
        <v>0.8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14"/>
      <c r="M30" s="12"/>
      <c r="N30" s="12"/>
      <c r="O30" s="39">
        <f>O29*0.2</f>
        <v>0.43720000000000003</v>
      </c>
      <c r="P30" s="39" t="s">
        <v>132</v>
      </c>
      <c r="Q30" s="42"/>
      <c r="R30" s="239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312"/>
      <c r="K31" s="47"/>
      <c r="L31" s="14"/>
      <c r="M31" s="12"/>
      <c r="N31" s="12"/>
      <c r="O31" s="46">
        <f>O29+O30</f>
        <v>2.6231999999999998</v>
      </c>
      <c r="P31" s="14"/>
      <c r="Q31" s="14"/>
      <c r="R31" s="237">
        <v>40</v>
      </c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312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A33" s="230"/>
      <c r="B33" s="24" t="s">
        <v>154</v>
      </c>
      <c r="C33" s="230"/>
      <c r="D33" s="230"/>
      <c r="E33" s="230"/>
      <c r="F33" s="230"/>
      <c r="G33" s="230"/>
      <c r="H33" s="230"/>
      <c r="I33" s="265"/>
      <c r="J33" s="47"/>
      <c r="K33" s="47"/>
      <c r="L33" s="39">
        <f>O31</f>
        <v>2.6231999999999998</v>
      </c>
      <c r="M33" s="12">
        <v>3500</v>
      </c>
      <c r="N33" s="12">
        <f t="shared" ref="N33:N38" si="18">L33*M33</f>
        <v>9181.1999999999989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4" t="s">
        <v>155</v>
      </c>
      <c r="G34" s="230"/>
      <c r="H34" s="230"/>
      <c r="I34" s="265"/>
      <c r="J34" s="47"/>
      <c r="K34" s="47"/>
      <c r="L34" s="249">
        <v>0.5</v>
      </c>
      <c r="M34" s="12">
        <v>23500</v>
      </c>
      <c r="N34" s="12">
        <f t="shared" si="18"/>
        <v>11750</v>
      </c>
      <c r="O34" s="39" t="s">
        <v>152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47"/>
      <c r="K35" s="250"/>
      <c r="L35" s="14"/>
      <c r="M35" s="250">
        <v>23500</v>
      </c>
      <c r="N35" s="12">
        <f t="shared" si="18"/>
        <v>0</v>
      </c>
      <c r="O35" s="39" t="s">
        <v>32</v>
      </c>
      <c r="P35" s="42"/>
      <c r="R35" s="239"/>
      <c r="S35" s="256"/>
      <c r="V35" s="231"/>
    </row>
    <row r="36" spans="1:23" s="230" customFormat="1" ht="17.399999999999999" x14ac:dyDescent="0.35">
      <c r="I36" s="262"/>
      <c r="J36" s="311"/>
      <c r="K36" s="250"/>
      <c r="L36" s="14">
        <v>1</v>
      </c>
      <c r="M36" s="250">
        <v>43000</v>
      </c>
      <c r="N36" s="12">
        <f t="shared" si="18"/>
        <v>43000</v>
      </c>
      <c r="O36" s="14" t="s">
        <v>143</v>
      </c>
      <c r="P36" s="17"/>
      <c r="R36" s="237"/>
      <c r="S36" s="256"/>
      <c r="V36" s="231"/>
    </row>
    <row r="37" spans="1:23" s="230" customFormat="1" ht="17.399999999999999" x14ac:dyDescent="0.35">
      <c r="I37" s="262"/>
      <c r="J37" s="311"/>
      <c r="K37" s="250"/>
      <c r="L37" s="249"/>
      <c r="M37" s="250">
        <v>800</v>
      </c>
      <c r="N37" s="12">
        <f t="shared" si="18"/>
        <v>0</v>
      </c>
      <c r="O37" s="14" t="s">
        <v>34</v>
      </c>
      <c r="P37" s="14"/>
      <c r="Q37" s="230">
        <v>1.83</v>
      </c>
      <c r="R37" s="237"/>
      <c r="S37" s="237"/>
    </row>
    <row r="38" spans="1:23" s="230" customFormat="1" ht="17.399999999999999" x14ac:dyDescent="0.35">
      <c r="I38" s="302"/>
      <c r="J38" s="47"/>
      <c r="K38" s="250"/>
      <c r="L38" s="266"/>
      <c r="M38" s="12">
        <v>1500</v>
      </c>
      <c r="N38" s="12">
        <f t="shared" si="18"/>
        <v>0</v>
      </c>
      <c r="O38" s="14" t="s">
        <v>24</v>
      </c>
      <c r="P38" s="14"/>
      <c r="Q38">
        <v>3.66</v>
      </c>
      <c r="R38"/>
      <c r="S38" s="237">
        <v>1500</v>
      </c>
      <c r="W38" s="231"/>
    </row>
    <row r="39" spans="1:23" s="230" customFormat="1" ht="17.399999999999999" x14ac:dyDescent="0.35">
      <c r="I39" s="265"/>
      <c r="J39" s="47"/>
      <c r="K39" s="250"/>
      <c r="L39" s="14"/>
      <c r="M39" s="12"/>
      <c r="N39" s="12">
        <f>SUM(N33:N38)</f>
        <v>63931.199999999997</v>
      </c>
      <c r="O39" s="39" t="s">
        <v>25</v>
      </c>
      <c r="P39" s="14"/>
      <c r="Q39">
        <f>Q37*Q38</f>
        <v>6.6978000000000009</v>
      </c>
      <c r="R39"/>
      <c r="S39" s="237">
        <f>R31*S38</f>
        <v>60000</v>
      </c>
      <c r="W39" s="231"/>
    </row>
    <row r="40" spans="1:23" s="230" customFormat="1" ht="17.399999999999999" x14ac:dyDescent="0.35">
      <c r="J40" s="47">
        <v>58690</v>
      </c>
      <c r="K40" s="250"/>
      <c r="L40" s="254" t="s">
        <v>35</v>
      </c>
      <c r="M40" s="12"/>
      <c r="N40" s="255">
        <f>N39*2.3</f>
        <v>147041.75999999998</v>
      </c>
      <c r="O40" s="14" t="s">
        <v>142</v>
      </c>
      <c r="P40" s="14"/>
      <c r="Q40" s="46">
        <f>O31/Q39</f>
        <v>0.39165098987727304</v>
      </c>
      <c r="R40"/>
      <c r="S40" s="257" t="e">
        <f>S39/#REF!</f>
        <v>#REF!</v>
      </c>
    </row>
    <row r="41" spans="1:23" s="230" customFormat="1" ht="17.399999999999999" x14ac:dyDescent="0.35">
      <c r="G41"/>
      <c r="H41" s="260"/>
      <c r="I41" s="260"/>
      <c r="J41" s="47">
        <f>J40/1.19</f>
        <v>49319.327731092439</v>
      </c>
      <c r="K41" s="250"/>
      <c r="L41" s="14"/>
      <c r="M41" s="12"/>
      <c r="N41" s="12">
        <f>N40/O29</f>
        <v>67265.215004574551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50"/>
      <c r="L42" s="13"/>
      <c r="M42" s="14"/>
      <c r="N42" s="17">
        <f>N40/N39</f>
        <v>2.2999999999999998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50"/>
      <c r="S46">
        <f>S44*S45</f>
        <v>4.5750000000000002</v>
      </c>
    </row>
    <row r="47" spans="1:23" x14ac:dyDescent="0.3">
      <c r="K47" s="250"/>
      <c r="S47" s="270">
        <f>O31/S46</f>
        <v>0.57337704918032784</v>
      </c>
    </row>
    <row r="48" spans="1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45467</v>
      </c>
    </row>
    <row r="6" spans="2:31" ht="16.2" thickBot="1" x14ac:dyDescent="0.35">
      <c r="B6" s="140" t="s">
        <v>2</v>
      </c>
      <c r="C6" s="139" t="str">
        <f>'2229'!C10</f>
        <v>FEMENIAS MUEBLES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11003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206.9549665458932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82521</v>
      </c>
      <c r="E11" s="132">
        <f>D11*0.19</f>
        <v>15678.99</v>
      </c>
      <c r="F11" s="131">
        <f>E11+D11</f>
        <v>98199.99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106196.95496654589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50765.290787439611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88196.954966545891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31755.709212560389</v>
      </c>
      <c r="E13" s="221">
        <f>(D11/D12)-1</f>
        <v>0.62553978751988959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79196.954966545891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40196.954966545891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83762.729799275359</v>
      </c>
      <c r="F15" s="216">
        <f>E15-D12</f>
        <v>32997.439011835748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40196.954966545891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80196.954966545891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9181.1999999999989</v>
      </c>
      <c r="E20" s="121">
        <f>D20*0.19</f>
        <v>1744.4279999999999</v>
      </c>
      <c r="F20" s="120">
        <f>SUM(D20:E20)</f>
        <v>10925.627999999999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20931.199999999997</v>
      </c>
      <c r="E21" s="116">
        <f>SUM(E18:E20)</f>
        <v>3976.9279999999999</v>
      </c>
      <c r="F21" s="115">
        <f>SUM(F18:F20)</f>
        <v>24908.127999999997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11702.062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82521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20931.199999999997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31755.709212560389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31755.709212560389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2024-06-24T13:36:53Z</dcterms:modified>
</cp:coreProperties>
</file>