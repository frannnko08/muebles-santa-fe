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6979DEDC-F2C2-4251-8635-A722058E7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22" i="1"/>
  <c r="G23" i="1"/>
  <c r="G24" i="1"/>
  <c r="G25" i="1"/>
  <c r="G26" i="1"/>
  <c r="G27" i="1"/>
  <c r="G21" i="1"/>
  <c r="O32" i="1"/>
  <c r="H28" i="1"/>
  <c r="K24" i="1"/>
  <c r="L24" i="1"/>
  <c r="K25" i="1"/>
  <c r="L25" i="1"/>
  <c r="K26" i="1"/>
  <c r="L26" i="1"/>
  <c r="K27" i="1"/>
  <c r="L27" i="1"/>
  <c r="B29" i="1"/>
  <c r="K22" i="1"/>
  <c r="L22" i="1"/>
  <c r="M22" i="1"/>
  <c r="K23" i="1"/>
  <c r="L23" i="1"/>
  <c r="M23" i="1"/>
  <c r="K21" i="1"/>
  <c r="J37" i="1"/>
  <c r="K10" i="1"/>
  <c r="N25" i="1" l="1"/>
  <c r="O25" i="1" s="1"/>
  <c r="N24" i="1"/>
  <c r="O24" i="1" s="1"/>
  <c r="N27" i="1"/>
  <c r="O27" i="1" s="1"/>
  <c r="N26" i="1"/>
  <c r="O26" i="1" s="1"/>
  <c r="R22" i="1"/>
  <c r="N23" i="1"/>
  <c r="O23" i="1" s="1"/>
  <c r="N22" i="1"/>
  <c r="O22" i="1" s="1"/>
  <c r="R23" i="1"/>
  <c r="J45" i="1"/>
  <c r="L21" i="1" l="1"/>
  <c r="L31" i="1" s="1"/>
  <c r="M21" i="1"/>
  <c r="N21" i="1" l="1"/>
  <c r="O21" i="1" s="1"/>
  <c r="R21" i="1"/>
  <c r="N38" i="1"/>
  <c r="O33" i="1" l="1"/>
  <c r="S50" i="1"/>
  <c r="O34" i="1" l="1"/>
  <c r="M20" i="1"/>
  <c r="K20" i="1"/>
  <c r="N39" i="1" l="1"/>
  <c r="Q43" i="1"/>
  <c r="Q44" i="1" s="1"/>
  <c r="N40" i="1" l="1"/>
  <c r="S43" i="1" l="1"/>
  <c r="S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O35" i="1" l="1"/>
  <c r="L37" i="1" s="1"/>
  <c r="N37" i="1" l="1"/>
  <c r="S51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6" i="1" l="1"/>
  <c r="P27" i="1"/>
  <c r="P25" i="1"/>
  <c r="P24" i="1"/>
  <c r="P23" i="1"/>
  <c r="P22" i="1"/>
  <c r="P21" i="1"/>
  <c r="H21" i="1" s="1"/>
  <c r="F15" i="3"/>
  <c r="Q25" i="1" l="1"/>
  <c r="H25" i="1"/>
  <c r="Q22" i="1"/>
  <c r="H22" i="1"/>
  <c r="Q23" i="1"/>
  <c r="H23" i="1"/>
  <c r="Q26" i="1"/>
  <c r="H26" i="1"/>
  <c r="Q24" i="1"/>
  <c r="H24" i="1"/>
  <c r="Q27" i="1"/>
  <c r="H27" i="1"/>
  <c r="Q21" i="1"/>
  <c r="R33" i="1"/>
  <c r="H32" i="1" l="1"/>
  <c r="H33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<sst xmlns="http://schemas.openxmlformats.org/spreadsheetml/2006/main" count="230" uniqueCount="166">
  <si>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</si>
  <si>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</si>
  <si>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</si>
  <si>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</si>
  <si>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</si>
  <si>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</si>
  <si>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</si>
  <si>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</si>
  <si>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</si>
  <si>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</si>
  <si>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</si>
  <si>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</si>
  <si>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</si>
  <si>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</si>
  <si>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</si>
  <si>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</si>
  <si>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</si>
  <si>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</si>
  <si>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</si>
  <si>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</si>
  <si>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</si>
  <si>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</si>
  <si>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</si>
  <si>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</si>
  <si>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</si>
  <si>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</si>
  <si>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</si>
  <si>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</si>
  <si>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</si>
  <si>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</si>
  <si>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</si>
  <si>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</si>
  <si>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</si>
  <si>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</si>
  <si>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</si>
  <si>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</si>
  <si>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</si>
  <si>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</si>
  <si>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</si>
  <si>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</si>
  <si>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</si>
  <si>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</si>
  <si>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</si>
  <si>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</si>
  <si>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</si>
  <si>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</si>
  <si>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</si>
  <si>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</si>
  <si>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</si>
  <si>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</si>
  <si>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</si>
  <si>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</si>
  <si>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</si>
  <si>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</si>
  <si>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</si>
  <si>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</si>
  <si>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</si>
  <si>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</si>
  <si>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</si>
  <si>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</si>
  <si>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</si>
  <si>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</si>
  <si>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</si>
  <si>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</si>
  <si>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</si>
  <si>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</si>
  <si>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</si>
  <si>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</si>
  <si>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</si>
  <si>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</si>
  <si>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</si>
  <si>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</si>
  <si>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</si>
  <si>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</si>
  <si>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</si>
  <si>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</si>
  <si>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</si>
  <si>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</si>
  <si>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</si>
  <si>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</si>
  <si>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</si>
  <si>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</si>
  <si>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</si>
  <si>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</si>
  <si>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</si>
  <si>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</si>
  <si>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</si>
  <si>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</si>
  <si>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</si>
  <si>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</si>
  <si>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</si>
  <si>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</si>
  <si>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</si>
  <si>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</si>
  <si>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</si>
  <si>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</si>
  <si>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</si>
  <si>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</si>
  <si>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</si>
  <si>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</si>
  <si>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</si>
  <si>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</si>
  <si>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</si>
  <si>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</si>
  <si>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</si>
  <si>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</si>
  <si>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</si>
  <si>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</si>
  <si>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</si>
  <si>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</si>
  <si>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</si>
  <si>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</si>
  <si>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</si>
  <si>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</si>
  <si>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</si>
  <si>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</si>
  <si>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</si>
  <si>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</si>
  <si>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</si>
  <si>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</si>
  <si>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</si>
  <si>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</si>
  <si>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</si>
  <si>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</si>
  <si>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</si>
  <si>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</si>
  <si>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</si>
  <si>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</si>
  <si>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</si>
  <si>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</si>
  <si>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</si>
  <si>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</si>
  <si>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</si>
  <si>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</si>
  <si>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</si>
  <si>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</si>
  <si>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</si>
  <si>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</si>
  <si>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</si>
  <si>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</si>
  <si>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</si>
  <si>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</si>
  <si>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</si>
  <si>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</si>
  <si>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</si>
  <si>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</si>
  <si>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</si>
  <si>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</si>
  <si>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</si>
  <si>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</si>
  <si>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</si>
  <si>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</si>
  <si>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</si>
  <si>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</si>
  <si>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</si>
  <si>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</si>
  <si>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</si>
  <si>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</si>
  <si>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</si>
  <si>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SI</t>
  </si>
  <si>
    <t>JULIO ESTRADA</t>
  </si>
  <si>
    <t>+569 7938 9454</t>
  </si>
  <si>
    <t>CUB S/R R6</t>
  </si>
  <si>
    <t>RESPALDO DE 6CMS</t>
  </si>
  <si>
    <t>CORTE Z</t>
  </si>
  <si>
    <t>MARMORE CARRARA O SIMILAR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</si>
</sst>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35</xdr:row>
      <xdr:rowOff>28575</xdr:rowOff>
    </xdr:from>
    <xdr:to>
      <xdr:col>8</xdr:col>
      <xdr:colOff>100890</xdr:colOff>
      <xdr:row>38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29</xdr:row>
      <xdr:rowOff>84014</xdr:rowOff>
    </xdr:from>
    <xdr:to>
      <xdr:col>5</xdr:col>
      <xdr:colOff>1849560</xdr:colOff>
      <xdr:row>33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7" zoomScale="98" zoomScaleNormal="98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0.77734375" customWidth="1"/>
    <col min="4" max="4" width="11.109375" customWidth="1"/>
    <col min="5" max="5" width="10.5546875" customWidth="1"/>
    <col min="6" max="6" width="3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>
        <v>11008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45469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159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6" t="s">
        <v>155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8" t="s">
        <v>149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N45</f>
        <v>69704.247787610613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5" t="s">
        <v>162</v>
      </c>
      <c r="D21" s="313">
        <v>1.8</v>
      </c>
      <c r="E21" s="313">
        <v>0.5</v>
      </c>
      <c r="F21" s="312" t="s">
        <v>165</v>
      </c>
      <c r="G21" s="314">
        <f>Q21</f>
        <v>67476.429203539825</v>
      </c>
      <c r="H21" s="315">
        <f>G21*B21</f>
        <v>67476.429203539825</v>
      </c>
      <c r="I21" s="265"/>
      <c r="J21" s="47"/>
      <c r="K21" s="338">
        <f>B21</f>
        <v>1</v>
      </c>
      <c r="L21" s="339">
        <f t="shared" ref="L21:M21" si="0">D21+L$19</f>
        <v>1.85</v>
      </c>
      <c r="M21" s="339">
        <f t="shared" si="0"/>
        <v>0.5</v>
      </c>
      <c r="N21" s="261">
        <f>L21*M21</f>
        <v>0.92500000000000004</v>
      </c>
      <c r="O21" s="259">
        <f>N21*K21</f>
        <v>0.92500000000000004</v>
      </c>
      <c r="P21" s="252">
        <f>P$20*N21</f>
        <v>64476.429203539818</v>
      </c>
      <c r="Q21" s="258">
        <f>P21+Q$20</f>
        <v>67476.429203539825</v>
      </c>
      <c r="R21" s="308">
        <f>K21*L21</f>
        <v>1.85</v>
      </c>
      <c r="S21" s="14"/>
      <c r="T21" s="9"/>
      <c r="W21" s="4"/>
    </row>
    <row r="22" spans="2:24" ht="17.399999999999999" x14ac:dyDescent="0.3">
      <c r="B22" s="323">
        <v>1</v>
      </c>
      <c r="C22" s="325" t="s">
        <v>162</v>
      </c>
      <c r="D22" s="313">
        <v>1.5</v>
      </c>
      <c r="E22" s="313">
        <v>0.6</v>
      </c>
      <c r="F22" s="312" t="s">
        <v>165</v>
      </c>
      <c r="G22" s="314">
        <f t="shared" ref="G22:G27" si="1">Q22</f>
        <v>67824.950442477857</v>
      </c>
      <c r="H22" s="315">
        <f>G22*B22</f>
        <v>67824.950442477857</v>
      </c>
      <c r="I22" s="265"/>
      <c r="J22" s="47"/>
      <c r="K22" s="338">
        <f>B22</f>
        <v>1</v>
      </c>
      <c r="L22" s="339">
        <f t="shared" ref="L22:L23" si="2">D22+L$19</f>
        <v>1.55</v>
      </c>
      <c r="M22" s="339">
        <f t="shared" ref="M22:M23" si="3">E22+M$19</f>
        <v>0.6</v>
      </c>
      <c r="N22" s="261">
        <f t="shared" ref="N22:N23" si="4">L22*M22</f>
        <v>0.92999999999999994</v>
      </c>
      <c r="O22" s="259">
        <f t="shared" ref="O22:O23" si="5">N22*K22</f>
        <v>0.92999999999999994</v>
      </c>
      <c r="P22" s="252">
        <f t="shared" ref="P22:P23" si="6">P$20*N22</f>
        <v>64824.950442477864</v>
      </c>
      <c r="Q22" s="258">
        <f t="shared" ref="Q22:Q23" si="7">P22+Q$20</f>
        <v>67824.950442477857</v>
      </c>
      <c r="R22" s="308">
        <f t="shared" ref="R22:R23" si="8">K22*L22</f>
        <v>1.55</v>
      </c>
      <c r="S22" s="14"/>
      <c r="T22" s="9"/>
      <c r="W22" s="4"/>
    </row>
    <row r="23" spans="2:24" ht="17.399999999999999" x14ac:dyDescent="0.3">
      <c r="B23" s="323">
        <v>1</v>
      </c>
      <c r="C23" s="325" t="s">
        <v>162</v>
      </c>
      <c r="D23" s="313">
        <v>3</v>
      </c>
      <c r="E23" s="313">
        <v>0.6</v>
      </c>
      <c r="F23" s="312" t="s">
        <v>165</v>
      </c>
      <c r="G23" s="314">
        <f t="shared" si="1"/>
        <v>130558.7734513274</v>
      </c>
      <c r="H23" s="315">
        <f>G23*B23</f>
        <v>130558.7734513274</v>
      </c>
      <c r="I23" s="265"/>
      <c r="J23" s="47"/>
      <c r="K23" s="338">
        <f>B23</f>
        <v>1</v>
      </c>
      <c r="L23" s="339">
        <f t="shared" si="2"/>
        <v>3.05</v>
      </c>
      <c r="M23" s="339">
        <f t="shared" si="3"/>
        <v>0.6</v>
      </c>
      <c r="N23" s="261">
        <f t="shared" si="4"/>
        <v>1.8299999999999998</v>
      </c>
      <c r="O23" s="259">
        <f t="shared" si="5"/>
        <v>1.8299999999999998</v>
      </c>
      <c r="P23" s="252">
        <f t="shared" si="6"/>
        <v>127558.7734513274</v>
      </c>
      <c r="Q23" s="258">
        <f t="shared" si="7"/>
        <v>130558.7734513274</v>
      </c>
      <c r="R23" s="308">
        <f t="shared" si="8"/>
        <v>3.05</v>
      </c>
      <c r="S23" s="14"/>
      <c r="T23" s="9"/>
      <c r="W23" s="4"/>
    </row>
    <row r="24" spans="2:24" ht="17.399999999999999" x14ac:dyDescent="0.3">
      <c r="B24" s="323">
        <v>1</v>
      </c>
      <c r="C24" s="325" t="s">
        <v>163</v>
      </c>
      <c r="D24" s="313">
        <v>1.8</v>
      </c>
      <c r="E24" s="313">
        <v>0.06</v>
      </c>
      <c r="F24" s="312" t="s">
        <v>165</v>
      </c>
      <c r="G24" s="314">
        <f t="shared" si="1"/>
        <v>15895.285840707966</v>
      </c>
      <c r="H24" s="315">
        <f>G24*B24</f>
        <v>15895.285840707966</v>
      </c>
      <c r="I24" s="265"/>
      <c r="J24" s="47"/>
      <c r="K24" s="338">
        <f>B24</f>
        <v>1</v>
      </c>
      <c r="L24" s="339">
        <f t="shared" ref="L24:L27" si="9">D24+L$19</f>
        <v>1.85</v>
      </c>
      <c r="M24" s="339">
        <v>0.1</v>
      </c>
      <c r="N24" s="261">
        <f t="shared" ref="N24:N27" si="10">L24*M24</f>
        <v>0.18500000000000003</v>
      </c>
      <c r="O24" s="259">
        <f t="shared" ref="O24:O27" si="11">N24*K24</f>
        <v>0.18500000000000003</v>
      </c>
      <c r="P24" s="252">
        <f t="shared" ref="P24:P27" si="12">P$20*N24</f>
        <v>12895.285840707966</v>
      </c>
      <c r="Q24" s="258">
        <f t="shared" ref="Q24:Q27" si="13">P24+Q$20</f>
        <v>15895.285840707966</v>
      </c>
      <c r="R24" s="308"/>
      <c r="S24" s="14"/>
      <c r="T24" s="9"/>
      <c r="W24" s="4"/>
    </row>
    <row r="25" spans="2:24" ht="17.399999999999999" x14ac:dyDescent="0.3">
      <c r="B25" s="323">
        <v>1</v>
      </c>
      <c r="C25" s="325" t="s">
        <v>163</v>
      </c>
      <c r="D25" s="313">
        <v>1.5</v>
      </c>
      <c r="E25" s="313">
        <v>0.06</v>
      </c>
      <c r="F25" s="312" t="s">
        <v>165</v>
      </c>
      <c r="G25" s="314">
        <f t="shared" si="1"/>
        <v>13804.158407079647</v>
      </c>
      <c r="H25" s="315">
        <f>G25*B25</f>
        <v>13804.158407079647</v>
      </c>
      <c r="I25" s="265"/>
      <c r="J25" s="47"/>
      <c r="K25" s="338">
        <f>B25</f>
        <v>1</v>
      </c>
      <c r="L25" s="339">
        <f t="shared" si="9"/>
        <v>1.55</v>
      </c>
      <c r="M25" s="339">
        <v>0.1</v>
      </c>
      <c r="N25" s="261">
        <f t="shared" si="10"/>
        <v>0.15500000000000003</v>
      </c>
      <c r="O25" s="259">
        <f t="shared" si="11"/>
        <v>0.15500000000000003</v>
      </c>
      <c r="P25" s="252">
        <f t="shared" si="12"/>
        <v>10804.158407079647</v>
      </c>
      <c r="Q25" s="258">
        <f t="shared" si="13"/>
        <v>13804.158407079647</v>
      </c>
      <c r="R25" s="308"/>
      <c r="S25" s="14"/>
      <c r="T25" s="9"/>
      <c r="W25" s="4"/>
    </row>
    <row r="26" spans="2:24" ht="17.399999999999999" x14ac:dyDescent="0.3">
      <c r="B26" s="323">
        <v>1</v>
      </c>
      <c r="C26" s="325" t="s">
        <v>163</v>
      </c>
      <c r="D26" s="313">
        <v>3.6</v>
      </c>
      <c r="E26" s="313">
        <v>0.06</v>
      </c>
      <c r="F26" s="312" t="s">
        <v>165</v>
      </c>
      <c r="G26" s="314">
        <f t="shared" si="1"/>
        <v>28442.050442477874</v>
      </c>
      <c r="H26" s="315">
        <f>G26*B26</f>
        <v>28442.050442477874</v>
      </c>
      <c r="I26" s="265"/>
      <c r="J26" s="47"/>
      <c r="K26" s="338">
        <f>B26</f>
        <v>1</v>
      </c>
      <c r="L26" s="339">
        <f t="shared" si="9"/>
        <v>3.65</v>
      </c>
      <c r="M26" s="339">
        <v>0.1</v>
      </c>
      <c r="N26" s="261">
        <f t="shared" si="10"/>
        <v>0.36499999999999999</v>
      </c>
      <c r="O26" s="259">
        <f t="shared" si="11"/>
        <v>0.36499999999999999</v>
      </c>
      <c r="P26" s="252">
        <f t="shared" si="12"/>
        <v>25442.050442477874</v>
      </c>
      <c r="Q26" s="258">
        <f t="shared" si="13"/>
        <v>28442.050442477874</v>
      </c>
      <c r="R26" s="308"/>
      <c r="S26" s="14"/>
      <c r="T26" s="9"/>
      <c r="W26" s="4"/>
    </row>
    <row r="27" spans="2:24" ht="17.399999999999999" x14ac:dyDescent="0.3">
      <c r="B27" s="323">
        <v>2</v>
      </c>
      <c r="C27" s="325" t="s">
        <v>163</v>
      </c>
      <c r="D27" s="313">
        <v>0.6</v>
      </c>
      <c r="E27" s="313">
        <v>0.06</v>
      </c>
      <c r="F27" s="312" t="s">
        <v>165</v>
      </c>
      <c r="G27" s="314">
        <f t="shared" si="1"/>
        <v>7530.7761061946903</v>
      </c>
      <c r="H27" s="315">
        <f>G27*B27</f>
        <v>15061.552212389381</v>
      </c>
      <c r="I27" s="265"/>
      <c r="J27" s="47"/>
      <c r="K27" s="338">
        <f>B27</f>
        <v>2</v>
      </c>
      <c r="L27" s="339">
        <f t="shared" si="9"/>
        <v>0.65</v>
      </c>
      <c r="M27" s="339">
        <v>0.1</v>
      </c>
      <c r="N27" s="261">
        <f t="shared" si="10"/>
        <v>6.5000000000000002E-2</v>
      </c>
      <c r="O27" s="259">
        <f t="shared" si="11"/>
        <v>0.13</v>
      </c>
      <c r="P27" s="252">
        <f t="shared" si="12"/>
        <v>4530.7761061946903</v>
      </c>
      <c r="Q27" s="258">
        <f t="shared" si="13"/>
        <v>7530.7761061946903</v>
      </c>
      <c r="R27" s="308"/>
      <c r="S27" s="14"/>
      <c r="T27" s="9"/>
      <c r="W27" s="4"/>
    </row>
    <row r="28" spans="2:24" ht="17.399999999999999" x14ac:dyDescent="0.3">
      <c r="B28" s="323">
        <v>1</v>
      </c>
      <c r="C28" s="325" t="s">
        <v>164</v>
      </c>
      <c r="D28" s="313"/>
      <c r="E28" s="313"/>
      <c r="F28" s="312"/>
      <c r="G28" s="314">
        <v>30000</v>
      </c>
      <c r="H28" s="315">
        <f>G28*B28</f>
        <v>30000</v>
      </c>
      <c r="I28" s="265"/>
      <c r="J28" s="47"/>
      <c r="K28" s="338"/>
      <c r="L28" s="339"/>
      <c r="M28" s="3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>
        <f>SUM(B21:B27)</f>
        <v>8</v>
      </c>
      <c r="C29" s="286"/>
      <c r="D29" s="287"/>
      <c r="E29" s="287"/>
      <c r="F29" s="286"/>
      <c r="G29" s="318"/>
      <c r="H29" s="318"/>
      <c r="I29" s="265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2"/>
      <c r="I30" s="232"/>
      <c r="J30" s="47"/>
      <c r="K30" s="47"/>
      <c r="L30" s="39"/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09" t="s">
        <v>30</v>
      </c>
      <c r="H31" s="310">
        <f>SUM(H21:H30)</f>
        <v>369063.1999999999</v>
      </c>
      <c r="I31" s="265"/>
      <c r="J31" s="47"/>
      <c r="K31" s="47"/>
      <c r="L31" s="39">
        <f>SUM(L21:L30)-L23</f>
        <v>11.100000000000001</v>
      </c>
      <c r="M31" s="39"/>
      <c r="N31" s="261"/>
      <c r="O31" s="259"/>
      <c r="P31" s="252"/>
      <c r="Q31" s="258"/>
      <c r="R31" s="308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7" t="s">
        <v>53</v>
      </c>
      <c r="H32" s="304">
        <f>H31*19%</f>
        <v>70122.007999999987</v>
      </c>
      <c r="I32" s="265"/>
      <c r="J32" s="47"/>
      <c r="K32" s="47"/>
      <c r="L32" s="39"/>
      <c r="M32" s="12"/>
      <c r="N32" s="12"/>
      <c r="O32" s="253">
        <f>SUM(O21:O27)</f>
        <v>4.5199999999999996</v>
      </c>
      <c r="P32" s="14"/>
      <c r="Q32" s="12"/>
      <c r="R32" s="238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5">
        <f>H31+H32</f>
        <v>439185.20799999987</v>
      </c>
      <c r="I33" s="265"/>
      <c r="J33" s="47"/>
      <c r="K33" s="47"/>
      <c r="L33" s="39"/>
      <c r="M33" s="12"/>
      <c r="N33" s="12"/>
      <c r="O33" s="253">
        <f>O32</f>
        <v>4.5199999999999996</v>
      </c>
      <c r="P33" s="14"/>
      <c r="Q33" s="12"/>
      <c r="R33" s="238">
        <f>SUM(R21:R32)</f>
        <v>6.45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>
        <v>32</v>
      </c>
      <c r="K34" s="47"/>
      <c r="L34" s="39"/>
      <c r="M34" s="12"/>
      <c r="N34" s="12"/>
      <c r="O34" s="39">
        <f>O33*20%</f>
        <v>0.90399999999999991</v>
      </c>
      <c r="P34" s="39" t="s">
        <v>132</v>
      </c>
      <c r="Q34" s="42"/>
      <c r="R34" s="239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320">
        <v>32</v>
      </c>
      <c r="K35" s="47"/>
      <c r="L35" s="14"/>
      <c r="M35" s="12"/>
      <c r="N35" s="12"/>
      <c r="O35" s="46">
        <f>O33+O34</f>
        <v>5.4239999999999995</v>
      </c>
      <c r="P35" s="14"/>
      <c r="Q35" s="14"/>
      <c r="R35" s="237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2"/>
      <c r="F36" s="233"/>
      <c r="G36" s="230"/>
      <c r="H36" s="275"/>
      <c r="I36" s="265"/>
      <c r="J36" s="320">
        <v>55</v>
      </c>
      <c r="K36" s="47"/>
      <c r="L36" s="14"/>
      <c r="M36" s="14"/>
      <c r="N36" s="14"/>
      <c r="O36" s="14"/>
      <c r="P36" s="14"/>
      <c r="Q36" s="14"/>
      <c r="R36" s="237"/>
      <c r="S36" s="14"/>
      <c r="T36" s="9"/>
      <c r="W36" s="4"/>
    </row>
    <row r="37" spans="2:23" ht="17.399999999999999" x14ac:dyDescent="0.35">
      <c r="B37" s="234"/>
      <c r="C37" s="235"/>
      <c r="D37" s="236"/>
      <c r="E37" s="234"/>
      <c r="F37" s="230"/>
      <c r="G37" s="230"/>
      <c r="I37" s="265"/>
      <c r="J37" s="47">
        <f>SUM(J34:J36)</f>
        <v>119</v>
      </c>
      <c r="K37" s="47"/>
      <c r="L37" s="39">
        <f>O35</f>
        <v>5.4239999999999995</v>
      </c>
      <c r="M37" s="12">
        <v>3500</v>
      </c>
      <c r="N37" s="12">
        <f t="shared" ref="N37:N42" si="14">L37*M37</f>
        <v>18984</v>
      </c>
      <c r="O37" s="14" t="s">
        <v>22</v>
      </c>
      <c r="P37" s="14" t="s">
        <v>23</v>
      </c>
      <c r="Q37" s="14"/>
      <c r="R37" s="240"/>
      <c r="S37" s="14"/>
      <c r="T37" s="9"/>
      <c r="W37" s="4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2</v>
      </c>
      <c r="M38" s="12">
        <v>25000</v>
      </c>
      <c r="N38" s="12">
        <f t="shared" si="14"/>
        <v>50000</v>
      </c>
      <c r="O38" s="39" t="s">
        <v>156</v>
      </c>
      <c r="P38" s="42"/>
      <c r="Q38" s="14"/>
      <c r="R38" s="239"/>
      <c r="S38" s="14"/>
      <c r="T38" s="9"/>
      <c r="W38" s="4"/>
    </row>
    <row r="39" spans="2:23" s="230" customFormat="1" ht="17.399999999999999" x14ac:dyDescent="0.35">
      <c r="I39" s="262"/>
      <c r="J39" s="47"/>
      <c r="K39" s="250"/>
      <c r="L39" s="14"/>
      <c r="M39" s="250">
        <v>55000</v>
      </c>
      <c r="N39" s="12">
        <f t="shared" si="14"/>
        <v>0</v>
      </c>
      <c r="O39" s="39" t="s">
        <v>32</v>
      </c>
      <c r="P39" s="42"/>
      <c r="R39" s="239"/>
      <c r="S39" s="256"/>
      <c r="V39" s="231"/>
    </row>
    <row r="40" spans="2:23" s="230" customFormat="1" ht="17.399999999999999" x14ac:dyDescent="0.35">
      <c r="B40" s="24" t="s">
        <v>153</v>
      </c>
      <c r="I40" s="262"/>
      <c r="J40" s="319"/>
      <c r="K40" s="250"/>
      <c r="L40" s="14">
        <v>2</v>
      </c>
      <c r="M40" s="250">
        <v>34000</v>
      </c>
      <c r="N40" s="12">
        <f t="shared" si="14"/>
        <v>68000</v>
      </c>
      <c r="O40" s="14" t="s">
        <v>143</v>
      </c>
      <c r="P40" s="17"/>
      <c r="R40" s="237"/>
      <c r="S40" s="256"/>
      <c r="V40" s="231"/>
    </row>
    <row r="41" spans="2:23" s="230" customFormat="1" ht="17.399999999999999" x14ac:dyDescent="0.35">
      <c r="B41" s="24" t="s">
        <v>146</v>
      </c>
      <c r="C41"/>
      <c r="D41"/>
      <c r="E41"/>
      <c r="F41"/>
      <c r="I41" s="262"/>
      <c r="J41" s="319"/>
      <c r="K41" s="250"/>
      <c r="L41" s="249"/>
      <c r="M41" s="250">
        <v>800</v>
      </c>
      <c r="N41" s="12">
        <f t="shared" si="14"/>
        <v>0</v>
      </c>
      <c r="O41" s="14" t="s">
        <v>34</v>
      </c>
      <c r="P41" s="14"/>
      <c r="Q41" s="230">
        <v>1.52</v>
      </c>
      <c r="R41" s="237"/>
      <c r="S41" s="237"/>
    </row>
    <row r="42" spans="2:23" s="230" customFormat="1" ht="17.399999999999999" x14ac:dyDescent="0.35">
      <c r="B42" s="29" t="s">
        <v>127</v>
      </c>
      <c r="C42"/>
      <c r="D42"/>
      <c r="E42"/>
      <c r="F42" s="229" t="s">
        <v>16</v>
      </c>
      <c r="I42" s="303"/>
      <c r="J42" s="47"/>
      <c r="K42" s="250"/>
      <c r="L42" s="266"/>
      <c r="M42" s="12">
        <v>1500</v>
      </c>
      <c r="N42" s="12">
        <f t="shared" si="14"/>
        <v>0</v>
      </c>
      <c r="O42" s="14" t="s">
        <v>24</v>
      </c>
      <c r="P42" s="14"/>
      <c r="Q42">
        <v>2.44</v>
      </c>
      <c r="R42"/>
      <c r="S42" s="237">
        <v>1500</v>
      </c>
      <c r="W42" s="231"/>
    </row>
    <row r="43" spans="2:23" s="230" customFormat="1" ht="17.399999999999999" x14ac:dyDescent="0.35">
      <c r="J43" s="47"/>
      <c r="K43" s="250"/>
      <c r="L43" s="14"/>
      <c r="M43" s="12"/>
      <c r="N43" s="12">
        <f>SUM(N37:N42)</f>
        <v>136984</v>
      </c>
      <c r="O43" s="39" t="s">
        <v>25</v>
      </c>
      <c r="P43" s="14"/>
      <c r="Q43">
        <f>Q41*Q42</f>
        <v>3.7088000000000001</v>
      </c>
      <c r="R43"/>
      <c r="S43" s="237">
        <f>R35*S42</f>
        <v>60000</v>
      </c>
      <c r="W43" s="231"/>
    </row>
    <row r="44" spans="2:23" s="230" customFormat="1" ht="17.399999999999999" x14ac:dyDescent="0.35">
      <c r="J44" s="47">
        <v>58420</v>
      </c>
      <c r="K44" s="250"/>
      <c r="L44" s="254" t="s">
        <v>35</v>
      </c>
      <c r="M44" s="12"/>
      <c r="N44" s="255">
        <f>N43*2.3</f>
        <v>315063.19999999995</v>
      </c>
      <c r="O44" s="14" t="s">
        <v>142</v>
      </c>
      <c r="P44" s="14"/>
      <c r="Q44" s="46">
        <f>O33/Q43</f>
        <v>1.218723037100949</v>
      </c>
      <c r="R44"/>
      <c r="S44" s="257" t="e">
        <f>S43/#REF!</f>
        <v>#REF!</v>
      </c>
    </row>
    <row r="45" spans="2:23" s="230" customFormat="1" ht="17.399999999999999" x14ac:dyDescent="0.35">
      <c r="G45"/>
      <c r="H45" s="260"/>
      <c r="I45" s="260"/>
      <c r="J45" s="47">
        <f>J44/1.19</f>
        <v>49092.436974789918</v>
      </c>
      <c r="K45" s="250"/>
      <c r="L45" s="14"/>
      <c r="M45" s="12"/>
      <c r="N45" s="12">
        <f>N44/O33</f>
        <v>69704.247787610613</v>
      </c>
      <c r="O45" s="45" t="s">
        <v>26</v>
      </c>
      <c r="P45" s="14"/>
      <c r="Q45" s="14"/>
      <c r="R45"/>
      <c r="S45" s="237"/>
    </row>
    <row r="46" spans="2:23" s="230" customFormat="1" ht="17.399999999999999" x14ac:dyDescent="0.35">
      <c r="G46"/>
      <c r="J46" s="47"/>
      <c r="K46" s="250"/>
      <c r="L46" s="13"/>
      <c r="M46" s="14"/>
      <c r="N46" s="17">
        <f>N44/N43</f>
        <v>2.2999999999999998</v>
      </c>
      <c r="O46" s="15"/>
      <c r="P46"/>
      <c r="Q46"/>
      <c r="R46"/>
      <c r="S46" s="237"/>
    </row>
    <row r="47" spans="2:23" s="230" customFormat="1" ht="17.399999999999999" x14ac:dyDescent="0.35">
      <c r="G47" s="23"/>
      <c r="J47" s="47"/>
      <c r="K47" s="12"/>
      <c r="S47" s="237"/>
    </row>
    <row r="48" spans="2:23" s="230" customFormat="1" ht="17.399999999999999" x14ac:dyDescent="0.35">
      <c r="B48"/>
      <c r="C48" s="228"/>
      <c r="D48" s="22"/>
      <c r="E48" s="22"/>
      <c r="F48" s="21"/>
      <c r="G48" s="23"/>
      <c r="J48" s="47"/>
      <c r="K48" s="12"/>
      <c r="S48" s="237">
        <v>1.83</v>
      </c>
    </row>
    <row r="49" spans="10:19" ht="14.4" customHeight="1" x14ac:dyDescent="0.3">
      <c r="J49" s="47"/>
      <c r="K49" s="12"/>
      <c r="S49">
        <v>2.5</v>
      </c>
    </row>
    <row r="50" spans="10:19" x14ac:dyDescent="0.3">
      <c r="J50" s="47"/>
      <c r="K50" s="250"/>
      <c r="S50">
        <f>S48*S49</f>
        <v>4.5750000000000002</v>
      </c>
    </row>
    <row r="51" spans="10:19" x14ac:dyDescent="0.3">
      <c r="K51" s="250"/>
      <c r="S51" s="270">
        <f>O35/S50</f>
        <v>1.185573770491803</v>
      </c>
    </row>
    <row r="52" spans="10:19" x14ac:dyDescent="0.3">
      <c r="K52" s="250"/>
    </row>
    <row r="53" spans="10:19" ht="15" customHeight="1" x14ac:dyDescent="0.3"/>
    <row r="55" spans="10:19" x14ac:dyDescent="0.3">
      <c r="N55">
        <v>40935</v>
      </c>
      <c r="O55" t="s">
        <v>17</v>
      </c>
      <c r="P55" t="s">
        <v>28</v>
      </c>
    </row>
    <row r="57" spans="10:19" x14ac:dyDescent="0.3">
      <c r="N57" s="54"/>
      <c r="O57" s="54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150</v>
      </c>
    </row>
    <row r="81" spans="3:3" x14ac:dyDescent="0.3">
      <c r="C81" t="s">
        <v>149</v>
      </c>
    </row>
    <row r="84" spans="3:3" x14ac:dyDescent="0.3">
      <c r="C84" t="s">
        <v>149</v>
      </c>
    </row>
    <row r="161" spans="3:3" x14ac:dyDescent="0.3">
      <c r="C161" t="s">
        <v>149</v>
      </c>
    </row>
    <row r="162" spans="3:3" x14ac:dyDescent="0.3">
      <c r="C162" t="s">
        <v>151</v>
      </c>
    </row>
    <row r="163" spans="3:3" x14ac:dyDescent="0.3">
      <c r="C163" t="s">
        <v>152</v>
      </c>
    </row>
    <row r="588" spans="3:3" x14ac:dyDescent="0.3">
      <c r="C588" t="s">
        <v>149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45469</v>
      </c>
    </row>
    <row r="6" spans="2:31" ht="16.2" thickBot="1" x14ac:dyDescent="0.35">
      <c r="B6" s="140" t="s">
        <v>2</v>
      </c>
      <c r="C6" s="139" t="str">
        <f>'2229'!C10</f>
        <v>JULIO ESTRADA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11008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-34335.558366787423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'2229'!H31</f>
        <v>369063.1999999999</v>
      </c>
      <c r="E11" s="132">
        <f>D11*0.19</f>
        <v>70122.007999999987</v>
      </c>
      <c r="F11" s="131">
        <f>E11+D11</f>
        <v>439185.20799999987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71654.441633212584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98818.090787439607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53654.441633212577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270245.10921256029</v>
      </c>
      <c r="E13" s="221">
        <f>(D11/D12)-1</f>
        <v>2.7347736336443176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44654.441633212577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5654.4416332125766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163049.84979927534</v>
      </c>
      <c r="F15" s="216">
        <f>E15-D12</f>
        <v>64231.759011835733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5654.4416332125766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45654.441633212577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18984</v>
      </c>
      <c r="E20" s="121">
        <f>D20*0.19</f>
        <v>3606.96</v>
      </c>
      <c r="F20" s="120">
        <f>SUM(D20:E20)</f>
        <v>22590.959999999999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68984</v>
      </c>
      <c r="E21" s="116">
        <f>SUM(E18:E20)</f>
        <v>13106.96</v>
      </c>
      <c r="F21" s="115">
        <f>SUM(F18:F20)</f>
        <v>82090.959999999992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57015.047999999988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369063.1999999999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68984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270245.10921256029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270245.10921256029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2024-06-25T21:15:27Z</cp:lastPrinted>
  <dcterms:created xsi:type="dcterms:W3CDTF">2013-03-18T13:35:42Z</dcterms:created>
  <dcterms:modified xsi:type="dcterms:W3CDTF">2024-06-26T21:23:14Z</dcterms:modified>
</cp:coreProperties>
</file>