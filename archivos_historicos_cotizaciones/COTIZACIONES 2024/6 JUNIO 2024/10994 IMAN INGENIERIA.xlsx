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4E6B2798-C708-4263-B080-9BDD8B40FF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L22" i="1"/>
  <c r="M22" i="1"/>
  <c r="H22" i="1"/>
  <c r="N22" i="1" l="1"/>
  <c r="R22" i="1"/>
  <c r="O22" i="1"/>
  <c r="J42" i="1"/>
  <c r="L21" i="1"/>
  <c r="M21" i="1"/>
  <c r="L27" i="1" l="1"/>
  <c r="R21" i="1"/>
  <c r="S21" i="1"/>
  <c r="S27" i="1" s="1"/>
  <c r="S28" i="1" s="1"/>
  <c r="S29" i="1" s="1"/>
  <c r="R29" i="1"/>
  <c r="N21" i="1"/>
  <c r="O21" i="1" s="1"/>
  <c r="O28" i="1" s="1"/>
  <c r="U35" i="1"/>
  <c r="U36" i="1" s="1"/>
  <c r="N34" i="1" l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N39" i="1" s="1"/>
  <c r="N40" i="1" s="1"/>
  <c r="Q40" i="1"/>
  <c r="D20" i="3" l="1"/>
  <c r="E20" i="3" s="1"/>
  <c r="E21" i="3" s="1"/>
  <c r="N41" i="1" l="1"/>
  <c r="D21" i="3"/>
  <c r="M43" i="3" s="1"/>
  <c r="D12" i="3" s="1"/>
  <c r="F20" i="3"/>
  <c r="F21" i="3" s="1"/>
  <c r="N42" i="1" l="1"/>
  <c r="P20" i="1"/>
  <c r="P22" i="1" s="1"/>
  <c r="Q22" i="1" s="1"/>
  <c r="E15" i="3"/>
  <c r="P21" i="1" l="1"/>
  <c r="F15" i="3"/>
  <c r="Q21" i="1" l="1"/>
  <c r="H21" i="1" l="1"/>
  <c r="H27" i="1" s="1"/>
  <c r="H28" i="1" s="1"/>
  <c r="H29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<sst xmlns="http://schemas.openxmlformats.org/spreadsheetml/2006/main" count="235" uniqueCount="178">
  <si>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</si>
  <si>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</si>
  <si>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</si>
  <si>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</si>
  <si>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</si>
  <si>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</si>
  <si>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</si>
  <si>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</si>
  <si>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</si>
  <si>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</si>
  <si>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</si>
  <si>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</si>
  <si>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</si>
  <si>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</si>
  <si>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</si>
  <si>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</si>
  <si>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</si>
  <si>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</si>
  <si>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</si>
  <si>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</si>
  <si>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</si>
  <si>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</si>
  <si>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</si>
  <si>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</si>
  <si>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</si>
  <si>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</si>
  <si>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</si>
  <si>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</si>
  <si>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</si>
  <si>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</si>
  <si>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</si>
  <si>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</si>
  <si>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</si>
  <si>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</si>
  <si>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</si>
  <si>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</si>
  <si>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</si>
  <si>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</si>
  <si>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</si>
  <si>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</si>
  <si>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</si>
  <si>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</si>
  <si>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</si>
  <si>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</si>
  <si>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</si>
  <si>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</si>
  <si>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</si>
  <si>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</si>
  <si>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</si>
  <si>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</si>
  <si>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</si>
  <si>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</si>
  <si>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</si>
  <si>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</si>
  <si>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</si>
  <si>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</si>
  <si>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</si>
  <si>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</si>
  <si>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</si>
  <si>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</si>
  <si>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</si>
  <si>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</si>
  <si>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</si>
  <si>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</si>
  <si>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</si>
  <si>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</si>
  <si>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</si>
  <si>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</si>
  <si>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</si>
  <si>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</si>
  <si>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</si>
  <si>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</si>
  <si>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</si>
  <si>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</si>
  <si>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</si>
  <si>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</si>
  <si>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</si>
  <si>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</si>
  <si>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</si>
  <si>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</si>
  <si>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</si>
  <si>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</si>
  <si>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</si>
  <si>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</si>
  <si>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</si>
  <si>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</si>
  <si>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</si>
  <si>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</si>
  <si>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</si>
  <si>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</si>
  <si>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</si>
  <si>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</si>
  <si>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</si>
  <si>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</si>
  <si>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</si>
  <si>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</si>
  <si>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</si>
  <si>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</si>
  <si>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</si>
  <si>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</si>
  <si>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</si>
  <si>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</si>
  <si>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</si>
  <si>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</si>
  <si>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</si>
  <si>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</si>
  <si>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</si>
  <si>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</si>
  <si>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</si>
  <si>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</si>
  <si>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</si>
  <si>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</si>
  <si>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</si>
  <si>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</si>
  <si>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</si>
  <si>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</si>
  <si>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</si>
  <si>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</si>
  <si>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</si>
  <si>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</si>
  <si>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</si>
  <si>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</si>
  <si>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</si>
  <si>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</si>
  <si>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</si>
  <si>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</si>
  <si>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</si>
  <si>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</si>
  <si>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</si>
  <si>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</si>
  <si>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</si>
  <si>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</si>
  <si>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</si>
  <si>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</si>
  <si>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</si>
  <si>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</si>
  <si>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</si>
  <si>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</si>
  <si>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</si>
  <si>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</si>
  <si>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</si>
  <si>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</si>
  <si>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</si>
  <si>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</si>
  <si>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</si>
  <si>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</si>
  <si>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</si>
  <si>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</si>
  <si>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</si>
  <si>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</si>
  <si>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</si>
  <si>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</si>
  <si>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</si>
  <si>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</si>
  <si>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</si>
  <si>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</si>
  <si>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</si>
  <si>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</si>
  <si>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</si>
  <si>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</si>
  <si>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</si>
  <si>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</si>
  <si>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</si>
  <si>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</si>
  <si>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</si>
  <si>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</si>
  <si>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</si>
  <si>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</si>
  <si>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N° 10994</t>
  </si>
  <si>
    <t>IMAN INGENIERIA</t>
  </si>
  <si>
    <t>CARLOS AGUAYO</t>
  </si>
  <si>
    <t>+569 26090569</t>
  </si>
  <si>
    <t>76.792.833-5</t>
  </si>
  <si>
    <t>5 A 7 DIAS HABILES</t>
  </si>
  <si>
    <t>CUB CON RESPALDO  FRENTE 90° R6</t>
  </si>
  <si>
    <t>FLORENTINO AZUL BRILLO F6</t>
  </si>
  <si>
    <t>CORTE 45°</t>
  </si>
  <si>
    <t>DESFONDADO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</si>
</sst>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26</xdr:row>
      <xdr:rowOff>9525</xdr:rowOff>
    </xdr:from>
    <xdr:to>
      <xdr:col>5</xdr:col>
      <xdr:colOff>1594096</xdr:colOff>
      <xdr:row>29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2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45461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 t="s">
        <v>172</v>
      </c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/>
      <c r="H12" s="248"/>
      <c r="P12" s="19"/>
      <c r="Q12" s="25"/>
      <c r="R12" s="19"/>
    </row>
    <row r="13" spans="2:23" x14ac:dyDescent="0.3">
      <c r="B13" s="288" t="s">
        <v>147</v>
      </c>
      <c r="C13" t="s">
        <v>170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171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72590.072780203787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174</v>
      </c>
      <c r="D21" s="326">
        <v>2.42</v>
      </c>
      <c r="E21" s="326">
        <v>0.6</v>
      </c>
      <c r="F21" s="325" t="s">
        <v>175</v>
      </c>
      <c r="G21" s="327">
        <v>110578</v>
      </c>
      <c r="H21" s="327">
        <f>G21*B21</f>
        <v>110578</v>
      </c>
      <c r="I21" s="265"/>
      <c r="J21" s="47"/>
      <c r="K21" s="47">
        <v>1</v>
      </c>
      <c r="L21" s="39">
        <f t="shared" ref="L21" si="1">D21+L$19</f>
        <v>2.4699999999999998</v>
      </c>
      <c r="M21" s="39">
        <f t="shared" ref="M21" si="2">E21+M$19</f>
        <v>0.6</v>
      </c>
      <c r="N21" s="261">
        <f t="shared" ref="N21" si="3">L21*M21</f>
        <v>1.4819999999999998</v>
      </c>
      <c r="O21" s="259">
        <f t="shared" ref="O21" si="4">N21*K21</f>
        <v>1.4819999999999998</v>
      </c>
      <c r="P21" s="252">
        <f t="shared" ref="P21" si="5">P$20*N21</f>
        <v>107578.487860262</v>
      </c>
      <c r="Q21" s="328">
        <f t="shared" ref="Q21" si="6">P21+Q$20</f>
        <v>110578.487860262</v>
      </c>
      <c r="R21" s="298">
        <f>L21*K21</f>
        <v>2.4699999999999998</v>
      </c>
      <c r="S21" s="46">
        <f>M21*2*K21</f>
        <v>1.2</v>
      </c>
      <c r="T21" s="9"/>
      <c r="W21" s="4"/>
    </row>
    <row r="22" spans="2:24" ht="17.399999999999999" x14ac:dyDescent="0.3">
      <c r="B22" s="325">
        <v>2</v>
      </c>
      <c r="C22" s="325" t="s">
        <v>174</v>
      </c>
      <c r="D22" s="326">
        <v>2.15</v>
      </c>
      <c r="E22" s="326">
        <v>0.6</v>
      </c>
      <c r="F22" s="325" t="s">
        <v>175</v>
      </c>
      <c r="G22" s="327">
        <v>98819</v>
      </c>
      <c r="H22" s="327">
        <f>G22*B22</f>
        <v>197638</v>
      </c>
      <c r="I22" s="265"/>
      <c r="J22" s="47"/>
      <c r="K22" s="47">
        <v>2</v>
      </c>
      <c r="L22" s="39">
        <f t="shared" ref="L22" si="7">D22+L$19</f>
        <v>2.1999999999999997</v>
      </c>
      <c r="M22" s="39">
        <f t="shared" ref="M22" si="8">E22+M$19</f>
        <v>0.6</v>
      </c>
      <c r="N22" s="261">
        <f t="shared" ref="N22" si="9">L22*M22</f>
        <v>1.3199999999999998</v>
      </c>
      <c r="O22" s="259">
        <f t="shared" ref="O22" si="10">N22*K22</f>
        <v>2.6399999999999997</v>
      </c>
      <c r="P22" s="252">
        <f t="shared" ref="P22" si="11">P$20*N22</f>
        <v>95818.896069868992</v>
      </c>
      <c r="Q22" s="328">
        <f t="shared" ref="Q22" si="12">P22+Q$20</f>
        <v>98818.896069868992</v>
      </c>
      <c r="R22" s="298">
        <f>L22*K22</f>
        <v>4.3999999999999995</v>
      </c>
      <c r="S22" s="46"/>
      <c r="T22" s="9"/>
      <c r="W22" s="4"/>
    </row>
    <row r="23" spans="2:24" ht="17.399999999999999" x14ac:dyDescent="0.3">
      <c r="B23" s="325">
        <v>2</v>
      </c>
      <c r="C23" s="325" t="s">
        <v>176</v>
      </c>
      <c r="D23" s="326"/>
      <c r="E23" s="326"/>
      <c r="F23" s="325"/>
      <c r="G23" s="327">
        <v>10000</v>
      </c>
      <c r="H23" s="327">
        <f t="shared" ref="H23:H24" si="13">G23*B23</f>
        <v>20000</v>
      </c>
      <c r="I23" s="265"/>
      <c r="J23" s="47"/>
      <c r="K23" s="47"/>
      <c r="L23" s="39"/>
      <c r="M23" s="39"/>
      <c r="N23" s="261"/>
      <c r="O23" s="259"/>
      <c r="P23" s="252"/>
      <c r="Q23" s="328"/>
      <c r="R23" s="298"/>
      <c r="S23" s="46"/>
      <c r="T23" s="9"/>
      <c r="W23" s="4"/>
    </row>
    <row r="24" spans="2:24" ht="17.399999999999999" x14ac:dyDescent="0.3">
      <c r="B24" s="325">
        <v>2</v>
      </c>
      <c r="C24" s="325" t="s">
        <v>177</v>
      </c>
      <c r="D24" s="326"/>
      <c r="E24" s="326"/>
      <c r="F24" s="325"/>
      <c r="G24" s="327">
        <v>7500</v>
      </c>
      <c r="H24" s="327">
        <f t="shared" si="13"/>
        <v>15000</v>
      </c>
      <c r="I24" s="265"/>
      <c r="J24" s="47"/>
      <c r="K24" s="47"/>
      <c r="L24" s="39"/>
      <c r="M24" s="39"/>
      <c r="N24" s="261"/>
      <c r="O24" s="259"/>
      <c r="P24" s="252"/>
      <c r="Q24" s="328"/>
      <c r="R24" s="298"/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30"/>
      <c r="H25" s="330"/>
      <c r="I25" s="265"/>
      <c r="J25" s="47"/>
      <c r="K25" s="47"/>
      <c r="L25" s="39"/>
      <c r="M25" s="39"/>
      <c r="N25" s="261"/>
      <c r="O25" s="259"/>
      <c r="P25" s="252"/>
      <c r="Q25" s="328"/>
      <c r="R25" s="29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29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299" t="s">
        <v>29</v>
      </c>
      <c r="H27" s="300">
        <f>SUM(H21:H26)</f>
        <v>343216</v>
      </c>
      <c r="I27" s="265"/>
      <c r="J27" s="47"/>
      <c r="K27" s="47"/>
      <c r="L27" s="39">
        <f>SUM(L21:L26)</f>
        <v>4.67</v>
      </c>
      <c r="M27" s="39"/>
      <c r="N27" s="261"/>
      <c r="O27" s="259"/>
      <c r="P27" s="252"/>
      <c r="Q27" s="258"/>
      <c r="R27" s="298"/>
      <c r="S27" s="46">
        <f>SUM(S21:S26)</f>
        <v>1.2</v>
      </c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7" t="s">
        <v>52</v>
      </c>
      <c r="H28" s="295">
        <f>H27*19%</f>
        <v>65211.040000000001</v>
      </c>
      <c r="I28" s="265"/>
      <c r="J28" s="47"/>
      <c r="K28" s="47"/>
      <c r="L28" s="39"/>
      <c r="M28" s="12"/>
      <c r="N28" s="12"/>
      <c r="O28" s="253">
        <f>SUM(O21:O22)</f>
        <v>4.1219999999999999</v>
      </c>
      <c r="P28" s="14"/>
      <c r="Q28" s="12"/>
      <c r="R28" s="239"/>
      <c r="S28" s="46">
        <f>S27*20%</f>
        <v>0.24</v>
      </c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408427.04</v>
      </c>
      <c r="I29" s="265"/>
      <c r="J29" s="47"/>
      <c r="K29" s="47"/>
      <c r="L29" s="39"/>
      <c r="M29" s="12"/>
      <c r="N29" s="12"/>
      <c r="O29" s="253">
        <f>O28</f>
        <v>4.1219999999999999</v>
      </c>
      <c r="P29" s="14"/>
      <c r="Q29" s="12"/>
      <c r="R29" s="239">
        <f>SUM(R21:R28)</f>
        <v>6.8699999999999992</v>
      </c>
      <c r="S29" s="46">
        <f>S27+S28</f>
        <v>1.44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0.82440000000000002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4.9463999999999997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05" t="s">
        <v>22</v>
      </c>
      <c r="U32" s="302" t="s">
        <v>153</v>
      </c>
      <c r="V32" s="306">
        <v>44971</v>
      </c>
      <c r="W32" s="30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4.9463999999999997</v>
      </c>
      <c r="M33" s="12">
        <v>3500</v>
      </c>
      <c r="N33" s="12">
        <f t="shared" ref="N33:N38" si="14">L33*M33</f>
        <v>17312.399999999998</v>
      </c>
      <c r="O33" s="14" t="s">
        <v>22</v>
      </c>
      <c r="P33" s="14"/>
      <c r="Q33" s="14"/>
      <c r="R33" s="241"/>
      <c r="S33" s="14"/>
      <c r="T33" s="305" t="s">
        <v>154</v>
      </c>
      <c r="U33" s="302">
        <v>3625</v>
      </c>
      <c r="V33" s="59" t="s">
        <v>155</v>
      </c>
      <c r="W33" s="30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1.5</v>
      </c>
      <c r="M34" s="12">
        <v>25000</v>
      </c>
      <c r="N34" s="12">
        <f t="shared" si="14"/>
        <v>37500</v>
      </c>
      <c r="O34" s="39" t="s">
        <v>32</v>
      </c>
      <c r="P34" s="42"/>
      <c r="Q34" s="14"/>
      <c r="R34" s="240"/>
      <c r="S34" s="14"/>
      <c r="T34" s="305"/>
      <c r="U34" s="59">
        <v>906.25</v>
      </c>
      <c r="V34" s="59" t="s">
        <v>156</v>
      </c>
      <c r="W34" s="307"/>
    </row>
    <row r="35" spans="2:23" s="230" customFormat="1" ht="17.399999999999999" x14ac:dyDescent="0.35">
      <c r="I35" s="262"/>
      <c r="J35" s="232"/>
      <c r="K35" s="250"/>
      <c r="L35" s="14"/>
      <c r="M35" s="250">
        <v>41277</v>
      </c>
      <c r="N35" s="12">
        <f t="shared" si="14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7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>
        <v>3</v>
      </c>
      <c r="M36" s="250">
        <v>23630</v>
      </c>
      <c r="N36" s="12">
        <f t="shared" si="14"/>
        <v>70890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07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14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4"/>
      <c r="K38" s="250"/>
      <c r="L38" s="266">
        <v>6.87</v>
      </c>
      <c r="M38" s="12">
        <v>1500</v>
      </c>
      <c r="N38" s="12">
        <f t="shared" si="14"/>
        <v>10305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136007.4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299216.28000000003</v>
      </c>
      <c r="O40" s="14" t="s">
        <v>141</v>
      </c>
      <c r="P40" s="14"/>
      <c r="Q40" s="40">
        <f>O31/Q39</f>
        <v>1.3336928386540119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28120</v>
      </c>
      <c r="K41" s="250"/>
      <c r="L41" s="14"/>
      <c r="M41" s="12"/>
      <c r="N41" s="12">
        <f>N40/O29</f>
        <v>72590.072780203787</v>
      </c>
      <c r="O41" s="45" t="s">
        <v>25</v>
      </c>
      <c r="P41" s="14"/>
      <c r="Q41" s="14"/>
      <c r="R41"/>
      <c r="S41" s="238"/>
      <c r="T41" s="59" t="s">
        <v>159</v>
      </c>
      <c r="U41" s="302">
        <v>43650</v>
      </c>
    </row>
    <row r="42" spans="2:23" s="230" customFormat="1" ht="17.399999999999999" x14ac:dyDescent="0.35">
      <c r="G42"/>
      <c r="H42" s="230" t="s">
        <v>165</v>
      </c>
      <c r="J42" s="230">
        <f>J41/1.19</f>
        <v>23630.252100840338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03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0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45461</v>
      </c>
    </row>
    <row r="6" spans="2:31" ht="16.2" thickBot="1" x14ac:dyDescent="0.35">
      <c r="B6" s="140" t="s">
        <v>2</v>
      </c>
      <c r="C6" s="139" t="str">
        <f>'2229'!C10</f>
        <v>IMAN INGENIERIA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10994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-33924.881700120779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343216</v>
      </c>
      <c r="E11" s="132">
        <f>D11*0.19</f>
        <v>65211.040000000001</v>
      </c>
      <c r="F11" s="131">
        <f>E11+D11</f>
        <v>408427.04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72065.118299879221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84646.490787439601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54065.118299879221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258569.5092125604</v>
      </c>
      <c r="E13" s="221">
        <f>(D11/D12)-1</f>
        <v>3.0546985091427867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45065.118299879221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6065.118299879221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139666.70979927533</v>
      </c>
      <c r="F15" s="216">
        <f>E15-D12</f>
        <v>55020.219011835725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6065.118299879221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46065.118299879221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17312.399999999998</v>
      </c>
      <c r="E20" s="121">
        <f>D20*0.19</f>
        <v>3289.3559999999998</v>
      </c>
      <c r="F20" s="120">
        <f>SUM(D20:E20)</f>
        <v>20601.755999999998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54812.399999999994</v>
      </c>
      <c r="E21" s="116">
        <f>SUM(E18:E20)</f>
        <v>10414.356</v>
      </c>
      <c r="F21" s="115">
        <f>SUM(F18:F20)</f>
        <v>65226.755999999994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54796.684000000001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343216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54812.399999999994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258569.5092125604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258569.5092125604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2024-06-18T13:17:37Z</dcterms:modified>
</cp:coreProperties>
</file>