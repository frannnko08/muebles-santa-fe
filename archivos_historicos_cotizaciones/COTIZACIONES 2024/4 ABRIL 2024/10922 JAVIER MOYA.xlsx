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D7D803E5-AD35-4716-865C-641EAE58D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R22" i="1" s="1"/>
  <c r="M22" i="1"/>
  <c r="H22" i="1"/>
  <c r="K10" i="1"/>
  <c r="N22" i="1" l="1"/>
  <c r="O22" i="1" s="1"/>
  <c r="L24" i="1"/>
  <c r="J39" i="1"/>
  <c r="L21" i="1" l="1"/>
  <c r="M21" i="1"/>
  <c r="N21" i="1" l="1"/>
  <c r="O21" i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N37" i="1" s="1"/>
  <c r="N38" i="1" s="1"/>
  <c r="S45" i="1"/>
  <c r="N39" i="1" l="1"/>
  <c r="D20" i="3"/>
  <c r="E20" i="3" s="1"/>
  <c r="E21" i="3" s="1"/>
  <c r="N40" i="1" l="1"/>
  <c r="D21" i="3"/>
  <c r="M43" i="3" s="1"/>
  <c r="D12" i="3" s="1"/>
  <c r="F20" i="3"/>
  <c r="F21" i="3" s="1"/>
  <c r="P20" i="1" l="1"/>
  <c r="E15" i="3"/>
  <c r="P22" i="1" l="1"/>
  <c r="Q22" i="1" s="1"/>
  <c r="P21" i="1"/>
  <c r="F15" i="3"/>
  <c r="Q21" i="1" l="1"/>
  <c r="H21" i="1" s="1"/>
  <c r="H25" i="1" s="1"/>
  <c r="H26" i="1" s="1"/>
  <c r="R27" i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<sst xmlns="http://schemas.openxmlformats.org/spreadsheetml/2006/main" count="220" uniqueCount="165">
  <si>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</si>
  <si>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</si>
  <si>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</si>
  <si>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</si>
  <si>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</si>
  <si>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</si>
  <si>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</si>
  <si>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</si>
  <si>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</si>
  <si>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</si>
  <si>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</si>
  <si>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</si>
  <si>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</si>
  <si>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</si>
  <si>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</si>
  <si>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</si>
  <si>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</si>
  <si>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</si>
  <si>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</si>
  <si>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</si>
  <si>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</si>
  <si>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</si>
  <si>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</si>
  <si>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</si>
  <si>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</si>
  <si>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</si>
  <si>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</si>
  <si>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</si>
  <si>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</si>
  <si>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</si>
  <si>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</si>
  <si>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</si>
  <si>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</si>
  <si>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</si>
  <si>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</si>
  <si>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</si>
  <si>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</si>
  <si>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</si>
  <si>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</si>
  <si>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</si>
  <si>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</si>
  <si>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</si>
  <si>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</si>
  <si>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</si>
  <si>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</si>
  <si>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</si>
  <si>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</si>
  <si>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</si>
  <si>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</si>
  <si>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</si>
  <si>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</si>
  <si>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</si>
  <si>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</si>
  <si>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</si>
  <si>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</si>
  <si>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</si>
  <si>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</si>
  <si>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</si>
  <si>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</si>
  <si>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</si>
  <si>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</si>
  <si>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</si>
  <si>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</si>
  <si>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</si>
  <si>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</si>
  <si>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</si>
  <si>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</si>
  <si>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</si>
  <si>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</si>
  <si>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</si>
  <si>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</si>
  <si>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</si>
  <si>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</si>
  <si>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</si>
  <si>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</si>
  <si>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</si>
  <si>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</si>
  <si>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</si>
  <si>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</si>
  <si>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</si>
  <si>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</si>
  <si>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</si>
  <si>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</si>
  <si>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</si>
  <si>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</si>
  <si>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</si>
  <si>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</si>
  <si>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</si>
  <si>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</si>
  <si>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</si>
  <si>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</si>
  <si>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</si>
  <si>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</si>
  <si>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</si>
  <si>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</si>
  <si>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</si>
  <si>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</si>
  <si>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</si>
  <si>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</si>
  <si>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</si>
  <si>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</si>
  <si>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</si>
  <si>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</si>
  <si>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</si>
  <si>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</si>
  <si>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</si>
  <si>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</si>
  <si>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</si>
  <si>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</si>
  <si>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</si>
  <si>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</si>
  <si>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</si>
  <si>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</si>
  <si>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</si>
  <si>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</si>
  <si>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</si>
  <si>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</si>
  <si>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</si>
  <si>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</si>
  <si>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</si>
  <si>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</si>
  <si>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</si>
  <si>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</si>
  <si>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</si>
  <si>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</si>
  <si>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</si>
  <si>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</si>
  <si>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</si>
  <si>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</si>
  <si>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</si>
  <si>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</si>
  <si>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</si>
  <si>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</si>
  <si>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</si>
  <si>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</si>
  <si>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</si>
  <si>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</si>
  <si>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</si>
  <si>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</si>
  <si>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</si>
  <si>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</si>
  <si>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</si>
  <si>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</si>
  <si>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</si>
  <si>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</si>
  <si>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</si>
  <si>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</si>
  <si>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</si>
  <si>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</si>
  <si>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</si>
  <si>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</si>
  <si>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</si>
  <si>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</si>
  <si>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</si>
  <si>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</si>
  <si>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</si>
  <si>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</si>
  <si>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</si>
  <si>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</si>
  <si>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10922</t>
  </si>
  <si>
    <t>JAVIER MOYA</t>
  </si>
  <si>
    <t>+569 6609 2180</t>
  </si>
  <si>
    <t>E/R 1 CARA MDF 25MM</t>
  </si>
  <si>
    <t>NOCE CAFFE 1832 MT</t>
  </si>
  <si>
    <t>MOUSE 2193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</si>
</sst>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ENCHAPADAS CON TAPACANTO PVC 2MM POR SUS</a:t>
          </a:r>
          <a:r>
            <a:rPr lang="es-CL" sz="1200" b="1" baseline="0"/>
            <a:t> CUATRO LADOS</a:t>
          </a:r>
          <a:endParaRPr lang="es-CL" sz="1200" b="1"/>
        </a:p>
        <a:p>
          <a:pPr algn="l"/>
          <a:r>
            <a:rPr lang="es-CL" sz="1200" b="1"/>
            <a:t>SUSTRATO</a:t>
          </a:r>
          <a:r>
            <a:rPr lang="es-CL" sz="1200" b="1" baseline="0"/>
            <a:t> : MDF 25MM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7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53294.25230769231</v>
      </c>
      <c r="Q20" s="258">
        <v>20000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20</v>
      </c>
      <c r="C21" s="312" t="s">
        <v>162</v>
      </c>
      <c r="D21" s="313">
        <v>1.2</v>
      </c>
      <c r="E21" s="313">
        <v>0.65</v>
      </c>
      <c r="F21" s="312" t="s">
        <v>163</v>
      </c>
      <c r="G21" s="314">
        <v>89552</v>
      </c>
      <c r="H21" s="315">
        <f t="shared" ref="H21" si="1">G21*B21</f>
        <v>1791040</v>
      </c>
      <c r="I21" s="265"/>
      <c r="J21" s="47"/>
      <c r="K21" s="325"/>
      <c r="L21" s="326">
        <f t="shared" ref="L21:M21" si="2">D21+L$19</f>
        <v>1.25</v>
      </c>
      <c r="M21" s="326">
        <f t="shared" si="2"/>
        <v>0.65</v>
      </c>
      <c r="N21" s="261">
        <f>L21*M21</f>
        <v>0.8125</v>
      </c>
      <c r="O21" s="259">
        <f>N21*K21</f>
        <v>0</v>
      </c>
      <c r="P21" s="252">
        <f>P$20*N21</f>
        <v>43301.58</v>
      </c>
      <c r="Q21" s="258">
        <f>P21+Q$20</f>
        <v>63301.58</v>
      </c>
      <c r="R21" s="308">
        <f>K21*L21</f>
        <v>0</v>
      </c>
      <c r="S21" s="14"/>
      <c r="T21" s="9"/>
      <c r="W21" s="4"/>
    </row>
    <row r="22" spans="2:24" ht="17.399999999999999" x14ac:dyDescent="0.3">
      <c r="B22" s="323">
        <v>20</v>
      </c>
      <c r="C22" s="312" t="s">
        <v>162</v>
      </c>
      <c r="D22" s="313">
        <v>1.2</v>
      </c>
      <c r="E22" s="313">
        <v>0.65</v>
      </c>
      <c r="F22" s="312" t="s">
        <v>164</v>
      </c>
      <c r="G22" s="314">
        <v>63302</v>
      </c>
      <c r="H22" s="315">
        <f t="shared" ref="H22" si="3">G22*B22</f>
        <v>1266040</v>
      </c>
      <c r="I22" s="265"/>
      <c r="J22" s="47"/>
      <c r="K22" s="325">
        <v>20</v>
      </c>
      <c r="L22" s="326">
        <f t="shared" ref="L22" si="4">D22+L$19</f>
        <v>1.25</v>
      </c>
      <c r="M22" s="326">
        <f t="shared" ref="M22" si="5">E22+M$19</f>
        <v>0.65</v>
      </c>
      <c r="N22" s="261">
        <f t="shared" ref="N22" si="6">L22*M22</f>
        <v>0.8125</v>
      </c>
      <c r="O22" s="259">
        <f t="shared" ref="O22" si="7">N22*K22</f>
        <v>16.25</v>
      </c>
      <c r="P22" s="252">
        <f t="shared" ref="P22" si="8">P$20*N22</f>
        <v>43301.58</v>
      </c>
      <c r="Q22" s="258">
        <f t="shared" ref="Q22" si="9">P22+Q$20</f>
        <v>63301.58</v>
      </c>
      <c r="R22" s="308">
        <f t="shared" ref="R22" si="10">K22*L22</f>
        <v>25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325"/>
      <c r="L23" s="326"/>
      <c r="M23" s="326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 t="e">
        <f>SUM(#REF!)</f>
        <v>#REF!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3057080</v>
      </c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580845.19999999995</v>
      </c>
      <c r="I26" s="265"/>
      <c r="J26" s="47"/>
      <c r="K26" s="47"/>
      <c r="L26" s="39"/>
      <c r="M26" s="12"/>
      <c r="N26" s="12"/>
      <c r="O26" s="253">
        <f>SUM(O21:O22)</f>
        <v>16.25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3637925.2</v>
      </c>
      <c r="I27" s="265"/>
      <c r="J27" s="47"/>
      <c r="K27" s="47"/>
      <c r="L27" s="39"/>
      <c r="M27" s="12"/>
      <c r="N27" s="12"/>
      <c r="O27" s="253">
        <f>O26</f>
        <v>16.25</v>
      </c>
      <c r="P27" s="14"/>
      <c r="Q27" s="12"/>
      <c r="R27" s="238">
        <f>SUM(R21:R26)</f>
        <v>25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39"/>
      <c r="M28" s="12"/>
      <c r="N28" s="12"/>
      <c r="O28" s="39">
        <f>O27*20%</f>
        <v>3.25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/>
      <c r="K29" s="47"/>
      <c r="L29" s="14"/>
      <c r="M29" s="12"/>
      <c r="N29" s="12"/>
      <c r="O29" s="46">
        <f>O27+O28</f>
        <v>19.5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/>
      <c r="K30" s="47"/>
      <c r="L30" s="39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19.5</v>
      </c>
      <c r="M31" s="12">
        <v>3500</v>
      </c>
      <c r="N31" s="12">
        <f t="shared" ref="N31:N36" si="11">L31*M31</f>
        <v>68250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4.5</v>
      </c>
      <c r="M32" s="12">
        <v>37588</v>
      </c>
      <c r="N32" s="12">
        <f t="shared" si="11"/>
        <v>169146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46700</v>
      </c>
      <c r="N33" s="12">
        <f t="shared" si="11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5</v>
      </c>
      <c r="M34" s="250">
        <v>35000</v>
      </c>
      <c r="N34" s="12">
        <f t="shared" si="11"/>
        <v>175000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11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11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412396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44730</v>
      </c>
      <c r="K38" s="250"/>
      <c r="L38" s="254" t="s">
        <v>35</v>
      </c>
      <c r="M38" s="12"/>
      <c r="N38" s="255">
        <f>N37*2.1</f>
        <v>866031.60000000009</v>
      </c>
      <c r="O38" s="14" t="s">
        <v>142</v>
      </c>
      <c r="P38" s="14"/>
      <c r="Q38" s="46">
        <f>O27/Q37</f>
        <v>4.3814710957722172</v>
      </c>
      <c r="R38"/>
      <c r="S38" s="257"/>
    </row>
    <row r="39" spans="2:23" s="230" customFormat="1" ht="17.399999999999999" x14ac:dyDescent="0.35">
      <c r="G39"/>
      <c r="H39" s="260"/>
      <c r="I39" s="260"/>
      <c r="J39" s="47">
        <f>J38/1.19</f>
        <v>37588.23529411765</v>
      </c>
      <c r="K39" s="250"/>
      <c r="L39" s="14"/>
      <c r="M39" s="12"/>
      <c r="N39" s="12">
        <f>N38/O27</f>
        <v>53294.25230769231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4.2622950819672125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45398</v>
      </c>
    </row>
    <row r="6" spans="2:31" ht="16.2" thickBot="1" x14ac:dyDescent="0.35">
      <c r="B6" s="140" t="s">
        <v>2</v>
      </c>
      <c r="C6" s="139" t="str">
        <f>'2229'!C10</f>
        <v>JAVIER MOYA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10922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-436025.05836678745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3057080</v>
      </c>
      <c r="E11" s="132">
        <f>D11*0.19</f>
        <v>580845.19999999995</v>
      </c>
      <c r="F11" s="131">
        <f>E11+D11</f>
        <v>3637925.2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-330035.05836678745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267230.09078743961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-348035.05836678745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2789849.9092125604</v>
      </c>
      <c r="E13" s="221">
        <f>(D11/D12)-1</f>
        <v>10.439879360111677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-357035.05836678745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-396035.05836678745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440929.64979927533</v>
      </c>
      <c r="F15" s="216">
        <f>E15-D12</f>
        <v>173699.55901183572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-396035.05836678745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-356035.05836678745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169146</v>
      </c>
      <c r="E19" s="123">
        <f>D19*0.19</f>
        <v>32137.74</v>
      </c>
      <c r="F19" s="120">
        <f>SUM(D19:E19)</f>
        <v>201283.74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68250</v>
      </c>
      <c r="E20" s="121">
        <f>D20*0.19</f>
        <v>12967.5</v>
      </c>
      <c r="F20" s="120">
        <f>SUM(D20:E20)</f>
        <v>81217.5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237396</v>
      </c>
      <c r="E21" s="116">
        <f>SUM(E18:E20)</f>
        <v>45105.240000000005</v>
      </c>
      <c r="F21" s="115">
        <f>SUM(F18:F20)</f>
        <v>282501.24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535739.96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3057080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237396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2789849.9092125604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2789849.9092125604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2024-04-10T16:53:59Z</cp:lastPrinted>
  <dcterms:created xsi:type="dcterms:W3CDTF">2013-03-18T13:35:42Z</dcterms:created>
  <dcterms:modified xsi:type="dcterms:W3CDTF">2024-04-16T13:45:07Z</dcterms:modified>
</cp:coreProperties>
</file>