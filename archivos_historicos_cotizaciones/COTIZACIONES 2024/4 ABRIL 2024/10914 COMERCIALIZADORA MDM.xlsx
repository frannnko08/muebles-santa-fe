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6AD2E4C0-AA43-4D4D-9835-20991C415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L22" i="1"/>
  <c r="M22" i="1"/>
  <c r="N22" i="1"/>
  <c r="O22" i="1"/>
  <c r="O26" i="1" s="1"/>
  <c r="R22" i="1"/>
  <c r="H22" i="1"/>
  <c r="J31" i="1"/>
  <c r="K10" i="1"/>
  <c r="J39" i="1" l="1"/>
  <c r="L21" i="1" l="1"/>
  <c r="L25" i="1" s="1"/>
  <c r="M21" i="1"/>
  <c r="N21" i="1" l="1"/>
  <c r="O21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H21" i="1" s="1"/>
  <c r="R27" i="1"/>
  <c r="H2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<sst xmlns="http://schemas.openxmlformats.org/spreadsheetml/2006/main" count="221" uniqueCount="165">
  <si>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</si>
  <si>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</si>
  <si>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</si>
  <si>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</si>
  <si>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</si>
  <si>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</si>
  <si>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</si>
  <si>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</si>
  <si>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</si>
  <si>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</si>
  <si>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</si>
  <si>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</si>
  <si>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</si>
  <si>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</si>
  <si>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</si>
  <si>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</si>
  <si>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</si>
  <si>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</si>
  <si>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</si>
  <si>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</si>
  <si>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</si>
  <si>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</si>
  <si>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</si>
  <si>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</si>
  <si>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</si>
  <si>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</si>
  <si>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</si>
  <si>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</si>
  <si>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</si>
  <si>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</si>
  <si>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</si>
  <si>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</si>
  <si>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</si>
  <si>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</si>
  <si>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</si>
  <si>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</si>
  <si>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</si>
  <si>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</si>
  <si>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</si>
  <si>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</si>
  <si>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</si>
  <si>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</si>
  <si>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</si>
  <si>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</si>
  <si>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</si>
  <si>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</si>
  <si>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</si>
  <si>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</si>
  <si>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</si>
  <si>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</si>
  <si>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</si>
  <si>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</si>
  <si>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</si>
  <si>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</si>
  <si>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</si>
  <si>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</si>
  <si>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</si>
  <si>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</si>
  <si>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</si>
  <si>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</si>
  <si>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</si>
  <si>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</si>
  <si>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</si>
  <si>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</si>
  <si>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</si>
  <si>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</si>
  <si>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</si>
  <si>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</si>
  <si>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</si>
  <si>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</si>
  <si>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</si>
  <si>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</si>
  <si>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</si>
  <si>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</si>
  <si>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</si>
  <si>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</si>
  <si>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</si>
  <si>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</si>
  <si>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</si>
  <si>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</si>
  <si>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</si>
  <si>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</si>
  <si>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</si>
  <si>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</si>
  <si>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</si>
  <si>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</si>
  <si>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</si>
  <si>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</si>
  <si>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</si>
  <si>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</si>
  <si>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</si>
  <si>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</si>
  <si>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</si>
  <si>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</si>
  <si>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</si>
  <si>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</si>
  <si>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</si>
  <si>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</si>
  <si>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</si>
  <si>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</si>
  <si>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</si>
  <si>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</si>
  <si>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</si>
  <si>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</si>
  <si>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</si>
  <si>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</si>
  <si>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</si>
  <si>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</si>
  <si>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</si>
  <si>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</si>
  <si>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</si>
  <si>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</si>
  <si>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</si>
  <si>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</si>
  <si>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</si>
  <si>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</si>
  <si>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</si>
  <si>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</si>
  <si>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</si>
  <si>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</si>
  <si>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</si>
  <si>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</si>
  <si>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</si>
  <si>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</si>
  <si>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</si>
  <si>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</si>
  <si>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</si>
  <si>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</si>
  <si>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</si>
  <si>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</si>
  <si>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</si>
  <si>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</si>
  <si>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</si>
  <si>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</si>
  <si>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</si>
  <si>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</si>
  <si>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</si>
  <si>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</si>
  <si>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</si>
  <si>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</si>
  <si>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</si>
  <si>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</si>
  <si>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</si>
  <si>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</si>
  <si>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</si>
  <si>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</si>
  <si>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</si>
  <si>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</si>
  <si>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</si>
  <si>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</si>
  <si>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</si>
  <si>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</si>
  <si>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</si>
  <si>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</si>
  <si>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</si>
  <si>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</si>
  <si>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</si>
  <si>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</si>
  <si>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</si>
  <si>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10914</t>
  </si>
  <si>
    <t>COMERCIALIZADORA MDM</t>
  </si>
  <si>
    <t xml:space="preserve">DANIELA </t>
  </si>
  <si>
    <t>+569 9744 8059</t>
  </si>
  <si>
    <t>CUB CON RESPALDO FRENTE R2MM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</si>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</sst>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19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45390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87555.027624309369</v>
      </c>
      <c r="Q20" s="258">
        <v>15000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163</v>
      </c>
      <c r="D21" s="313">
        <v>2.25</v>
      </c>
      <c r="E21" s="313">
        <v>0.55000000000000004</v>
      </c>
      <c r="F21" s="312" t="s">
        <v>164</v>
      </c>
      <c r="G21" s="314">
        <v>102955</v>
      </c>
      <c r="H21" s="315">
        <f t="shared" ref="H21" si="1">G21*B21</f>
        <v>102955</v>
      </c>
      <c r="I21" s="265"/>
      <c r="J21" s="47"/>
      <c r="K21" s="325">
        <v>1</v>
      </c>
      <c r="L21" s="326">
        <f t="shared" ref="L21:M21" si="2">D21+L$19</f>
        <v>2.2999999999999998</v>
      </c>
      <c r="M21" s="326">
        <f t="shared" si="2"/>
        <v>0.55000000000000004</v>
      </c>
      <c r="N21" s="261">
        <f>L21*M21</f>
        <v>1.2649999999999999</v>
      </c>
      <c r="O21" s="259">
        <f>N21*K21</f>
        <v>1.2649999999999999</v>
      </c>
      <c r="P21" s="252">
        <f>P$20*N21</f>
        <v>110757.10994475134</v>
      </c>
      <c r="Q21" s="258">
        <f>P21+Q$20</f>
        <v>125757.10994475134</v>
      </c>
      <c r="R21" s="308">
        <f>K21*L21</f>
        <v>2.2999999999999998</v>
      </c>
      <c r="S21" s="14"/>
      <c r="T21" s="9"/>
      <c r="W21" s="4"/>
    </row>
    <row r="22" spans="2:24" ht="17.399999999999999" x14ac:dyDescent="0.3">
      <c r="B22" s="323">
        <v>1</v>
      </c>
      <c r="C22" s="312" t="s">
        <v>163</v>
      </c>
      <c r="D22" s="313">
        <v>1.27</v>
      </c>
      <c r="E22" s="313">
        <v>0.55000000000000004</v>
      </c>
      <c r="F22" s="312" t="s">
        <v>164</v>
      </c>
      <c r="G22" s="314">
        <v>69565</v>
      </c>
      <c r="H22" s="315">
        <f t="shared" ref="H22" si="3">G22*B22</f>
        <v>69565</v>
      </c>
      <c r="I22" s="265"/>
      <c r="J22" s="47"/>
      <c r="K22" s="325">
        <v>1</v>
      </c>
      <c r="L22" s="326">
        <f t="shared" ref="L22" si="4">D22+L$19</f>
        <v>1.32</v>
      </c>
      <c r="M22" s="326">
        <f t="shared" ref="M22" si="5">E22+M$19</f>
        <v>0.55000000000000004</v>
      </c>
      <c r="N22" s="261">
        <f>L22*M22</f>
        <v>0.72600000000000009</v>
      </c>
      <c r="O22" s="259">
        <f>N22*K22</f>
        <v>0.72600000000000009</v>
      </c>
      <c r="P22" s="252">
        <f>P$20*N22</f>
        <v>63564.950055248606</v>
      </c>
      <c r="Q22" s="258">
        <f>P22+Q$20</f>
        <v>78564.950055248599</v>
      </c>
      <c r="R22" s="308">
        <f>K22*L22</f>
        <v>1.32</v>
      </c>
      <c r="S22" s="14"/>
      <c r="T22" s="9"/>
      <c r="W22" s="4"/>
    </row>
    <row r="23" spans="2:24" ht="17.399999999999999" x14ac:dyDescent="0.3">
      <c r="B23" s="339"/>
      <c r="C23" s="339"/>
      <c r="D23" s="340"/>
      <c r="E23" s="340"/>
      <c r="F23" s="339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172520</v>
      </c>
      <c r="I25" s="265"/>
      <c r="J25" s="47"/>
      <c r="K25" s="47"/>
      <c r="L25" s="39">
        <f>SUM(L21:L24)</f>
        <v>3.62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32778.800000000003</v>
      </c>
      <c r="I26" s="265"/>
      <c r="J26" s="47"/>
      <c r="K26" s="47"/>
      <c r="L26" s="39"/>
      <c r="M26" s="12"/>
      <c r="N26" s="12"/>
      <c r="O26" s="253">
        <f>SUM(O21:O22)</f>
        <v>1.9910000000000001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205298.8</v>
      </c>
      <c r="I27" s="265"/>
      <c r="J27" s="47"/>
      <c r="K27" s="47"/>
      <c r="L27" s="39"/>
      <c r="M27" s="12"/>
      <c r="N27" s="12"/>
      <c r="O27" s="253">
        <f>O26</f>
        <v>1.9910000000000001</v>
      </c>
      <c r="P27" s="14"/>
      <c r="Q27" s="12"/>
      <c r="R27" s="238">
        <f>SUM(R21:R26)</f>
        <v>3.62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32</v>
      </c>
      <c r="K28" s="47"/>
      <c r="L28" s="14"/>
      <c r="M28" s="12"/>
      <c r="N28" s="12"/>
      <c r="O28" s="39">
        <f>O27*20%</f>
        <v>0.39820000000000005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>
        <v>32</v>
      </c>
      <c r="K29" s="47"/>
      <c r="L29" s="14"/>
      <c r="M29" s="12"/>
      <c r="N29" s="12"/>
      <c r="O29" s="46">
        <f>O27+O28</f>
        <v>2.3892000000000002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</f>
        <v>2.3892000000000002</v>
      </c>
      <c r="M31" s="12">
        <v>3500</v>
      </c>
      <c r="N31" s="12">
        <f t="shared" ref="N31:N36" si="6">L31*M31</f>
        <v>8362.2000000000007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0.6</v>
      </c>
      <c r="M32" s="12">
        <v>25000</v>
      </c>
      <c r="N32" s="12">
        <f t="shared" si="6"/>
        <v>15000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6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2</v>
      </c>
      <c r="M34" s="250">
        <v>23500</v>
      </c>
      <c r="N34" s="12">
        <f t="shared" si="6"/>
        <v>47000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6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3.62</v>
      </c>
      <c r="M36" s="12">
        <v>1500</v>
      </c>
      <c r="N36" s="12">
        <f t="shared" si="6"/>
        <v>5430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75792.2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54663</v>
      </c>
      <c r="K38" s="250"/>
      <c r="L38" s="254" t="s">
        <v>35</v>
      </c>
      <c r="M38" s="12"/>
      <c r="N38" s="255">
        <f>N37*2.3</f>
        <v>174322.05999999997</v>
      </c>
      <c r="O38" s="14" t="s">
        <v>142</v>
      </c>
      <c r="P38" s="14"/>
      <c r="Q38" s="46">
        <f>O27/Q37</f>
        <v>0.53683132010353751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45935.294117647063</v>
      </c>
      <c r="K39" s="250"/>
      <c r="L39" s="14"/>
      <c r="M39" s="12"/>
      <c r="N39" s="12">
        <f>N38/O27</f>
        <v>87555.027624309369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2.2999999999999998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0.52222950819672131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45390</v>
      </c>
    </row>
    <row r="6" spans="2:31" ht="16.2" thickBot="1" x14ac:dyDescent="0.35">
      <c r="B6" s="140" t="s">
        <v>2</v>
      </c>
      <c r="C6" s="139" t="str">
        <f>'2229'!C10</f>
        <v>COMERCIALIZADORA MDM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10914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-14124.353366787438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172520</v>
      </c>
      <c r="E11" s="132">
        <f>D11*0.19</f>
        <v>32778.800000000003</v>
      </c>
      <c r="F11" s="131">
        <f>E11+D11</f>
        <v>205298.8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91865.646633212556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53196.290787439619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73865.646633212556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119323.70921256038</v>
      </c>
      <c r="E13" s="221">
        <f>(D11/D12)-1</f>
        <v>2.2430832572397015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64865.646633212564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25865.646633212564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87773.879799275368</v>
      </c>
      <c r="F15" s="216">
        <f>E15-D12</f>
        <v>34577.589011835749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25865.646633212564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65865.646633212556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8362.2000000000007</v>
      </c>
      <c r="E20" s="121">
        <f>D20*0.19</f>
        <v>1588.8180000000002</v>
      </c>
      <c r="F20" s="120">
        <f>SUM(D20:E20)</f>
        <v>9951.018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23362.2</v>
      </c>
      <c r="E21" s="116">
        <f>SUM(E18:E20)</f>
        <v>4438.8180000000002</v>
      </c>
      <c r="F21" s="115">
        <f>SUM(F18:F20)</f>
        <v>27801.018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28339.982000000004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172520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23362.2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119323.70921256038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119323.70921256038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2024-04-10T18:39:37Z</dcterms:modified>
</cp:coreProperties>
</file>