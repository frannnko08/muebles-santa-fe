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5F4C4453-55CD-4DAA-8067-DD20DB9E6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R22" i="1"/>
  <c r="H22" i="1"/>
  <c r="J32" i="1"/>
  <c r="K10" i="1"/>
  <c r="J40" i="1" l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2" i="1" s="1"/>
  <c r="Q22" i="1" s="1"/>
  <c r="E15" i="3"/>
  <c r="P21" i="1" l="1"/>
  <c r="F15" i="3"/>
  <c r="Q21" i="1" l="1"/>
  <c r="H21" i="1" s="1"/>
  <c r="H26" i="1" s="1"/>
  <c r="R28" i="1"/>
  <c r="H28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<sst xmlns="http://schemas.openxmlformats.org/spreadsheetml/2006/main" count="220" uniqueCount="166">
  <si>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</si>
  <si>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</si>
  <si>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</si>
  <si>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</si>
  <si>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</si>
  <si>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</si>
  <si>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</si>
  <si>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</si>
  <si>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</si>
  <si>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</si>
  <si>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</si>
  <si>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</si>
  <si>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</si>
  <si>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</si>
  <si>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</si>
  <si>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</si>
  <si>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</si>
  <si>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</si>
  <si>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</si>
  <si>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</si>
  <si>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</si>
  <si>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</si>
  <si>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</si>
  <si>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</si>
  <si>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</si>
  <si>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</si>
  <si>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</si>
  <si>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</si>
  <si>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</si>
  <si>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</si>
  <si>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</si>
  <si>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</si>
  <si>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</si>
  <si>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</si>
  <si>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</si>
  <si>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</si>
  <si>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</si>
  <si>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</si>
  <si>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</si>
  <si>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</si>
  <si>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</si>
  <si>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</si>
  <si>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</si>
  <si>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</si>
  <si>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</si>
  <si>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</si>
  <si>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</si>
  <si>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</si>
  <si>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</si>
  <si>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</si>
  <si>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</si>
  <si>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</si>
  <si>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</si>
  <si>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</si>
  <si>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</si>
  <si>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</si>
  <si>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</si>
  <si>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</si>
  <si>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</si>
  <si>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</si>
  <si>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</si>
  <si>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</si>
  <si>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</si>
  <si>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</si>
  <si>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</si>
  <si>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</si>
  <si>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</si>
  <si>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</si>
  <si>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</si>
  <si>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</si>
  <si>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</si>
  <si>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</si>
  <si>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</si>
  <si>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</si>
  <si>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</si>
  <si>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</si>
  <si>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</si>
  <si>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</si>
  <si>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</si>
  <si>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</si>
  <si>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</si>
  <si>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</si>
  <si>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</si>
  <si>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</si>
  <si>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</si>
  <si>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</si>
  <si>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</si>
  <si>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</si>
  <si>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</si>
  <si>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</si>
  <si>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</si>
  <si>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</si>
  <si>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</si>
  <si>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</si>
  <si>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</si>
  <si>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</si>
  <si>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</si>
  <si>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</si>
  <si>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</si>
  <si>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</si>
  <si>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</si>
  <si>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</si>
  <si>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</si>
  <si>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</si>
  <si>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</si>
  <si>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</si>
  <si>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</si>
  <si>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</si>
  <si>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</si>
  <si>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</si>
  <si>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</si>
  <si>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</si>
  <si>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</si>
  <si>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</si>
  <si>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</si>
  <si>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</si>
  <si>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</si>
  <si>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</si>
  <si>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</si>
  <si>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</si>
  <si>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</si>
  <si>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</si>
  <si>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</si>
  <si>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</si>
  <si>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</si>
  <si>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</si>
  <si>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</si>
  <si>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</si>
  <si>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</si>
  <si>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</si>
  <si>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</si>
  <si>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</si>
  <si>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</si>
  <si>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</si>
  <si>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</si>
  <si>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</si>
  <si>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</si>
  <si>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</si>
  <si>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</si>
  <si>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</si>
  <si>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</si>
  <si>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</si>
  <si>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</si>
  <si>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</si>
  <si>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</si>
  <si>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</si>
  <si>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</si>
  <si>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</si>
  <si>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</si>
  <si>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</si>
  <si>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</si>
  <si>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</si>
  <si>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</si>
  <si>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</si>
  <si>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</si>
  <si>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</si>
  <si>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</si>
  <si>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</si>
  <si>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</si>
  <si>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FRANCISCO MELLA</t>
  </si>
  <si>
    <t>+569 8451 4974</t>
  </si>
  <si>
    <t>N° 10936</t>
  </si>
  <si>
    <t>CUB CON RESPALDO FRENTE 90° R8</t>
  </si>
  <si>
    <t>EBANO 2110 MT</t>
  </si>
  <si>
    <t>CUB MESA 2 LADOS FRENTE 90° R8, UN LADO LARGO Y UN LADO CORTO</t>
  </si>
  <si>
    <t>NICE PEAR 10854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</si>
</sst>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8" zoomScale="98" zoomScaleNormal="98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55.5546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159</v>
      </c>
      <c r="D10" s="243"/>
      <c r="E10" s="243"/>
      <c r="F10" s="244" t="s">
        <v>0</v>
      </c>
      <c r="G10" s="277">
        <v>45409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8" t="s">
        <v>155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6" t="s">
        <v>10</v>
      </c>
      <c r="E20" s="326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65953.725490196084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2</v>
      </c>
      <c r="C21" s="312" t="s">
        <v>162</v>
      </c>
      <c r="D21" s="327">
        <v>2.4</v>
      </c>
      <c r="E21" s="327">
        <v>0.85</v>
      </c>
      <c r="F21" s="312" t="s">
        <v>165</v>
      </c>
      <c r="G21" s="313">
        <v>118000</v>
      </c>
      <c r="H21" s="314">
        <f t="shared" ref="H21" si="1">G21*B21</f>
        <v>236000</v>
      </c>
      <c r="I21" s="265"/>
      <c r="J21" s="47"/>
      <c r="K21" s="324"/>
      <c r="L21" s="325">
        <f t="shared" ref="L21:M21" si="2">D21+L$19</f>
        <v>2.4499999999999997</v>
      </c>
      <c r="M21" s="325">
        <f t="shared" si="2"/>
        <v>0.85</v>
      </c>
      <c r="N21" s="261">
        <f>L21*M21</f>
        <v>2.0824999999999996</v>
      </c>
      <c r="O21" s="259">
        <f>N21*K21</f>
        <v>0</v>
      </c>
      <c r="P21" s="252">
        <f>P$20*N21</f>
        <v>137348.63333333333</v>
      </c>
      <c r="Q21" s="258">
        <f>P21+Q$20</f>
        <v>140348.63333333333</v>
      </c>
      <c r="R21" s="308">
        <f>K21*L21</f>
        <v>0</v>
      </c>
      <c r="S21" s="14"/>
      <c r="T21" s="9"/>
      <c r="W21" s="4"/>
    </row>
    <row r="22" spans="2:24" ht="17.399999999999999" x14ac:dyDescent="0.3">
      <c r="B22" s="322">
        <v>1</v>
      </c>
      <c r="C22" s="342" t="s">
        <v>164</v>
      </c>
      <c r="D22" s="327">
        <v>1.6</v>
      </c>
      <c r="E22" s="327">
        <v>0.85</v>
      </c>
      <c r="F22" s="312" t="s">
        <v>163</v>
      </c>
      <c r="G22" s="313">
        <v>95500</v>
      </c>
      <c r="H22" s="314">
        <f t="shared" ref="H22" si="3">G22*B22</f>
        <v>95500</v>
      </c>
      <c r="I22" s="265"/>
      <c r="J22" s="47"/>
      <c r="K22" s="324">
        <v>1</v>
      </c>
      <c r="L22" s="325">
        <f t="shared" ref="L22" si="4">D22+L$19</f>
        <v>1.6500000000000001</v>
      </c>
      <c r="M22" s="325">
        <f t="shared" ref="M22" si="5">E22+M$19</f>
        <v>0.85</v>
      </c>
      <c r="N22" s="261">
        <f>L22*M22</f>
        <v>1.4025000000000001</v>
      </c>
      <c r="O22" s="259">
        <f>N22*K22</f>
        <v>1.4025000000000001</v>
      </c>
      <c r="P22" s="252">
        <f>P$20*N22</f>
        <v>92500.10000000002</v>
      </c>
      <c r="Q22" s="258">
        <f>P22+Q$20</f>
        <v>95500.10000000002</v>
      </c>
      <c r="R22" s="308">
        <f>K22*L22</f>
        <v>1.6500000000000001</v>
      </c>
      <c r="S22" s="14"/>
      <c r="T22" s="9"/>
      <c r="W22" s="4"/>
    </row>
    <row r="23" spans="2:24" ht="17.399999999999999" x14ac:dyDescent="0.3">
      <c r="B23" s="340"/>
      <c r="C23" s="340"/>
      <c r="D23" s="341"/>
      <c r="E23" s="341"/>
      <c r="F23" s="340"/>
      <c r="G23" s="317"/>
      <c r="H23" s="317"/>
      <c r="I23" s="265"/>
      <c r="J23" s="47"/>
      <c r="K23" s="324"/>
      <c r="L23" s="325"/>
      <c r="M23" s="325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7"/>
      <c r="H24" s="317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331500</v>
      </c>
      <c r="I26" s="265"/>
      <c r="J26" s="47"/>
      <c r="K26" s="47"/>
      <c r="L26" s="39">
        <f>SUM(L21:L25)</f>
        <v>4.0999999999999996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/>
      <c r="I27" s="265"/>
      <c r="J27" s="47"/>
      <c r="K27" s="47"/>
      <c r="L27" s="39"/>
      <c r="M27" s="12"/>
      <c r="N27" s="12"/>
      <c r="O27" s="253">
        <f>SUM(O21:O22)</f>
        <v>1.4025000000000001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331500</v>
      </c>
      <c r="I28" s="265"/>
      <c r="J28" s="47"/>
      <c r="K28" s="47"/>
      <c r="L28" s="39"/>
      <c r="M28" s="12"/>
      <c r="N28" s="12"/>
      <c r="O28" s="253">
        <f>O27</f>
        <v>1.4025000000000001</v>
      </c>
      <c r="P28" s="14"/>
      <c r="Q28" s="12"/>
      <c r="R28" s="238">
        <f>SUM(R21:R27)</f>
        <v>1.6500000000000001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>
        <v>32</v>
      </c>
      <c r="K29" s="47"/>
      <c r="L29" s="14"/>
      <c r="M29" s="12"/>
      <c r="N29" s="12"/>
      <c r="O29" s="39">
        <f>O28*20%</f>
        <v>0.28050000000000003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9">
        <v>32</v>
      </c>
      <c r="K30" s="47"/>
      <c r="L30" s="14"/>
      <c r="M30" s="12"/>
      <c r="N30" s="12"/>
      <c r="O30" s="46">
        <f>O28+O29</f>
        <v>1.6830000000000001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9">
        <v>55</v>
      </c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>
        <f>SUM(J29:J31)</f>
        <v>119</v>
      </c>
      <c r="K32" s="47"/>
      <c r="L32" s="39">
        <f>O30</f>
        <v>1.6830000000000001</v>
      </c>
      <c r="M32" s="12">
        <v>3500</v>
      </c>
      <c r="N32" s="12">
        <f t="shared" ref="N32:N37" si="6">L32*M32</f>
        <v>5890.5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0.4</v>
      </c>
      <c r="M33" s="12">
        <v>25000</v>
      </c>
      <c r="N33" s="12">
        <f t="shared" si="6"/>
        <v>10000</v>
      </c>
      <c r="O33" s="39" t="s">
        <v>156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6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8"/>
      <c r="K35" s="250"/>
      <c r="L35" s="14">
        <v>1</v>
      </c>
      <c r="M35" s="250">
        <v>26155</v>
      </c>
      <c r="N35" s="12">
        <f t="shared" si="6"/>
        <v>26155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8"/>
      <c r="K36" s="250"/>
      <c r="L36" s="249"/>
      <c r="M36" s="250">
        <v>800</v>
      </c>
      <c r="N36" s="12">
        <f t="shared" si="6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/>
      <c r="M37" s="12">
        <v>1500</v>
      </c>
      <c r="N37" s="12">
        <f t="shared" si="6"/>
        <v>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42045.5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48850</v>
      </c>
      <c r="K39" s="250"/>
      <c r="L39" s="254" t="s">
        <v>35</v>
      </c>
      <c r="M39" s="12"/>
      <c r="N39" s="255">
        <f>N38*2.2</f>
        <v>92500.1</v>
      </c>
      <c r="O39" s="14" t="s">
        <v>142</v>
      </c>
      <c r="P39" s="14"/>
      <c r="Q39" s="46">
        <f>O28/Q38</f>
        <v>0.37815465918895602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41050.420168067227</v>
      </c>
      <c r="K40" s="250"/>
      <c r="L40" s="14"/>
      <c r="M40" s="12"/>
      <c r="N40" s="12">
        <f>N39/O28</f>
        <v>65953.725490196084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0.3678688524590164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45409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10936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-42675.737533454107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331500</v>
      </c>
      <c r="E11" s="132">
        <f>D11*0.19</f>
        <v>62985</v>
      </c>
      <c r="F11" s="131">
        <f>E11+D11</f>
        <v>394485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63314.262466545893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45724.590787439614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45314.262466545893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285775.40921256039</v>
      </c>
      <c r="E13" s="221">
        <f>(D11/D12)-1</f>
        <v>6.2499281959908082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36314.262466545893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-2685.7375334541066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75445.57479927536</v>
      </c>
      <c r="F15" s="216">
        <f>E15-D12</f>
        <v>29720.984011835746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-2685.7375334541066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37314.262466545893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5890.5</v>
      </c>
      <c r="E20" s="121">
        <f>D20*0.19</f>
        <v>1119.1949999999999</v>
      </c>
      <c r="F20" s="120">
        <f>SUM(D20:E20)</f>
        <v>7009.6949999999997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15890.5</v>
      </c>
      <c r="E21" s="116">
        <f>SUM(E18:E20)</f>
        <v>3019.1949999999997</v>
      </c>
      <c r="F21" s="115">
        <f>SUM(F18:F20)</f>
        <v>18909.695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59965.805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331500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15890.5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285775.40921256039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285775.40921256039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2024-04-28T22:50:23Z</cp:lastPrinted>
  <dcterms:created xsi:type="dcterms:W3CDTF">2013-03-18T13:35:42Z</dcterms:created>
  <dcterms:modified xsi:type="dcterms:W3CDTF">2024-04-28T22:54:09Z</dcterms:modified>
</cp:coreProperties>
</file>