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DD90A15D-603E-4CD9-B80D-C2941734E0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G32" i="1"/>
  <c r="G31" i="1"/>
  <c r="G30" i="1"/>
  <c r="G29" i="1"/>
  <c r="G28" i="1"/>
  <c r="G27" i="1"/>
  <c r="G26" i="1"/>
  <c r="G24" i="1"/>
  <c r="G23" i="1"/>
  <c r="G22" i="1"/>
  <c r="G21" i="1"/>
  <c r="J21" i="1"/>
  <c r="I49" i="1" l="1"/>
  <c r="K21" i="1" l="1"/>
  <c r="K35" i="1" s="1"/>
  <c r="K46" i="1" s="1"/>
  <c r="L21" i="1"/>
  <c r="M21" i="1" l="1"/>
  <c r="N21" i="1" s="1"/>
  <c r="N36" i="1" s="1"/>
  <c r="N37" i="1" s="1"/>
  <c r="N38" i="1" s="1"/>
  <c r="N39" i="1" s="1"/>
  <c r="Q21" i="1"/>
  <c r="M42" i="1"/>
  <c r="R54" i="1" l="1"/>
  <c r="L20" i="1" l="1"/>
  <c r="J20" i="1"/>
  <c r="M43" i="1" l="1"/>
  <c r="P47" i="1"/>
  <c r="P48" i="1" s="1"/>
  <c r="M44" i="1" l="1"/>
  <c r="R47" i="1" l="1"/>
  <c r="R4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M46" i="1"/>
  <c r="M45" i="1"/>
  <c r="F18" i="3" l="1"/>
  <c r="K41" i="1" l="1"/>
  <c r="M41" i="1" l="1"/>
  <c r="M47" i="1" s="1"/>
  <c r="M48" i="1" s="1"/>
  <c r="R55" i="1"/>
  <c r="D20" i="3" l="1"/>
  <c r="E20" i="3" s="1"/>
  <c r="E21" i="3" s="1"/>
  <c r="M50" i="1" l="1"/>
  <c r="D21" i="3"/>
  <c r="M43" i="3" s="1"/>
  <c r="D12" i="3" s="1"/>
  <c r="F20" i="3"/>
  <c r="F21" i="3" s="1"/>
  <c r="M49" i="1" l="1"/>
  <c r="O20" i="1" s="1"/>
  <c r="E15" i="3"/>
  <c r="O21" i="1" l="1"/>
  <c r="F15" i="3"/>
  <c r="P21" i="1" l="1"/>
  <c r="Q37" i="1"/>
  <c r="G35" i="1" l="1"/>
  <c r="J15" i="1" s="1"/>
  <c r="G36" i="1" l="1"/>
  <c r="G37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<sst xmlns="http://schemas.openxmlformats.org/spreadsheetml/2006/main" count="245" uniqueCount="182">
  <si>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</si>
  <si>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</si>
  <si>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</si>
  <si>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</si>
  <si>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</si>
  <si>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</si>
  <si>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</si>
  <si>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</si>
  <si>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</si>
  <si>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</si>
  <si>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</si>
  <si>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</si>
  <si>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</si>
  <si>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</si>
  <si>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</si>
  <si>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</si>
  <si>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</si>
  <si>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</si>
  <si>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</si>
  <si>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</si>
  <si>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</si>
  <si>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</si>
  <si>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</si>
  <si>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</si>
  <si>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</si>
  <si>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</si>
  <si>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</si>
  <si>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</si>
  <si>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</si>
  <si>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</si>
  <si>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</si>
  <si>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</si>
  <si>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</si>
  <si>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</si>
  <si>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</si>
  <si>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</si>
  <si>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</si>
  <si>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</si>
  <si>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</si>
  <si>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</si>
  <si>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</si>
  <si>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</si>
  <si>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</si>
  <si>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</si>
  <si>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</si>
  <si>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</si>
  <si>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</si>
  <si>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</si>
  <si>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</si>
  <si>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</si>
  <si>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</si>
  <si>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</si>
  <si>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</si>
  <si>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</si>
  <si>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</si>
  <si>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</si>
  <si>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</si>
  <si>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</si>
  <si>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</si>
  <si>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</si>
  <si>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</si>
  <si>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</si>
  <si>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</si>
  <si>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</si>
  <si>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</si>
  <si>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</si>
  <si>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</si>
  <si>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</si>
  <si>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</si>
  <si>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</si>
  <si>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</si>
  <si>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</si>
  <si>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</si>
  <si>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</si>
  <si>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</si>
  <si>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</si>
  <si>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</si>
  <si>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</si>
  <si>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</si>
  <si>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</si>
  <si>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</si>
  <si>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</si>
  <si>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</si>
  <si>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</si>
  <si>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</si>
  <si>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</si>
  <si>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</si>
  <si>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</si>
  <si>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</si>
  <si>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</si>
  <si>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</si>
  <si>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</si>
  <si>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</si>
  <si>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</si>
  <si>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</si>
  <si>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</si>
  <si>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</si>
  <si>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</si>
  <si>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</si>
  <si>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</si>
  <si>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</si>
  <si>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</si>
  <si>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</si>
  <si>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</si>
  <si>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</si>
  <si>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</si>
  <si>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</si>
  <si>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</si>
  <si>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</si>
  <si>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</si>
  <si>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</si>
  <si>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</si>
  <si>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</si>
  <si>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</si>
  <si>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</si>
  <si>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</si>
  <si>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</si>
  <si>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</si>
  <si>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</si>
  <si>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</si>
  <si>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</si>
  <si>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</si>
  <si>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</si>
  <si>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</si>
  <si>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</si>
  <si>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</si>
  <si>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</si>
  <si>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</si>
  <si>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</si>
  <si>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</si>
  <si>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</si>
  <si>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</si>
  <si>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</si>
  <si>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</si>
  <si>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</si>
  <si>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</si>
  <si>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</si>
  <si>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</si>
  <si>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</si>
  <si>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</si>
  <si>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</si>
  <si>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</si>
  <si>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</si>
  <si>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</si>
  <si>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</si>
  <si>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</si>
  <si>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</si>
  <si>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</si>
  <si>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</si>
  <si>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</si>
  <si>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</si>
  <si>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</si>
  <si>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</si>
  <si>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</si>
  <si>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MDF25MM</t>
  </si>
  <si>
    <t>ABONO 50%, SALDO C/E</t>
  </si>
  <si>
    <t>SANTIAGO</t>
  </si>
  <si>
    <t>DURACION COTIZACION: 5 DIAS                   FRANCO DONOSO</t>
  </si>
  <si>
    <t>ESTRUCTURA</t>
  </si>
  <si>
    <t>OBSERVACIONES</t>
  </si>
  <si>
    <t>SEGÚN EETT</t>
  </si>
  <si>
    <t>LOCKERS</t>
  </si>
  <si>
    <t>N° 10937</t>
  </si>
  <si>
    <t>LICITACION:</t>
  </si>
  <si>
    <t>CONFUTURO</t>
  </si>
  <si>
    <t>96.574.230-1</t>
  </si>
  <si>
    <t>CONSTRUCTORA E INMOBILIARIA CERRO BAYO S.A.</t>
  </si>
  <si>
    <t>PAULO SALGADO</t>
  </si>
  <si>
    <t>A CONVENIR</t>
  </si>
  <si>
    <t>INCLUYE CERRADURA DIGITAL</t>
  </si>
  <si>
    <t>MUEBLE RECEPCION CHICO 2 PISO</t>
  </si>
  <si>
    <t>MUEBLE RECEPCION 2 PISO</t>
  </si>
  <si>
    <t>MUEBLES CAFETERIA 3 PISO</t>
  </si>
  <si>
    <t>MUEBLE CAFETERIA 2 PISO</t>
  </si>
  <si>
    <t>MUEBLE IT 3 PISO</t>
  </si>
  <si>
    <t>CAFÉ ZONA DE ESPERA</t>
  </si>
  <si>
    <t>TABIQUE TIPO MADERA</t>
  </si>
  <si>
    <t>FALTA CONFIRMAR COLOR LAMINA</t>
  </si>
  <si>
    <t>CLOSET</t>
  </si>
  <si>
    <t>ENCHAPE MURO ZONA DE ESPERA</t>
  </si>
  <si>
    <t>KITCHENETTE</t>
  </si>
  <si>
    <t>SEPARADORES (6 UNIDADES)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</si>
</sst>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28" fillId="8" borderId="0" xfId="0" applyFont="1" applyFill="1" applyAlignment="1">
      <alignment horizontal="left"/>
    </xf>
    <xf numFmtId="0" fontId="8" fillId="8" borderId="46" xfId="0" applyFont="1" applyFill="1" applyBorder="1"/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14" fontId="28" fillId="0" borderId="0" xfId="0" applyNumberFormat="1" applyFont="1" applyAlignment="1">
      <alignment horizontal="left"/>
    </xf>
    <xf numFmtId="0" fontId="0" fillId="0" borderId="55" xfId="0" applyBorder="1"/>
    <xf numFmtId="0" fontId="28" fillId="0" borderId="0" xfId="0" applyFont="1"/>
    <xf numFmtId="0" fontId="7" fillId="0" borderId="54" xfId="0" applyFont="1" applyBorder="1"/>
    <xf numFmtId="0" fontId="14" fillId="0" borderId="0" xfId="0" applyFont="1"/>
    <xf numFmtId="0" fontId="29" fillId="0" borderId="0" xfId="0" applyFont="1"/>
    <xf numFmtId="0" fontId="28" fillId="8" borderId="0" xfId="0" applyFont="1" applyFill="1"/>
    <xf numFmtId="0" fontId="0" fillId="8" borderId="44" xfId="0" applyFill="1" applyBorder="1"/>
    <xf numFmtId="0" fontId="28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2" fillId="18" borderId="20" xfId="8" applyFont="1" applyFill="1" applyBorder="1"/>
    <xf numFmtId="42" fontId="32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2" fillId="0" borderId="27" xfId="8" applyFont="1" applyFill="1" applyBorder="1"/>
    <xf numFmtId="0" fontId="35" fillId="0" borderId="0" xfId="0" applyFont="1"/>
    <xf numFmtId="167" fontId="31" fillId="0" borderId="0" xfId="0" applyNumberFormat="1" applyFont="1"/>
    <xf numFmtId="167" fontId="0" fillId="0" borderId="0" xfId="0" applyNumberFormat="1" applyAlignment="1">
      <alignment horizontal="center"/>
    </xf>
    <xf numFmtId="0" fontId="34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11" xfId="0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167" fontId="11" fillId="0" borderId="42" xfId="2" applyNumberFormat="1" applyFont="1" applyFill="1" applyBorder="1" applyAlignment="1">
      <alignment horizontal="center" vertical="center"/>
    </xf>
    <xf numFmtId="167" fontId="11" fillId="0" borderId="32" xfId="2" applyNumberFormat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38</xdr:row>
      <xdr:rowOff>5249</xdr:rowOff>
    </xdr:from>
    <xdr:to>
      <xdr:col>7</xdr:col>
      <xdr:colOff>7776</xdr:colOff>
      <xdr:row>41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5</xdr:col>
      <xdr:colOff>222885</xdr:colOff>
      <xdr:row>40</xdr:row>
      <xdr:rowOff>154305</xdr:rowOff>
    </xdr:from>
    <xdr:to>
      <xdr:col>6</xdr:col>
      <xdr:colOff>853440</xdr:colOff>
      <xdr:row>40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38</xdr:row>
      <xdr:rowOff>9525</xdr:rowOff>
    </xdr:from>
    <xdr:to>
      <xdr:col>4</xdr:col>
      <xdr:colOff>1749491</xdr:colOff>
      <xdr:row>41</xdr:row>
      <xdr:rowOff>15551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522362"/>
          <a:ext cx="6413046" cy="659169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33</xdr:row>
      <xdr:rowOff>223973</xdr:rowOff>
    </xdr:from>
    <xdr:to>
      <xdr:col>4</xdr:col>
      <xdr:colOff>1749490</xdr:colOff>
      <xdr:row>37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4632687"/>
          <a:ext cx="6417595" cy="66243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592"/>
  <sheetViews>
    <sheetView tabSelected="1" topLeftCell="A15" zoomScale="98" zoomScaleNormal="98" workbookViewId="0">
      <selection activeCell="E25" sqref="E25"/>
    </sheetView>
  </sheetViews>
  <sheetFormatPr baseColWidth="10" defaultRowHeight="14.4" x14ac:dyDescent="0.3"/>
  <cols>
    <col min="1" max="1" width="6" customWidth="1"/>
    <col min="2" max="2" width="10.5546875" customWidth="1"/>
    <col min="3" max="3" width="35.88671875" customWidth="1"/>
    <col min="4" max="4" width="20.33203125" customWidth="1"/>
    <col min="5" max="5" width="28.5546875" customWidth="1"/>
    <col min="6" max="6" width="14" customWidth="1"/>
    <col min="7" max="7" width="15.44140625" customWidth="1"/>
    <col min="8" max="8" width="13.44140625" customWidth="1"/>
    <col min="10" max="10" width="9.5546875" style="18" customWidth="1"/>
    <col min="11" max="11" width="8.88671875" customWidth="1"/>
    <col min="12" max="12" width="8.33203125" customWidth="1"/>
    <col min="13" max="13" width="9.44140625" customWidth="1"/>
    <col min="14" max="14" width="7.6640625" customWidth="1"/>
    <col min="15" max="15" width="9.44140625" customWidth="1"/>
    <col min="16" max="16" width="10.109375" customWidth="1"/>
    <col min="17" max="17" width="8.88671875" customWidth="1"/>
    <col min="18" max="18" width="9.6640625" customWidth="1"/>
    <col min="19" max="19" width="9.33203125" customWidth="1"/>
    <col min="20" max="20" width="8.6640625" customWidth="1"/>
    <col min="21" max="21" width="10.88671875" customWidth="1"/>
    <col min="22" max="22" width="10.44140625" customWidth="1"/>
    <col min="23" max="23" width="9" customWidth="1"/>
  </cols>
  <sheetData>
    <row r="2" spans="2:22" ht="15.6" x14ac:dyDescent="0.3">
      <c r="E2" s="240" t="s">
        <v>144</v>
      </c>
      <c r="O2" s="2"/>
      <c r="P2" s="2"/>
      <c r="Q2" s="3"/>
      <c r="R2" s="3"/>
      <c r="S2" s="2"/>
      <c r="T2" s="2"/>
      <c r="U2" s="3"/>
      <c r="V2" s="4"/>
    </row>
    <row r="3" spans="2:22" x14ac:dyDescent="0.3">
      <c r="E3" s="59" t="s">
        <v>140</v>
      </c>
      <c r="O3" s="2"/>
      <c r="P3" s="2"/>
      <c r="Q3" s="3"/>
      <c r="R3" s="3"/>
      <c r="S3" s="2"/>
      <c r="T3" s="2"/>
      <c r="U3" s="3"/>
      <c r="V3" s="4"/>
    </row>
    <row r="4" spans="2:22" x14ac:dyDescent="0.3">
      <c r="E4" s="59" t="s">
        <v>145</v>
      </c>
      <c r="O4" s="2"/>
      <c r="P4" s="2"/>
      <c r="Q4" s="3"/>
      <c r="R4" s="3"/>
      <c r="S4" s="2"/>
      <c r="T4" s="2"/>
      <c r="U4" s="3"/>
      <c r="V4" s="4"/>
    </row>
    <row r="5" spans="2:22" x14ac:dyDescent="0.3">
      <c r="E5" s="59" t="s">
        <v>14</v>
      </c>
      <c r="O5" s="2"/>
      <c r="P5" s="2"/>
      <c r="Q5" s="3"/>
      <c r="R5" s="3"/>
      <c r="S5" s="2"/>
      <c r="T5" s="2"/>
      <c r="U5" s="3"/>
      <c r="V5" s="4"/>
    </row>
    <row r="6" spans="2:22" ht="15.6" x14ac:dyDescent="0.3">
      <c r="E6" s="59" t="s">
        <v>15</v>
      </c>
      <c r="M6" s="33" t="s">
        <v>20</v>
      </c>
      <c r="O6" s="2"/>
      <c r="P6" s="2"/>
      <c r="Q6" s="3"/>
      <c r="R6" s="3"/>
      <c r="S6" s="2"/>
      <c r="T6" s="2"/>
      <c r="U6" s="3"/>
    </row>
    <row r="7" spans="2:22" ht="15" thickBot="1" x14ac:dyDescent="0.35">
      <c r="E7" s="59" t="s">
        <v>126</v>
      </c>
      <c r="O7" s="2"/>
      <c r="P7" s="2"/>
      <c r="Q7" s="3"/>
      <c r="R7" s="3"/>
      <c r="S7" s="2"/>
      <c r="T7" s="2"/>
      <c r="U7" s="3"/>
    </row>
    <row r="8" spans="2:22" ht="21.6" thickBot="1" x14ac:dyDescent="0.45">
      <c r="B8" s="297" t="s">
        <v>128</v>
      </c>
      <c r="C8" s="298"/>
      <c r="D8" s="328" t="s">
        <v>162</v>
      </c>
      <c r="E8" s="59"/>
      <c r="I8" s="52"/>
      <c r="P8" s="2"/>
      <c r="Q8" s="3"/>
      <c r="R8" s="3"/>
      <c r="S8" s="2"/>
      <c r="T8" s="2"/>
      <c r="U8" s="3"/>
    </row>
    <row r="9" spans="2:22" ht="15" thickBot="1" x14ac:dyDescent="0.35">
      <c r="P9" s="2"/>
      <c r="Q9" s="3"/>
      <c r="R9" s="3"/>
      <c r="S9" s="4"/>
      <c r="T9" s="2"/>
      <c r="U9" s="3"/>
    </row>
    <row r="10" spans="2:22" x14ac:dyDescent="0.3">
      <c r="B10" s="241" t="s">
        <v>2</v>
      </c>
      <c r="C10" s="277" t="s">
        <v>166</v>
      </c>
      <c r="D10" s="242"/>
      <c r="E10" s="243" t="s">
        <v>0</v>
      </c>
      <c r="F10" s="275">
        <v>45412</v>
      </c>
      <c r="G10" s="244"/>
      <c r="I10" s="1"/>
      <c r="P10" s="2"/>
      <c r="Q10" s="3"/>
      <c r="R10" s="3"/>
      <c r="S10" s="4"/>
      <c r="T10" s="2"/>
      <c r="U10" s="3"/>
    </row>
    <row r="11" spans="2:22" ht="16.8" x14ac:dyDescent="0.4">
      <c r="B11" s="286" t="s">
        <v>12</v>
      </c>
      <c r="C11" s="307" t="s">
        <v>165</v>
      </c>
      <c r="E11" t="s">
        <v>125</v>
      </c>
      <c r="F11" s="287" t="s">
        <v>168</v>
      </c>
      <c r="G11" s="288"/>
      <c r="O11" s="19"/>
      <c r="P11" s="25" t="s">
        <v>19</v>
      </c>
      <c r="Q11" s="19"/>
    </row>
    <row r="12" spans="2:22" ht="16.8" x14ac:dyDescent="0.4">
      <c r="B12" s="245" t="s">
        <v>147</v>
      </c>
      <c r="C12" s="307"/>
      <c r="D12" s="246"/>
      <c r="E12" s="246" t="s">
        <v>129</v>
      </c>
      <c r="F12" s="276" t="s">
        <v>137</v>
      </c>
      <c r="G12" s="247"/>
      <c r="O12" s="19"/>
      <c r="P12" s="25"/>
      <c r="Q12" s="19"/>
    </row>
    <row r="13" spans="2:22" x14ac:dyDescent="0.3">
      <c r="B13" s="245" t="s">
        <v>148</v>
      </c>
      <c r="C13" t="s">
        <v>167</v>
      </c>
      <c r="D13" s="246"/>
      <c r="E13" s="246" t="s">
        <v>163</v>
      </c>
      <c r="F13" s="276" t="s">
        <v>164</v>
      </c>
      <c r="G13" s="247"/>
      <c r="K13">
        <v>32.979999999999997</v>
      </c>
      <c r="L13" t="s">
        <v>17</v>
      </c>
      <c r="O13" s="19"/>
      <c r="P13" s="25"/>
      <c r="Q13" s="19"/>
    </row>
    <row r="14" spans="2:22" x14ac:dyDescent="0.3">
      <c r="B14" s="286" t="s">
        <v>141</v>
      </c>
      <c r="C14" s="302"/>
      <c r="E14" s="29" t="s">
        <v>138</v>
      </c>
      <c r="F14" s="289" t="s">
        <v>137</v>
      </c>
      <c r="G14" s="288"/>
      <c r="I14" s="29"/>
      <c r="O14" s="20"/>
      <c r="P14" s="26" t="s">
        <v>18</v>
      </c>
      <c r="Q14" s="20"/>
    </row>
    <row r="15" spans="2:22" x14ac:dyDescent="0.3">
      <c r="B15" s="245" t="s">
        <v>4</v>
      </c>
      <c r="C15" s="310">
        <v>56986690342</v>
      </c>
      <c r="D15" s="246"/>
      <c r="E15" s="246" t="s">
        <v>136</v>
      </c>
      <c r="F15" s="293" t="s">
        <v>137</v>
      </c>
      <c r="G15" s="247"/>
      <c r="J15" s="18">
        <f>G35/K13</f>
        <v>1442625.3790175866</v>
      </c>
    </row>
    <row r="16" spans="2:22" ht="16.8" x14ac:dyDescent="0.4">
      <c r="B16" s="290" t="s">
        <v>3</v>
      </c>
      <c r="C16" s="307"/>
      <c r="E16" s="291" t="s">
        <v>131</v>
      </c>
      <c r="F16" s="292" t="s">
        <v>155</v>
      </c>
      <c r="G16" s="288"/>
    </row>
    <row r="17" spans="2:23" ht="15" thickBot="1" x14ac:dyDescent="0.35">
      <c r="B17" s="294" t="s">
        <v>13</v>
      </c>
      <c r="C17" s="295" t="s">
        <v>156</v>
      </c>
      <c r="D17" s="296"/>
      <c r="E17" s="329" t="s">
        <v>157</v>
      </c>
      <c r="F17" s="329"/>
      <c r="G17" s="330"/>
      <c r="H17" s="262"/>
      <c r="R17" s="6"/>
      <c r="S17" s="6"/>
    </row>
    <row r="18" spans="2:23" ht="15.75" customHeight="1" thickBot="1" x14ac:dyDescent="0.35">
      <c r="H18" s="47"/>
      <c r="I18" s="5"/>
      <c r="T18" s="9"/>
      <c r="V18" s="6"/>
      <c r="W18" s="6"/>
    </row>
    <row r="19" spans="2:23" ht="13.5" customHeight="1" x14ac:dyDescent="0.3">
      <c r="B19" s="331" t="s">
        <v>149</v>
      </c>
      <c r="C19" s="332"/>
      <c r="D19" s="332"/>
      <c r="E19" s="332"/>
      <c r="F19" s="332"/>
      <c r="G19" s="333"/>
      <c r="H19" s="263"/>
      <c r="I19" s="5"/>
      <c r="J19" s="249"/>
      <c r="K19" s="14">
        <v>0.05</v>
      </c>
      <c r="L19" s="14"/>
      <c r="M19" s="14"/>
      <c r="N19" s="250" t="s">
        <v>6</v>
      </c>
      <c r="O19" s="36" t="s">
        <v>21</v>
      </c>
      <c r="P19" s="37" t="s">
        <v>135</v>
      </c>
      <c r="Q19" s="10" t="s">
        <v>139</v>
      </c>
      <c r="S19" s="9"/>
      <c r="T19" s="9"/>
      <c r="V19" s="6"/>
      <c r="W19" s="6"/>
    </row>
    <row r="20" spans="2:23" ht="18" thickBot="1" x14ac:dyDescent="0.35">
      <c r="B20" s="313" t="s">
        <v>7</v>
      </c>
      <c r="C20" s="314" t="s">
        <v>1</v>
      </c>
      <c r="D20" s="314" t="s">
        <v>158</v>
      </c>
      <c r="E20" s="314" t="s">
        <v>159</v>
      </c>
      <c r="F20" s="314" t="s">
        <v>5</v>
      </c>
      <c r="G20" s="315" t="s">
        <v>6</v>
      </c>
      <c r="H20" s="264"/>
      <c r="I20" s="47"/>
      <c r="J20" s="267" t="e">
        <f>#REF!</f>
        <v>#REF!</v>
      </c>
      <c r="K20" s="266" t="s">
        <v>133</v>
      </c>
      <c r="L20" s="39" t="e">
        <f>#REF!</f>
        <v>#REF!</v>
      </c>
      <c r="M20" s="260" t="s">
        <v>134</v>
      </c>
      <c r="N20" s="258" t="s">
        <v>17</v>
      </c>
      <c r="O20" s="251" t="e">
        <f>M49</f>
        <v>#REF!</v>
      </c>
      <c r="P20" s="257">
        <v>3000</v>
      </c>
      <c r="Q20" s="38"/>
      <c r="R20" s="14" t="s">
        <v>130</v>
      </c>
      <c r="S20" s="9"/>
      <c r="V20" s="4"/>
    </row>
    <row r="21" spans="2:23" ht="17.399999999999999" x14ac:dyDescent="0.3">
      <c r="B21" s="316">
        <v>1</v>
      </c>
      <c r="C21" s="317" t="s">
        <v>161</v>
      </c>
      <c r="D21" s="317" t="s">
        <v>160</v>
      </c>
      <c r="E21" s="318" t="s">
        <v>169</v>
      </c>
      <c r="F21" s="319">
        <v>10420769</v>
      </c>
      <c r="G21" s="320">
        <f t="shared" ref="G21:G32" si="0">F21*B21</f>
        <v>10420769</v>
      </c>
      <c r="H21" s="264"/>
      <c r="I21" s="47"/>
      <c r="J21" s="311" t="str">
        <f>B20</f>
        <v>UNIDAD</v>
      </c>
      <c r="K21" s="312" t="e">
        <f>#REF!+K$19</f>
        <v>#REF!</v>
      </c>
      <c r="L21" s="312" t="e">
        <f>D20+L$19</f>
        <v>#VALUE!</v>
      </c>
      <c r="M21" s="260" t="e">
        <f>K21*L21</f>
        <v>#REF!</v>
      </c>
      <c r="N21" s="258" t="e">
        <f>M21*J21</f>
        <v>#REF!</v>
      </c>
      <c r="O21" s="251" t="e">
        <f>O$20*M21</f>
        <v>#REF!</v>
      </c>
      <c r="P21" s="257" t="e">
        <f>O21+P$20</f>
        <v>#REF!</v>
      </c>
      <c r="Q21" s="304" t="e">
        <f>J21*K21</f>
        <v>#VALUE!</v>
      </c>
      <c r="R21" s="14"/>
      <c r="S21" s="9"/>
      <c r="V21" s="4"/>
    </row>
    <row r="22" spans="2:23" ht="17.399999999999999" x14ac:dyDescent="0.3">
      <c r="B22" s="316">
        <v>1</v>
      </c>
      <c r="C22" s="317" t="s">
        <v>170</v>
      </c>
      <c r="D22" s="317" t="s">
        <v>160</v>
      </c>
      <c r="E22" s="318"/>
      <c r="F22" s="319">
        <v>1466964</v>
      </c>
      <c r="G22" s="320">
        <f t="shared" si="0"/>
        <v>1466964</v>
      </c>
      <c r="H22" s="264"/>
      <c r="I22" s="47"/>
      <c r="J22" s="311"/>
      <c r="K22" s="312"/>
      <c r="L22" s="312"/>
      <c r="M22" s="260"/>
      <c r="N22" s="258"/>
      <c r="O22" s="251"/>
      <c r="P22" s="257"/>
      <c r="Q22" s="304"/>
      <c r="R22" s="14"/>
      <c r="S22" s="9"/>
      <c r="V22" s="4"/>
    </row>
    <row r="23" spans="2:23" ht="17.399999999999999" x14ac:dyDescent="0.3">
      <c r="B23" s="316">
        <v>1</v>
      </c>
      <c r="C23" s="317" t="s">
        <v>171</v>
      </c>
      <c r="D23" s="317" t="s">
        <v>160</v>
      </c>
      <c r="E23" s="318"/>
      <c r="F23" s="319">
        <v>2105950</v>
      </c>
      <c r="G23" s="320">
        <f t="shared" si="0"/>
        <v>2105950</v>
      </c>
      <c r="H23" s="264"/>
      <c r="I23" s="47"/>
      <c r="J23" s="311"/>
      <c r="K23" s="312"/>
      <c r="L23" s="312"/>
      <c r="M23" s="260"/>
      <c r="N23" s="258"/>
      <c r="O23" s="251"/>
      <c r="P23" s="257"/>
      <c r="Q23" s="304"/>
      <c r="R23" s="14"/>
      <c r="S23" s="9"/>
      <c r="V23" s="4"/>
    </row>
    <row r="24" spans="2:23" ht="17.399999999999999" x14ac:dyDescent="0.3">
      <c r="B24" s="316">
        <v>1</v>
      </c>
      <c r="C24" s="316" t="s">
        <v>180</v>
      </c>
      <c r="D24" s="317" t="s">
        <v>160</v>
      </c>
      <c r="E24" s="321"/>
      <c r="F24" s="322">
        <v>5380500</v>
      </c>
      <c r="G24" s="320">
        <f t="shared" si="0"/>
        <v>5380500</v>
      </c>
      <c r="H24" s="264"/>
      <c r="I24" s="47"/>
      <c r="J24" s="311"/>
      <c r="K24" s="312"/>
      <c r="L24" s="312"/>
      <c r="M24" s="260"/>
      <c r="N24" s="258"/>
      <c r="O24" s="251"/>
      <c r="P24" s="257"/>
      <c r="Q24" s="304"/>
      <c r="R24" s="14"/>
      <c r="S24" s="9"/>
      <c r="V24" s="4"/>
    </row>
    <row r="25" spans="2:23" ht="17.399999999999999" x14ac:dyDescent="0.3">
      <c r="B25" s="323">
        <v>1</v>
      </c>
      <c r="C25" s="316" t="s">
        <v>172</v>
      </c>
      <c r="D25" s="317" t="s">
        <v>160</v>
      </c>
      <c r="E25" s="321"/>
      <c r="F25" s="325">
        <v>1980500</v>
      </c>
      <c r="G25" s="326">
        <f t="shared" si="0"/>
        <v>1980500</v>
      </c>
      <c r="H25" s="264"/>
      <c r="I25" s="47"/>
      <c r="J25" s="311"/>
      <c r="K25" s="312"/>
      <c r="L25" s="312"/>
      <c r="M25" s="260"/>
      <c r="N25" s="258"/>
      <c r="O25" s="251"/>
      <c r="P25" s="257"/>
      <c r="Q25" s="304"/>
      <c r="R25" s="14"/>
      <c r="S25" s="9"/>
      <c r="V25" s="4"/>
    </row>
    <row r="26" spans="2:23" ht="17.399999999999999" x14ac:dyDescent="0.3">
      <c r="B26" s="323">
        <v>1</v>
      </c>
      <c r="C26" s="323" t="s">
        <v>173</v>
      </c>
      <c r="D26" s="324" t="s">
        <v>160</v>
      </c>
      <c r="E26" s="321"/>
      <c r="F26" s="325">
        <v>871000</v>
      </c>
      <c r="G26" s="326">
        <f t="shared" si="0"/>
        <v>871000</v>
      </c>
      <c r="H26" s="264"/>
      <c r="I26" s="47"/>
      <c r="J26" s="311"/>
      <c r="K26" s="312"/>
      <c r="L26" s="312"/>
      <c r="M26" s="260"/>
      <c r="N26" s="258"/>
      <c r="O26" s="251"/>
      <c r="P26" s="257"/>
      <c r="Q26" s="304"/>
      <c r="R26" s="14"/>
      <c r="S26" s="9"/>
      <c r="V26" s="4"/>
    </row>
    <row r="27" spans="2:23" ht="17.399999999999999" x14ac:dyDescent="0.3">
      <c r="B27" s="316">
        <v>1</v>
      </c>
      <c r="C27" s="316" t="s">
        <v>174</v>
      </c>
      <c r="D27" s="316" t="s">
        <v>160</v>
      </c>
      <c r="E27" s="327"/>
      <c r="F27" s="322">
        <v>1708750</v>
      </c>
      <c r="G27" s="322">
        <f t="shared" si="0"/>
        <v>1708750</v>
      </c>
      <c r="H27" s="264"/>
      <c r="I27" s="47"/>
      <c r="J27" s="311"/>
      <c r="K27" s="312"/>
      <c r="L27" s="312"/>
      <c r="M27" s="260"/>
      <c r="N27" s="258"/>
      <c r="O27" s="251"/>
      <c r="P27" s="257"/>
      <c r="Q27" s="304"/>
      <c r="R27" s="14"/>
      <c r="S27" s="9"/>
      <c r="V27" s="4"/>
    </row>
    <row r="28" spans="2:23" ht="17.399999999999999" x14ac:dyDescent="0.3">
      <c r="B28" s="316">
        <v>1</v>
      </c>
      <c r="C28" s="316" t="s">
        <v>175</v>
      </c>
      <c r="D28" s="316" t="s">
        <v>160</v>
      </c>
      <c r="E28" s="327"/>
      <c r="F28" s="322">
        <v>1780950</v>
      </c>
      <c r="G28" s="322">
        <f t="shared" si="0"/>
        <v>1780950</v>
      </c>
      <c r="H28" s="264"/>
      <c r="I28" s="47"/>
      <c r="J28" s="311"/>
      <c r="K28" s="312"/>
      <c r="L28" s="312"/>
      <c r="M28" s="260"/>
      <c r="N28" s="258"/>
      <c r="O28" s="251"/>
      <c r="P28" s="257"/>
      <c r="Q28" s="304"/>
      <c r="R28" s="14"/>
      <c r="S28" s="9"/>
      <c r="V28" s="4"/>
    </row>
    <row r="29" spans="2:23" ht="17.399999999999999" x14ac:dyDescent="0.3">
      <c r="B29" s="316">
        <v>1</v>
      </c>
      <c r="C29" s="316" t="s">
        <v>176</v>
      </c>
      <c r="D29" s="316" t="s">
        <v>160</v>
      </c>
      <c r="E29" s="327"/>
      <c r="F29" s="322">
        <v>1511800</v>
      </c>
      <c r="G29" s="322">
        <f t="shared" si="0"/>
        <v>1511800</v>
      </c>
      <c r="H29" s="264"/>
      <c r="I29" s="47"/>
      <c r="J29" s="311"/>
      <c r="K29" s="312"/>
      <c r="L29" s="312"/>
      <c r="M29" s="260"/>
      <c r="N29" s="258"/>
      <c r="O29" s="251"/>
      <c r="P29" s="257"/>
      <c r="Q29" s="304"/>
      <c r="R29" s="14"/>
      <c r="S29" s="9"/>
      <c r="V29" s="4"/>
    </row>
    <row r="30" spans="2:23" ht="17.399999999999999" x14ac:dyDescent="0.3">
      <c r="B30" s="316">
        <v>1</v>
      </c>
      <c r="C30" s="316" t="s">
        <v>181</v>
      </c>
      <c r="D30" s="316" t="s">
        <v>160</v>
      </c>
      <c r="E30" s="327" t="s">
        <v>177</v>
      </c>
      <c r="F30" s="322">
        <v>6931732</v>
      </c>
      <c r="G30" s="322">
        <f t="shared" si="0"/>
        <v>6931732</v>
      </c>
      <c r="H30" s="264"/>
      <c r="I30" s="47"/>
      <c r="J30" s="311"/>
      <c r="K30" s="312"/>
      <c r="L30" s="312"/>
      <c r="M30" s="260"/>
      <c r="N30" s="258"/>
      <c r="O30" s="251"/>
      <c r="P30" s="257"/>
      <c r="Q30" s="304"/>
      <c r="R30" s="14"/>
      <c r="S30" s="9"/>
      <c r="V30" s="4"/>
    </row>
    <row r="31" spans="2:23" ht="17.399999999999999" x14ac:dyDescent="0.3">
      <c r="B31" s="316">
        <v>1</v>
      </c>
      <c r="C31" s="316" t="s">
        <v>178</v>
      </c>
      <c r="D31" s="316" t="s">
        <v>160</v>
      </c>
      <c r="E31" s="327"/>
      <c r="F31" s="322">
        <v>8069950</v>
      </c>
      <c r="G31" s="322">
        <f t="shared" si="0"/>
        <v>8069950</v>
      </c>
      <c r="H31" s="264"/>
      <c r="I31" s="47"/>
      <c r="J31" s="311"/>
      <c r="K31" s="312"/>
      <c r="L31" s="312"/>
      <c r="M31" s="260"/>
      <c r="N31" s="258"/>
      <c r="O31" s="251"/>
      <c r="P31" s="257"/>
      <c r="Q31" s="304"/>
      <c r="R31" s="14"/>
      <c r="S31" s="9"/>
      <c r="V31" s="4"/>
    </row>
    <row r="32" spans="2:23" ht="17.399999999999999" x14ac:dyDescent="0.3">
      <c r="B32" s="316">
        <v>1</v>
      </c>
      <c r="C32" s="316" t="s">
        <v>179</v>
      </c>
      <c r="D32" s="316" t="s">
        <v>160</v>
      </c>
      <c r="E32" s="327"/>
      <c r="F32" s="322">
        <v>5348920</v>
      </c>
      <c r="G32" s="322">
        <f t="shared" si="0"/>
        <v>5348920</v>
      </c>
      <c r="H32" s="264"/>
      <c r="I32" s="47"/>
      <c r="J32" s="311"/>
      <c r="K32" s="312"/>
      <c r="L32" s="312"/>
      <c r="M32" s="260"/>
      <c r="N32" s="258"/>
      <c r="O32" s="251"/>
      <c r="P32" s="257"/>
      <c r="Q32" s="304"/>
      <c r="R32" s="14"/>
      <c r="S32" s="9"/>
      <c r="V32" s="4"/>
    </row>
    <row r="33" spans="1:22" ht="17.399999999999999" x14ac:dyDescent="0.3">
      <c r="H33" s="264"/>
      <c r="I33" s="47"/>
      <c r="J33" s="311"/>
      <c r="K33" s="312"/>
      <c r="L33" s="312"/>
      <c r="M33" s="260"/>
      <c r="N33" s="258"/>
      <c r="O33" s="251"/>
      <c r="P33" s="257"/>
      <c r="Q33" s="304"/>
      <c r="R33" s="14"/>
      <c r="S33" s="9"/>
      <c r="V33" s="4"/>
    </row>
    <row r="34" spans="1:22" ht="18" thickBot="1" x14ac:dyDescent="0.35">
      <c r="B34" s="284"/>
      <c r="C34" s="284"/>
      <c r="D34" s="285"/>
      <c r="E34" s="284"/>
      <c r="F34" s="264"/>
      <c r="G34" s="232"/>
      <c r="H34" s="232"/>
      <c r="I34" s="47"/>
      <c r="J34" s="47"/>
      <c r="K34" s="39"/>
      <c r="L34" s="39"/>
      <c r="M34" s="260"/>
      <c r="N34" s="258"/>
      <c r="O34" s="251"/>
      <c r="P34" s="257"/>
      <c r="Q34" s="304"/>
      <c r="R34" s="14"/>
      <c r="S34" s="9"/>
      <c r="V34" s="4"/>
    </row>
    <row r="35" spans="1:22" ht="17.399999999999999" x14ac:dyDescent="0.3">
      <c r="B35" s="284"/>
      <c r="C35" s="284"/>
      <c r="D35" s="285"/>
      <c r="E35" s="284"/>
      <c r="F35" s="305" t="s">
        <v>30</v>
      </c>
      <c r="G35" s="306">
        <f>SUM(G20:G34)</f>
        <v>47577785</v>
      </c>
      <c r="H35" s="264"/>
      <c r="I35" s="47"/>
      <c r="J35" s="47"/>
      <c r="K35" s="39" t="e">
        <f>SUM(K21:K34)</f>
        <v>#REF!</v>
      </c>
      <c r="L35" s="39"/>
      <c r="M35" s="260"/>
      <c r="N35" s="258"/>
      <c r="O35" s="251"/>
      <c r="P35" s="257"/>
      <c r="Q35" s="304"/>
      <c r="R35" s="14"/>
      <c r="S35" s="9"/>
      <c r="V35" s="4"/>
    </row>
    <row r="36" spans="1:22" ht="17.399999999999999" x14ac:dyDescent="0.3">
      <c r="B36" s="278"/>
      <c r="C36" s="281"/>
      <c r="D36" s="282"/>
      <c r="E36" s="283"/>
      <c r="F36" s="303" t="s">
        <v>53</v>
      </c>
      <c r="G36" s="300">
        <f>G35*0.19</f>
        <v>9039779.1500000004</v>
      </c>
      <c r="H36" s="264"/>
      <c r="I36" s="47"/>
      <c r="J36" s="47"/>
      <c r="K36" s="39"/>
      <c r="L36" s="12"/>
      <c r="M36" s="12"/>
      <c r="N36" s="252" t="e">
        <f>SUM(N21:N21)</f>
        <v>#REF!</v>
      </c>
      <c r="O36" s="14"/>
      <c r="P36" s="12"/>
      <c r="Q36" s="237"/>
      <c r="R36" s="14"/>
      <c r="S36" s="9"/>
      <c r="V36" s="4"/>
    </row>
    <row r="37" spans="1:22" ht="18" thickBot="1" x14ac:dyDescent="0.35">
      <c r="B37" s="274"/>
      <c r="C37" s="280"/>
      <c r="D37" s="271"/>
      <c r="E37" s="272"/>
      <c r="F37" s="279" t="s">
        <v>6</v>
      </c>
      <c r="G37" s="301">
        <f>G35+G36</f>
        <v>56617564.149999999</v>
      </c>
      <c r="H37" s="264"/>
      <c r="I37" s="47"/>
      <c r="J37" s="47"/>
      <c r="K37" s="39"/>
      <c r="L37" s="12"/>
      <c r="M37" s="12"/>
      <c r="N37" s="252" t="e">
        <f>N36</f>
        <v>#REF!</v>
      </c>
      <c r="O37" s="14"/>
      <c r="P37" s="12"/>
      <c r="Q37" s="237" t="e">
        <f>SUM(Q21:Q36)</f>
        <v>#VALUE!</v>
      </c>
      <c r="R37" s="14"/>
      <c r="S37" s="9"/>
      <c r="V37" s="4"/>
    </row>
    <row r="38" spans="1:22" ht="17.399999999999999" x14ac:dyDescent="0.3">
      <c r="B38" s="274"/>
      <c r="C38" s="270"/>
      <c r="D38" s="271"/>
      <c r="E38" s="272"/>
      <c r="H38" s="264"/>
      <c r="I38" s="47"/>
      <c r="J38" s="47"/>
      <c r="K38" s="14"/>
      <c r="L38" s="12"/>
      <c r="M38" s="12"/>
      <c r="N38" s="39" t="e">
        <f>N37*0.2</f>
        <v>#REF!</v>
      </c>
      <c r="O38" s="39" t="s">
        <v>132</v>
      </c>
      <c r="P38" s="42"/>
      <c r="Q38" s="238"/>
      <c r="R38" s="14"/>
      <c r="S38" s="9"/>
      <c r="V38" s="4"/>
    </row>
    <row r="39" spans="1:22" ht="17.399999999999999" x14ac:dyDescent="0.35">
      <c r="B39" s="268"/>
      <c r="C39" s="230"/>
      <c r="D39" s="232"/>
      <c r="E39" s="233"/>
      <c r="F39" s="230"/>
      <c r="G39" s="273"/>
      <c r="H39" s="264"/>
      <c r="I39" s="309"/>
      <c r="J39" s="47"/>
      <c r="K39" s="14"/>
      <c r="L39" s="12"/>
      <c r="M39" s="12"/>
      <c r="N39" s="46" t="e">
        <f>N37+N38</f>
        <v>#REF!</v>
      </c>
      <c r="O39" s="14"/>
      <c r="P39" s="14"/>
      <c r="Q39" s="236">
        <v>40</v>
      </c>
      <c r="R39" s="14"/>
      <c r="S39" s="9"/>
      <c r="V39" s="4"/>
    </row>
    <row r="40" spans="1:22" ht="17.399999999999999" x14ac:dyDescent="0.35">
      <c r="B40" s="234"/>
      <c r="C40" s="235"/>
      <c r="D40" s="234"/>
      <c r="E40" s="230"/>
      <c r="F40" s="230"/>
      <c r="I40" s="309"/>
      <c r="J40" s="47"/>
      <c r="K40" s="14"/>
      <c r="L40" s="14"/>
      <c r="M40" s="14"/>
      <c r="N40" s="14"/>
      <c r="O40" s="14"/>
      <c r="P40" s="14"/>
      <c r="Q40" s="236"/>
      <c r="R40" s="14"/>
      <c r="S40" s="9"/>
      <c r="V40" s="4"/>
    </row>
    <row r="41" spans="1:22" ht="17.399999999999999" x14ac:dyDescent="0.35">
      <c r="B41" s="230"/>
      <c r="C41" s="230"/>
      <c r="D41" s="230"/>
      <c r="E41" s="230"/>
      <c r="F41" s="230"/>
      <c r="H41" s="264"/>
      <c r="I41" s="47"/>
      <c r="J41" s="47"/>
      <c r="K41" s="39" t="e">
        <f>N39</f>
        <v>#REF!</v>
      </c>
      <c r="L41" s="12">
        <v>3500</v>
      </c>
      <c r="M41" s="12" t="e">
        <f t="shared" ref="M41:M46" si="1">K41*L41</f>
        <v>#REF!</v>
      </c>
      <c r="N41" s="14" t="s">
        <v>22</v>
      </c>
      <c r="O41" s="14" t="s">
        <v>23</v>
      </c>
      <c r="P41" s="14"/>
      <c r="Q41" s="239"/>
      <c r="R41" s="14"/>
      <c r="S41" s="9"/>
      <c r="V41" s="4"/>
    </row>
    <row r="42" spans="1:22" ht="17.399999999999999" x14ac:dyDescent="0.35">
      <c r="A42" s="230"/>
      <c r="B42" s="230"/>
      <c r="C42" s="230"/>
      <c r="D42" s="230"/>
      <c r="E42" s="230"/>
      <c r="F42" s="230"/>
      <c r="G42" s="230"/>
      <c r="H42" s="264"/>
      <c r="I42" s="47"/>
      <c r="J42" s="47"/>
      <c r="K42" s="248">
        <v>0.22</v>
      </c>
      <c r="L42" s="12">
        <v>25000</v>
      </c>
      <c r="M42" s="12">
        <f t="shared" si="1"/>
        <v>5500</v>
      </c>
      <c r="N42" s="39" t="s">
        <v>154</v>
      </c>
      <c r="O42" s="42"/>
      <c r="P42" s="14"/>
      <c r="Q42" s="238"/>
      <c r="R42" s="14"/>
      <c r="S42" s="9"/>
      <c r="V42" s="4"/>
    </row>
    <row r="43" spans="1:22" s="230" customFormat="1" ht="17.399999999999999" x14ac:dyDescent="0.35">
      <c r="B43" s="24" t="s">
        <v>153</v>
      </c>
      <c r="H43" s="261"/>
      <c r="I43" s="47"/>
      <c r="J43" s="249"/>
      <c r="K43" s="14"/>
      <c r="L43" s="249">
        <v>150000</v>
      </c>
      <c r="M43" s="12">
        <f t="shared" si="1"/>
        <v>0</v>
      </c>
      <c r="N43" s="39" t="s">
        <v>32</v>
      </c>
      <c r="O43" s="42"/>
      <c r="Q43" s="238"/>
      <c r="R43" s="255"/>
      <c r="U43" s="231"/>
    </row>
    <row r="44" spans="1:22" s="230" customFormat="1" ht="17.399999999999999" x14ac:dyDescent="0.35">
      <c r="B44" s="24" t="s">
        <v>146</v>
      </c>
      <c r="C44"/>
      <c r="D44"/>
      <c r="E44"/>
      <c r="H44" s="261"/>
      <c r="I44" s="308"/>
      <c r="J44" s="249"/>
      <c r="K44" s="14">
        <v>1</v>
      </c>
      <c r="L44" s="249">
        <v>22000</v>
      </c>
      <c r="M44" s="12">
        <f t="shared" si="1"/>
        <v>22000</v>
      </c>
      <c r="N44" s="14" t="s">
        <v>143</v>
      </c>
      <c r="O44" s="17"/>
      <c r="Q44" s="236"/>
      <c r="R44" s="255"/>
      <c r="U44" s="231"/>
    </row>
    <row r="45" spans="1:22" s="230" customFormat="1" ht="17.399999999999999" x14ac:dyDescent="0.35">
      <c r="B45" s="29" t="s">
        <v>127</v>
      </c>
      <c r="C45"/>
      <c r="D45"/>
      <c r="E45" s="229" t="s">
        <v>16</v>
      </c>
      <c r="H45" s="261"/>
      <c r="I45" s="308"/>
      <c r="J45" s="249"/>
      <c r="K45" s="248">
        <v>1</v>
      </c>
      <c r="L45" s="249">
        <v>800</v>
      </c>
      <c r="M45" s="12">
        <f t="shared" si="1"/>
        <v>800</v>
      </c>
      <c r="N45" s="14" t="s">
        <v>34</v>
      </c>
      <c r="O45" s="14"/>
      <c r="P45" s="230">
        <v>1.83</v>
      </c>
      <c r="Q45" s="236"/>
      <c r="R45" s="236"/>
    </row>
    <row r="46" spans="1:22" s="230" customFormat="1" ht="17.399999999999999" x14ac:dyDescent="0.35">
      <c r="H46" s="299"/>
      <c r="I46" s="47"/>
      <c r="J46" s="249"/>
      <c r="K46" s="265" t="e">
        <f>K35</f>
        <v>#REF!</v>
      </c>
      <c r="L46" s="12">
        <v>1500</v>
      </c>
      <c r="M46" s="12" t="e">
        <f t="shared" si="1"/>
        <v>#REF!</v>
      </c>
      <c r="N46" s="14" t="s">
        <v>24</v>
      </c>
      <c r="O46" s="14"/>
      <c r="P46">
        <v>3.66</v>
      </c>
      <c r="Q46"/>
      <c r="R46" s="236">
        <v>1500</v>
      </c>
      <c r="V46" s="231"/>
    </row>
    <row r="47" spans="1:22" s="230" customFormat="1" ht="17.399999999999999" x14ac:dyDescent="0.35">
      <c r="H47" s="264"/>
      <c r="I47" s="47"/>
      <c r="J47" s="249"/>
      <c r="K47" s="14"/>
      <c r="L47" s="12"/>
      <c r="M47" s="12" t="e">
        <f>SUM(M41:M46)</f>
        <v>#REF!</v>
      </c>
      <c r="N47" s="39" t="s">
        <v>25</v>
      </c>
      <c r="O47" s="14"/>
      <c r="P47">
        <f>P45*P46</f>
        <v>6.6978000000000009</v>
      </c>
      <c r="Q47"/>
      <c r="R47" s="236">
        <f>Q39*R46</f>
        <v>60000</v>
      </c>
      <c r="V47" s="231"/>
    </row>
    <row r="48" spans="1:22" s="230" customFormat="1" ht="17.399999999999999" x14ac:dyDescent="0.35">
      <c r="I48" s="47">
        <v>68410</v>
      </c>
      <c r="J48" s="249"/>
      <c r="K48" s="253" t="s">
        <v>35</v>
      </c>
      <c r="L48" s="12"/>
      <c r="M48" s="254" t="e">
        <f>M47*2.2</f>
        <v>#REF!</v>
      </c>
      <c r="N48" s="14" t="s">
        <v>142</v>
      </c>
      <c r="O48" s="14"/>
      <c r="P48" s="46" t="e">
        <f>N39/P47</f>
        <v>#REF!</v>
      </c>
      <c r="Q48"/>
      <c r="R48" s="256" t="e">
        <f>R47/#REF!</f>
        <v>#REF!</v>
      </c>
    </row>
    <row r="49" spans="2:18" s="230" customFormat="1" ht="17.399999999999999" x14ac:dyDescent="0.35">
      <c r="F49"/>
      <c r="G49" s="259"/>
      <c r="H49" s="259"/>
      <c r="I49" s="47">
        <f>I48/1.19</f>
        <v>57487.394957983197</v>
      </c>
      <c r="J49" s="249"/>
      <c r="K49" s="14"/>
      <c r="L49" s="12"/>
      <c r="M49" s="12" t="e">
        <f>M48/N37</f>
        <v>#REF!</v>
      </c>
      <c r="N49" s="45" t="s">
        <v>26</v>
      </c>
      <c r="O49" s="14"/>
      <c r="P49" s="14"/>
      <c r="Q49"/>
      <c r="R49" s="236"/>
    </row>
    <row r="50" spans="2:18" s="230" customFormat="1" ht="17.399999999999999" x14ac:dyDescent="0.35">
      <c r="F50"/>
      <c r="I50" s="47"/>
      <c r="J50" s="249"/>
      <c r="K50" s="13"/>
      <c r="L50" s="14"/>
      <c r="M50" s="17" t="e">
        <f>M48/M47</f>
        <v>#REF!</v>
      </c>
      <c r="N50" s="15"/>
      <c r="O50"/>
      <c r="P50"/>
      <c r="Q50"/>
      <c r="R50" s="236"/>
    </row>
    <row r="51" spans="2:18" s="230" customFormat="1" ht="17.399999999999999" x14ac:dyDescent="0.35">
      <c r="F51" s="23"/>
      <c r="I51" s="47"/>
      <c r="J51" s="12"/>
      <c r="R51" s="236"/>
    </row>
    <row r="52" spans="2:18" s="230" customFormat="1" ht="17.399999999999999" x14ac:dyDescent="0.35">
      <c r="B52"/>
      <c r="C52" s="228"/>
      <c r="D52" s="22"/>
      <c r="E52" s="21"/>
      <c r="F52" s="23"/>
      <c r="I52" s="47"/>
      <c r="J52" s="12"/>
      <c r="R52" s="236">
        <v>1.83</v>
      </c>
    </row>
    <row r="53" spans="2:18" ht="14.4" customHeight="1" x14ac:dyDescent="0.3">
      <c r="I53" s="47"/>
      <c r="J53" s="12"/>
      <c r="R53">
        <v>2.5</v>
      </c>
    </row>
    <row r="54" spans="2:18" x14ac:dyDescent="0.3">
      <c r="I54" s="47"/>
      <c r="J54" s="249"/>
      <c r="R54">
        <f>R52*R53</f>
        <v>4.5750000000000002</v>
      </c>
    </row>
    <row r="55" spans="2:18" x14ac:dyDescent="0.3">
      <c r="J55" s="249"/>
      <c r="R55" s="269" t="e">
        <f>N39/R54</f>
        <v>#REF!</v>
      </c>
    </row>
    <row r="56" spans="2:18" x14ac:dyDescent="0.3">
      <c r="J56" s="249"/>
    </row>
    <row r="57" spans="2:18" ht="15" customHeight="1" x14ac:dyDescent="0.3"/>
    <row r="59" spans="2:18" x14ac:dyDescent="0.3">
      <c r="M59">
        <v>40935</v>
      </c>
      <c r="N59" t="s">
        <v>17</v>
      </c>
      <c r="O59" t="s">
        <v>28</v>
      </c>
    </row>
    <row r="61" spans="2:18" x14ac:dyDescent="0.3">
      <c r="M61" s="54"/>
      <c r="N61" s="54"/>
    </row>
    <row r="62" spans="2:18" x14ac:dyDescent="0.3">
      <c r="Q62" s="18"/>
      <c r="R62" s="18"/>
    </row>
    <row r="63" spans="2:18" x14ac:dyDescent="0.3">
      <c r="Q63" s="18"/>
      <c r="R63" s="18"/>
    </row>
    <row r="64" spans="2:18" x14ac:dyDescent="0.3">
      <c r="Q64" s="18"/>
      <c r="R64" s="18"/>
    </row>
    <row r="65" spans="13:18" x14ac:dyDescent="0.3">
      <c r="Q65" s="18"/>
      <c r="R65" s="18"/>
    </row>
    <row r="66" spans="13:18" x14ac:dyDescent="0.3">
      <c r="Q66" s="18"/>
      <c r="R66" s="18"/>
    </row>
    <row r="67" spans="13:18" x14ac:dyDescent="0.3">
      <c r="Q67" s="18"/>
      <c r="R67" s="18"/>
    </row>
    <row r="68" spans="13:18" x14ac:dyDescent="0.3">
      <c r="Q68" s="18"/>
      <c r="R68" s="18"/>
    </row>
    <row r="69" spans="13:18" x14ac:dyDescent="0.3">
      <c r="Q69" s="18"/>
      <c r="R69" s="18"/>
    </row>
    <row r="70" spans="13:18" x14ac:dyDescent="0.3">
      <c r="Q70" s="18"/>
      <c r="R70" s="18"/>
    </row>
    <row r="73" spans="13:18" x14ac:dyDescent="0.3">
      <c r="M73" s="43"/>
    </row>
    <row r="74" spans="13:18" x14ac:dyDescent="0.3">
      <c r="M74" s="43"/>
    </row>
    <row r="75" spans="13:18" x14ac:dyDescent="0.3">
      <c r="M75" s="6"/>
    </row>
    <row r="76" spans="13:18" x14ac:dyDescent="0.3">
      <c r="M76" s="6"/>
    </row>
    <row r="84" spans="3:3" x14ac:dyDescent="0.3">
      <c r="C84" t="s">
        <v>150</v>
      </c>
    </row>
    <row r="85" spans="3:3" x14ac:dyDescent="0.3">
      <c r="C85" t="s">
        <v>149</v>
      </c>
    </row>
    <row r="88" spans="3:3" x14ac:dyDescent="0.3">
      <c r="C88" t="s">
        <v>149</v>
      </c>
    </row>
    <row r="165" spans="3:3" x14ac:dyDescent="0.3">
      <c r="C165" t="s">
        <v>149</v>
      </c>
    </row>
    <row r="166" spans="3:3" x14ac:dyDescent="0.3">
      <c r="C166" t="s">
        <v>151</v>
      </c>
    </row>
    <row r="167" spans="3:3" x14ac:dyDescent="0.3">
      <c r="C167" t="s">
        <v>152</v>
      </c>
    </row>
    <row r="592" spans="3:3" x14ac:dyDescent="0.3">
      <c r="C592" t="s">
        <v>149</v>
      </c>
    </row>
  </sheetData>
  <mergeCells count="2">
    <mergeCell ref="E17:G17"/>
    <mergeCell ref="B19:G19"/>
  </mergeCells>
  <phoneticPr fontId="33" type="noConversion"/>
  <hyperlinks>
    <hyperlink ref="E4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'2229'!F10</f>
        <v>45412</v>
      </c>
    </row>
    <row r="6" spans="2:31" ht="16.2" thickBot="1" x14ac:dyDescent="0.35">
      <c r="B6" s="140" t="s">
        <v>2</v>
      </c>
      <c r="C6" s="139" t="str">
        <f>'2229'!C10</f>
        <v>CONSTRUCTORA E INMOBILIARIA CERRO BAYO S.A.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100</v>
      </c>
      <c r="I7" s="336"/>
      <c r="J7" s="336"/>
      <c r="K7" s="337"/>
      <c r="N7" s="75"/>
      <c r="O7" s="334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e">
        <f>'2229'!#REF!</f>
        <v>#REF!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4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 t="e">
        <f>(E15-D11)/X8</f>
        <v>#REF!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'2229'!G35</f>
        <v>47577785</v>
      </c>
      <c r="E11" s="132">
        <f>D11*0.19</f>
        <v>9039779.1500000004</v>
      </c>
      <c r="F11" s="131">
        <f>E11+D11</f>
        <v>56617564.149999999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 t="e">
        <f t="shared" ref="X11:X16" si="2">V11+$X$9</f>
        <v>#REF!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 t="e">
        <f>SUM(M43:M45)</f>
        <v>#REF!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 t="e">
        <f t="shared" si="2"/>
        <v>#REF!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 t="e">
        <f>D11-D12</f>
        <v>#REF!</v>
      </c>
      <c r="E13" s="221" t="e">
        <f>(D11/D12)-1</f>
        <v>#REF!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 t="e">
        <f t="shared" si="2"/>
        <v>#REF!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 t="e">
        <f t="shared" si="2"/>
        <v>#REF!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 t="e">
        <f>(100%+D15)*D12</f>
        <v>#REF!</v>
      </c>
      <c r="F15" s="216" t="e">
        <f>E15-D12</f>
        <v>#REF!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 t="e">
        <f t="shared" si="2"/>
        <v>#REF!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 t="e">
        <f t="shared" si="2"/>
        <v>#REF!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'2229'!M43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'2229'!M42</f>
        <v>5500</v>
      </c>
      <c r="E19" s="123">
        <f>D19*0.19</f>
        <v>1045</v>
      </c>
      <c r="F19" s="120">
        <f>SUM(D19:E19)</f>
        <v>6545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 t="e">
        <f>'2229'!M41</f>
        <v>#REF!</v>
      </c>
      <c r="E20" s="121" t="e">
        <f>D20*0.19</f>
        <v>#REF!</v>
      </c>
      <c r="F20" s="120" t="e">
        <f>SUM(D20:E20)</f>
        <v>#REF!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 t="e">
        <f>SUM(D18:D20)</f>
        <v>#REF!</v>
      </c>
      <c r="E21" s="116" t="e">
        <f>SUM(E18:E20)</f>
        <v>#REF!</v>
      </c>
      <c r="F21" s="115" t="e">
        <f>SUM(F18:F20)</f>
        <v>#REF!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 t="e">
        <f>E11-E21</f>
        <v>#REF!</v>
      </c>
    </row>
    <row r="41" spans="2:16" ht="15" thickBot="1" x14ac:dyDescent="0.35">
      <c r="H41" s="338" t="s">
        <v>62</v>
      </c>
      <c r="I41" s="339"/>
      <c r="J41" s="339"/>
      <c r="K41" s="339"/>
      <c r="L41" s="339"/>
      <c r="M41" s="340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47577785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 t="e">
        <f>D21</f>
        <v>#REF!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 t="e">
        <f>M42-(SUM(M43:M45))</f>
        <v>#REF!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 t="e">
        <f>M46-SUM(M47:M48)</f>
        <v>#REF!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2024-04-01T14:43:24Z</cp:lastPrinted>
  <dcterms:created xsi:type="dcterms:W3CDTF">2013-03-18T13:35:42Z</dcterms:created>
  <dcterms:modified xsi:type="dcterms:W3CDTF">2024-05-01T22:08:31Z</dcterms:modified>
</cp:coreProperties>
</file>