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37821D31-196A-458A-A8F8-8C71B218E7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9" i="1"/>
  <c r="L21" i="1"/>
  <c r="L24" i="1" s="1"/>
  <c r="L35" i="1" s="1"/>
  <c r="M21" i="1"/>
  <c r="S21" i="1" l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H24" i="1" s="1"/>
  <c r="H25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<sst xmlns="http://schemas.openxmlformats.org/spreadsheetml/2006/main" count="230" uniqueCount="174">
  <si>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</si>
  <si>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</si>
  <si>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</si>
  <si>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</si>
  <si>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</si>
  <si>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</si>
  <si>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</si>
  <si>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</si>
  <si>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</si>
  <si>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</si>
  <si>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</si>
  <si>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</si>
  <si>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</si>
  <si>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</si>
  <si>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</si>
  <si>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</si>
  <si>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</si>
  <si>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</si>
  <si>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</si>
  <si>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</si>
  <si>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</si>
  <si>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</si>
  <si>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</si>
  <si>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</si>
  <si>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</si>
  <si>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</si>
  <si>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</si>
  <si>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</si>
  <si>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</si>
  <si>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</si>
  <si>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</si>
  <si>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</si>
  <si>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</si>
  <si>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</si>
  <si>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</si>
  <si>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</si>
  <si>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</si>
  <si>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</si>
  <si>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</si>
  <si>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</si>
  <si>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</si>
  <si>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</si>
  <si>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</si>
  <si>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</si>
  <si>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</si>
  <si>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</si>
  <si>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</si>
  <si>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</si>
  <si>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</si>
  <si>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</si>
  <si>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</si>
  <si>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</si>
  <si>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</si>
  <si>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</si>
  <si>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</si>
  <si>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</si>
  <si>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</si>
  <si>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</si>
  <si>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</si>
  <si>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</si>
  <si>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</si>
  <si>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</si>
  <si>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</si>
  <si>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</si>
  <si>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</si>
  <si>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</si>
  <si>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</si>
  <si>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</si>
  <si>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</si>
  <si>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</si>
  <si>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</si>
  <si>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</si>
  <si>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</si>
  <si>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</si>
  <si>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</si>
  <si>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</si>
  <si>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</si>
  <si>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</si>
  <si>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</si>
  <si>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</si>
  <si>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</si>
  <si>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</si>
  <si>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</si>
  <si>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</si>
  <si>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</si>
  <si>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</si>
  <si>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</si>
  <si>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</si>
  <si>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</si>
  <si>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</si>
  <si>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</si>
  <si>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</si>
  <si>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</si>
  <si>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</si>
  <si>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</si>
  <si>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</si>
  <si>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</si>
  <si>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</si>
  <si>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</si>
  <si>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</si>
  <si>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</si>
  <si>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</si>
  <si>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</si>
  <si>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</si>
  <si>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</si>
  <si>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</si>
  <si>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</si>
  <si>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</si>
  <si>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</si>
  <si>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</si>
  <si>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</si>
  <si>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</si>
  <si>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</si>
  <si>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</si>
  <si>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</si>
  <si>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</si>
  <si>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</si>
  <si>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</si>
  <si>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</si>
  <si>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</si>
  <si>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</si>
  <si>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</si>
  <si>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</si>
  <si>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</si>
  <si>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</si>
  <si>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</si>
  <si>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</si>
  <si>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</si>
  <si>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</si>
  <si>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</si>
  <si>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</si>
  <si>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</si>
  <si>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</si>
  <si>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</si>
  <si>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</si>
  <si>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</si>
  <si>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</si>
  <si>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</si>
  <si>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</si>
  <si>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</si>
  <si>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</si>
  <si>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</si>
  <si>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</si>
  <si>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</si>
  <si>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</si>
  <si>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</si>
  <si>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</si>
  <si>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</si>
  <si>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</si>
  <si>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</si>
  <si>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</si>
  <si>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</si>
  <si>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</si>
  <si>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</si>
  <si>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</si>
  <si>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</si>
  <si>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</si>
  <si>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</si>
  <si>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</si>
  <si>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</si>
  <si>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</si>
  <si>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</si>
  <si>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</si>
  <si>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</si>
  <si>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</si>
  <si>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</si>
  <si>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</si>
  <si>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</si>
  <si>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MUEBLES ASENJO</t>
  </si>
  <si>
    <t>MIGUEL ASENJO</t>
  </si>
  <si>
    <t>56-227843030</t>
  </si>
  <si>
    <t>CUBIERTA CON RESPALDO FRENTE 90° R8</t>
  </si>
  <si>
    <t>2 DIAS HABILES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</si>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</sst>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sz val="14"/>
      <color rgb="FF008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zoomScale="93" zoomScaleNormal="93" workbookViewId="0">
      <selection activeCell="N37" sqref="N37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10933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168</v>
      </c>
      <c r="D10" s="243"/>
      <c r="E10" s="243"/>
      <c r="F10" s="244" t="s">
        <v>0</v>
      </c>
      <c r="G10" s="277">
        <v>45405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169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5"/>
      <c r="D14" s="247"/>
      <c r="E14" s="247"/>
      <c r="F14" s="326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8" x14ac:dyDescent="0.35">
      <c r="B15" s="288" t="s">
        <v>4</v>
      </c>
      <c r="C15" s="330" t="s">
        <v>170</v>
      </c>
      <c r="D15" s="321"/>
      <c r="F15" t="s">
        <v>135</v>
      </c>
      <c r="G15" s="320" t="s">
        <v>136</v>
      </c>
      <c r="H15" s="290"/>
    </row>
    <row r="16" spans="2:23" ht="16.8" x14ac:dyDescent="0.4">
      <c r="B16" s="327" t="s">
        <v>3</v>
      </c>
      <c r="C16" s="318"/>
      <c r="D16" s="247"/>
      <c r="E16" s="247"/>
      <c r="F16" s="328" t="s">
        <v>130</v>
      </c>
      <c r="G16" s="329" t="s">
        <v>164</v>
      </c>
      <c r="H16" s="248"/>
    </row>
    <row r="17" spans="2:24" ht="15" thickBot="1" x14ac:dyDescent="0.35">
      <c r="B17" s="322" t="s">
        <v>13</v>
      </c>
      <c r="C17" s="323" t="s">
        <v>167</v>
      </c>
      <c r="D17" s="324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54151.07187894074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13">
        <v>1</v>
      </c>
      <c r="C21" s="314" t="s">
        <v>171</v>
      </c>
      <c r="D21" s="315">
        <v>3</v>
      </c>
      <c r="E21" s="315">
        <v>0.65</v>
      </c>
      <c r="F21" s="314" t="s">
        <v>173</v>
      </c>
      <c r="G21" s="316">
        <v>107355</v>
      </c>
      <c r="H21" s="317">
        <f>G21*B21</f>
        <v>107355</v>
      </c>
      <c r="I21" s="265"/>
      <c r="J21" s="47"/>
      <c r="K21" s="47">
        <f>B21</f>
        <v>1</v>
      </c>
      <c r="L21" s="39">
        <f t="shared" ref="L21" si="1">D21+L$19</f>
        <v>3.05</v>
      </c>
      <c r="M21" s="39">
        <f t="shared" ref="M21" si="2">E21+M$19</f>
        <v>0.65</v>
      </c>
      <c r="N21" s="261">
        <f t="shared" ref="N21" si="3">L21*M21</f>
        <v>1.9824999999999999</v>
      </c>
      <c r="O21" s="259">
        <f t="shared" ref="O21" si="4">N21*K21</f>
        <v>1.9824999999999999</v>
      </c>
      <c r="P21" s="252">
        <f t="shared" ref="P21" si="5">P$20*N21</f>
        <v>107354.50000000001</v>
      </c>
      <c r="Q21" s="258">
        <f t="shared" ref="Q21" si="6">P21+Q$20</f>
        <v>110354.50000000001</v>
      </c>
      <c r="R21" s="299">
        <f>L21*K21*2</f>
        <v>6.1</v>
      </c>
      <c r="S21" s="46">
        <f>M21*K21*2</f>
        <v>1.3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31"/>
      <c r="H22" s="331"/>
      <c r="I22" s="265"/>
      <c r="J22" s="47"/>
      <c r="K22" s="47"/>
      <c r="L22" s="39"/>
      <c r="M22" s="39"/>
      <c r="N22" s="261"/>
      <c r="O22" s="259"/>
      <c r="P22" s="252"/>
      <c r="Q22" s="258"/>
      <c r="R22" s="299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29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0" t="s">
        <v>29</v>
      </c>
      <c r="H24" s="301">
        <f>SUM(H21:H23)</f>
        <v>107355</v>
      </c>
      <c r="I24" s="265"/>
      <c r="J24" s="47"/>
      <c r="K24" s="47"/>
      <c r="L24" s="39">
        <f>SUM(L21:L23)</f>
        <v>3.05</v>
      </c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8" t="s">
        <v>52</v>
      </c>
      <c r="H25" s="296">
        <f>H24*19%</f>
        <v>20397.45</v>
      </c>
      <c r="I25" s="265"/>
      <c r="J25" s="47"/>
      <c r="K25" s="47"/>
      <c r="L25" s="39"/>
      <c r="M25" s="12"/>
      <c r="N25" s="12"/>
      <c r="O25" s="253">
        <f>SUM(O21:O21)</f>
        <v>1.9824999999999999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7">
        <f>H24+H25</f>
        <v>127752.45</v>
      </c>
      <c r="I26" s="265"/>
      <c r="J26" s="47"/>
      <c r="K26" s="47"/>
      <c r="L26" s="39"/>
      <c r="M26" s="12"/>
      <c r="N26" s="12"/>
      <c r="O26" s="253">
        <f>O25</f>
        <v>1.9824999999999999</v>
      </c>
      <c r="P26" s="14"/>
      <c r="Q26" s="12"/>
      <c r="R26" s="239">
        <f>SUM(R21:R25)</f>
        <v>6.1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0.39650000000000002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2.379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6" t="s">
        <v>22</v>
      </c>
      <c r="U29" s="303" t="s">
        <v>153</v>
      </c>
      <c r="V29" s="307">
        <v>44971</v>
      </c>
      <c r="W29" s="30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2.379</v>
      </c>
      <c r="M30" s="12">
        <v>2500</v>
      </c>
      <c r="N30" s="12">
        <f t="shared" ref="N30:N35" si="7">L30*M30</f>
        <v>5947.5</v>
      </c>
      <c r="O30" s="14" t="s">
        <v>22</v>
      </c>
      <c r="P30" s="14"/>
      <c r="Q30" s="14"/>
      <c r="R30" s="241"/>
      <c r="S30" s="14"/>
      <c r="T30" s="306" t="s">
        <v>154</v>
      </c>
      <c r="U30" s="303">
        <v>3625</v>
      </c>
      <c r="V30" s="59" t="s">
        <v>155</v>
      </c>
      <c r="W30" s="30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0.65</v>
      </c>
      <c r="M31" s="12">
        <v>23500</v>
      </c>
      <c r="N31" s="12">
        <f t="shared" si="7"/>
        <v>15275</v>
      </c>
      <c r="O31" s="39" t="s">
        <v>32</v>
      </c>
      <c r="P31" s="42"/>
      <c r="Q31" s="14"/>
      <c r="R31" s="240"/>
      <c r="S31" s="14"/>
      <c r="T31" s="306"/>
      <c r="U31" s="59">
        <v>906.25</v>
      </c>
      <c r="V31" s="59" t="s">
        <v>156</v>
      </c>
      <c r="W31" s="308"/>
    </row>
    <row r="32" spans="2:24" s="230" customFormat="1" ht="17.399999999999999" x14ac:dyDescent="0.35">
      <c r="I32" s="262"/>
      <c r="J32" s="232"/>
      <c r="K32" s="250"/>
      <c r="L32" s="14"/>
      <c r="M32" s="250">
        <v>33500</v>
      </c>
      <c r="N32" s="12">
        <f t="shared" si="7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</v>
      </c>
      <c r="M33" s="250">
        <v>23000</v>
      </c>
      <c r="N33" s="12">
        <f t="shared" si="7"/>
        <v>23000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7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5"/>
      <c r="K35" s="250"/>
      <c r="L35" s="266">
        <f>L24</f>
        <v>3.05</v>
      </c>
      <c r="M35" s="12">
        <v>1500</v>
      </c>
      <c r="N35" s="12">
        <f t="shared" si="7"/>
        <v>4575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48797.5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107354.50000000001</v>
      </c>
      <c r="O37" s="14" t="s">
        <v>141</v>
      </c>
      <c r="P37" s="14"/>
      <c r="Q37" s="40">
        <f>O28/Q36</f>
        <v>0.64144736842105265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57540</v>
      </c>
      <c r="K38" s="250"/>
      <c r="L38" s="14"/>
      <c r="M38" s="12"/>
      <c r="N38" s="12">
        <f>N37/O26</f>
        <v>54151.07187894074</v>
      </c>
      <c r="O38" s="45" t="s">
        <v>25</v>
      </c>
      <c r="P38" s="14"/>
      <c r="Q38" s="14"/>
      <c r="R38"/>
      <c r="S38" s="238"/>
      <c r="T38" s="59" t="s">
        <v>159</v>
      </c>
      <c r="U38" s="303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48352.941176470587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0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45405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10933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-3851.937533454106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107355</v>
      </c>
      <c r="E11" s="132">
        <f>D11*0.19</f>
        <v>20397.45</v>
      </c>
      <c r="F11" s="131">
        <f>E11+D11</f>
        <v>127752.45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102138.06246654589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51056.590787439614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84138.062466545889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56298.409212560386</v>
      </c>
      <c r="E13" s="221">
        <f>(D11/D12)-1</f>
        <v>1.1026668319266295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75138.062466545889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36138.062466545896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84243.374799275363</v>
      </c>
      <c r="F15" s="216">
        <f>E15-D12</f>
        <v>33186.784011835749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36138.062466545896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76138.062466545889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15275</v>
      </c>
      <c r="E19" s="123">
        <f>D19*0.19</f>
        <v>2902.25</v>
      </c>
      <c r="F19" s="120">
        <f>SUM(D19:E19)</f>
        <v>18177.25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5947.5</v>
      </c>
      <c r="E20" s="121">
        <f>D20*0.19</f>
        <v>1130.0250000000001</v>
      </c>
      <c r="F20" s="120">
        <f>SUM(D20:E20)</f>
        <v>7077.5249999999996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21222.5</v>
      </c>
      <c r="E21" s="116">
        <f>SUM(E18:E20)</f>
        <v>4032.2750000000001</v>
      </c>
      <c r="F21" s="115">
        <f>SUM(F18:F20)</f>
        <v>25254.775000000001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16365.175000000001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107355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21222.5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56298.409212560386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56298.409212560386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2024-02-02T18:53:41Z</cp:lastPrinted>
  <dcterms:created xsi:type="dcterms:W3CDTF">2013-03-18T13:35:42Z</dcterms:created>
  <dcterms:modified xsi:type="dcterms:W3CDTF">2024-04-24T19:06:58Z</dcterms:modified>
</cp:coreProperties>
</file>