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3AA493C4-16A1-4237-98F2-75BAA450E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21" i="1"/>
  <c r="J30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<sst xmlns="http://schemas.openxmlformats.org/spreadsheetml/2006/main" count="218" uniqueCount="164">
  <si>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</si>
  <si>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</si>
  <si>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</si>
  <si>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</si>
  <si>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</si>
  <si>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</si>
  <si>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</si>
  <si>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</si>
  <si>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</si>
  <si>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</si>
  <si>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</si>
  <si>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</si>
  <si>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</si>
  <si>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</si>
  <si>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</si>
  <si>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</si>
  <si>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</si>
  <si>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</si>
  <si>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</si>
  <si>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</si>
  <si>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</si>
  <si>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</si>
  <si>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</si>
  <si>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</si>
  <si>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</si>
  <si>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</si>
  <si>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</si>
  <si>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</si>
  <si>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</si>
  <si>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</si>
  <si>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</si>
  <si>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</si>
  <si>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</si>
  <si>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</si>
  <si>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</si>
  <si>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</si>
  <si>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</si>
  <si>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</si>
  <si>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</si>
  <si>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</si>
  <si>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</si>
  <si>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</si>
  <si>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</si>
  <si>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</si>
  <si>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</si>
  <si>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</si>
  <si>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</si>
  <si>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</si>
  <si>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</si>
  <si>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</si>
  <si>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</si>
  <si>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</si>
  <si>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</si>
  <si>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</si>
  <si>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</si>
  <si>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</si>
  <si>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</si>
  <si>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</si>
  <si>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</si>
  <si>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</si>
  <si>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</si>
  <si>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</si>
  <si>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</si>
  <si>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</si>
  <si>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</si>
  <si>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</si>
  <si>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</si>
  <si>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</si>
  <si>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</si>
  <si>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</si>
  <si>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</si>
  <si>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</si>
  <si>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</si>
  <si>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</si>
  <si>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</si>
  <si>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</si>
  <si>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</si>
  <si>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</si>
  <si>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</si>
  <si>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</si>
  <si>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</si>
  <si>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</si>
  <si>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</si>
  <si>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</si>
  <si>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</si>
  <si>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</si>
  <si>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</si>
  <si>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</si>
  <si>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</si>
  <si>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</si>
  <si>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</si>
  <si>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</si>
  <si>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</si>
  <si>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</si>
  <si>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</si>
  <si>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</si>
  <si>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</si>
  <si>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</si>
  <si>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</si>
  <si>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</si>
  <si>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</si>
  <si>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</si>
  <si>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</si>
  <si>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</si>
  <si>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</si>
  <si>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</si>
  <si>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</si>
  <si>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</si>
  <si>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</si>
  <si>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</si>
  <si>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</si>
  <si>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</si>
  <si>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</si>
  <si>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</si>
  <si>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</si>
  <si>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</si>
  <si>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</si>
  <si>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</si>
  <si>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</si>
  <si>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</si>
  <si>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</si>
  <si>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</si>
  <si>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</si>
  <si>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</si>
  <si>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</si>
  <si>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</si>
  <si>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</si>
  <si>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</si>
  <si>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</si>
  <si>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</si>
  <si>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</si>
  <si>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</si>
  <si>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</si>
  <si>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</si>
  <si>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</si>
  <si>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</si>
  <si>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</si>
  <si>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</si>
  <si>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</si>
  <si>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</si>
  <si>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</si>
  <si>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</si>
  <si>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</si>
  <si>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</si>
  <si>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</si>
  <si>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</si>
  <si>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</si>
  <si>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</si>
  <si>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</si>
  <si>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</si>
  <si>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</si>
  <si>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</si>
  <si>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</si>
  <si>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</si>
  <si>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</si>
  <si>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</si>
  <si>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</si>
  <si>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</si>
  <si>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</si>
  <si>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</si>
  <si>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</si>
  <si>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CUB CON RESPALDO FRENTE 90° R12</t>
  </si>
  <si>
    <t>N° 10924</t>
  </si>
  <si>
    <t>DOMUS PP-5862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</si>
</sst>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45398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134733.90243902442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161</v>
      </c>
      <c r="D21" s="327">
        <v>2</v>
      </c>
      <c r="E21" s="327">
        <v>0.4</v>
      </c>
      <c r="F21" s="312" t="s">
        <v>163</v>
      </c>
      <c r="G21" s="313">
        <v>113482</v>
      </c>
      <c r="H21" s="314">
        <f t="shared" ref="H21" si="1">G21*B21</f>
        <v>113482</v>
      </c>
      <c r="I21" s="265"/>
      <c r="J21" s="47"/>
      <c r="K21" s="324">
        <f>B21</f>
        <v>1</v>
      </c>
      <c r="L21" s="325">
        <f t="shared" ref="L21:M21" si="2">D21+L$19</f>
        <v>2.0499999999999998</v>
      </c>
      <c r="M21" s="325">
        <f t="shared" si="2"/>
        <v>0.4</v>
      </c>
      <c r="N21" s="261">
        <f>L21*M21</f>
        <v>0.82</v>
      </c>
      <c r="O21" s="259">
        <f>N21*K21</f>
        <v>0.82</v>
      </c>
      <c r="P21" s="252">
        <f>P$20*N21</f>
        <v>110481.80000000002</v>
      </c>
      <c r="Q21" s="258">
        <f>P21+Q$20</f>
        <v>113481.80000000002</v>
      </c>
      <c r="R21" s="308">
        <f>K21*L21</f>
        <v>2.0499999999999998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7"/>
      <c r="H22" s="317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113482</v>
      </c>
      <c r="I24" s="265"/>
      <c r="J24" s="47"/>
      <c r="K24" s="47"/>
      <c r="L24" s="39">
        <f>SUM(L21:L23)</f>
        <v>2.0499999999999998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/>
      <c r="I25" s="265"/>
      <c r="J25" s="47"/>
      <c r="K25" s="47"/>
      <c r="L25" s="39"/>
      <c r="M25" s="12"/>
      <c r="N25" s="12"/>
      <c r="O25" s="253">
        <f>SUM(O21:O21)</f>
        <v>0.82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113482</v>
      </c>
      <c r="I26" s="265"/>
      <c r="J26" s="47"/>
      <c r="K26" s="47"/>
      <c r="L26" s="39"/>
      <c r="M26" s="12"/>
      <c r="N26" s="12"/>
      <c r="O26" s="253">
        <f>O25</f>
        <v>0.82</v>
      </c>
      <c r="P26" s="14"/>
      <c r="Q26" s="12"/>
      <c r="R26" s="238">
        <f>SUM(R21:R25)</f>
        <v>2.0499999999999998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14"/>
      <c r="M27" s="12"/>
      <c r="N27" s="12"/>
      <c r="O27" s="39">
        <f>O26*20%</f>
        <v>0.16400000000000001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9">
        <v>32</v>
      </c>
      <c r="K28" s="47"/>
      <c r="L28" s="14"/>
      <c r="M28" s="12"/>
      <c r="N28" s="12"/>
      <c r="O28" s="46">
        <f>O26+O27</f>
        <v>0.98399999999999999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9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0.98399999999999999</v>
      </c>
      <c r="M30" s="12">
        <v>3500</v>
      </c>
      <c r="N30" s="12">
        <f t="shared" ref="N30:N35" si="3">L30*M30</f>
        <v>3444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3"/>
        <v>7500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8"/>
      <c r="K33" s="250"/>
      <c r="L33" s="14">
        <v>1</v>
      </c>
      <c r="M33" s="250">
        <v>36200</v>
      </c>
      <c r="N33" s="12">
        <f t="shared" si="3"/>
        <v>36200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8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f>L24</f>
        <v>2.0499999999999998</v>
      </c>
      <c r="M35" s="12">
        <v>1500</v>
      </c>
      <c r="N35" s="12">
        <f t="shared" si="3"/>
        <v>3074.9999999999995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50219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43000</v>
      </c>
      <c r="K37" s="250"/>
      <c r="L37" s="254" t="s">
        <v>35</v>
      </c>
      <c r="M37" s="12"/>
      <c r="N37" s="255">
        <f>N36*2.2</f>
        <v>110481.8</v>
      </c>
      <c r="O37" s="14" t="s">
        <v>142</v>
      </c>
      <c r="P37" s="14"/>
      <c r="Q37" s="46">
        <f>O26/Q36</f>
        <v>0.22109577221742879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36134.45378151261</v>
      </c>
      <c r="K38" s="250"/>
      <c r="L38" s="14"/>
      <c r="M38" s="12"/>
      <c r="N38" s="12">
        <f>N37/O26</f>
        <v>134733.90243902442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0.21508196721311473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45398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10924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-7699.6917001207739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113482</v>
      </c>
      <c r="E11" s="132">
        <f>D11*0.19</f>
        <v>21561.58</v>
      </c>
      <c r="F11" s="131">
        <f>E11+D11</f>
        <v>135043.58000000002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98290.308299879223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40778.090787439614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80290.308299879223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72703.909212560393</v>
      </c>
      <c r="E13" s="221">
        <f>(D11/D12)-1</f>
        <v>1.7829159680755455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71290.308299879223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32290.308299879227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67283.849799275355</v>
      </c>
      <c r="F15" s="216">
        <f>E15-D12</f>
        <v>26505.75901183574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32290.308299879227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72290.308299879223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3444</v>
      </c>
      <c r="E20" s="121">
        <f>D20*0.19</f>
        <v>654.36</v>
      </c>
      <c r="F20" s="120">
        <f>SUM(D20:E20)</f>
        <v>4098.3599999999997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10944</v>
      </c>
      <c r="E21" s="116">
        <f>SUM(E18:E20)</f>
        <v>2079.36</v>
      </c>
      <c r="F21" s="115">
        <f>SUM(F18:F20)</f>
        <v>13023.36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19482.22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113482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10944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72703.909212560393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72703.909212560393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2024-04-16T19:50:34Z</dcterms:modified>
</cp:coreProperties>
</file>