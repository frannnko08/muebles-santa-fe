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2E4583EF-88A5-4129-BD2A-8315ECAAA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25" i="1"/>
  <c r="L25" i="1"/>
  <c r="M25" i="1"/>
  <c r="N25" i="1"/>
  <c r="O25" i="1" s="1"/>
  <c r="R25" i="1"/>
  <c r="K26" i="1"/>
  <c r="L26" i="1"/>
  <c r="M26" i="1"/>
  <c r="N26" i="1"/>
  <c r="O26" i="1" s="1"/>
  <c r="R26" i="1"/>
  <c r="H25" i="1" l="1"/>
  <c r="H26" i="1"/>
  <c r="H23" i="1"/>
  <c r="H24" i="1"/>
  <c r="K23" i="1" l="1"/>
  <c r="L23" i="1"/>
  <c r="M23" i="1"/>
  <c r="K24" i="1"/>
  <c r="L24" i="1"/>
  <c r="M24" i="1"/>
  <c r="K22" i="1"/>
  <c r="L22" i="1"/>
  <c r="M22" i="1"/>
  <c r="J43" i="1"/>
  <c r="R24" i="1" l="1"/>
  <c r="N24" i="1"/>
  <c r="O24" i="1" s="1"/>
  <c r="N23" i="1"/>
  <c r="R23" i="1"/>
  <c r="R22" i="1"/>
  <c r="N22" i="1"/>
  <c r="O22" i="1" s="1"/>
  <c r="L28" i="1"/>
  <c r="S21" i="1"/>
  <c r="R21" i="1"/>
  <c r="N21" i="1"/>
  <c r="O21" i="1" s="1"/>
  <c r="U36" i="1"/>
  <c r="U37" i="1" s="1"/>
  <c r="O23" i="1" l="1"/>
  <c r="O29" i="1" s="1"/>
  <c r="R30" i="1"/>
  <c r="N35" i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N42" i="1" s="1"/>
  <c r="D20" i="3"/>
  <c r="E20" i="3" s="1"/>
  <c r="E21" i="3" s="1"/>
  <c r="P20" i="1" l="1"/>
  <c r="D21" i="3"/>
  <c r="M43" i="3" s="1"/>
  <c r="D12" i="3" s="1"/>
  <c r="F20" i="3"/>
  <c r="F21" i="3" s="1"/>
  <c r="P26" i="1" l="1"/>
  <c r="P22" i="1"/>
  <c r="Q22" i="1" s="1"/>
  <c r="P25" i="1"/>
  <c r="Q25" i="1" s="1"/>
  <c r="P21" i="1"/>
  <c r="P24" i="1"/>
  <c r="P23" i="1"/>
  <c r="Q23" i="1" s="1"/>
  <c r="Q26" i="1"/>
  <c r="Q24" i="1"/>
  <c r="N43" i="1"/>
  <c r="E15" i="3"/>
  <c r="P29" i="1" l="1"/>
  <c r="F15" i="3"/>
  <c r="H22" i="1" l="1"/>
  <c r="Q21" i="1"/>
  <c r="H21" i="1" l="1"/>
  <c r="H28" i="1" s="1"/>
  <c r="H29" i="1" l="1"/>
  <c r="H30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<sst xmlns="http://schemas.openxmlformats.org/spreadsheetml/2006/main" count="241" uniqueCount="181">
  <si>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</si>
  <si>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</si>
  <si>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</si>
  <si>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</si>
  <si>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</si>
  <si>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</si>
  <si>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</si>
  <si>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</si>
  <si>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</si>
  <si>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</si>
  <si>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</si>
  <si>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</si>
  <si>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</si>
  <si>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</si>
  <si>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</si>
  <si>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</si>
  <si>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</si>
  <si>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</si>
  <si>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</si>
  <si>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</si>
  <si>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</si>
  <si>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</si>
  <si>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</si>
  <si>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</si>
  <si>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</si>
  <si>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</si>
  <si>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</si>
  <si>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</si>
  <si>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</si>
  <si>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</si>
  <si>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</si>
  <si>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</si>
  <si>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</si>
  <si>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</si>
  <si>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</si>
  <si>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</si>
  <si>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</si>
  <si>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</si>
  <si>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</si>
  <si>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</si>
  <si>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</si>
  <si>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</si>
  <si>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</si>
  <si>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</si>
  <si>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</si>
  <si>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</si>
  <si>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</si>
  <si>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</si>
  <si>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</si>
  <si>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</si>
  <si>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</si>
  <si>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</si>
  <si>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</si>
  <si>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</si>
  <si>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</si>
  <si>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</si>
  <si>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</si>
  <si>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</si>
  <si>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</si>
  <si>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</si>
  <si>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</si>
  <si>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</si>
  <si>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</si>
  <si>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</si>
  <si>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</si>
  <si>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</si>
  <si>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</si>
  <si>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</si>
  <si>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</si>
  <si>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</si>
  <si>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</si>
  <si>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</si>
  <si>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</si>
  <si>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</si>
  <si>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</si>
  <si>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</si>
  <si>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</si>
  <si>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</si>
  <si>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</si>
  <si>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</si>
  <si>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</si>
  <si>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</si>
  <si>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</si>
  <si>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</si>
  <si>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</si>
  <si>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</si>
  <si>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</si>
  <si>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</si>
  <si>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</si>
  <si>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</si>
  <si>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</si>
  <si>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</si>
  <si>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</si>
  <si>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</si>
  <si>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</si>
  <si>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</si>
  <si>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</si>
  <si>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</si>
  <si>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</si>
  <si>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</si>
  <si>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</si>
  <si>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</si>
  <si>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</si>
  <si>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</si>
  <si>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</si>
  <si>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</si>
  <si>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</si>
  <si>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</si>
  <si>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</si>
  <si>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</si>
  <si>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</si>
  <si>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</si>
  <si>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</si>
  <si>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</si>
  <si>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</si>
  <si>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</si>
  <si>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</si>
  <si>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</si>
  <si>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</si>
  <si>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</si>
  <si>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</si>
  <si>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</si>
  <si>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</si>
  <si>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</si>
  <si>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</si>
  <si>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</si>
  <si>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</si>
  <si>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</si>
  <si>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</si>
  <si>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</si>
  <si>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</si>
  <si>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</si>
  <si>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</si>
  <si>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</si>
  <si>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</si>
  <si>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</si>
  <si>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</si>
  <si>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</si>
  <si>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</si>
  <si>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</si>
  <si>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</si>
  <si>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</si>
  <si>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</si>
  <si>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</si>
  <si>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</si>
  <si>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</si>
  <si>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</si>
  <si>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</si>
  <si>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</si>
  <si>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</si>
  <si>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</si>
  <si>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</si>
  <si>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</si>
  <si>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</si>
  <si>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</si>
  <si>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</si>
  <si>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</si>
  <si>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</si>
  <si>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</si>
  <si>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</si>
  <si>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</si>
  <si>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</si>
  <si>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</si>
  <si>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</si>
  <si>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</si>
  <si>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</si>
  <si>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</si>
  <si>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</si>
  <si>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</si>
  <si>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10 DIAS HABILES</t>
  </si>
  <si>
    <t>VICTOR MANUEL FERNANDEZ</t>
  </si>
  <si>
    <t>+569 7979 0454</t>
  </si>
  <si>
    <t xml:space="preserve">FASHION GREY </t>
  </si>
  <si>
    <t>SOBRANTE</t>
  </si>
  <si>
    <t>E/R 1 CARA / 3 FTES</t>
  </si>
  <si>
    <t>COSTADO</t>
  </si>
  <si>
    <t>CUBIERTA MDF 30MM</t>
  </si>
  <si>
    <t>COSTADO LARGO</t>
  </si>
  <si>
    <t>COSTADOS</t>
  </si>
  <si>
    <t>NIEBLA 2191 MT</t>
  </si>
  <si>
    <t>PISOS Y CIELO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</si>
</sst>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5" fontId="0" fillId="0" borderId="0" xfId="2" applyNumberFormat="1" applyFont="1"/>
    <xf numFmtId="165" fontId="0" fillId="0" borderId="0" xfId="0" applyNumberFormat="1"/>
    <xf numFmtId="165" fontId="0" fillId="21" borderId="0" xfId="2" applyNumberFormat="1" applyFont="1" applyFill="1"/>
    <xf numFmtId="165" fontId="0" fillId="21" borderId="0" xfId="0" applyNumberFormat="1" applyFill="1"/>
    <xf numFmtId="165" fontId="0" fillId="16" borderId="0" xfId="2" applyNumberFormat="1" applyFont="1" applyFill="1"/>
    <xf numFmtId="165" fontId="0" fillId="16" borderId="0" xfId="0" applyNumberFormat="1" applyFill="1"/>
    <xf numFmtId="41" fontId="3" fillId="0" borderId="0" xfId="0" applyNumberFormat="1" applyFont="1"/>
    <xf numFmtId="166" fontId="32" fillId="0" borderId="3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27</xdr:row>
      <xdr:rowOff>9525</xdr:rowOff>
    </xdr:from>
    <xdr:to>
      <xdr:col>5</xdr:col>
      <xdr:colOff>1594096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 Y ENCHAPADAS SUS REGRUESO CON MISMA LAMINA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DEL MDF 20MM 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D17" zoomScale="93" zoomScaleNormal="93" workbookViewId="0">
      <selection activeCell="L37" sqref="L37"/>
    </sheetView>
  </sheetViews>
  <sheetFormatPr baseColWidth="10" defaultRowHeight="14.4" x14ac:dyDescent="0.3"/>
  <cols>
    <col min="1" max="1" width="6" customWidth="1"/>
    <col min="2" max="2" width="10.5546875" customWidth="1"/>
    <col min="3" max="3" width="32.218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10926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170</v>
      </c>
      <c r="D10" s="243"/>
      <c r="E10" s="243"/>
      <c r="F10" s="244" t="s">
        <v>0</v>
      </c>
      <c r="G10" s="277">
        <v>45400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169</v>
      </c>
      <c r="H11" s="290"/>
      <c r="K11" s="18" t="s">
        <v>173</v>
      </c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K12" s="347">
        <v>3.06</v>
      </c>
      <c r="L12" s="348">
        <v>0.21</v>
      </c>
      <c r="P12" s="19"/>
      <c r="Q12" s="25"/>
      <c r="R12" s="19"/>
    </row>
    <row r="13" spans="2:23" x14ac:dyDescent="0.3">
      <c r="B13" s="288" t="s">
        <v>147</v>
      </c>
      <c r="G13" s="319"/>
      <c r="H13" s="290"/>
      <c r="K13" s="349">
        <v>1.23</v>
      </c>
      <c r="L13" s="350">
        <v>0.62</v>
      </c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K14" s="351">
        <v>1.23</v>
      </c>
      <c r="L14" s="352">
        <v>0.62</v>
      </c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136</v>
      </c>
      <c r="H15" s="290"/>
      <c r="K15" s="347">
        <v>3.06</v>
      </c>
      <c r="L15" s="348">
        <v>0.41</v>
      </c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  <c r="K16" s="351">
        <v>1.23</v>
      </c>
      <c r="L16" s="352">
        <v>1</v>
      </c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69196.028202115165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2</v>
      </c>
      <c r="C21" s="314" t="s">
        <v>174</v>
      </c>
      <c r="D21" s="315">
        <v>0.64</v>
      </c>
      <c r="E21" s="315">
        <v>0.5</v>
      </c>
      <c r="F21" s="314" t="s">
        <v>179</v>
      </c>
      <c r="G21" s="316">
        <v>25717</v>
      </c>
      <c r="H21" s="317">
        <f>G21*B21</f>
        <v>51434</v>
      </c>
      <c r="I21" s="265"/>
      <c r="J21" s="47"/>
      <c r="K21" s="47">
        <v>1</v>
      </c>
      <c r="L21" s="39">
        <f>D21</f>
        <v>0.64</v>
      </c>
      <c r="M21" s="39">
        <v>0.6</v>
      </c>
      <c r="N21" s="261">
        <f t="shared" ref="N21" si="1">L21*M21</f>
        <v>0.38400000000000001</v>
      </c>
      <c r="O21" s="259">
        <f t="shared" ref="O21" si="2">N21*K21</f>
        <v>0.38400000000000001</v>
      </c>
      <c r="P21" s="252">
        <f>N21*P$20</f>
        <v>26571.274829612223</v>
      </c>
      <c r="Q21" s="258">
        <f t="shared" ref="Q21:Q24" si="3">P21+Q$20</f>
        <v>29571.274829612223</v>
      </c>
      <c r="R21" s="299">
        <f>L21*K21*2</f>
        <v>1.28</v>
      </c>
      <c r="S21" s="46">
        <f>M21*K21*2</f>
        <v>1.2</v>
      </c>
      <c r="T21" s="9"/>
      <c r="W21" s="4"/>
    </row>
    <row r="22" spans="2:24" ht="18" thickBot="1" x14ac:dyDescent="0.35">
      <c r="B22" s="331">
        <v>1</v>
      </c>
      <c r="C22" s="314" t="s">
        <v>175</v>
      </c>
      <c r="D22" s="332">
        <v>0.64</v>
      </c>
      <c r="E22" s="332">
        <v>0.52</v>
      </c>
      <c r="F22" s="314" t="s">
        <v>179</v>
      </c>
      <c r="G22" s="333">
        <v>24084</v>
      </c>
      <c r="H22" s="334">
        <f>G22*B22</f>
        <v>24084</v>
      </c>
      <c r="I22" s="265"/>
      <c r="J22" s="47"/>
      <c r="K22" s="47">
        <f>B22</f>
        <v>1</v>
      </c>
      <c r="L22" s="39">
        <f t="shared" ref="L22" si="4">D22+L$19</f>
        <v>0.66</v>
      </c>
      <c r="M22" s="39">
        <f t="shared" ref="M22" si="5">E22+M$19</f>
        <v>0.54</v>
      </c>
      <c r="N22" s="261">
        <f t="shared" ref="N22" si="6">L22*M22</f>
        <v>0.35640000000000005</v>
      </c>
      <c r="O22" s="259">
        <f t="shared" ref="O22" si="7">N22*K22</f>
        <v>0.35640000000000005</v>
      </c>
      <c r="P22" s="252">
        <f>N22*P$20</f>
        <v>24661.464451233849</v>
      </c>
      <c r="Q22" s="258">
        <f t="shared" si="3"/>
        <v>27661.464451233849</v>
      </c>
      <c r="R22" s="299">
        <f>L22*K22*2</f>
        <v>1.32</v>
      </c>
      <c r="S22" s="46"/>
      <c r="T22" s="9"/>
      <c r="W22" s="4"/>
    </row>
    <row r="23" spans="2:24" ht="18" thickBot="1" x14ac:dyDescent="0.35">
      <c r="B23" s="331">
        <v>1</v>
      </c>
      <c r="C23" s="314" t="s">
        <v>180</v>
      </c>
      <c r="D23" s="332">
        <v>0.5</v>
      </c>
      <c r="E23" s="332">
        <v>0.52</v>
      </c>
      <c r="F23" s="314" t="s">
        <v>179</v>
      </c>
      <c r="G23" s="333">
        <v>13933</v>
      </c>
      <c r="H23" s="334">
        <f t="shared" ref="H23:H24" si="8">G23*B23</f>
        <v>13933</v>
      </c>
      <c r="I23" s="265"/>
      <c r="J23" s="47"/>
      <c r="K23" s="47">
        <f t="shared" ref="K23:K24" si="9">B23</f>
        <v>1</v>
      </c>
      <c r="L23" s="39">
        <f t="shared" ref="L23:L24" si="10">D23+L$19</f>
        <v>0.52</v>
      </c>
      <c r="M23" s="39">
        <f t="shared" ref="M23:M24" si="11">E23+M$19</f>
        <v>0.54</v>
      </c>
      <c r="N23" s="261">
        <f t="shared" ref="N23:N24" si="12">L23*M23</f>
        <v>0.28080000000000005</v>
      </c>
      <c r="O23" s="259">
        <f t="shared" ref="O23:O24" si="13">N23*K23</f>
        <v>0.28080000000000005</v>
      </c>
      <c r="P23" s="252">
        <f>N23*P$20</f>
        <v>19430.244719153943</v>
      </c>
      <c r="Q23" s="258">
        <f t="shared" si="3"/>
        <v>22430.244719153943</v>
      </c>
      <c r="R23" s="299">
        <f t="shared" ref="R23:R24" si="14">L23*K23*2</f>
        <v>1.04</v>
      </c>
      <c r="S23" s="46"/>
      <c r="T23" s="9"/>
      <c r="W23" s="4"/>
    </row>
    <row r="24" spans="2:24" ht="18" thickBot="1" x14ac:dyDescent="0.35">
      <c r="B24" s="313"/>
      <c r="C24" s="314" t="s">
        <v>176</v>
      </c>
      <c r="D24" s="354">
        <v>0.9</v>
      </c>
      <c r="E24" s="354">
        <v>0.6</v>
      </c>
      <c r="F24" s="314" t="s">
        <v>179</v>
      </c>
      <c r="G24" s="333">
        <v>36744</v>
      </c>
      <c r="H24" s="334">
        <f t="shared" si="8"/>
        <v>0</v>
      </c>
      <c r="I24" s="265"/>
      <c r="J24" s="47"/>
      <c r="K24" s="47">
        <f t="shared" si="9"/>
        <v>0</v>
      </c>
      <c r="L24" s="39">
        <f t="shared" si="10"/>
        <v>0.92</v>
      </c>
      <c r="M24" s="39">
        <f t="shared" si="11"/>
        <v>0.62</v>
      </c>
      <c r="N24" s="261">
        <f t="shared" si="12"/>
        <v>0.57040000000000002</v>
      </c>
      <c r="O24" s="259">
        <f t="shared" si="13"/>
        <v>0</v>
      </c>
      <c r="P24" s="252">
        <f>N24*P$20</f>
        <v>39469.414486486494</v>
      </c>
      <c r="Q24" s="258">
        <f t="shared" si="3"/>
        <v>42469.414486486494</v>
      </c>
      <c r="R24" s="299">
        <f t="shared" si="14"/>
        <v>0</v>
      </c>
      <c r="S24" s="46"/>
      <c r="T24" s="9"/>
      <c r="W24" s="4"/>
    </row>
    <row r="25" spans="2:24" ht="18" thickBot="1" x14ac:dyDescent="0.35">
      <c r="B25" s="313"/>
      <c r="C25" s="314" t="s">
        <v>177</v>
      </c>
      <c r="D25" s="354">
        <v>0.9</v>
      </c>
      <c r="E25" s="354">
        <v>0.62</v>
      </c>
      <c r="F25" s="314" t="s">
        <v>179</v>
      </c>
      <c r="G25" s="333">
        <v>37833</v>
      </c>
      <c r="H25" s="334">
        <f t="shared" ref="H25:H26" si="15">G25*B25</f>
        <v>0</v>
      </c>
      <c r="I25" s="265"/>
      <c r="J25" s="47"/>
      <c r="K25" s="47">
        <f t="shared" ref="K25:K26" si="16">B25</f>
        <v>0</v>
      </c>
      <c r="L25" s="39">
        <f t="shared" ref="L25:L26" si="17">D25+L$19</f>
        <v>0.92</v>
      </c>
      <c r="M25" s="39">
        <f t="shared" ref="M25:M26" si="18">E25+M$19</f>
        <v>0.64</v>
      </c>
      <c r="N25" s="261">
        <f t="shared" ref="N25:N26" si="19">L25*M25</f>
        <v>0.58879999999999999</v>
      </c>
      <c r="O25" s="259">
        <f t="shared" ref="O25:O26" si="20">N25*K25</f>
        <v>0</v>
      </c>
      <c r="P25" s="252">
        <f>N25*P$20</f>
        <v>40742.621405405407</v>
      </c>
      <c r="Q25" s="258">
        <f t="shared" ref="Q25:Q26" si="21">P25+Q$20</f>
        <v>43742.621405405407</v>
      </c>
      <c r="R25" s="299">
        <f t="shared" ref="R25:R26" si="22">L25*K25*2</f>
        <v>0</v>
      </c>
      <c r="S25" s="46"/>
      <c r="T25" s="9"/>
      <c r="W25" s="4"/>
    </row>
    <row r="26" spans="2:24" ht="18" thickBot="1" x14ac:dyDescent="0.35">
      <c r="B26" s="313"/>
      <c r="C26" s="314" t="s">
        <v>178</v>
      </c>
      <c r="D26" s="354">
        <v>0.6</v>
      </c>
      <c r="E26" s="354">
        <v>0.62</v>
      </c>
      <c r="F26" s="314" t="s">
        <v>179</v>
      </c>
      <c r="G26" s="333">
        <v>26474</v>
      </c>
      <c r="H26" s="334">
        <f t="shared" si="15"/>
        <v>0</v>
      </c>
      <c r="I26" s="265"/>
      <c r="J26" s="47"/>
      <c r="K26" s="47">
        <f t="shared" si="16"/>
        <v>0</v>
      </c>
      <c r="L26" s="39">
        <f t="shared" si="17"/>
        <v>0.62</v>
      </c>
      <c r="M26" s="39">
        <f t="shared" si="18"/>
        <v>0.64</v>
      </c>
      <c r="N26" s="261">
        <f t="shared" si="19"/>
        <v>0.39679999999999999</v>
      </c>
      <c r="O26" s="259">
        <f t="shared" si="20"/>
        <v>0</v>
      </c>
      <c r="P26" s="252">
        <f>N26*P$20</f>
        <v>27456.983990599296</v>
      </c>
      <c r="Q26" s="258">
        <f t="shared" si="21"/>
        <v>30456.983990599296</v>
      </c>
      <c r="R26" s="299">
        <f t="shared" si="22"/>
        <v>0</v>
      </c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9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0" t="s">
        <v>29</v>
      </c>
      <c r="H28" s="301">
        <f>SUM(H21:H26)</f>
        <v>89451</v>
      </c>
      <c r="I28" s="265"/>
      <c r="J28" s="47" t="s">
        <v>172</v>
      </c>
      <c r="K28" s="47"/>
      <c r="L28" s="39">
        <f>SUM(L21:L27)</f>
        <v>4.28</v>
      </c>
      <c r="M28" s="39"/>
      <c r="N28" s="261"/>
      <c r="O28" s="259"/>
      <c r="P28" s="252"/>
      <c r="Q28" s="258"/>
      <c r="R28" s="299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8" t="s">
        <v>52</v>
      </c>
      <c r="H29" s="296">
        <f>H28*19%</f>
        <v>16995.689999999999</v>
      </c>
      <c r="I29" s="265"/>
      <c r="J29" s="47"/>
      <c r="K29" s="47"/>
      <c r="L29" s="39"/>
      <c r="M29" s="12"/>
      <c r="N29" s="12"/>
      <c r="O29" s="253">
        <f>SUM(O21:O26)</f>
        <v>1.0212000000000001</v>
      </c>
      <c r="P29" s="353">
        <f>SUM(P21:P28)</f>
        <v>178332.0038824912</v>
      </c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7">
        <f>H28+H29</f>
        <v>106446.69</v>
      </c>
      <c r="I30" s="265"/>
      <c r="J30" s="47"/>
      <c r="K30" s="47"/>
      <c r="L30" s="39"/>
      <c r="M30" s="12"/>
      <c r="N30" s="12"/>
      <c r="O30" s="253">
        <f>O29</f>
        <v>1.0212000000000001</v>
      </c>
      <c r="P30" s="14"/>
      <c r="Q30" s="12"/>
      <c r="R30" s="239">
        <f>SUM(R21:R29)</f>
        <v>3.64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0.20424000000000003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1.2254400000000001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6" t="s">
        <v>22</v>
      </c>
      <c r="U33" s="303" t="s">
        <v>153</v>
      </c>
      <c r="V33" s="307">
        <v>44971</v>
      </c>
      <c r="W33" s="308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1.2254400000000001</v>
      </c>
      <c r="M34" s="12">
        <v>3500</v>
      </c>
      <c r="N34" s="12">
        <f t="shared" ref="N34:N39" si="23">L34*M34</f>
        <v>4289.04</v>
      </c>
      <c r="O34" s="14" t="s">
        <v>22</v>
      </c>
      <c r="P34" s="14"/>
      <c r="Q34" s="14"/>
      <c r="R34" s="241"/>
      <c r="S34" s="14"/>
      <c r="T34" s="306" t="s">
        <v>154</v>
      </c>
      <c r="U34" s="303">
        <v>3625</v>
      </c>
      <c r="V34" s="59" t="s">
        <v>155</v>
      </c>
      <c r="W34" s="308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0.33</v>
      </c>
      <c r="M35" s="12">
        <v>42000</v>
      </c>
      <c r="N35" s="12">
        <f t="shared" si="23"/>
        <v>13860</v>
      </c>
      <c r="O35" s="39" t="s">
        <v>32</v>
      </c>
      <c r="P35" s="42"/>
      <c r="Q35" s="14"/>
      <c r="R35" s="240"/>
      <c r="S35" s="14"/>
      <c r="T35" s="306"/>
      <c r="U35" s="59">
        <v>906.25</v>
      </c>
      <c r="V35" s="59" t="s">
        <v>156</v>
      </c>
      <c r="W35" s="308"/>
    </row>
    <row r="36" spans="2:23" s="230" customFormat="1" ht="17.399999999999999" x14ac:dyDescent="0.35">
      <c r="I36" s="262"/>
      <c r="J36" s="232"/>
      <c r="K36" s="250"/>
      <c r="L36" s="14"/>
      <c r="M36" s="250">
        <v>55750</v>
      </c>
      <c r="N36" s="12">
        <f t="shared" si="23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8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0.5</v>
      </c>
      <c r="M37" s="250">
        <v>31000</v>
      </c>
      <c r="N37" s="12">
        <f t="shared" si="23"/>
        <v>15500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8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23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5"/>
      <c r="K39" s="250"/>
      <c r="L39" s="266"/>
      <c r="M39" s="12">
        <v>1500</v>
      </c>
      <c r="N39" s="12">
        <f t="shared" si="23"/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33649.040000000001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N40*2.1</f>
        <v>70662.984000000011</v>
      </c>
      <c r="O41" s="14" t="s">
        <v>141</v>
      </c>
      <c r="P41" s="14"/>
      <c r="Q41" s="40">
        <f>O32/Q40</f>
        <v>0.33041415012942194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45580</v>
      </c>
      <c r="K42" s="250"/>
      <c r="L42" s="14"/>
      <c r="M42" s="12"/>
      <c r="N42" s="12">
        <f>N41/O30</f>
        <v>69196.028202115165</v>
      </c>
      <c r="O42" s="45" t="s">
        <v>25</v>
      </c>
      <c r="P42" s="14"/>
      <c r="Q42" s="14"/>
      <c r="R42"/>
      <c r="S42" s="238"/>
      <c r="T42" s="59" t="s">
        <v>159</v>
      </c>
      <c r="U42" s="303">
        <v>43650</v>
      </c>
    </row>
    <row r="43" spans="2:23" s="230" customFormat="1" ht="17.399999999999999" x14ac:dyDescent="0.35">
      <c r="G43"/>
      <c r="H43" s="230" t="s">
        <v>165</v>
      </c>
      <c r="J43" s="230">
        <f>J42/1.19</f>
        <v>38302.521008403361</v>
      </c>
      <c r="K43" s="250"/>
      <c r="L43" s="13"/>
      <c r="M43" s="14"/>
      <c r="N43" s="17">
        <f>N41/N40</f>
        <v>2.1</v>
      </c>
      <c r="O43" s="15"/>
      <c r="P43"/>
      <c r="Q43"/>
      <c r="R43"/>
      <c r="S43" s="238"/>
      <c r="T43" s="59" t="s">
        <v>161</v>
      </c>
      <c r="U43" s="304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5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45400</v>
      </c>
    </row>
    <row r="6" spans="2:31" ht="16.2" thickBot="1" x14ac:dyDescent="0.35">
      <c r="B6" s="140" t="s">
        <v>2</v>
      </c>
      <c r="C6" s="139" t="str">
        <f>'2229'!C10</f>
        <v>VICTOR MANUEL FERNANDEZ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10926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-1713.1390334541065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89451</v>
      </c>
      <c r="E11" s="132">
        <f>D11*0.19</f>
        <v>16995.689999999999</v>
      </c>
      <c r="F11" s="131">
        <f>E11+D11</f>
        <v>106446.69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104276.86096654589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47983.130787439615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86276.860966545893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41467.869212560385</v>
      </c>
      <c r="E13" s="221">
        <f>(D11/D12)-1</f>
        <v>0.8642176642507724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77276.860966545893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38276.860966545893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79172.165799275361</v>
      </c>
      <c r="F15" s="216">
        <f>E15-D12</f>
        <v>31189.035011835746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38276.860966545893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78276.860966545893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13860</v>
      </c>
      <c r="E19" s="123">
        <f>D19*0.19</f>
        <v>2633.4</v>
      </c>
      <c r="F19" s="120">
        <f>SUM(D19:E19)</f>
        <v>16493.400000000001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4289.04</v>
      </c>
      <c r="E20" s="121">
        <f>D20*0.19</f>
        <v>814.91759999999999</v>
      </c>
      <c r="F20" s="120">
        <f>SUM(D20:E20)</f>
        <v>5103.9575999999997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18149.04</v>
      </c>
      <c r="E21" s="116">
        <f>SUM(E18:E20)</f>
        <v>3448.3176000000003</v>
      </c>
      <c r="F21" s="115">
        <f>SUM(F18:F20)</f>
        <v>21597.357600000003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13547.372399999998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89451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18149.04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41467.869212560385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41467.869212560385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2024-04-23T15:26:51Z</dcterms:modified>
</cp:coreProperties>
</file>