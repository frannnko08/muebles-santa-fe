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4\"/>
    </mc:Choice>
  </mc:AlternateContent>
  <xr:revisionPtr revIDLastSave="0" documentId="13_ncr:1_{DBA05B46-75FD-4072-B7BB-5E45A001E7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" i="1" l="1"/>
  <c r="K22" i="1" l="1"/>
  <c r="L22" i="1"/>
  <c r="R22" i="1" s="1"/>
  <c r="M22" i="1"/>
  <c r="K21" i="1"/>
  <c r="N22" i="1" l="1"/>
  <c r="O22" i="1" s="1"/>
  <c r="J39" i="1"/>
  <c r="L21" i="1" l="1"/>
  <c r="L25" i="1" s="1"/>
  <c r="M21" i="1"/>
  <c r="N21" i="1" l="1"/>
  <c r="O21" i="1" s="1"/>
  <c r="O26" i="1" s="1"/>
  <c r="O27" i="1" s="1"/>
  <c r="O28" i="1" s="1"/>
  <c r="O29" i="1" s="1"/>
  <c r="R21" i="1"/>
  <c r="N32" i="1"/>
  <c r="S44" i="1" l="1"/>
  <c r="M20" i="1" l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L31" i="1" l="1"/>
  <c r="N31" i="1" l="1"/>
  <c r="N37" i="1" s="1"/>
  <c r="N38" i="1" s="1"/>
  <c r="S45" i="1"/>
  <c r="D20" i="3" l="1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2" i="1" l="1"/>
  <c r="P21" i="1"/>
  <c r="G21" i="1" s="1"/>
  <c r="F15" i="3"/>
  <c r="Q22" i="1" l="1"/>
  <c r="G22" i="1"/>
  <c r="H22" i="1" s="1"/>
  <c r="Q21" i="1"/>
  <c r="R27" i="1"/>
  <c r="H21" i="1" l="1"/>
  <c r="H24" i="1" l="1"/>
  <c r="H25" i="1" l="1"/>
  <c r="H27" i="1"/>
  <c r="K15" i="1"/>
  <c r="D11" i="3"/>
  <c r="X9" i="3" l="1"/>
  <c r="E13" i="3"/>
  <c r="M42" i="3"/>
  <c r="M46" i="3" s="1"/>
  <c r="M49" i="3" s="1"/>
  <c r="E11" i="3"/>
  <c r="D13" i="3"/>
  <c r="F11" i="3" l="1"/>
  <c r="D40" i="3"/>
  <c r="X15" i="3"/>
  <c r="X13" i="3"/>
  <c r="X12" i="3"/>
  <c r="X16" i="3"/>
  <c r="X11" i="3"/>
  <c r="X14" i="3"/>
</calcChain>
</file>

<file path=xl/sharedStrings.xml><?xml version="1.0" encoding="utf-8"?>
<sst xmlns="http://schemas.openxmlformats.org/spreadsheetml/2006/main" count="222" uniqueCount="165">
  <si>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</si>
  <si>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</si>
  <si>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</si>
  <si>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</si>
  <si>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</si>
  <si>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</si>
  <si>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</si>
  <si>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</si>
  <si>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</si>
  <si>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</si>
  <si>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</si>
  <si>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</si>
  <si>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</si>
  <si>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</si>
  <si>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</si>
  <si>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</si>
  <si>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</si>
  <si>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</si>
  <si>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</si>
  <si>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</si>
  <si>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</si>
  <si>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</si>
  <si>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</si>
  <si>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</si>
  <si>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</si>
  <si>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</si>
  <si>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</si>
  <si>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</si>
  <si>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</si>
  <si>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</si>
  <si>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</si>
  <si>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</si>
  <si>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</si>
  <si>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</si>
  <si>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</si>
  <si>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</si>
  <si>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</si>
  <si>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</si>
  <si>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</si>
  <si>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</si>
  <si>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</si>
  <si>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</si>
  <si>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</si>
  <si>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</si>
  <si>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</si>
  <si>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</si>
  <si>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</si>
  <si>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</si>
  <si>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</si>
  <si>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</si>
  <si>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</si>
  <si>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</si>
  <si>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</si>
  <si>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</si>
  <si>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</si>
  <si>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</si>
  <si>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</si>
  <si>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</si>
  <si>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</si>
  <si>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</si>
  <si>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</si>
  <si>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</si>
  <si>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</si>
  <si>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</si>
  <si>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</si>
  <si>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</si>
  <si>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</si>
  <si>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</si>
  <si>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</si>
  <si>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</si>
  <si>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</si>
  <si>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</si>
  <si>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</si>
  <si>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</si>
  <si>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</si>
  <si>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</si>
  <si>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</si>
  <si>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</si>
  <si>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</si>
  <si>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</si>
  <si>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</si>
  <si>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</si>
  <si>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</si>
  <si>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</si>
  <si>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</si>
  <si>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</si>
  <si>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</si>
  <si>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</si>
  <si>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</si>
  <si>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</si>
  <si>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</si>
  <si>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</si>
  <si>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</si>
  <si>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</si>
  <si>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</si>
  <si>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</si>
  <si>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</si>
  <si>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</si>
  <si>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</si>
  <si>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</si>
  <si>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</si>
  <si>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</si>
  <si>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</si>
  <si>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</si>
  <si>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</si>
  <si>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</si>
  <si>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</si>
  <si>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</si>
  <si>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</si>
  <si>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</si>
  <si>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</si>
  <si>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</si>
  <si>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</si>
  <si>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</si>
  <si>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</si>
  <si>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</si>
  <si>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</si>
  <si>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</si>
  <si>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</si>
  <si>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</si>
  <si>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</si>
  <si>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</si>
  <si>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</si>
  <si>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</si>
  <si>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</si>
  <si>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</si>
  <si>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</si>
  <si>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</si>
  <si>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</si>
  <si>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</si>
  <si>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</si>
  <si>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</si>
  <si>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</si>
  <si>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</si>
  <si>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</si>
  <si>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</si>
  <si>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</si>
  <si>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</si>
  <si>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</si>
  <si>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</si>
  <si>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</si>
  <si>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</si>
  <si>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</si>
  <si>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</si>
  <si>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</si>
  <si>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</si>
  <si>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</si>
  <si>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</si>
  <si>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</si>
  <si>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</si>
  <si>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</si>
  <si>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</si>
  <si>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</si>
  <si>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</si>
  <si>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MDF25MM</t>
  </si>
  <si>
    <t>ABONO 50%, SALDO C/E</t>
  </si>
  <si>
    <t>SANTIAGO</t>
  </si>
  <si>
    <t>5 DIAS HABILES</t>
  </si>
  <si>
    <t>DURACION COTIZACION: 5 DIAS                   FRANCO DONOSO</t>
  </si>
  <si>
    <t>DEMOVI</t>
  </si>
  <si>
    <t>CUBIERTA CON RESPALDO R2</t>
  </si>
  <si>
    <t>+56 9 8466 2944</t>
  </si>
  <si>
    <t>N° 10928</t>
  </si>
  <si>
    <t>BLANCO MT</t>
  </si>
  <si>
    <t>DESCTO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</si>
</sst>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8" formatCode="_ [$$-340A]* #,##0_ ;_ [$$-340A]* \-#,##0_ ;_ [$$-340A]* &quot;-&quot;??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11" fillId="0" borderId="26" xfId="0" applyFont="1" applyBorder="1" applyAlignment="1">
      <alignment horizontal="center"/>
    </xf>
    <xf numFmtId="42" fontId="33" fillId="0" borderId="20" xfId="8" applyFont="1" applyFill="1" applyBorder="1"/>
    <xf numFmtId="0" fontId="11" fillId="8" borderId="31" xfId="0" applyFont="1" applyFill="1" applyBorder="1" applyAlignment="1">
      <alignment horizontal="center"/>
    </xf>
    <xf numFmtId="178" fontId="33" fillId="8" borderId="29" xfId="0" applyNumberFormat="1" applyFont="1" applyFill="1" applyBorder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5249</xdr:rowOff>
    </xdr:from>
    <xdr:to>
      <xdr:col>8</xdr:col>
      <xdr:colOff>7776</xdr:colOff>
      <xdr:row>31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28</xdr:row>
      <xdr:rowOff>9525</xdr:rowOff>
    </xdr:from>
    <xdr:to>
      <xdr:col>5</xdr:col>
      <xdr:colOff>1749491</xdr:colOff>
      <xdr:row>31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3072</xdr:colOff>
      <xdr:row>23</xdr:row>
      <xdr:rowOff>1</xdr:rowOff>
    </xdr:from>
    <xdr:to>
      <xdr:col>5</xdr:col>
      <xdr:colOff>1749490</xdr:colOff>
      <xdr:row>27</xdr:row>
      <xdr:rowOff>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7399" y="4688634"/>
          <a:ext cx="6302867" cy="87863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SOBREMEDIDAS EN EL LARGO.</a:t>
          </a:r>
        </a:p>
        <a:p>
          <a:pPr algn="l"/>
          <a:r>
            <a:rPr lang="es-CL" sz="1200" b="1" baseline="0"/>
            <a:t>RESPALDO DE 7cm DESDE LA BASE Y FRENTE DE 4cm SEGUN DIBUJO.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18MM.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804757</xdr:colOff>
      <xdr:row>6</xdr:row>
      <xdr:rowOff>72545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2"/>
  <sheetViews>
    <sheetView tabSelected="1" topLeftCell="A6" zoomScale="98" zoomScaleNormal="98" workbookViewId="0">
      <selection activeCell="A6" sqref="A6"/>
    </sheetView>
  </sheetViews>
  <sheetFormatPr baseColWidth="10" defaultRowHeight="15" x14ac:dyDescent="0.25"/>
  <cols>
    <col min="1" max="1" width="6" customWidth="1"/>
    <col min="2" max="2" width="10.5703125" customWidth="1"/>
    <col min="3" max="3" width="35.85546875" customWidth="1"/>
    <col min="4" max="4" width="11.140625" customWidth="1"/>
    <col min="5" max="5" width="10.5703125" customWidth="1"/>
    <col min="6" max="6" width="28.5703125" customWidth="1"/>
    <col min="7" max="7" width="14" customWidth="1"/>
    <col min="8" max="8" width="15.42578125" customWidth="1"/>
    <col min="9" max="9" width="13.42578125" customWidth="1"/>
    <col min="11" max="11" width="9.5703125" style="18" customWidth="1"/>
    <col min="12" max="12" width="8.85546875" customWidth="1"/>
    <col min="13" max="13" width="8.28515625" customWidth="1"/>
    <col min="14" max="14" width="9.42578125" customWidth="1"/>
    <col min="15" max="15" width="7.7109375" customWidth="1"/>
    <col min="16" max="16" width="9.42578125" customWidth="1"/>
    <col min="17" max="17" width="10.140625" customWidth="1"/>
    <col min="18" max="18" width="8.85546875" customWidth="1"/>
    <col min="19" max="19" width="9.7109375" customWidth="1"/>
    <col min="20" max="20" width="9.28515625" customWidth="1"/>
    <col min="21" max="21" width="8.7109375" customWidth="1"/>
    <col min="22" max="22" width="10.85546875" customWidth="1"/>
    <col min="23" max="23" width="10.42578125" customWidth="1"/>
    <col min="24" max="24" width="9" customWidth="1"/>
  </cols>
  <sheetData>
    <row r="2" spans="2:23" ht="15.75" x14ac:dyDescent="0.25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25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25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25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75" x14ac:dyDescent="0.25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.75" thickBot="1" x14ac:dyDescent="0.3">
      <c r="F7" s="59" t="s">
        <v>126</v>
      </c>
      <c r="P7" s="2"/>
      <c r="Q7" s="2"/>
      <c r="R7" s="3"/>
      <c r="S7" s="3"/>
      <c r="T7" s="2"/>
      <c r="U7" s="2"/>
      <c r="V7" s="3"/>
    </row>
    <row r="8" spans="2:23" ht="21.75" thickBot="1" x14ac:dyDescent="0.4">
      <c r="B8" s="299" t="s">
        <v>128</v>
      </c>
      <c r="C8" s="300"/>
      <c r="D8" s="312" t="s">
        <v>162</v>
      </c>
      <c r="F8" s="59"/>
      <c r="J8" s="52"/>
      <c r="Q8" s="2"/>
      <c r="R8" s="3"/>
      <c r="S8" s="3"/>
      <c r="T8" s="2"/>
      <c r="U8" s="2"/>
      <c r="V8" s="3"/>
    </row>
    <row r="9" spans="2:23" ht="15.75" thickBot="1" x14ac:dyDescent="0.3">
      <c r="Q9" s="2"/>
      <c r="R9" s="3"/>
      <c r="S9" s="3"/>
      <c r="T9" s="4"/>
      <c r="U9" s="2"/>
      <c r="V9" s="3"/>
    </row>
    <row r="10" spans="2:23" x14ac:dyDescent="0.25">
      <c r="B10" s="242" t="s">
        <v>2</v>
      </c>
      <c r="C10" s="278" t="s">
        <v>159</v>
      </c>
      <c r="D10" s="243"/>
      <c r="E10" s="243"/>
      <c r="F10" s="244" t="s">
        <v>0</v>
      </c>
      <c r="G10" s="276">
        <v>45404</v>
      </c>
      <c r="H10" s="245"/>
      <c r="J10" s="1"/>
      <c r="Q10" s="2"/>
      <c r="R10" s="3"/>
      <c r="S10" s="3"/>
      <c r="T10" s="4"/>
      <c r="U10" s="2"/>
      <c r="V10" s="3"/>
    </row>
    <row r="11" spans="2:23" ht="16.5" x14ac:dyDescent="0.3">
      <c r="B11" s="286" t="s">
        <v>12</v>
      </c>
      <c r="C11" s="308"/>
      <c r="F11" t="s">
        <v>125</v>
      </c>
      <c r="G11" s="287" t="s">
        <v>157</v>
      </c>
      <c r="H11" s="288"/>
      <c r="P11" s="19"/>
      <c r="Q11" s="25" t="s">
        <v>19</v>
      </c>
      <c r="R11" s="19"/>
    </row>
    <row r="12" spans="2:23" ht="16.5" x14ac:dyDescent="0.3">
      <c r="B12" s="246" t="s">
        <v>147</v>
      </c>
      <c r="C12" s="308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25">
      <c r="B13" s="246" t="s">
        <v>148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25">
      <c r="B14" s="286" t="s">
        <v>141</v>
      </c>
      <c r="C14" s="303"/>
      <c r="F14" s="29" t="s">
        <v>138</v>
      </c>
      <c r="G14" s="289" t="s">
        <v>137</v>
      </c>
      <c r="H14" s="288"/>
      <c r="J14" s="29"/>
      <c r="P14" s="20"/>
      <c r="Q14" s="26" t="s">
        <v>18</v>
      </c>
      <c r="R14" s="20"/>
    </row>
    <row r="15" spans="2:23" ht="15.75" x14ac:dyDescent="0.25">
      <c r="B15" s="246" t="s">
        <v>4</v>
      </c>
      <c r="C15" s="313" t="s">
        <v>161</v>
      </c>
      <c r="D15" s="293"/>
      <c r="E15" s="247"/>
      <c r="F15" s="247" t="s">
        <v>136</v>
      </c>
      <c r="G15" s="294" t="s">
        <v>137</v>
      </c>
      <c r="H15" s="248"/>
      <c r="K15" s="18">
        <f>H24/L13</f>
        <v>10267.904426925408</v>
      </c>
    </row>
    <row r="16" spans="2:23" ht="16.5" x14ac:dyDescent="0.3">
      <c r="B16" s="290" t="s">
        <v>3</v>
      </c>
      <c r="C16" s="308"/>
      <c r="F16" s="291" t="s">
        <v>131</v>
      </c>
      <c r="G16" s="292" t="s">
        <v>155</v>
      </c>
      <c r="H16" s="288"/>
    </row>
    <row r="17" spans="1:24" ht="15.75" thickBot="1" x14ac:dyDescent="0.3">
      <c r="B17" s="295" t="s">
        <v>13</v>
      </c>
      <c r="C17" s="296" t="s">
        <v>156</v>
      </c>
      <c r="D17" s="297"/>
      <c r="E17" s="298"/>
      <c r="F17" s="331" t="s">
        <v>158</v>
      </c>
      <c r="G17" s="331"/>
      <c r="H17" s="332"/>
      <c r="I17" s="263"/>
      <c r="S17" s="6"/>
      <c r="T17" s="6"/>
    </row>
    <row r="18" spans="1:24" ht="15.75" customHeight="1" thickBot="1" x14ac:dyDescent="0.3">
      <c r="I18" s="47"/>
      <c r="J18" s="5"/>
      <c r="U18" s="9"/>
      <c r="W18" s="6"/>
      <c r="X18" s="6"/>
    </row>
    <row r="19" spans="1:24" ht="13.5" customHeight="1" thickBot="1" x14ac:dyDescent="0.3">
      <c r="B19" s="333" t="s">
        <v>149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">
      <c r="B20" s="318" t="s">
        <v>7</v>
      </c>
      <c r="C20" s="319" t="s">
        <v>1</v>
      </c>
      <c r="D20" s="319" t="s">
        <v>10</v>
      </c>
      <c r="E20" s="319" t="s">
        <v>11</v>
      </c>
      <c r="F20" s="319" t="s">
        <v>8</v>
      </c>
      <c r="G20" s="319" t="s">
        <v>5</v>
      </c>
      <c r="H20" s="320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56974.811225519879</v>
      </c>
      <c r="Q20" s="258">
        <v>3000</v>
      </c>
      <c r="R20" s="38"/>
      <c r="S20" s="14" t="s">
        <v>130</v>
      </c>
      <c r="T20" s="9"/>
      <c r="W20" s="4"/>
    </row>
    <row r="21" spans="1:24" ht="17.25" x14ac:dyDescent="0.25">
      <c r="B21" s="321">
        <v>3</v>
      </c>
      <c r="C21" s="322" t="s">
        <v>160</v>
      </c>
      <c r="D21" s="323">
        <v>2.14</v>
      </c>
      <c r="E21" s="323">
        <v>0.78</v>
      </c>
      <c r="F21" s="322" t="s">
        <v>163</v>
      </c>
      <c r="G21" s="324">
        <f>P21</f>
        <v>97324.372535433053</v>
      </c>
      <c r="H21" s="325">
        <f t="shared" ref="H21" si="1">G21*B21</f>
        <v>291973.11760629917</v>
      </c>
      <c r="I21" s="265"/>
      <c r="J21" s="47"/>
      <c r="K21" s="314">
        <f t="shared" si="0"/>
        <v>3</v>
      </c>
      <c r="L21" s="315">
        <f t="shared" ref="L21:M21" si="2">D21+L$19</f>
        <v>2.19</v>
      </c>
      <c r="M21" s="315">
        <f t="shared" si="2"/>
        <v>0.78</v>
      </c>
      <c r="N21" s="261">
        <f>L21*M21</f>
        <v>1.7081999999999999</v>
      </c>
      <c r="O21" s="259">
        <f>N21*K21</f>
        <v>5.1246</v>
      </c>
      <c r="P21" s="252">
        <f>P$20*N21</f>
        <v>97324.372535433053</v>
      </c>
      <c r="Q21" s="258">
        <f>P21+Q$20</f>
        <v>100324.37253543305</v>
      </c>
      <c r="R21" s="305">
        <f>K21*L21</f>
        <v>6.57</v>
      </c>
      <c r="S21" s="14"/>
      <c r="T21" s="9"/>
      <c r="W21" s="4"/>
    </row>
    <row r="22" spans="1:24" ht="17.25" x14ac:dyDescent="0.25">
      <c r="B22" s="329">
        <v>1</v>
      </c>
      <c r="C22" s="326" t="s">
        <v>160</v>
      </c>
      <c r="D22" s="327">
        <v>1</v>
      </c>
      <c r="E22" s="327">
        <v>0.78</v>
      </c>
      <c r="F22" s="326" t="s">
        <v>163</v>
      </c>
      <c r="G22" s="328">
        <f>P22</f>
        <v>46662.370393700781</v>
      </c>
      <c r="H22" s="330">
        <f>G22*B22</f>
        <v>46662.370393700781</v>
      </c>
      <c r="I22" s="265"/>
      <c r="J22" s="47"/>
      <c r="K22" s="314">
        <f t="shared" ref="K22" si="3">B22</f>
        <v>1</v>
      </c>
      <c r="L22" s="315">
        <f t="shared" ref="L22" si="4">D22+L$19</f>
        <v>1.05</v>
      </c>
      <c r="M22" s="315">
        <f t="shared" ref="M22" si="5">E22+M$19</f>
        <v>0.78</v>
      </c>
      <c r="N22" s="261">
        <f t="shared" ref="N22" si="6">L22*M22</f>
        <v>0.81900000000000006</v>
      </c>
      <c r="O22" s="259">
        <f t="shared" ref="O22" si="7">N22*K22</f>
        <v>0.81900000000000006</v>
      </c>
      <c r="P22" s="252">
        <f t="shared" ref="P22" si="8">P$20*N22</f>
        <v>46662.370393700781</v>
      </c>
      <c r="Q22" s="258">
        <f t="shared" ref="Q22" si="9">P22+Q$20</f>
        <v>49662.370393700781</v>
      </c>
      <c r="R22" s="305">
        <f t="shared" ref="R22" si="10">K22*L22</f>
        <v>1.05</v>
      </c>
      <c r="S22" s="14"/>
      <c r="T22" s="9"/>
      <c r="W22" s="4"/>
    </row>
    <row r="23" spans="1:24" ht="18" thickBot="1" x14ac:dyDescent="0.3">
      <c r="B23" s="284"/>
      <c r="C23" s="284"/>
      <c r="D23" s="285"/>
      <c r="E23" s="285"/>
      <c r="F23" s="284"/>
      <c r="G23" s="309"/>
      <c r="H23" s="309"/>
      <c r="I23" s="265"/>
      <c r="K23" s="316"/>
      <c r="L23" s="317"/>
      <c r="M23" s="317"/>
      <c r="N23" s="261"/>
      <c r="O23" s="259"/>
      <c r="P23" s="252"/>
      <c r="Q23" s="258"/>
      <c r="R23" s="305"/>
      <c r="S23" s="14"/>
      <c r="T23" s="9"/>
      <c r="W23" s="4"/>
    </row>
    <row r="24" spans="1:24" ht="17.25" x14ac:dyDescent="0.25">
      <c r="B24" s="284"/>
      <c r="C24" s="284"/>
      <c r="D24" s="285"/>
      <c r="E24" s="285"/>
      <c r="F24" s="284"/>
      <c r="G24" s="306" t="s">
        <v>30</v>
      </c>
      <c r="H24" s="307">
        <f>SUM(H21:H23)</f>
        <v>338635.48799999995</v>
      </c>
      <c r="I24" s="232"/>
      <c r="J24" s="47"/>
      <c r="K24" s="47"/>
      <c r="L24" s="39"/>
      <c r="M24" s="39"/>
      <c r="N24" s="261"/>
      <c r="O24" s="259"/>
      <c r="P24" s="252"/>
      <c r="Q24" s="258"/>
      <c r="R24" s="305"/>
      <c r="S24" s="14"/>
      <c r="T24" s="9"/>
      <c r="W24" s="4"/>
    </row>
    <row r="25" spans="1:24" ht="17.25" x14ac:dyDescent="0.25">
      <c r="B25" s="284"/>
      <c r="C25" s="284"/>
      <c r="D25" s="285"/>
      <c r="E25" s="285"/>
      <c r="F25" s="284"/>
      <c r="G25" s="304" t="s">
        <v>53</v>
      </c>
      <c r="H25" s="302">
        <f>H24*0.19</f>
        <v>64340.742719999995</v>
      </c>
      <c r="I25" s="265"/>
      <c r="J25" s="47"/>
      <c r="K25" s="47"/>
      <c r="L25" s="39">
        <f>SUM(L21:L24)</f>
        <v>3.24</v>
      </c>
      <c r="M25" s="39"/>
      <c r="N25" s="261"/>
      <c r="O25" s="259"/>
      <c r="P25" s="252"/>
      <c r="Q25" s="258"/>
      <c r="R25" s="305"/>
      <c r="S25" s="14"/>
      <c r="T25" s="9"/>
      <c r="W25" s="4"/>
    </row>
    <row r="26" spans="1:24" ht="17.25" x14ac:dyDescent="0.25">
      <c r="B26" s="279"/>
      <c r="C26" s="281"/>
      <c r="D26" s="282"/>
      <c r="E26" s="282"/>
      <c r="F26" s="283"/>
      <c r="G26" s="343" t="s">
        <v>164</v>
      </c>
      <c r="H26" s="344">
        <v>17850</v>
      </c>
      <c r="I26" s="265"/>
      <c r="J26" s="47"/>
      <c r="K26" s="47"/>
      <c r="L26" s="39"/>
      <c r="M26" s="12"/>
      <c r="N26" s="12"/>
      <c r="O26" s="253">
        <f>SUM(O21:O22)</f>
        <v>5.9436</v>
      </c>
      <c r="P26" s="14"/>
      <c r="Q26" s="12"/>
      <c r="R26" s="238"/>
      <c r="S26" s="14"/>
      <c r="T26" s="9"/>
      <c r="W26" s="4"/>
    </row>
    <row r="27" spans="1:24" ht="18" thickBot="1" x14ac:dyDescent="0.3">
      <c r="B27" s="275"/>
      <c r="C27" s="280"/>
      <c r="D27" s="272"/>
      <c r="E27" s="272"/>
      <c r="F27" s="273"/>
      <c r="G27" s="345" t="s">
        <v>6</v>
      </c>
      <c r="H27" s="346">
        <f>(H24+H25)-H26</f>
        <v>385126.23071999993</v>
      </c>
      <c r="I27" s="265"/>
      <c r="J27" s="47"/>
      <c r="K27" s="47"/>
      <c r="L27" s="39"/>
      <c r="M27" s="12"/>
      <c r="N27" s="12"/>
      <c r="O27" s="253">
        <f>O26</f>
        <v>5.9436</v>
      </c>
      <c r="P27" s="14"/>
      <c r="Q27" s="12"/>
      <c r="R27" s="238">
        <f>SUM(R21:R26)</f>
        <v>7.62</v>
      </c>
      <c r="S27" s="14"/>
      <c r="T27" s="9"/>
      <c r="W27" s="4"/>
    </row>
    <row r="28" spans="1:24" ht="17.25" x14ac:dyDescent="0.25">
      <c r="B28" s="275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O27*0.2</f>
        <v>1.18872</v>
      </c>
      <c r="P28" s="39" t="s">
        <v>132</v>
      </c>
      <c r="Q28" s="42"/>
      <c r="R28" s="239"/>
      <c r="S28" s="14"/>
      <c r="T28" s="9"/>
      <c r="W28" s="4"/>
    </row>
    <row r="29" spans="1:24" ht="17.25" x14ac:dyDescent="0.3">
      <c r="B29" s="269"/>
      <c r="C29" s="230"/>
      <c r="D29" s="230"/>
      <c r="E29" s="232"/>
      <c r="F29" s="233"/>
      <c r="G29" s="230"/>
      <c r="H29" s="274"/>
      <c r="I29" s="265"/>
      <c r="J29" s="311"/>
      <c r="K29" s="47"/>
      <c r="L29" s="14"/>
      <c r="M29" s="12"/>
      <c r="N29" s="12"/>
      <c r="O29" s="46">
        <f>O27+O28</f>
        <v>7.13232</v>
      </c>
      <c r="P29" s="14"/>
      <c r="Q29" s="14"/>
      <c r="R29" s="237">
        <v>40</v>
      </c>
      <c r="S29" s="14"/>
      <c r="T29" s="9"/>
      <c r="W29" s="4"/>
    </row>
    <row r="30" spans="1:24" ht="17.25" x14ac:dyDescent="0.3">
      <c r="B30" s="234"/>
      <c r="C30" s="235"/>
      <c r="D30" s="236"/>
      <c r="E30" s="234"/>
      <c r="F30" s="230"/>
      <c r="G30" s="230"/>
      <c r="J30" s="311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1:24" ht="17.25" x14ac:dyDescent="0.3">
      <c r="B31" s="230"/>
      <c r="C31" s="230"/>
      <c r="D31" s="230"/>
      <c r="E31" s="230"/>
      <c r="F31" s="230"/>
      <c r="G31" s="230"/>
      <c r="I31" s="265"/>
      <c r="J31" s="47"/>
      <c r="K31" s="47"/>
      <c r="L31" s="39">
        <f>O29</f>
        <v>7.13232</v>
      </c>
      <c r="M31" s="12">
        <v>3500</v>
      </c>
      <c r="N31" s="12">
        <f t="shared" ref="N31:N36" si="11">L31*M31</f>
        <v>24963.119999999999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1:24" ht="17.25" x14ac:dyDescent="0.3">
      <c r="A32" s="230"/>
      <c r="B32" s="230"/>
      <c r="C32" s="230"/>
      <c r="D32" s="230"/>
      <c r="E32" s="230"/>
      <c r="F32" s="230"/>
      <c r="G32" s="230"/>
      <c r="H32" s="230"/>
      <c r="I32" s="265"/>
      <c r="J32" s="47"/>
      <c r="K32" s="47"/>
      <c r="L32" s="249">
        <v>1.0649999999999999</v>
      </c>
      <c r="M32" s="12">
        <v>25000</v>
      </c>
      <c r="N32" s="12">
        <f t="shared" si="11"/>
        <v>26625</v>
      </c>
      <c r="O32" s="39" t="s">
        <v>154</v>
      </c>
      <c r="P32" s="42"/>
      <c r="Q32" s="14"/>
      <c r="R32" s="239"/>
      <c r="S32" s="14"/>
      <c r="T32" s="9"/>
      <c r="W32" s="4"/>
    </row>
    <row r="33" spans="2:23" s="230" customFormat="1" ht="17.25" x14ac:dyDescent="0.3">
      <c r="B33" s="24" t="s">
        <v>153</v>
      </c>
      <c r="I33" s="262"/>
      <c r="J33" s="47"/>
      <c r="K33" s="250"/>
      <c r="L33" s="14"/>
      <c r="M33" s="250">
        <v>150000</v>
      </c>
      <c r="N33" s="12">
        <f t="shared" si="11"/>
        <v>0</v>
      </c>
      <c r="O33" s="39" t="s">
        <v>32</v>
      </c>
      <c r="P33" s="42"/>
      <c r="R33" s="239"/>
      <c r="S33" s="256"/>
      <c r="V33" s="231"/>
    </row>
    <row r="34" spans="2:23" s="230" customFormat="1" ht="17.25" x14ac:dyDescent="0.3">
      <c r="B34" s="24" t="s">
        <v>146</v>
      </c>
      <c r="C34"/>
      <c r="D34"/>
      <c r="E34"/>
      <c r="F34"/>
      <c r="I34" s="262"/>
      <c r="J34" s="310"/>
      <c r="K34" s="250"/>
      <c r="L34" s="14">
        <v>3.5</v>
      </c>
      <c r="M34" s="250">
        <v>23500</v>
      </c>
      <c r="N34" s="12">
        <f t="shared" si="11"/>
        <v>82250</v>
      </c>
      <c r="O34" s="14" t="s">
        <v>143</v>
      </c>
      <c r="P34" s="17"/>
      <c r="R34" s="237"/>
      <c r="S34" s="256"/>
      <c r="V34" s="231"/>
    </row>
    <row r="35" spans="2:23" s="230" customFormat="1" ht="17.25" x14ac:dyDescent="0.3">
      <c r="B35" s="29" t="s">
        <v>127</v>
      </c>
      <c r="C35"/>
      <c r="D35"/>
      <c r="E35"/>
      <c r="F35" s="229" t="s">
        <v>16</v>
      </c>
      <c r="I35" s="262"/>
      <c r="J35" s="310"/>
      <c r="K35" s="250"/>
      <c r="L35" s="249">
        <v>3</v>
      </c>
      <c r="M35" s="250">
        <v>800</v>
      </c>
      <c r="N35" s="12">
        <f t="shared" si="11"/>
        <v>2400</v>
      </c>
      <c r="O35" s="14" t="s">
        <v>34</v>
      </c>
      <c r="P35" s="14"/>
      <c r="Q35" s="230">
        <v>1.83</v>
      </c>
      <c r="R35" s="237"/>
      <c r="S35" s="237"/>
    </row>
    <row r="36" spans="2:23" s="230" customFormat="1" ht="17.25" x14ac:dyDescent="0.3">
      <c r="I36" s="301"/>
      <c r="J36" s="47"/>
      <c r="K36" s="250"/>
      <c r="L36" s="266">
        <f>L25</f>
        <v>3.24</v>
      </c>
      <c r="M36" s="12">
        <v>1500</v>
      </c>
      <c r="N36" s="12">
        <f t="shared" si="11"/>
        <v>4860</v>
      </c>
      <c r="O36" s="14" t="s">
        <v>24</v>
      </c>
      <c r="P36" s="14"/>
      <c r="Q36">
        <v>3.66</v>
      </c>
      <c r="R36"/>
      <c r="S36" s="237">
        <v>1500</v>
      </c>
      <c r="W36" s="231"/>
    </row>
    <row r="37" spans="2:23" s="230" customFormat="1" ht="17.25" x14ac:dyDescent="0.3">
      <c r="I37" s="265"/>
      <c r="J37" s="47"/>
      <c r="K37" s="250"/>
      <c r="L37" s="14"/>
      <c r="M37" s="12"/>
      <c r="N37" s="12">
        <f>SUM(N31:N36)</f>
        <v>141098.12</v>
      </c>
      <c r="O37" s="39" t="s">
        <v>25</v>
      </c>
      <c r="P37" s="14"/>
      <c r="Q37">
        <f>Q35*Q36</f>
        <v>6.6978000000000009</v>
      </c>
      <c r="R37"/>
      <c r="S37" s="237">
        <f>R29*S36</f>
        <v>60000</v>
      </c>
      <c r="W37" s="231"/>
    </row>
    <row r="38" spans="2:23" s="230" customFormat="1" ht="17.25" x14ac:dyDescent="0.3">
      <c r="J38" s="47">
        <v>68410</v>
      </c>
      <c r="K38" s="250"/>
      <c r="L38" s="254" t="s">
        <v>35</v>
      </c>
      <c r="M38" s="12"/>
      <c r="N38" s="255">
        <f>N37*2.4</f>
        <v>338635.48799999995</v>
      </c>
      <c r="O38" s="14" t="s">
        <v>142</v>
      </c>
      <c r="P38" s="14"/>
      <c r="Q38" s="46">
        <f>O29/Q37</f>
        <v>1.0648750335931201</v>
      </c>
      <c r="R38"/>
      <c r="S38" s="257" t="e">
        <f>S37/#REF!</f>
        <v>#REF!</v>
      </c>
    </row>
    <row r="39" spans="2:23" s="230" customFormat="1" ht="17.25" x14ac:dyDescent="0.3">
      <c r="G39"/>
      <c r="H39" s="260"/>
      <c r="I39" s="260"/>
      <c r="J39" s="47">
        <f>J38/1.19</f>
        <v>57487.394957983197</v>
      </c>
      <c r="K39" s="250"/>
      <c r="L39" s="14"/>
      <c r="M39" s="12"/>
      <c r="N39" s="12">
        <f>N38/O27</f>
        <v>56974.811225519879</v>
      </c>
      <c r="O39" s="45" t="s">
        <v>26</v>
      </c>
      <c r="P39" s="14"/>
      <c r="Q39" s="14"/>
      <c r="R39"/>
      <c r="S39" s="237"/>
    </row>
    <row r="40" spans="2:23" s="230" customFormat="1" ht="17.25" x14ac:dyDescent="0.3">
      <c r="G40"/>
      <c r="J40" s="47"/>
      <c r="K40" s="250"/>
      <c r="L40" s="13"/>
      <c r="M40" s="14"/>
      <c r="N40" s="17">
        <f>N38/N37</f>
        <v>2.4</v>
      </c>
      <c r="O40" s="15"/>
      <c r="P40"/>
      <c r="Q40"/>
      <c r="R40"/>
      <c r="S40" s="237"/>
    </row>
    <row r="41" spans="2:23" s="230" customFormat="1" ht="17.25" x14ac:dyDescent="0.3">
      <c r="G41" s="23"/>
      <c r="J41" s="47"/>
      <c r="K41" s="12"/>
      <c r="S41" s="237"/>
    </row>
    <row r="42" spans="2:23" s="230" customFormat="1" ht="17.25" x14ac:dyDescent="0.3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5" customHeight="1" x14ac:dyDescent="0.25">
      <c r="J43" s="47"/>
      <c r="K43" s="12"/>
      <c r="S43">
        <v>2.5</v>
      </c>
    </row>
    <row r="44" spans="2:23" x14ac:dyDescent="0.25">
      <c r="J44" s="47"/>
      <c r="K44" s="250"/>
      <c r="S44">
        <f>S42*S43</f>
        <v>4.5750000000000002</v>
      </c>
    </row>
    <row r="45" spans="2:23" x14ac:dyDescent="0.25">
      <c r="K45" s="250"/>
      <c r="S45" s="270">
        <f>O29/S44</f>
        <v>1.5589770491803279</v>
      </c>
    </row>
    <row r="46" spans="2:23" x14ac:dyDescent="0.25">
      <c r="K46" s="250"/>
    </row>
    <row r="47" spans="2:23" ht="15" customHeight="1" x14ac:dyDescent="0.25"/>
    <row r="49" spans="14:19" x14ac:dyDescent="0.25">
      <c r="N49">
        <v>40935</v>
      </c>
      <c r="O49" t="s">
        <v>17</v>
      </c>
      <c r="P49" t="s">
        <v>28</v>
      </c>
    </row>
    <row r="51" spans="14:19" x14ac:dyDescent="0.25">
      <c r="N51" s="54"/>
      <c r="O51" s="54"/>
    </row>
    <row r="52" spans="14:19" x14ac:dyDescent="0.25">
      <c r="R52" s="18"/>
      <c r="S52" s="18"/>
    </row>
    <row r="53" spans="14:19" x14ac:dyDescent="0.25">
      <c r="R53" s="18"/>
      <c r="S53" s="18"/>
    </row>
    <row r="54" spans="14:19" x14ac:dyDescent="0.25">
      <c r="R54" s="18"/>
      <c r="S54" s="18"/>
    </row>
    <row r="55" spans="14:19" x14ac:dyDescent="0.25">
      <c r="R55" s="18"/>
      <c r="S55" s="18"/>
    </row>
    <row r="56" spans="14:19" x14ac:dyDescent="0.25">
      <c r="R56" s="18"/>
      <c r="S56" s="18"/>
    </row>
    <row r="57" spans="14:19" x14ac:dyDescent="0.25">
      <c r="R57" s="18"/>
      <c r="S57" s="18"/>
    </row>
    <row r="58" spans="14:19" x14ac:dyDescent="0.25">
      <c r="R58" s="18"/>
      <c r="S58" s="18"/>
    </row>
    <row r="59" spans="14:19" x14ac:dyDescent="0.25">
      <c r="R59" s="18"/>
      <c r="S59" s="18"/>
    </row>
    <row r="60" spans="14:19" x14ac:dyDescent="0.25">
      <c r="R60" s="18"/>
      <c r="S60" s="18"/>
    </row>
    <row r="63" spans="14:19" x14ac:dyDescent="0.25">
      <c r="N63" s="43"/>
    </row>
    <row r="64" spans="14:19" x14ac:dyDescent="0.25">
      <c r="N64" s="43"/>
    </row>
    <row r="65" spans="3:14" x14ac:dyDescent="0.25">
      <c r="N65" s="6"/>
    </row>
    <row r="66" spans="3:14" x14ac:dyDescent="0.25">
      <c r="N66" s="6"/>
    </row>
    <row r="74" spans="3:14" x14ac:dyDescent="0.25">
      <c r="C74" t="s">
        <v>150</v>
      </c>
    </row>
    <row r="75" spans="3:14" x14ac:dyDescent="0.25">
      <c r="C75" t="s">
        <v>149</v>
      </c>
    </row>
    <row r="78" spans="3:14" x14ac:dyDescent="0.25">
      <c r="C78" t="s">
        <v>149</v>
      </c>
    </row>
    <row r="155" spans="3:3" x14ac:dyDescent="0.25">
      <c r="C155" t="s">
        <v>149</v>
      </c>
    </row>
    <row r="156" spans="3:3" x14ac:dyDescent="0.25">
      <c r="C156" t="s">
        <v>151</v>
      </c>
    </row>
    <row r="157" spans="3:3" x14ac:dyDescent="0.25">
      <c r="C157" t="s">
        <v>152</v>
      </c>
    </row>
    <row r="582" spans="3:3" x14ac:dyDescent="0.25">
      <c r="C582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2578125" defaultRowHeight="15" x14ac:dyDescent="0.25"/>
  <cols>
    <col min="2" max="2" width="15.5703125" customWidth="1"/>
    <col min="3" max="3" width="20.7109375" bestFit="1" customWidth="1"/>
    <col min="5" max="5" width="11.28515625" customWidth="1"/>
    <col min="8" max="8" width="9.140625" customWidth="1"/>
    <col min="9" max="9" width="9.7109375" customWidth="1"/>
    <col min="10" max="10" width="24.85546875" bestFit="1" customWidth="1"/>
    <col min="11" max="11" width="12.7109375" bestFit="1" customWidth="1"/>
    <col min="16" max="16" width="12" bestFit="1" customWidth="1"/>
    <col min="18" max="18" width="17" customWidth="1"/>
    <col min="24" max="25" width="12.7109375" bestFit="1" customWidth="1"/>
  </cols>
  <sheetData>
    <row r="2" spans="2:31" ht="18.75" x14ac:dyDescent="0.3">
      <c r="B2" s="147" t="s">
        <v>107</v>
      </c>
      <c r="C2" s="48"/>
      <c r="D2" s="48"/>
      <c r="E2" s="146"/>
      <c r="F2" s="6"/>
    </row>
    <row r="3" spans="2:31" ht="18.75" x14ac:dyDescent="0.3">
      <c r="E3" s="145"/>
      <c r="F3" s="144"/>
    </row>
    <row r="5" spans="2:31" ht="15.75" x14ac:dyDescent="0.25">
      <c r="B5" s="140" t="s">
        <v>0</v>
      </c>
      <c r="C5" s="143">
        <f>'2229'!G10</f>
        <v>45404</v>
      </c>
    </row>
    <row r="6" spans="2:31" ht="16.5" thickBot="1" x14ac:dyDescent="0.3">
      <c r="B6" s="140" t="s">
        <v>2</v>
      </c>
      <c r="C6" s="139" t="str">
        <f>'2229'!C10</f>
        <v>DEMOVI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5" thickBot="1" x14ac:dyDescent="0.3">
      <c r="B7" s="140" t="s">
        <v>3</v>
      </c>
      <c r="C7" s="139" t="e">
        <f>'2229'!#REF!</f>
        <v>#REF!</v>
      </c>
      <c r="D7" s="138"/>
      <c r="E7" s="138"/>
      <c r="F7" s="138"/>
      <c r="H7" s="337" t="s">
        <v>100</v>
      </c>
      <c r="I7" s="338"/>
      <c r="J7" s="338"/>
      <c r="K7" s="339"/>
      <c r="N7" s="75"/>
      <c r="O7" s="336" t="s">
        <v>104</v>
      </c>
      <c r="P7" s="141" t="s">
        <v>103</v>
      </c>
      <c r="Q7" s="141"/>
    </row>
    <row r="8" spans="2:31" ht="16.5" thickBot="1" x14ac:dyDescent="0.3">
      <c r="B8" s="140" t="s">
        <v>102</v>
      </c>
      <c r="C8" s="139" t="str">
        <f>'2229'!D8</f>
        <v>N° 10928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6"/>
      <c r="P8" s="75" t="s">
        <v>101</v>
      </c>
      <c r="Q8" s="75"/>
      <c r="X8">
        <f>SUM(Q11:Q16)</f>
        <v>6</v>
      </c>
    </row>
    <row r="9" spans="2:31" ht="15.75" thickBot="1" x14ac:dyDescent="0.3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-34048.140033454103</v>
      </c>
    </row>
    <row r="10" spans="2:31" ht="16.5" thickBot="1" x14ac:dyDescent="0.3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5" thickBot="1" x14ac:dyDescent="0.3">
      <c r="C11" s="211" t="s">
        <v>95</v>
      </c>
      <c r="D11" s="133">
        <f>'2229'!H24</f>
        <v>338635.48799999995</v>
      </c>
      <c r="E11" s="132">
        <f>D11*0.19</f>
        <v>64340.742719999995</v>
      </c>
      <c r="F11" s="131">
        <f>E11+D11</f>
        <v>402976.23071999993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71941.85996654589</v>
      </c>
      <c r="Y11" s="175">
        <v>108990</v>
      </c>
      <c r="AA11" s="6"/>
      <c r="AB11" s="6"/>
      <c r="AC11" s="225"/>
      <c r="AD11" s="53"/>
      <c r="AE11" s="222"/>
    </row>
    <row r="12" spans="2:31" ht="16.5" thickBot="1" x14ac:dyDescent="0.3">
      <c r="C12" s="137" t="s">
        <v>99</v>
      </c>
      <c r="D12" s="136">
        <f>SUM(M43:M45)</f>
        <v>81422.210787439602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53941.859966545897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5" thickBot="1" x14ac:dyDescent="0.3">
      <c r="C13" s="212" t="s">
        <v>93</v>
      </c>
      <c r="D13" s="217">
        <f>D11-D12</f>
        <v>257213.27721256035</v>
      </c>
      <c r="E13" s="221">
        <f>(D11/D12)-1</f>
        <v>3.1590063046069821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44941.859966545897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.75" thickBot="1" x14ac:dyDescent="0.3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5941.8599665458969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.75" thickBot="1" x14ac:dyDescent="0.3">
      <c r="C15" s="213" t="s">
        <v>123</v>
      </c>
      <c r="D15" s="214">
        <v>0.65</v>
      </c>
      <c r="E15" s="215">
        <f>(100%+D15)*D12</f>
        <v>134346.64779927535</v>
      </c>
      <c r="F15" s="216">
        <f>E15-D12</f>
        <v>52924.437011835747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5941.8599665458969</v>
      </c>
      <c r="Y15" s="175">
        <v>39990</v>
      </c>
      <c r="Z15" s="101"/>
      <c r="AA15" s="101"/>
      <c r="AB15" s="124"/>
      <c r="AD15" s="40"/>
      <c r="AE15" s="41"/>
    </row>
    <row r="16" spans="2:31" ht="15.75" thickBot="1" x14ac:dyDescent="0.3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45941.859966545897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.75" thickBot="1" x14ac:dyDescent="0.3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25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25">
      <c r="C19" s="79" t="s">
        <v>33</v>
      </c>
      <c r="D19" s="122">
        <f>'2229'!N32</f>
        <v>26625</v>
      </c>
      <c r="E19" s="123">
        <f>D19*0.19</f>
        <v>5058.75</v>
      </c>
      <c r="F19" s="120">
        <f>SUM(D19:E19)</f>
        <v>31683.75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.75" thickBot="1" x14ac:dyDescent="0.3">
      <c r="C20" s="74" t="s">
        <v>22</v>
      </c>
      <c r="D20" s="122">
        <f>'2229'!N31</f>
        <v>24963.119999999999</v>
      </c>
      <c r="E20" s="121">
        <f>D20*0.19</f>
        <v>4742.9928</v>
      </c>
      <c r="F20" s="120">
        <f>SUM(D20:E20)</f>
        <v>29706.112799999999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.75" thickBot="1" x14ac:dyDescent="0.3">
      <c r="A21" s="80">
        <f>450000*1.2</f>
        <v>540000</v>
      </c>
      <c r="B21" s="119"/>
      <c r="C21" s="118" t="s">
        <v>6</v>
      </c>
      <c r="D21" s="117">
        <f>SUM(D18:D20)</f>
        <v>51588.119999999995</v>
      </c>
      <c r="E21" s="116">
        <f>SUM(E18:E20)</f>
        <v>9801.7428</v>
      </c>
      <c r="F21" s="115">
        <f>SUM(F18:F20)</f>
        <v>61389.862800000003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.75" thickBot="1" x14ac:dyDescent="0.3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.75" thickBot="1" x14ac:dyDescent="0.3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.75" thickBot="1" x14ac:dyDescent="0.3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25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25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25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25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25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25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25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.75" thickBot="1" x14ac:dyDescent="0.3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.75" thickBot="1" x14ac:dyDescent="0.3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.75" thickBot="1" x14ac:dyDescent="0.3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.75" thickBot="1" x14ac:dyDescent="0.3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.75" thickBot="1" x14ac:dyDescent="0.3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.75" thickBot="1" x14ac:dyDescent="0.3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.75" thickBot="1" x14ac:dyDescent="0.3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.75" thickBot="1" x14ac:dyDescent="0.3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.75" thickBot="1" x14ac:dyDescent="0.3">
      <c r="B40" s="68" t="s">
        <v>54</v>
      </c>
      <c r="C40" s="67" t="s">
        <v>53</v>
      </c>
      <c r="D40" s="66">
        <f>E11-E21</f>
        <v>54538.999919999995</v>
      </c>
    </row>
    <row r="41" spans="2:16" ht="15.75" thickBot="1" x14ac:dyDescent="0.3">
      <c r="H41" s="340" t="s">
        <v>62</v>
      </c>
      <c r="I41" s="341"/>
      <c r="J41" s="341"/>
      <c r="K41" s="341"/>
      <c r="L41" s="341"/>
      <c r="M41" s="342"/>
    </row>
    <row r="42" spans="2:16" ht="15.75" thickBot="1" x14ac:dyDescent="0.3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338635.48799999995</v>
      </c>
    </row>
    <row r="43" spans="2:16" ht="15.75" thickBot="1" x14ac:dyDescent="0.3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51588.119999999995</v>
      </c>
    </row>
    <row r="44" spans="2:16" x14ac:dyDescent="0.25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.75" thickBot="1" x14ac:dyDescent="0.3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.75" thickBot="1" x14ac:dyDescent="0.3">
      <c r="D46" s="60"/>
      <c r="I46" s="171" t="s">
        <v>52</v>
      </c>
      <c r="J46" s="172"/>
      <c r="K46" s="172"/>
      <c r="L46" s="173"/>
      <c r="M46" s="62">
        <f>M42-(SUM(M43:M45))</f>
        <v>257213.27721256035</v>
      </c>
    </row>
    <row r="47" spans="2:16" x14ac:dyDescent="0.25">
      <c r="I47" s="162" t="s">
        <v>51</v>
      </c>
      <c r="J47" s="163"/>
      <c r="K47" s="163"/>
      <c r="L47" s="164"/>
      <c r="M47" s="64"/>
    </row>
    <row r="48" spans="2:16" ht="15.75" thickBot="1" x14ac:dyDescent="0.3">
      <c r="D48" s="60"/>
      <c r="I48" s="168" t="s">
        <v>50</v>
      </c>
      <c r="J48" s="169"/>
      <c r="K48" s="169"/>
      <c r="L48" s="170"/>
      <c r="M48" s="63"/>
    </row>
    <row r="49" spans="3:13" ht="15.75" thickBot="1" x14ac:dyDescent="0.3">
      <c r="C49" s="59"/>
      <c r="D49" s="58"/>
      <c r="I49" s="171" t="s">
        <v>49</v>
      </c>
      <c r="J49" s="172"/>
      <c r="K49" s="172"/>
      <c r="L49" s="173"/>
      <c r="M49" s="62">
        <f>M46-SUM(M47:M48)</f>
        <v>257213.27721256035</v>
      </c>
    </row>
    <row r="52" spans="3:13" x14ac:dyDescent="0.25">
      <c r="D52" s="57"/>
    </row>
    <row r="54" spans="3:13" x14ac:dyDescent="0.25">
      <c r="D54" s="57"/>
    </row>
    <row r="56" spans="3:13" x14ac:dyDescent="0.25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2024-04-22T16:43:50Z</cp:lastPrinted>
  <dcterms:created xsi:type="dcterms:W3CDTF">2013-03-18T13:35:42Z</dcterms:created>
  <dcterms:modified xsi:type="dcterms:W3CDTF">2024-04-22T16:43:56Z</dcterms:modified>
</cp:coreProperties>
</file>