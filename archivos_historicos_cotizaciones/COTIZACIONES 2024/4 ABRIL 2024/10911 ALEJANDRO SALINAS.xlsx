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14FE17F6-73A4-4CE0-955B-60E2B1976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K10" i="1"/>
  <c r="M22" i="1" l="1"/>
  <c r="L22" i="1"/>
  <c r="H22" i="1"/>
  <c r="N22" i="1" l="1"/>
  <c r="R22" i="1"/>
  <c r="O22" i="1"/>
  <c r="J39" i="1"/>
  <c r="L21" i="1" l="1"/>
  <c r="L25" i="1" s="1"/>
  <c r="M21" i="1"/>
  <c r="N21" i="1" l="1"/>
  <c r="O21" i="1" s="1"/>
  <c r="O26" i="1" s="1"/>
  <c r="R21" i="1"/>
  <c r="N32" i="1"/>
  <c r="O27" i="1" l="1"/>
  <c r="Q38" i="1" s="1"/>
  <c r="S44" i="1"/>
  <c r="O28" i="1" l="1"/>
  <c r="M20" i="1"/>
  <c r="K20" i="1"/>
  <c r="N33" i="1" l="1"/>
  <c r="Q37" i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 s="1"/>
  <c r="R27" i="1"/>
  <c r="H2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<sst xmlns="http://schemas.openxmlformats.org/spreadsheetml/2006/main" count="220" uniqueCount="165">
  <si>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</si>
  <si>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</si>
  <si>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</si>
  <si>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</si>
  <si>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</si>
  <si>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</si>
  <si>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</si>
  <si>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</si>
  <si>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</si>
  <si>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</si>
  <si>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</si>
  <si>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</si>
  <si>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</si>
  <si>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</si>
  <si>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</si>
  <si>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</si>
  <si>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</si>
  <si>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</si>
  <si>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</si>
  <si>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</si>
  <si>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</si>
  <si>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</si>
  <si>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</si>
  <si>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</si>
  <si>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</si>
  <si>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</si>
  <si>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</si>
  <si>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</si>
  <si>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</si>
  <si>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</si>
  <si>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</si>
  <si>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</si>
  <si>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</si>
  <si>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</si>
  <si>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</si>
  <si>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</si>
  <si>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</si>
  <si>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</si>
  <si>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</si>
  <si>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</si>
  <si>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</si>
  <si>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</si>
  <si>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</si>
  <si>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</si>
  <si>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</si>
  <si>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</si>
  <si>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</si>
  <si>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</si>
  <si>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</si>
  <si>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</si>
  <si>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</si>
  <si>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</si>
  <si>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</si>
  <si>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</si>
  <si>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</si>
  <si>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</si>
  <si>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</si>
  <si>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</si>
  <si>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</si>
  <si>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</si>
  <si>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</si>
  <si>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</si>
  <si>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</si>
  <si>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</si>
  <si>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</si>
  <si>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</si>
  <si>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</si>
  <si>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</si>
  <si>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</si>
  <si>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</si>
  <si>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</si>
  <si>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</si>
  <si>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</si>
  <si>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</si>
  <si>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</si>
  <si>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</si>
  <si>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</si>
  <si>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</si>
  <si>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</si>
  <si>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</si>
  <si>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</si>
  <si>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</si>
  <si>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</si>
  <si>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</si>
  <si>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</si>
  <si>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</si>
  <si>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</si>
  <si>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</si>
  <si>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</si>
  <si>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</si>
  <si>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</si>
  <si>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</si>
  <si>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</si>
  <si>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</si>
  <si>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</si>
  <si>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</si>
  <si>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</si>
  <si>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</si>
  <si>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</si>
  <si>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</si>
  <si>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</si>
  <si>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</si>
  <si>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</si>
  <si>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</si>
  <si>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</si>
  <si>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</si>
  <si>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</si>
  <si>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</si>
  <si>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</si>
  <si>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</si>
  <si>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</si>
  <si>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</si>
  <si>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</si>
  <si>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</si>
  <si>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</si>
  <si>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</si>
  <si>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</si>
  <si>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</si>
  <si>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</si>
  <si>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</si>
  <si>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</si>
  <si>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</si>
  <si>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</si>
  <si>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</si>
  <si>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</si>
  <si>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</si>
  <si>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</si>
  <si>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</si>
  <si>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</si>
  <si>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</si>
  <si>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</si>
  <si>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</si>
  <si>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</si>
  <si>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</si>
  <si>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</si>
  <si>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</si>
  <si>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</si>
  <si>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</si>
  <si>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</si>
  <si>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</si>
  <si>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</si>
  <si>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</si>
  <si>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</si>
  <si>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</si>
  <si>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</si>
  <si>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</si>
  <si>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</si>
  <si>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</si>
  <si>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</si>
  <si>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</si>
  <si>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</si>
  <si>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</si>
  <si>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</si>
  <si>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</si>
  <si>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</si>
  <si>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</si>
  <si>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</si>
  <si>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</si>
  <si>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</si>
  <si>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10911</t>
  </si>
  <si>
    <t>ALEJANDRO SALINAS</t>
  </si>
  <si>
    <t>+569 9483 1373</t>
  </si>
  <si>
    <t>E/R 2 CARAS MDF 30MM</t>
  </si>
  <si>
    <t>E/R 1 CARA MDF 50MM</t>
  </si>
  <si>
    <t>ORGANIC MAPLE 1511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</si>
</sst>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AMBAS ENCHAPADAS EN SUS 4 CANTOS CON MISMA LAMINA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8" zoomScaleNormal="98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2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139629.48439620083</v>
      </c>
      <c r="Q20" s="258">
        <v>15000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162</v>
      </c>
      <c r="D21" s="313">
        <v>2.63</v>
      </c>
      <c r="E21" s="313">
        <v>0.32</v>
      </c>
      <c r="F21" s="312" t="s">
        <v>164</v>
      </c>
      <c r="G21" s="314">
        <v>156601</v>
      </c>
      <c r="H21" s="315">
        <f t="shared" ref="H21" si="1">G21*B21</f>
        <v>156601</v>
      </c>
      <c r="I21" s="265"/>
      <c r="J21" s="47"/>
      <c r="K21" s="325"/>
      <c r="L21" s="326">
        <f t="shared" ref="L21:M21" si="2">D21+L$19</f>
        <v>2.6799999999999997</v>
      </c>
      <c r="M21" s="326">
        <f t="shared" si="2"/>
        <v>0.32</v>
      </c>
      <c r="N21" s="261">
        <f>L21*M21</f>
        <v>0.85759999999999992</v>
      </c>
      <c r="O21" s="259">
        <f>N21*K21</f>
        <v>0</v>
      </c>
      <c r="P21" s="252">
        <f>P$20*N21</f>
        <v>119746.24581818182</v>
      </c>
      <c r="Q21" s="258">
        <f>P21+Q$20</f>
        <v>134746.24581818184</v>
      </c>
      <c r="R21" s="308">
        <f>K21*L21</f>
        <v>0</v>
      </c>
      <c r="S21" s="14"/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2.63</v>
      </c>
      <c r="E22" s="313">
        <v>0.55000000000000004</v>
      </c>
      <c r="F22" s="312" t="s">
        <v>164</v>
      </c>
      <c r="G22" s="314">
        <v>220814</v>
      </c>
      <c r="H22" s="315">
        <f t="shared" ref="H22" si="3">G22*B22</f>
        <v>220814</v>
      </c>
      <c r="I22" s="265"/>
      <c r="J22" s="47"/>
      <c r="K22" s="325">
        <v>1</v>
      </c>
      <c r="L22" s="326">
        <f t="shared" ref="L22" si="4">D22+L$19</f>
        <v>2.6799999999999997</v>
      </c>
      <c r="M22" s="326">
        <f t="shared" ref="M22" si="5">E22+M$19</f>
        <v>0.55000000000000004</v>
      </c>
      <c r="N22" s="261">
        <f>L22*M22</f>
        <v>1.474</v>
      </c>
      <c r="O22" s="259">
        <f>N22*K22</f>
        <v>1.474</v>
      </c>
      <c r="P22" s="252">
        <f>P$20*N22</f>
        <v>205813.86000000002</v>
      </c>
      <c r="Q22" s="258">
        <f>P22+Q$20</f>
        <v>220813.86000000002</v>
      </c>
      <c r="R22" s="308">
        <f>K22*L22</f>
        <v>2.6799999999999997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377415</v>
      </c>
      <c r="I25" s="265"/>
      <c r="J25" s="47"/>
      <c r="K25" s="47"/>
      <c r="L25" s="39">
        <f>SUM(L21:L24)</f>
        <v>5.3599999999999994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71708.850000000006</v>
      </c>
      <c r="I26" s="265"/>
      <c r="J26" s="47"/>
      <c r="K26" s="47"/>
      <c r="L26" s="39"/>
      <c r="M26" s="12"/>
      <c r="N26" s="12"/>
      <c r="O26" s="253">
        <f>SUM(O21:O22)</f>
        <v>1.474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449123.85</v>
      </c>
      <c r="I27" s="265"/>
      <c r="J27" s="47"/>
      <c r="K27" s="47"/>
      <c r="L27" s="39"/>
      <c r="M27" s="12"/>
      <c r="N27" s="12"/>
      <c r="O27" s="253">
        <f>O26</f>
        <v>1.474</v>
      </c>
      <c r="P27" s="14"/>
      <c r="Q27" s="12"/>
      <c r="R27" s="238">
        <f>SUM(R21:R26)</f>
        <v>2.6799999999999997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14"/>
      <c r="M28" s="12"/>
      <c r="N28" s="12"/>
      <c r="O28" s="39">
        <f>O27*20%</f>
        <v>0.29480000000000001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1.7687999999999999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O29*2</f>
        <v>3.5375999999999999</v>
      </c>
      <c r="M31" s="12">
        <v>3500</v>
      </c>
      <c r="N31" s="12">
        <f t="shared" ref="N31:N36" si="6">L31*M31</f>
        <v>12381.6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</v>
      </c>
      <c r="M32" s="12">
        <v>46000</v>
      </c>
      <c r="N32" s="12">
        <f t="shared" si="6"/>
        <v>36800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0.75</v>
      </c>
      <c r="M34" s="250">
        <v>65100</v>
      </c>
      <c r="N34" s="12">
        <f t="shared" si="6"/>
        <v>48825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6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98006.6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54663</v>
      </c>
      <c r="K38" s="250"/>
      <c r="L38" s="254" t="s">
        <v>35</v>
      </c>
      <c r="M38" s="12"/>
      <c r="N38" s="255">
        <f>N37*2.1</f>
        <v>205813.86000000002</v>
      </c>
      <c r="O38" s="14" t="s">
        <v>142</v>
      </c>
      <c r="P38" s="14"/>
      <c r="Q38" s="46">
        <f>O27/Q37</f>
        <v>0.39743313201035374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45935.294117647063</v>
      </c>
      <c r="K39" s="250"/>
      <c r="L39" s="14"/>
      <c r="M39" s="12"/>
      <c r="N39" s="12">
        <f>N38/O27</f>
        <v>139629.48439620083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0.38662295081967207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ALEJANDRO SALINAS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-41173.185033454109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377415</v>
      </c>
      <c r="E11" s="132">
        <f>D11*0.19</f>
        <v>71708.850000000006</v>
      </c>
      <c r="F11" s="131">
        <f>E11+D11</f>
        <v>449123.85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64816.814966545891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79015.690787439613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46816.814966545891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298399.30921256042</v>
      </c>
      <c r="E13" s="221">
        <f>(D11/D12)-1</f>
        <v>3.7764563751683884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37816.814966545891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-1183.1850334541086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130375.88979927535</v>
      </c>
      <c r="F15" s="216">
        <f>E15-D12</f>
        <v>51360.199011835735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-1183.1850334541086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38816.814966545891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36800</v>
      </c>
      <c r="E19" s="123">
        <f>D19*0.19</f>
        <v>6992</v>
      </c>
      <c r="F19" s="120">
        <f>SUM(D19:E19)</f>
        <v>43792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12381.6</v>
      </c>
      <c r="E20" s="121">
        <f>D20*0.19</f>
        <v>2352.5039999999999</v>
      </c>
      <c r="F20" s="120">
        <f>SUM(D20:E20)</f>
        <v>14734.103999999999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49181.599999999999</v>
      </c>
      <c r="E21" s="116">
        <f>SUM(E18:E20)</f>
        <v>9344.5040000000008</v>
      </c>
      <c r="F21" s="115">
        <f>SUM(F18:F20)</f>
        <v>58526.103999999999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62364.346000000005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377415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49181.599999999999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298399.30921256042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298399.30921256042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2024-04-08T20:34:12Z</dcterms:modified>
</cp:coreProperties>
</file>