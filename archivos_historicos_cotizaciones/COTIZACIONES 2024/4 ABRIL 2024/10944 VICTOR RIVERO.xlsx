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C6530002-BA44-4DD1-89A3-073B32B24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O54" i="1"/>
  <c r="K51" i="1"/>
  <c r="L51" i="1"/>
  <c r="M51" i="1"/>
  <c r="N51" i="1"/>
  <c r="O51" i="1" s="1"/>
  <c r="K30" i="1"/>
  <c r="L30" i="1"/>
  <c r="M30" i="1"/>
  <c r="N30" i="1"/>
  <c r="O30" i="1" s="1"/>
  <c r="L42" i="1"/>
  <c r="N42" i="1" s="1"/>
  <c r="M42" i="1"/>
  <c r="L43" i="1"/>
  <c r="M43" i="1"/>
  <c r="N43" i="1"/>
  <c r="O43" i="1" s="1"/>
  <c r="L44" i="1"/>
  <c r="N44" i="1" s="1"/>
  <c r="M44" i="1"/>
  <c r="L45" i="1"/>
  <c r="M45" i="1"/>
  <c r="N45" i="1"/>
  <c r="O45" i="1" s="1"/>
  <c r="L46" i="1"/>
  <c r="N46" i="1" s="1"/>
  <c r="M46" i="1"/>
  <c r="L47" i="1"/>
  <c r="M47" i="1"/>
  <c r="N47" i="1"/>
  <c r="O47" i="1" s="1"/>
  <c r="L48" i="1"/>
  <c r="N48" i="1" s="1"/>
  <c r="M48" i="1"/>
  <c r="L49" i="1"/>
  <c r="M49" i="1"/>
  <c r="N49" i="1"/>
  <c r="O49" i="1" s="1"/>
  <c r="L50" i="1"/>
  <c r="N50" i="1" s="1"/>
  <c r="M50" i="1"/>
  <c r="K50" i="1"/>
  <c r="K49" i="1"/>
  <c r="K48" i="1"/>
  <c r="K47" i="1"/>
  <c r="K46" i="1"/>
  <c r="K45" i="1"/>
  <c r="K44" i="1"/>
  <c r="K43" i="1"/>
  <c r="K42" i="1"/>
  <c r="M22" i="1"/>
  <c r="M23" i="1"/>
  <c r="M24" i="1"/>
  <c r="M25" i="1"/>
  <c r="M26" i="1"/>
  <c r="M27" i="1"/>
  <c r="M28" i="1"/>
  <c r="M29" i="1"/>
  <c r="M31" i="1"/>
  <c r="M32" i="1"/>
  <c r="M33" i="1"/>
  <c r="M34" i="1"/>
  <c r="M35" i="1"/>
  <c r="M36" i="1"/>
  <c r="M37" i="1"/>
  <c r="M38" i="1"/>
  <c r="M39" i="1"/>
  <c r="M40" i="1"/>
  <c r="M41" i="1"/>
  <c r="L25" i="1"/>
  <c r="L26" i="1"/>
  <c r="K27" i="1"/>
  <c r="L27" i="1"/>
  <c r="K28" i="1"/>
  <c r="L28" i="1"/>
  <c r="K29" i="1"/>
  <c r="L29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O46" i="1" l="1"/>
  <c r="O44" i="1"/>
  <c r="O48" i="1"/>
  <c r="O50" i="1"/>
  <c r="O42" i="1"/>
  <c r="N38" i="1"/>
  <c r="O38" i="1" s="1"/>
  <c r="N34" i="1"/>
  <c r="O34" i="1" s="1"/>
  <c r="N31" i="1"/>
  <c r="O31" i="1" s="1"/>
  <c r="N27" i="1"/>
  <c r="O27" i="1" s="1"/>
  <c r="N39" i="1"/>
  <c r="O39" i="1" s="1"/>
  <c r="N35" i="1"/>
  <c r="O35" i="1" s="1"/>
  <c r="N32" i="1"/>
  <c r="O32" i="1" s="1"/>
  <c r="N41" i="1"/>
  <c r="O41" i="1" s="1"/>
  <c r="N37" i="1"/>
  <c r="N33" i="1"/>
  <c r="O33" i="1" s="1"/>
  <c r="N29" i="1"/>
  <c r="O29" i="1" s="1"/>
  <c r="N26" i="1"/>
  <c r="O26" i="1" s="1"/>
  <c r="N40" i="1"/>
  <c r="O40" i="1" s="1"/>
  <c r="N36" i="1"/>
  <c r="O36" i="1" s="1"/>
  <c r="N28" i="1"/>
  <c r="O28" i="1" s="1"/>
  <c r="N25" i="1"/>
  <c r="O25" i="1" s="1"/>
  <c r="O37" i="1"/>
  <c r="J67" i="1" l="1"/>
  <c r="L22" i="1" l="1"/>
  <c r="L23" i="1"/>
  <c r="L24" i="1"/>
  <c r="N22" i="1" l="1"/>
  <c r="O22" i="1" s="1"/>
  <c r="N23" i="1"/>
  <c r="O23" i="1" s="1"/>
  <c r="N24" i="1"/>
  <c r="O24" i="1" s="1"/>
  <c r="L21" i="1" l="1"/>
  <c r="L53" i="1" s="1"/>
  <c r="M21" i="1"/>
  <c r="N21" i="1" l="1"/>
  <c r="O21" i="1" s="1"/>
  <c r="R21" i="1"/>
  <c r="N60" i="1"/>
  <c r="O55" i="1" l="1"/>
  <c r="S72" i="1"/>
  <c r="O56" i="1" l="1"/>
  <c r="M20" i="1"/>
  <c r="K20" i="1"/>
  <c r="N61" i="1" l="1"/>
  <c r="Q65" i="1"/>
  <c r="Q66" i="1" s="1"/>
  <c r="N62" i="1" l="1"/>
  <c r="S65" i="1" l="1"/>
  <c r="S6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64" i="1"/>
  <c r="N63" i="1"/>
  <c r="F18" i="3" l="1"/>
  <c r="O57" i="1" l="1"/>
  <c r="L59" i="1" s="1"/>
  <c r="N59" i="1" l="1"/>
  <c r="S73" i="1"/>
  <c r="N65" i="1" l="1"/>
  <c r="N66" i="1" s="1"/>
  <c r="D20" i="3"/>
  <c r="E20" i="3" s="1"/>
  <c r="E21" i="3" s="1"/>
  <c r="N68" i="1" l="1"/>
  <c r="D21" i="3"/>
  <c r="M43" i="3" s="1"/>
  <c r="D12" i="3" s="1"/>
  <c r="F20" i="3"/>
  <c r="F21" i="3" s="1"/>
  <c r="N67" i="1" l="1"/>
  <c r="P20" i="1" s="1"/>
  <c r="E15" i="3"/>
  <c r="P30" i="1" l="1"/>
  <c r="Q30" i="1" s="1"/>
  <c r="H30" i="1" s="1"/>
  <c r="P51" i="1"/>
  <c r="Q51" i="1" s="1"/>
  <c r="H51" i="1" s="1"/>
  <c r="P46" i="1"/>
  <c r="Q46" i="1" s="1"/>
  <c r="H46" i="1" s="1"/>
  <c r="P45" i="1"/>
  <c r="Q45" i="1" s="1"/>
  <c r="H45" i="1" s="1"/>
  <c r="P48" i="1"/>
  <c r="Q48" i="1" s="1"/>
  <c r="H48" i="1" s="1"/>
  <c r="P42" i="1"/>
  <c r="Q42" i="1" s="1"/>
  <c r="H42" i="1" s="1"/>
  <c r="P43" i="1"/>
  <c r="Q43" i="1" s="1"/>
  <c r="H43" i="1" s="1"/>
  <c r="P44" i="1"/>
  <c r="Q44" i="1" s="1"/>
  <c r="H44" i="1" s="1"/>
  <c r="P49" i="1"/>
  <c r="Q49" i="1" s="1"/>
  <c r="H49" i="1" s="1"/>
  <c r="P50" i="1"/>
  <c r="Q50" i="1" s="1"/>
  <c r="H50" i="1" s="1"/>
  <c r="P47" i="1"/>
  <c r="Q47" i="1" s="1"/>
  <c r="H47" i="1" s="1"/>
  <c r="P37" i="1"/>
  <c r="Q37" i="1" s="1"/>
  <c r="H37" i="1" s="1"/>
  <c r="P33" i="1"/>
  <c r="Q33" i="1" s="1"/>
  <c r="H33" i="1" s="1"/>
  <c r="P29" i="1"/>
  <c r="Q29" i="1" s="1"/>
  <c r="H29" i="1" s="1"/>
  <c r="P26" i="1"/>
  <c r="Q26" i="1" s="1"/>
  <c r="H26" i="1" s="1"/>
  <c r="P39" i="1"/>
  <c r="Q39" i="1" s="1"/>
  <c r="H39" i="1" s="1"/>
  <c r="P41" i="1"/>
  <c r="Q41" i="1" s="1"/>
  <c r="H41" i="1" s="1"/>
  <c r="P34" i="1"/>
  <c r="Q34" i="1" s="1"/>
  <c r="H34" i="1" s="1"/>
  <c r="P25" i="1"/>
  <c r="Q25" i="1" s="1"/>
  <c r="H25" i="1" s="1"/>
  <c r="P38" i="1"/>
  <c r="Q38" i="1" s="1"/>
  <c r="H38" i="1" s="1"/>
  <c r="P36" i="1"/>
  <c r="Q36" i="1" s="1"/>
  <c r="H36" i="1" s="1"/>
  <c r="P28" i="1"/>
  <c r="Q28" i="1" s="1"/>
  <c r="H28" i="1" s="1"/>
  <c r="P35" i="1"/>
  <c r="Q35" i="1" s="1"/>
  <c r="H35" i="1" s="1"/>
  <c r="P32" i="1"/>
  <c r="Q32" i="1" s="1"/>
  <c r="H32" i="1" s="1"/>
  <c r="P27" i="1"/>
  <c r="Q27" i="1" s="1"/>
  <c r="H27" i="1" s="1"/>
  <c r="P40" i="1"/>
  <c r="Q40" i="1" s="1"/>
  <c r="H40" i="1" s="1"/>
  <c r="P31" i="1"/>
  <c r="Q31" i="1" s="1"/>
  <c r="H31" i="1" s="1"/>
  <c r="P23" i="1"/>
  <c r="P24" i="1"/>
  <c r="P22" i="1"/>
  <c r="P21" i="1"/>
  <c r="F15" i="3"/>
  <c r="Q22" i="1" l="1"/>
  <c r="Q24" i="1"/>
  <c r="H24" i="1" s="1"/>
  <c r="Q21" i="1"/>
  <c r="H21" i="1" s="1"/>
  <c r="Q23" i="1"/>
  <c r="H23" i="1" s="1"/>
  <c r="R55" i="1"/>
  <c r="H22" i="1" l="1"/>
  <c r="H54" i="1" l="1"/>
  <c r="H5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<sst xmlns="http://schemas.openxmlformats.org/spreadsheetml/2006/main" count="279" uniqueCount="168">
  <si>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</si>
  <si>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</si>
  <si>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</si>
  <si>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</si>
  <si>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</si>
  <si>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</si>
  <si>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</si>
  <si>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</si>
  <si>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</si>
  <si>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</si>
  <si>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</si>
  <si>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</si>
  <si>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</si>
  <si>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</si>
  <si>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</si>
  <si>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</si>
  <si>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</si>
  <si>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</si>
  <si>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</si>
  <si>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</si>
  <si>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</si>
  <si>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</si>
  <si>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</si>
  <si>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</si>
  <si>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</si>
  <si>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</si>
  <si>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</si>
  <si>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</si>
  <si>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</si>
  <si>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</si>
  <si>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</si>
  <si>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</si>
  <si>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</si>
  <si>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</si>
  <si>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</si>
  <si>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</si>
  <si>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</si>
  <si>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</si>
  <si>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</si>
  <si>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</si>
  <si>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</si>
  <si>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</si>
  <si>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</si>
  <si>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</si>
  <si>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</si>
  <si>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</si>
  <si>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</si>
  <si>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</si>
  <si>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</si>
  <si>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</si>
  <si>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</si>
  <si>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</si>
  <si>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</si>
  <si>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</si>
  <si>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</si>
  <si>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</si>
  <si>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</si>
  <si>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</si>
  <si>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</si>
  <si>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</si>
  <si>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</si>
  <si>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</si>
  <si>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</si>
  <si>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</si>
  <si>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</si>
  <si>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</si>
  <si>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</si>
  <si>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</si>
  <si>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</si>
  <si>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</si>
  <si>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</si>
  <si>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</si>
  <si>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</si>
  <si>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</si>
  <si>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</si>
  <si>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</si>
  <si>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</si>
  <si>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</si>
  <si>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</si>
  <si>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</si>
  <si>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</si>
  <si>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</si>
  <si>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</si>
  <si>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</si>
  <si>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</si>
  <si>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</si>
  <si>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</si>
  <si>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</si>
  <si>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</si>
  <si>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</si>
  <si>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</si>
  <si>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</si>
  <si>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</si>
  <si>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</si>
  <si>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</si>
  <si>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</si>
  <si>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</si>
  <si>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</si>
  <si>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</si>
  <si>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</si>
  <si>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</si>
  <si>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</si>
  <si>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</si>
  <si>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</si>
  <si>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</si>
  <si>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</si>
  <si>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</si>
  <si>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</si>
  <si>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</si>
  <si>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</si>
  <si>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</si>
  <si>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</si>
  <si>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</si>
  <si>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</si>
  <si>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</si>
  <si>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</si>
  <si>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</si>
  <si>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</si>
  <si>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</si>
  <si>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</si>
  <si>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</si>
  <si>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</si>
  <si>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</si>
  <si>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</si>
  <si>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</si>
  <si>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</si>
  <si>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</si>
  <si>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</si>
  <si>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</si>
  <si>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</si>
  <si>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</si>
  <si>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</si>
  <si>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</si>
  <si>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</si>
  <si>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</si>
  <si>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</si>
  <si>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</si>
  <si>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</si>
  <si>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</si>
  <si>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</si>
  <si>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</si>
  <si>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</si>
  <si>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</si>
  <si>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</si>
  <si>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</si>
  <si>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</si>
  <si>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</si>
  <si>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</si>
  <si>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</si>
  <si>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</si>
  <si>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</si>
  <si>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</si>
  <si>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</si>
  <si>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</si>
  <si>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</si>
  <si>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</si>
  <si>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</si>
  <si>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</si>
  <si>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</si>
  <si>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10 DIAS HABILES</t>
  </si>
  <si>
    <t>VICTOR RIVERO</t>
  </si>
  <si>
    <t>+56958788293</t>
  </si>
  <si>
    <t>N° 10944</t>
  </si>
  <si>
    <t>PR2</t>
  </si>
  <si>
    <t>BLANCO BRILLO</t>
  </si>
  <si>
    <t>PR3</t>
  </si>
  <si>
    <t>ROBLE LINEAL 1467 MT</t>
  </si>
  <si>
    <t>ROBLE LINEAL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</si>
</sst>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16" borderId="0" xfId="0" applyNumberFormat="1" applyFill="1"/>
    <xf numFmtId="166" fontId="3" fillId="16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166" fontId="32" fillId="0" borderId="6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5249</xdr:rowOff>
    </xdr:from>
    <xdr:to>
      <xdr:col>7</xdr:col>
      <xdr:colOff>1041919</xdr:colOff>
      <xdr:row>59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113301" y="10082310"/>
          <a:ext cx="198878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58</xdr:row>
      <xdr:rowOff>154305</xdr:rowOff>
    </xdr:from>
    <xdr:to>
      <xdr:col>7</xdr:col>
      <xdr:colOff>853440</xdr:colOff>
      <xdr:row>58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56</xdr:row>
      <xdr:rowOff>9525</xdr:rowOff>
    </xdr:from>
    <xdr:to>
      <xdr:col>5</xdr:col>
      <xdr:colOff>1714500</xdr:colOff>
      <xdr:row>59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5</xdr:col>
      <xdr:colOff>1764030</xdr:colOff>
      <xdr:row>54</xdr:row>
      <xdr:rowOff>217714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2102" y="9198429"/>
          <a:ext cx="5496275" cy="65314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 CON TAPACANTO PVC 0,4MM LO MAS PARECIDO AL TONO</a:t>
          </a:r>
          <a:r>
            <a:rPr lang="es-CL" sz="1200" b="1" baseline="0"/>
            <a:t> DE LA LAMINA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610"/>
  <sheetViews>
    <sheetView tabSelected="1" zoomScale="98" zoomScaleNormal="98" workbookViewId="0">
      <selection activeCell="I67" sqref="I67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4" t="s">
        <v>155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149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N67</f>
        <v>90105.843167712534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2</v>
      </c>
      <c r="C21" s="312" t="s">
        <v>163</v>
      </c>
      <c r="D21" s="313">
        <v>0.375</v>
      </c>
      <c r="E21" s="313">
        <v>0.436</v>
      </c>
      <c r="F21" s="312" t="s">
        <v>164</v>
      </c>
      <c r="G21" s="314">
        <v>16881</v>
      </c>
      <c r="H21" s="315">
        <f t="shared" ref="H21:H24" si="1">G21*B21</f>
        <v>33762</v>
      </c>
      <c r="I21" s="265"/>
      <c r="J21" s="47"/>
      <c r="K21" s="324"/>
      <c r="L21" s="325">
        <f t="shared" ref="L21:M35" si="2">D21+L$19</f>
        <v>0.42499999999999999</v>
      </c>
      <c r="M21" s="325">
        <f t="shared" si="2"/>
        <v>0.436</v>
      </c>
      <c r="N21" s="261">
        <f>L21*M21</f>
        <v>0.18529999999999999</v>
      </c>
      <c r="O21" s="259">
        <f>N21*K21</f>
        <v>0</v>
      </c>
      <c r="P21" s="252">
        <f>P$20*N21</f>
        <v>16696.612738977132</v>
      </c>
      <c r="Q21" s="258">
        <f>P21+Q$20</f>
        <v>19696.612738977132</v>
      </c>
      <c r="R21" s="308">
        <f>K21*L21</f>
        <v>0</v>
      </c>
      <c r="S21" s="14"/>
      <c r="T21" s="9"/>
      <c r="W21" s="4"/>
    </row>
    <row r="22" spans="2:24" ht="17.399999999999999" x14ac:dyDescent="0.3">
      <c r="B22" s="322">
        <v>4</v>
      </c>
      <c r="C22" s="312" t="s">
        <v>163</v>
      </c>
      <c r="D22" s="313">
        <v>0.375</v>
      </c>
      <c r="E22" s="313">
        <v>0.432</v>
      </c>
      <c r="F22" s="312" t="s">
        <v>164</v>
      </c>
      <c r="G22" s="314">
        <v>16754</v>
      </c>
      <c r="H22" s="315">
        <f t="shared" si="1"/>
        <v>67016</v>
      </c>
      <c r="I22" s="265"/>
      <c r="K22" s="330"/>
      <c r="L22" s="331">
        <f t="shared" si="2"/>
        <v>0.42499999999999999</v>
      </c>
      <c r="M22" s="331">
        <f t="shared" si="2"/>
        <v>0.432</v>
      </c>
      <c r="N22" s="261">
        <f t="shared" ref="N22:N24" si="3">L22*M22</f>
        <v>0.18359999999999999</v>
      </c>
      <c r="O22" s="259">
        <f t="shared" ref="O22:O24" si="4">N22*K22</f>
        <v>0</v>
      </c>
      <c r="P22" s="252">
        <f t="shared" ref="P22:P24" si="5">P$20*N22</f>
        <v>16543.43280559202</v>
      </c>
      <c r="Q22" s="258">
        <f t="shared" ref="Q22:Q24" si="6">P22+Q$20</f>
        <v>19543.43280559202</v>
      </c>
      <c r="R22" s="308"/>
      <c r="S22" s="14"/>
      <c r="T22" s="9"/>
      <c r="W22" s="4"/>
    </row>
    <row r="23" spans="2:24" ht="17.399999999999999" x14ac:dyDescent="0.3">
      <c r="B23" s="322">
        <v>2</v>
      </c>
      <c r="C23" s="312" t="s">
        <v>163</v>
      </c>
      <c r="D23" s="313">
        <v>0.375</v>
      </c>
      <c r="E23" s="313">
        <v>0.43099999999999999</v>
      </c>
      <c r="F23" s="312" t="s">
        <v>164</v>
      </c>
      <c r="G23" s="314">
        <v>16722</v>
      </c>
      <c r="H23" s="315">
        <f t="shared" si="1"/>
        <v>33444</v>
      </c>
      <c r="I23" s="265"/>
      <c r="K23" s="326"/>
      <c r="L23" s="327">
        <f t="shared" si="2"/>
        <v>0.42499999999999999</v>
      </c>
      <c r="M23" s="327">
        <f t="shared" si="2"/>
        <v>0.43099999999999999</v>
      </c>
      <c r="N23" s="261">
        <f t="shared" si="3"/>
        <v>0.183175</v>
      </c>
      <c r="O23" s="259">
        <f t="shared" si="4"/>
        <v>0</v>
      </c>
      <c r="P23" s="252">
        <f t="shared" si="5"/>
        <v>16505.137822245742</v>
      </c>
      <c r="Q23" s="258">
        <f t="shared" si="6"/>
        <v>19505.137822245742</v>
      </c>
      <c r="R23" s="308"/>
      <c r="S23" s="14"/>
      <c r="T23" s="9"/>
      <c r="W23" s="4"/>
    </row>
    <row r="24" spans="2:24" ht="17.399999999999999" x14ac:dyDescent="0.3">
      <c r="B24" s="322">
        <v>2</v>
      </c>
      <c r="C24" s="312" t="s">
        <v>163</v>
      </c>
      <c r="D24" s="313">
        <v>0.37</v>
      </c>
      <c r="E24" s="313">
        <v>0.35</v>
      </c>
      <c r="F24" s="312" t="s">
        <v>164</v>
      </c>
      <c r="G24" s="314">
        <v>14012</v>
      </c>
      <c r="H24" s="315">
        <f t="shared" si="1"/>
        <v>28024</v>
      </c>
      <c r="I24" s="265"/>
      <c r="K24" s="328"/>
      <c r="L24" s="329">
        <f t="shared" si="2"/>
        <v>0.42</v>
      </c>
      <c r="M24" s="329">
        <f t="shared" si="2"/>
        <v>0.35</v>
      </c>
      <c r="N24" s="261">
        <f t="shared" si="3"/>
        <v>0.14699999999999999</v>
      </c>
      <c r="O24" s="259">
        <f t="shared" si="4"/>
        <v>0</v>
      </c>
      <c r="P24" s="252">
        <f t="shared" si="5"/>
        <v>13245.558945653742</v>
      </c>
      <c r="Q24" s="258">
        <f t="shared" si="6"/>
        <v>16245.558945653742</v>
      </c>
      <c r="R24" s="308"/>
      <c r="S24" s="14"/>
      <c r="T24" s="9"/>
      <c r="W24" s="4"/>
    </row>
    <row r="25" spans="2:24" ht="17.399999999999999" x14ac:dyDescent="0.3">
      <c r="B25" s="346">
        <v>2</v>
      </c>
      <c r="C25" s="347" t="s">
        <v>163</v>
      </c>
      <c r="D25" s="348">
        <v>1.0049999999999999</v>
      </c>
      <c r="E25" s="348">
        <v>0.44500000000000001</v>
      </c>
      <c r="F25" s="312" t="s">
        <v>164</v>
      </c>
      <c r="G25" s="314">
        <v>38169</v>
      </c>
      <c r="H25" s="315">
        <f t="shared" ref="H25:H32" si="7">G25*B25</f>
        <v>76338</v>
      </c>
      <c r="I25" s="265"/>
      <c r="K25" s="47"/>
      <c r="L25" s="39">
        <f t="shared" ref="L25:M51" si="8">D25+L$19</f>
        <v>1.0549999999999999</v>
      </c>
      <c r="M25" s="39">
        <f t="shared" si="2"/>
        <v>0.44500000000000001</v>
      </c>
      <c r="N25" s="261">
        <f t="shared" ref="N25:N41" si="9">L25*M25</f>
        <v>0.46947499999999998</v>
      </c>
      <c r="O25" s="259">
        <f t="shared" ref="O25:O41" si="10">N25*K25</f>
        <v>0</v>
      </c>
      <c r="P25" s="252">
        <f t="shared" ref="P25:P41" si="11">P$20*N25</f>
        <v>42302.440721161838</v>
      </c>
      <c r="Q25" s="258">
        <f t="shared" ref="Q25:Q41" si="12">P25+Q$20</f>
        <v>45302.440721161838</v>
      </c>
      <c r="R25" s="308"/>
      <c r="S25" s="14"/>
      <c r="T25" s="9"/>
      <c r="W25" s="4"/>
    </row>
    <row r="26" spans="2:24" ht="17.399999999999999" x14ac:dyDescent="0.3">
      <c r="B26" s="346">
        <v>2</v>
      </c>
      <c r="C26" s="347" t="s">
        <v>163</v>
      </c>
      <c r="D26" s="348">
        <v>1.0049999999999999</v>
      </c>
      <c r="E26" s="348">
        <v>0.35</v>
      </c>
      <c r="F26" s="312" t="s">
        <v>164</v>
      </c>
      <c r="G26" s="314">
        <v>30661</v>
      </c>
      <c r="H26" s="315">
        <f t="shared" si="7"/>
        <v>61322</v>
      </c>
      <c r="I26" s="265"/>
      <c r="K26" s="324"/>
      <c r="L26" s="325">
        <f t="shared" si="8"/>
        <v>1.0549999999999999</v>
      </c>
      <c r="M26" s="325">
        <f t="shared" si="2"/>
        <v>0.35</v>
      </c>
      <c r="N26" s="261">
        <f t="shared" si="9"/>
        <v>0.36924999999999997</v>
      </c>
      <c r="O26" s="259">
        <f t="shared" si="10"/>
        <v>0</v>
      </c>
      <c r="P26" s="252">
        <f t="shared" si="11"/>
        <v>33271.582589677848</v>
      </c>
      <c r="Q26" s="258">
        <f t="shared" si="12"/>
        <v>36271.582589677848</v>
      </c>
      <c r="R26" s="308"/>
      <c r="S26" s="14"/>
      <c r="T26" s="9"/>
      <c r="W26" s="4"/>
    </row>
    <row r="27" spans="2:24" ht="17.399999999999999" x14ac:dyDescent="0.3">
      <c r="B27" s="346">
        <v>2</v>
      </c>
      <c r="C27" s="347" t="s">
        <v>163</v>
      </c>
      <c r="D27" s="348">
        <v>0.75</v>
      </c>
      <c r="E27" s="348">
        <v>0.40500000000000003</v>
      </c>
      <c r="F27" s="312" t="s">
        <v>166</v>
      </c>
      <c r="G27" s="314">
        <v>32194</v>
      </c>
      <c r="H27" s="315">
        <f t="shared" si="7"/>
        <v>64388</v>
      </c>
      <c r="I27" s="265"/>
      <c r="K27" s="332">
        <f t="shared" ref="K27:K50" si="13">B27</f>
        <v>2</v>
      </c>
      <c r="L27" s="333">
        <f t="shared" si="8"/>
        <v>0.8</v>
      </c>
      <c r="M27" s="333">
        <f t="shared" si="2"/>
        <v>0.40500000000000003</v>
      </c>
      <c r="N27" s="261">
        <f t="shared" si="9"/>
        <v>0.32400000000000007</v>
      </c>
      <c r="O27" s="259">
        <f t="shared" si="10"/>
        <v>0.64800000000000013</v>
      </c>
      <c r="P27" s="252">
        <f t="shared" si="11"/>
        <v>29194.293186338866</v>
      </c>
      <c r="Q27" s="258">
        <f t="shared" si="12"/>
        <v>32194.293186338866</v>
      </c>
      <c r="R27" s="308"/>
      <c r="S27" s="14"/>
      <c r="T27" s="9"/>
      <c r="W27" s="4"/>
    </row>
    <row r="28" spans="2:24" ht="17.399999999999999" x14ac:dyDescent="0.3">
      <c r="B28" s="346">
        <v>4</v>
      </c>
      <c r="C28" s="347" t="s">
        <v>163</v>
      </c>
      <c r="D28" s="348">
        <v>0.75</v>
      </c>
      <c r="E28" s="348">
        <v>0.436</v>
      </c>
      <c r="F28" s="312" t="s">
        <v>166</v>
      </c>
      <c r="G28" s="314">
        <v>34429</v>
      </c>
      <c r="H28" s="315">
        <f t="shared" si="7"/>
        <v>137716</v>
      </c>
      <c r="I28" s="265"/>
      <c r="K28" s="47">
        <f t="shared" si="13"/>
        <v>4</v>
      </c>
      <c r="L28" s="39">
        <f t="shared" si="8"/>
        <v>0.8</v>
      </c>
      <c r="M28" s="39">
        <f t="shared" si="2"/>
        <v>0.436</v>
      </c>
      <c r="N28" s="261">
        <f t="shared" si="9"/>
        <v>0.3488</v>
      </c>
      <c r="O28" s="259">
        <f t="shared" si="10"/>
        <v>1.3952</v>
      </c>
      <c r="P28" s="252">
        <f t="shared" si="11"/>
        <v>31428.918096898131</v>
      </c>
      <c r="Q28" s="258">
        <f t="shared" si="12"/>
        <v>34428.918096898131</v>
      </c>
      <c r="R28" s="308"/>
      <c r="S28" s="14"/>
      <c r="T28" s="9"/>
      <c r="W28" s="4"/>
    </row>
    <row r="29" spans="2:24" ht="17.399999999999999" x14ac:dyDescent="0.3">
      <c r="B29" s="346">
        <v>1</v>
      </c>
      <c r="C29" s="347" t="s">
        <v>163</v>
      </c>
      <c r="D29" s="348">
        <v>0.75</v>
      </c>
      <c r="E29" s="348">
        <v>0.24299999999999999</v>
      </c>
      <c r="F29" s="312" t="s">
        <v>166</v>
      </c>
      <c r="G29" s="314">
        <v>20517</v>
      </c>
      <c r="H29" s="315">
        <f t="shared" si="7"/>
        <v>20517</v>
      </c>
      <c r="I29" s="265"/>
      <c r="K29" s="332">
        <f t="shared" si="13"/>
        <v>1</v>
      </c>
      <c r="L29" s="333">
        <f t="shared" si="8"/>
        <v>0.8</v>
      </c>
      <c r="M29" s="333">
        <f t="shared" si="2"/>
        <v>0.24299999999999999</v>
      </c>
      <c r="N29" s="261">
        <f t="shared" si="9"/>
        <v>0.19440000000000002</v>
      </c>
      <c r="O29" s="259">
        <f t="shared" si="10"/>
        <v>0.19440000000000002</v>
      </c>
      <c r="P29" s="252">
        <f t="shared" si="11"/>
        <v>17516.575911803317</v>
      </c>
      <c r="Q29" s="258">
        <f t="shared" si="12"/>
        <v>20516.575911803317</v>
      </c>
      <c r="R29" s="308"/>
      <c r="S29" s="14"/>
      <c r="T29" s="9"/>
      <c r="W29" s="4"/>
    </row>
    <row r="30" spans="2:24" ht="17.399999999999999" x14ac:dyDescent="0.3">
      <c r="B30" s="346">
        <v>1</v>
      </c>
      <c r="C30" s="347" t="s">
        <v>165</v>
      </c>
      <c r="D30" s="348">
        <v>0.75</v>
      </c>
      <c r="E30" s="348">
        <v>0.45500000000000002</v>
      </c>
      <c r="F30" s="312" t="s">
        <v>166</v>
      </c>
      <c r="G30" s="314">
        <v>35799</v>
      </c>
      <c r="H30" s="315">
        <f t="shared" ref="H30" si="14">G30*B30</f>
        <v>35799</v>
      </c>
      <c r="I30" s="265"/>
      <c r="K30" s="332">
        <f t="shared" ref="K30" si="15">B30</f>
        <v>1</v>
      </c>
      <c r="L30" s="333">
        <f t="shared" ref="L30" si="16">D30+L$19</f>
        <v>0.8</v>
      </c>
      <c r="M30" s="333">
        <f t="shared" ref="M30" si="17">E30+M$19</f>
        <v>0.45500000000000002</v>
      </c>
      <c r="N30" s="261">
        <f t="shared" ref="N30" si="18">L30*M30</f>
        <v>0.36400000000000005</v>
      </c>
      <c r="O30" s="259">
        <f t="shared" ref="O30" si="19">N30*K30</f>
        <v>0.36400000000000005</v>
      </c>
      <c r="P30" s="252">
        <f t="shared" ref="P30" si="20">P$20*N30</f>
        <v>32798.526913047368</v>
      </c>
      <c r="Q30" s="258">
        <f t="shared" ref="Q30" si="21">P30+Q$20</f>
        <v>35798.526913047368</v>
      </c>
      <c r="R30" s="308"/>
      <c r="S30" s="14"/>
      <c r="T30" s="9"/>
      <c r="W30" s="4"/>
    </row>
    <row r="31" spans="2:24" ht="17.399999999999999" x14ac:dyDescent="0.3">
      <c r="B31" s="346">
        <v>1</v>
      </c>
      <c r="C31" s="347" t="s">
        <v>163</v>
      </c>
      <c r="D31" s="348">
        <v>0.75</v>
      </c>
      <c r="E31" s="348">
        <v>0.23200000000000001</v>
      </c>
      <c r="F31" s="312" t="s">
        <v>166</v>
      </c>
      <c r="G31" s="314">
        <v>19724</v>
      </c>
      <c r="H31" s="315">
        <f t="shared" si="7"/>
        <v>19724</v>
      </c>
      <c r="I31" s="265"/>
      <c r="K31" s="330">
        <f t="shared" si="13"/>
        <v>1</v>
      </c>
      <c r="L31" s="331">
        <f t="shared" si="8"/>
        <v>0.8</v>
      </c>
      <c r="M31" s="331">
        <f t="shared" si="2"/>
        <v>0.23200000000000001</v>
      </c>
      <c r="N31" s="261">
        <f t="shared" si="9"/>
        <v>0.18560000000000001</v>
      </c>
      <c r="O31" s="259">
        <f t="shared" si="10"/>
        <v>0.18560000000000001</v>
      </c>
      <c r="P31" s="252">
        <f t="shared" si="11"/>
        <v>16723.644491927447</v>
      </c>
      <c r="Q31" s="258">
        <f t="shared" si="12"/>
        <v>19723.644491927447</v>
      </c>
      <c r="R31" s="308"/>
      <c r="S31" s="14"/>
      <c r="T31" s="9"/>
      <c r="W31" s="4"/>
    </row>
    <row r="32" spans="2:24" ht="17.399999999999999" x14ac:dyDescent="0.3">
      <c r="B32" s="346">
        <v>2</v>
      </c>
      <c r="C32" s="347" t="s">
        <v>163</v>
      </c>
      <c r="D32" s="348">
        <v>0.75</v>
      </c>
      <c r="E32" s="348">
        <v>0.29599999999999999</v>
      </c>
      <c r="F32" s="312" t="s">
        <v>166</v>
      </c>
      <c r="G32" s="314">
        <v>24337</v>
      </c>
      <c r="H32" s="315">
        <f t="shared" si="7"/>
        <v>48674</v>
      </c>
      <c r="I32" s="265"/>
      <c r="J32" s="47"/>
      <c r="K32" s="47">
        <f t="shared" si="13"/>
        <v>2</v>
      </c>
      <c r="L32" s="39">
        <f t="shared" si="8"/>
        <v>0.8</v>
      </c>
      <c r="M32" s="39">
        <f t="shared" si="2"/>
        <v>0.29599999999999999</v>
      </c>
      <c r="N32" s="261">
        <f t="shared" si="9"/>
        <v>0.23680000000000001</v>
      </c>
      <c r="O32" s="259">
        <f t="shared" si="10"/>
        <v>0.47360000000000002</v>
      </c>
      <c r="P32" s="252">
        <f t="shared" si="11"/>
        <v>21337.063662114328</v>
      </c>
      <c r="Q32" s="258">
        <f t="shared" si="12"/>
        <v>24337.063662114328</v>
      </c>
      <c r="R32" s="308"/>
      <c r="S32" s="14"/>
      <c r="T32" s="9"/>
      <c r="W32" s="4"/>
    </row>
    <row r="33" spans="2:23" ht="17.399999999999999" x14ac:dyDescent="0.3">
      <c r="B33" s="346">
        <v>2</v>
      </c>
      <c r="C33" s="347" t="s">
        <v>163</v>
      </c>
      <c r="D33" s="348">
        <v>1.6739999999999999</v>
      </c>
      <c r="E33" s="348">
        <v>0.3</v>
      </c>
      <c r="F33" s="312" t="s">
        <v>166</v>
      </c>
      <c r="G33" s="314">
        <v>49603</v>
      </c>
      <c r="H33" s="315">
        <f t="shared" ref="H33:H41" si="22">G33*B33</f>
        <v>99206</v>
      </c>
      <c r="I33" s="265"/>
      <c r="J33" s="47"/>
      <c r="K33" s="326">
        <f t="shared" si="13"/>
        <v>2</v>
      </c>
      <c r="L33" s="327">
        <f t="shared" si="8"/>
        <v>1.724</v>
      </c>
      <c r="M33" s="327">
        <f t="shared" si="2"/>
        <v>0.3</v>
      </c>
      <c r="N33" s="261">
        <f t="shared" si="9"/>
        <v>0.51719999999999999</v>
      </c>
      <c r="O33" s="259">
        <f t="shared" si="10"/>
        <v>1.0344</v>
      </c>
      <c r="P33" s="252">
        <f t="shared" si="11"/>
        <v>46602.742086340921</v>
      </c>
      <c r="Q33" s="258">
        <f t="shared" si="12"/>
        <v>49602.742086340921</v>
      </c>
      <c r="R33" s="308"/>
      <c r="S33" s="14"/>
      <c r="T33" s="9"/>
      <c r="W33" s="4"/>
    </row>
    <row r="34" spans="2:23" ht="17.399999999999999" x14ac:dyDescent="0.3">
      <c r="B34" s="346">
        <v>2</v>
      </c>
      <c r="C34" s="347" t="s">
        <v>163</v>
      </c>
      <c r="D34" s="348">
        <v>0.51</v>
      </c>
      <c r="E34" s="348">
        <v>0.3</v>
      </c>
      <c r="F34" s="312" t="s">
        <v>166</v>
      </c>
      <c r="G34" s="314">
        <v>18138</v>
      </c>
      <c r="H34" s="315">
        <f t="shared" si="22"/>
        <v>36276</v>
      </c>
      <c r="I34" s="265"/>
      <c r="J34" s="47"/>
      <c r="K34" s="328">
        <f t="shared" si="13"/>
        <v>2</v>
      </c>
      <c r="L34" s="329">
        <f t="shared" si="8"/>
        <v>0.56000000000000005</v>
      </c>
      <c r="M34" s="329">
        <f t="shared" si="2"/>
        <v>0.3</v>
      </c>
      <c r="N34" s="261">
        <f t="shared" si="9"/>
        <v>0.16800000000000001</v>
      </c>
      <c r="O34" s="259">
        <f t="shared" si="10"/>
        <v>0.33600000000000002</v>
      </c>
      <c r="P34" s="252">
        <f t="shared" si="11"/>
        <v>15137.781652175707</v>
      </c>
      <c r="Q34" s="258">
        <f t="shared" si="12"/>
        <v>18137.781652175705</v>
      </c>
      <c r="R34" s="308"/>
      <c r="S34" s="14"/>
      <c r="T34" s="9"/>
      <c r="W34" s="4"/>
    </row>
    <row r="35" spans="2:23" ht="17.399999999999999" x14ac:dyDescent="0.3">
      <c r="B35" s="346">
        <v>3</v>
      </c>
      <c r="C35" s="347" t="s">
        <v>163</v>
      </c>
      <c r="D35" s="348">
        <v>0.39</v>
      </c>
      <c r="E35" s="348">
        <v>0.309</v>
      </c>
      <c r="F35" s="312" t="s">
        <v>166</v>
      </c>
      <c r="G35" s="314">
        <v>15251</v>
      </c>
      <c r="H35" s="315">
        <f t="shared" si="22"/>
        <v>45753</v>
      </c>
      <c r="I35" s="265"/>
      <c r="J35" s="47"/>
      <c r="K35" s="330">
        <f t="shared" si="13"/>
        <v>3</v>
      </c>
      <c r="L35" s="331">
        <f t="shared" si="8"/>
        <v>0.44</v>
      </c>
      <c r="M35" s="331">
        <f t="shared" si="2"/>
        <v>0.309</v>
      </c>
      <c r="N35" s="261">
        <f t="shared" si="9"/>
        <v>0.13596</v>
      </c>
      <c r="O35" s="259">
        <f t="shared" si="10"/>
        <v>0.40788000000000002</v>
      </c>
      <c r="P35" s="252">
        <f t="shared" si="11"/>
        <v>12250.790437082196</v>
      </c>
      <c r="Q35" s="258">
        <f t="shared" si="12"/>
        <v>15250.790437082196</v>
      </c>
      <c r="R35" s="308"/>
      <c r="S35" s="14"/>
      <c r="T35" s="9"/>
      <c r="W35" s="4"/>
    </row>
    <row r="36" spans="2:23" ht="17.399999999999999" x14ac:dyDescent="0.3">
      <c r="B36" s="346">
        <v>2</v>
      </c>
      <c r="C36" s="347" t="s">
        <v>163</v>
      </c>
      <c r="D36" s="348">
        <v>0.51</v>
      </c>
      <c r="E36" s="348">
        <v>0.29599999999999999</v>
      </c>
      <c r="F36" s="312" t="s">
        <v>166</v>
      </c>
      <c r="G36" s="314">
        <v>17936</v>
      </c>
      <c r="H36" s="315">
        <f t="shared" si="22"/>
        <v>35872</v>
      </c>
      <c r="I36" s="265"/>
      <c r="J36" s="47"/>
      <c r="K36" s="330">
        <f t="shared" si="13"/>
        <v>2</v>
      </c>
      <c r="L36" s="331">
        <f t="shared" si="8"/>
        <v>0.56000000000000005</v>
      </c>
      <c r="M36" s="331">
        <f t="shared" si="8"/>
        <v>0.29599999999999999</v>
      </c>
      <c r="N36" s="261">
        <f t="shared" si="9"/>
        <v>0.16576000000000002</v>
      </c>
      <c r="O36" s="259">
        <f t="shared" si="10"/>
        <v>0.33152000000000004</v>
      </c>
      <c r="P36" s="252">
        <f t="shared" si="11"/>
        <v>14935.94456348003</v>
      </c>
      <c r="Q36" s="258">
        <f t="shared" si="12"/>
        <v>17935.944563480029</v>
      </c>
      <c r="R36" s="308"/>
      <c r="S36" s="14"/>
      <c r="T36" s="9"/>
      <c r="W36" s="4"/>
    </row>
    <row r="37" spans="2:23" ht="17.399999999999999" x14ac:dyDescent="0.3">
      <c r="B37" s="346">
        <v>1</v>
      </c>
      <c r="C37" s="347" t="s">
        <v>163</v>
      </c>
      <c r="D37" s="348">
        <v>0.30499999999999999</v>
      </c>
      <c r="E37" s="348">
        <v>0.29599999999999999</v>
      </c>
      <c r="F37" s="312" t="s">
        <v>166</v>
      </c>
      <c r="G37" s="314">
        <v>12468</v>
      </c>
      <c r="H37" s="315">
        <f t="shared" si="22"/>
        <v>12468</v>
      </c>
      <c r="I37" s="265"/>
      <c r="J37" s="47"/>
      <c r="K37" s="332">
        <f t="shared" si="13"/>
        <v>1</v>
      </c>
      <c r="L37" s="333">
        <f t="shared" si="8"/>
        <v>0.35499999999999998</v>
      </c>
      <c r="M37" s="333">
        <f t="shared" si="8"/>
        <v>0.29599999999999999</v>
      </c>
      <c r="N37" s="261">
        <f t="shared" si="9"/>
        <v>0.10507999999999999</v>
      </c>
      <c r="O37" s="259">
        <f t="shared" si="10"/>
        <v>0.10507999999999999</v>
      </c>
      <c r="P37" s="252">
        <f t="shared" si="11"/>
        <v>9468.3220000632318</v>
      </c>
      <c r="Q37" s="258">
        <f t="shared" si="12"/>
        <v>12468.322000063232</v>
      </c>
      <c r="R37" s="308"/>
      <c r="S37" s="14"/>
      <c r="T37" s="9"/>
      <c r="W37" s="4"/>
    </row>
    <row r="38" spans="2:23" ht="17.399999999999999" x14ac:dyDescent="0.3">
      <c r="B38" s="346">
        <v>1</v>
      </c>
      <c r="C38" s="347" t="s">
        <v>163</v>
      </c>
      <c r="D38" s="348">
        <v>0.33</v>
      </c>
      <c r="E38" s="348">
        <v>0.29599999999999999</v>
      </c>
      <c r="F38" s="312" t="s">
        <v>166</v>
      </c>
      <c r="G38" s="314">
        <v>13135</v>
      </c>
      <c r="H38" s="315">
        <f t="shared" si="22"/>
        <v>13135</v>
      </c>
      <c r="I38" s="265"/>
      <c r="J38" s="47"/>
      <c r="K38" s="332">
        <f t="shared" si="13"/>
        <v>1</v>
      </c>
      <c r="L38" s="333">
        <f t="shared" si="8"/>
        <v>0.38</v>
      </c>
      <c r="M38" s="333">
        <f t="shared" si="8"/>
        <v>0.29599999999999999</v>
      </c>
      <c r="N38" s="261">
        <f t="shared" si="9"/>
        <v>0.11248</v>
      </c>
      <c r="O38" s="259">
        <f t="shared" si="10"/>
        <v>0.11248</v>
      </c>
      <c r="P38" s="252">
        <f t="shared" si="11"/>
        <v>10135.105239504306</v>
      </c>
      <c r="Q38" s="258">
        <f t="shared" si="12"/>
        <v>13135.105239504306</v>
      </c>
      <c r="R38" s="308"/>
      <c r="S38" s="14"/>
      <c r="T38" s="9"/>
      <c r="W38" s="4"/>
    </row>
    <row r="39" spans="2:23" ht="17.399999999999999" x14ac:dyDescent="0.3">
      <c r="B39" s="346">
        <v>2</v>
      </c>
      <c r="C39" s="347" t="s">
        <v>163</v>
      </c>
      <c r="D39" s="348">
        <v>1.5960000000000001</v>
      </c>
      <c r="E39" s="348">
        <v>0.35199999999999998</v>
      </c>
      <c r="F39" s="312" t="s">
        <v>166</v>
      </c>
      <c r="G39" s="314">
        <v>55207</v>
      </c>
      <c r="H39" s="315">
        <f t="shared" si="22"/>
        <v>110414</v>
      </c>
      <c r="I39" s="265"/>
      <c r="J39" s="47"/>
      <c r="K39" s="332">
        <f t="shared" si="13"/>
        <v>2</v>
      </c>
      <c r="L39" s="333">
        <f t="shared" si="8"/>
        <v>1.6460000000000001</v>
      </c>
      <c r="M39" s="333">
        <f t="shared" si="8"/>
        <v>0.35199999999999998</v>
      </c>
      <c r="N39" s="261">
        <f t="shared" si="9"/>
        <v>0.57939200000000002</v>
      </c>
      <c r="O39" s="259">
        <f t="shared" si="10"/>
        <v>1.158784</v>
      </c>
      <c r="P39" s="252">
        <f t="shared" si="11"/>
        <v>52206.604684627302</v>
      </c>
      <c r="Q39" s="258">
        <f t="shared" si="12"/>
        <v>55206.604684627302</v>
      </c>
      <c r="R39" s="308"/>
      <c r="S39" s="14"/>
      <c r="T39" s="9"/>
      <c r="W39" s="4"/>
    </row>
    <row r="40" spans="2:23" ht="17.399999999999999" x14ac:dyDescent="0.3">
      <c r="B40" s="346">
        <v>2</v>
      </c>
      <c r="C40" s="347" t="s">
        <v>163</v>
      </c>
      <c r="D40" s="348">
        <v>0.59</v>
      </c>
      <c r="E40" s="348">
        <v>0.35199999999999998</v>
      </c>
      <c r="F40" s="312" t="s">
        <v>166</v>
      </c>
      <c r="G40" s="314">
        <v>23299</v>
      </c>
      <c r="H40" s="315">
        <f t="shared" si="22"/>
        <v>46598</v>
      </c>
      <c r="I40" s="265"/>
      <c r="J40" s="47"/>
      <c r="K40" s="332">
        <f t="shared" si="13"/>
        <v>2</v>
      </c>
      <c r="L40" s="333">
        <f t="shared" si="8"/>
        <v>0.64</v>
      </c>
      <c r="M40" s="333">
        <f t="shared" si="8"/>
        <v>0.35199999999999998</v>
      </c>
      <c r="N40" s="261">
        <f t="shared" si="9"/>
        <v>0.22527999999999998</v>
      </c>
      <c r="O40" s="259">
        <f t="shared" si="10"/>
        <v>0.45055999999999996</v>
      </c>
      <c r="P40" s="252">
        <f t="shared" si="11"/>
        <v>20299.044348822277</v>
      </c>
      <c r="Q40" s="258">
        <f t="shared" si="12"/>
        <v>23299.044348822277</v>
      </c>
      <c r="R40" s="308"/>
      <c r="S40" s="14"/>
      <c r="T40" s="9"/>
      <c r="W40" s="4"/>
    </row>
    <row r="41" spans="2:23" ht="17.399999999999999" x14ac:dyDescent="0.3">
      <c r="B41" s="346">
        <v>2</v>
      </c>
      <c r="C41" s="347" t="s">
        <v>163</v>
      </c>
      <c r="D41" s="348">
        <v>0.59</v>
      </c>
      <c r="E41" s="348">
        <v>0.35199999999999998</v>
      </c>
      <c r="F41" s="312" t="s">
        <v>166</v>
      </c>
      <c r="G41" s="314">
        <v>23299</v>
      </c>
      <c r="H41" s="315">
        <f t="shared" si="22"/>
        <v>46598</v>
      </c>
      <c r="I41" s="265"/>
      <c r="J41" s="47"/>
      <c r="K41" s="328">
        <f t="shared" si="13"/>
        <v>2</v>
      </c>
      <c r="L41" s="329">
        <f t="shared" si="8"/>
        <v>0.64</v>
      </c>
      <c r="M41" s="329">
        <f t="shared" si="8"/>
        <v>0.35199999999999998</v>
      </c>
      <c r="N41" s="261">
        <f t="shared" si="9"/>
        <v>0.22527999999999998</v>
      </c>
      <c r="O41" s="259">
        <f t="shared" si="10"/>
        <v>0.45055999999999996</v>
      </c>
      <c r="P41" s="252">
        <f t="shared" si="11"/>
        <v>20299.044348822277</v>
      </c>
      <c r="Q41" s="258">
        <f t="shared" si="12"/>
        <v>23299.044348822277</v>
      </c>
      <c r="R41" s="308"/>
      <c r="S41" s="14"/>
      <c r="T41" s="9"/>
      <c r="W41" s="4"/>
    </row>
    <row r="42" spans="2:23" ht="17.399999999999999" x14ac:dyDescent="0.3">
      <c r="B42" s="346">
        <v>2</v>
      </c>
      <c r="C42" s="347" t="s">
        <v>163</v>
      </c>
      <c r="D42" s="348">
        <v>1.5960000000000001</v>
      </c>
      <c r="E42" s="348">
        <v>0.35199999999999998</v>
      </c>
      <c r="F42" s="312" t="s">
        <v>166</v>
      </c>
      <c r="G42" s="314">
        <v>55207</v>
      </c>
      <c r="H42" s="315">
        <f t="shared" ref="H42:H50" si="23">G42*B42</f>
        <v>110414</v>
      </c>
      <c r="I42" s="265"/>
      <c r="J42" s="47"/>
      <c r="K42" s="328">
        <f t="shared" si="13"/>
        <v>2</v>
      </c>
      <c r="L42" s="329">
        <f t="shared" ref="L42:L50" si="24">D42+L$19</f>
        <v>1.6460000000000001</v>
      </c>
      <c r="M42" s="329">
        <f t="shared" ref="M42:M50" si="25">E42+M$19</f>
        <v>0.35199999999999998</v>
      </c>
      <c r="N42" s="261">
        <f t="shared" ref="N42:N50" si="26">L42*M42</f>
        <v>0.57939200000000002</v>
      </c>
      <c r="O42" s="259">
        <f t="shared" ref="O42:O50" si="27">N42*K42</f>
        <v>1.158784</v>
      </c>
      <c r="P42" s="252">
        <f t="shared" ref="P42:P50" si="28">P$20*N42</f>
        <v>52206.604684627302</v>
      </c>
      <c r="Q42" s="258">
        <f t="shared" ref="Q42:Q50" si="29">P42+Q$20</f>
        <v>55206.604684627302</v>
      </c>
      <c r="R42" s="308"/>
      <c r="S42" s="14"/>
      <c r="T42" s="9"/>
      <c r="W42" s="4"/>
    </row>
    <row r="43" spans="2:23" ht="17.399999999999999" x14ac:dyDescent="0.3">
      <c r="B43" s="346">
        <v>1</v>
      </c>
      <c r="C43" s="347" t="s">
        <v>163</v>
      </c>
      <c r="D43" s="348">
        <v>1.41</v>
      </c>
      <c r="E43" s="348">
        <v>0.65</v>
      </c>
      <c r="F43" s="312" t="s">
        <v>166</v>
      </c>
      <c r="G43" s="314">
        <v>88210</v>
      </c>
      <c r="H43" s="315">
        <f t="shared" si="23"/>
        <v>88210</v>
      </c>
      <c r="I43" s="265"/>
      <c r="J43" s="47">
        <v>2</v>
      </c>
      <c r="K43" s="328">
        <f t="shared" si="13"/>
        <v>1</v>
      </c>
      <c r="L43" s="329">
        <f t="shared" si="24"/>
        <v>1.46</v>
      </c>
      <c r="M43" s="329">
        <f t="shared" si="25"/>
        <v>0.65</v>
      </c>
      <c r="N43" s="261">
        <f t="shared" si="26"/>
        <v>0.94899999999999995</v>
      </c>
      <c r="O43" s="259">
        <f t="shared" si="27"/>
        <v>0.94899999999999995</v>
      </c>
      <c r="P43" s="252">
        <f t="shared" si="28"/>
        <v>85510.445166159188</v>
      </c>
      <c r="Q43" s="258">
        <f t="shared" si="29"/>
        <v>88510.445166159188</v>
      </c>
      <c r="R43" s="308"/>
      <c r="S43" s="14"/>
      <c r="T43" s="9"/>
      <c r="W43" s="4"/>
    </row>
    <row r="44" spans="2:23" ht="17.399999999999999" x14ac:dyDescent="0.3">
      <c r="B44" s="346">
        <v>1</v>
      </c>
      <c r="C44" s="347" t="s">
        <v>163</v>
      </c>
      <c r="D44" s="348">
        <v>2.19</v>
      </c>
      <c r="E44" s="348">
        <v>0.65</v>
      </c>
      <c r="F44" s="312" t="s">
        <v>166</v>
      </c>
      <c r="G44" s="314">
        <v>134194</v>
      </c>
      <c r="H44" s="315">
        <f t="shared" si="23"/>
        <v>134194</v>
      </c>
      <c r="I44" s="265"/>
      <c r="J44" s="47">
        <v>1</v>
      </c>
      <c r="K44" s="328">
        <f t="shared" si="13"/>
        <v>1</v>
      </c>
      <c r="L44" s="329">
        <f t="shared" si="24"/>
        <v>2.2399999999999998</v>
      </c>
      <c r="M44" s="329">
        <f t="shared" si="25"/>
        <v>0.65</v>
      </c>
      <c r="N44" s="261">
        <f t="shared" si="26"/>
        <v>1.456</v>
      </c>
      <c r="O44" s="259">
        <f t="shared" si="27"/>
        <v>1.456</v>
      </c>
      <c r="P44" s="252">
        <f t="shared" si="28"/>
        <v>131194.10765218944</v>
      </c>
      <c r="Q44" s="258">
        <f t="shared" si="29"/>
        <v>134194.10765218944</v>
      </c>
      <c r="R44" s="308"/>
      <c r="S44" s="14"/>
      <c r="T44" s="9"/>
      <c r="W44" s="4"/>
    </row>
    <row r="45" spans="2:23" ht="17.399999999999999" x14ac:dyDescent="0.3">
      <c r="B45" s="346">
        <v>1</v>
      </c>
      <c r="C45" s="347" t="s">
        <v>163</v>
      </c>
      <c r="D45" s="348">
        <v>2.19</v>
      </c>
      <c r="E45" s="348">
        <v>0.6</v>
      </c>
      <c r="F45" s="312" t="s">
        <v>166</v>
      </c>
      <c r="G45" s="314">
        <v>124102</v>
      </c>
      <c r="H45" s="315">
        <f t="shared" si="23"/>
        <v>124102</v>
      </c>
      <c r="I45" s="265"/>
      <c r="J45" s="47">
        <v>1</v>
      </c>
      <c r="K45" s="328">
        <f t="shared" si="13"/>
        <v>1</v>
      </c>
      <c r="L45" s="329">
        <f t="shared" si="24"/>
        <v>2.2399999999999998</v>
      </c>
      <c r="M45" s="329">
        <f t="shared" si="25"/>
        <v>0.6</v>
      </c>
      <c r="N45" s="261">
        <f t="shared" si="26"/>
        <v>1.3439999999999999</v>
      </c>
      <c r="O45" s="259">
        <f t="shared" si="27"/>
        <v>1.3439999999999999</v>
      </c>
      <c r="P45" s="252">
        <f t="shared" si="28"/>
        <v>121102.25321740564</v>
      </c>
      <c r="Q45" s="258">
        <f t="shared" si="29"/>
        <v>124102.25321740564</v>
      </c>
      <c r="R45" s="308"/>
      <c r="S45" s="14"/>
      <c r="T45" s="9"/>
      <c r="W45" s="4"/>
    </row>
    <row r="46" spans="2:23" ht="17.399999999999999" x14ac:dyDescent="0.3">
      <c r="B46" s="346">
        <v>1</v>
      </c>
      <c r="C46" s="347" t="s">
        <v>163</v>
      </c>
      <c r="D46" s="348">
        <v>0.628</v>
      </c>
      <c r="E46" s="348">
        <v>0.308</v>
      </c>
      <c r="F46" s="312" t="s">
        <v>166</v>
      </c>
      <c r="G46" s="314">
        <v>21816</v>
      </c>
      <c r="H46" s="315">
        <f t="shared" si="23"/>
        <v>21816</v>
      </c>
      <c r="I46" s="265"/>
      <c r="J46" s="47">
        <v>1</v>
      </c>
      <c r="K46" s="328">
        <f t="shared" si="13"/>
        <v>1</v>
      </c>
      <c r="L46" s="329">
        <f t="shared" si="24"/>
        <v>0.67800000000000005</v>
      </c>
      <c r="M46" s="329">
        <f t="shared" si="25"/>
        <v>0.308</v>
      </c>
      <c r="N46" s="261">
        <f t="shared" si="26"/>
        <v>0.20882400000000001</v>
      </c>
      <c r="O46" s="259">
        <f t="shared" si="27"/>
        <v>0.20882400000000001</v>
      </c>
      <c r="P46" s="252">
        <f t="shared" si="28"/>
        <v>18816.262593654403</v>
      </c>
      <c r="Q46" s="258">
        <f t="shared" si="29"/>
        <v>21816.262593654403</v>
      </c>
      <c r="R46" s="308"/>
      <c r="S46" s="14"/>
      <c r="T46" s="9"/>
      <c r="W46" s="4"/>
    </row>
    <row r="47" spans="2:23" ht="17.399999999999999" x14ac:dyDescent="0.3">
      <c r="B47" s="346">
        <v>1</v>
      </c>
      <c r="C47" s="347" t="s">
        <v>163</v>
      </c>
      <c r="D47" s="348">
        <v>0.628</v>
      </c>
      <c r="E47" s="348">
        <v>0.183</v>
      </c>
      <c r="F47" s="312" t="s">
        <v>166</v>
      </c>
      <c r="G47" s="314">
        <v>14180</v>
      </c>
      <c r="H47" s="315">
        <f t="shared" si="23"/>
        <v>14180</v>
      </c>
      <c r="I47" s="265"/>
      <c r="J47" s="47">
        <v>1</v>
      </c>
      <c r="K47" s="328">
        <f t="shared" si="13"/>
        <v>1</v>
      </c>
      <c r="L47" s="329">
        <f t="shared" si="24"/>
        <v>0.67800000000000005</v>
      </c>
      <c r="M47" s="329">
        <f t="shared" si="25"/>
        <v>0.183</v>
      </c>
      <c r="N47" s="261">
        <f t="shared" si="26"/>
        <v>0.124074</v>
      </c>
      <c r="O47" s="259">
        <f t="shared" si="27"/>
        <v>0.124074</v>
      </c>
      <c r="P47" s="252">
        <f t="shared" si="28"/>
        <v>11179.792385190765</v>
      </c>
      <c r="Q47" s="258">
        <f t="shared" si="29"/>
        <v>14179.792385190765</v>
      </c>
      <c r="R47" s="308"/>
      <c r="S47" s="14"/>
      <c r="T47" s="9"/>
      <c r="W47" s="4"/>
    </row>
    <row r="48" spans="2:23" ht="17.399999999999999" x14ac:dyDescent="0.3">
      <c r="B48" s="346">
        <v>1</v>
      </c>
      <c r="C48" s="347" t="s">
        <v>163</v>
      </c>
      <c r="D48" s="348">
        <v>0.628</v>
      </c>
      <c r="E48" s="348">
        <v>0.2</v>
      </c>
      <c r="F48" s="312" t="s">
        <v>166</v>
      </c>
      <c r="G48" s="314">
        <v>15218</v>
      </c>
      <c r="H48" s="315">
        <f t="shared" si="23"/>
        <v>15218</v>
      </c>
      <c r="I48" s="265"/>
      <c r="J48" s="47"/>
      <c r="K48" s="328">
        <f t="shared" si="13"/>
        <v>1</v>
      </c>
      <c r="L48" s="329">
        <f t="shared" si="24"/>
        <v>0.67800000000000005</v>
      </c>
      <c r="M48" s="329">
        <f t="shared" si="25"/>
        <v>0.2</v>
      </c>
      <c r="N48" s="261">
        <f t="shared" si="26"/>
        <v>0.13560000000000003</v>
      </c>
      <c r="O48" s="259">
        <f t="shared" si="27"/>
        <v>0.13560000000000003</v>
      </c>
      <c r="P48" s="252">
        <f t="shared" si="28"/>
        <v>12218.352333541821</v>
      </c>
      <c r="Q48" s="258">
        <f t="shared" si="29"/>
        <v>15218.352333541821</v>
      </c>
      <c r="R48" s="308"/>
      <c r="S48" s="14"/>
      <c r="T48" s="9"/>
      <c r="W48" s="4"/>
    </row>
    <row r="49" spans="1:23" ht="17.399999999999999" x14ac:dyDescent="0.3">
      <c r="B49" s="346">
        <v>1</v>
      </c>
      <c r="C49" s="347" t="s">
        <v>163</v>
      </c>
      <c r="D49" s="348">
        <v>0.68300000000000005</v>
      </c>
      <c r="E49" s="348">
        <v>0.308</v>
      </c>
      <c r="F49" s="312" t="s">
        <v>166</v>
      </c>
      <c r="G49" s="314">
        <v>23343</v>
      </c>
      <c r="H49" s="315">
        <f t="shared" si="23"/>
        <v>23343</v>
      </c>
      <c r="I49" s="265"/>
      <c r="J49" s="47"/>
      <c r="K49" s="328">
        <f t="shared" si="13"/>
        <v>1</v>
      </c>
      <c r="L49" s="329">
        <f t="shared" si="24"/>
        <v>0.7330000000000001</v>
      </c>
      <c r="M49" s="329">
        <f t="shared" si="25"/>
        <v>0.308</v>
      </c>
      <c r="N49" s="261">
        <f t="shared" si="26"/>
        <v>0.22576400000000002</v>
      </c>
      <c r="O49" s="259">
        <f t="shared" si="27"/>
        <v>0.22576400000000002</v>
      </c>
      <c r="P49" s="252">
        <f t="shared" si="28"/>
        <v>20342.655576915455</v>
      </c>
      <c r="Q49" s="258">
        <f t="shared" si="29"/>
        <v>23342.655576915455</v>
      </c>
      <c r="R49" s="308"/>
      <c r="S49" s="14"/>
      <c r="T49" s="9"/>
      <c r="W49" s="4"/>
    </row>
    <row r="50" spans="1:23" ht="17.399999999999999" x14ac:dyDescent="0.3">
      <c r="B50" s="346">
        <v>1</v>
      </c>
      <c r="C50" s="347" t="s">
        <v>163</v>
      </c>
      <c r="D50" s="348">
        <v>0.68300000000000005</v>
      </c>
      <c r="E50" s="348">
        <v>0.183</v>
      </c>
      <c r="F50" s="312" t="s">
        <v>166</v>
      </c>
      <c r="G50" s="314">
        <v>15087</v>
      </c>
      <c r="H50" s="315">
        <f t="shared" si="23"/>
        <v>15087</v>
      </c>
      <c r="I50" s="265"/>
      <c r="J50" s="47"/>
      <c r="K50" s="328">
        <f t="shared" si="13"/>
        <v>1</v>
      </c>
      <c r="L50" s="329">
        <f t="shared" si="24"/>
        <v>0.7330000000000001</v>
      </c>
      <c r="M50" s="329">
        <f t="shared" si="25"/>
        <v>0.183</v>
      </c>
      <c r="N50" s="261">
        <f t="shared" si="26"/>
        <v>0.13413900000000001</v>
      </c>
      <c r="O50" s="259">
        <f t="shared" si="27"/>
        <v>0.13413900000000001</v>
      </c>
      <c r="P50" s="252">
        <f t="shared" si="28"/>
        <v>12086.707696673793</v>
      </c>
      <c r="Q50" s="258">
        <f t="shared" si="29"/>
        <v>15086.707696673793</v>
      </c>
      <c r="R50" s="308"/>
      <c r="S50" s="14"/>
      <c r="T50" s="9"/>
      <c r="W50" s="4"/>
    </row>
    <row r="51" spans="1:23" ht="17.399999999999999" x14ac:dyDescent="0.3">
      <c r="B51" s="346">
        <v>1</v>
      </c>
      <c r="C51" s="347" t="s">
        <v>163</v>
      </c>
      <c r="D51" s="348">
        <v>0.68300000000000005</v>
      </c>
      <c r="E51" s="348">
        <v>0.2</v>
      </c>
      <c r="F51" s="312" t="s">
        <v>166</v>
      </c>
      <c r="G51" s="314">
        <v>16210</v>
      </c>
      <c r="H51" s="315">
        <f t="shared" ref="H51" si="30">G51*B51</f>
        <v>16210</v>
      </c>
      <c r="I51" s="265"/>
      <c r="J51" s="47"/>
      <c r="K51" s="328">
        <f t="shared" ref="K51" si="31">B51</f>
        <v>1</v>
      </c>
      <c r="L51" s="329">
        <f t="shared" ref="L51" si="32">D51+L$19</f>
        <v>0.7330000000000001</v>
      </c>
      <c r="M51" s="329">
        <f t="shared" ref="M51" si="33">E51+M$19</f>
        <v>0.2</v>
      </c>
      <c r="N51" s="261">
        <f t="shared" ref="N51" si="34">L51*M51</f>
        <v>0.14660000000000004</v>
      </c>
      <c r="O51" s="259">
        <f t="shared" ref="O51" si="35">N51*K51</f>
        <v>0.14660000000000004</v>
      </c>
      <c r="P51" s="252">
        <f t="shared" ref="P51" si="36">P$20*N51</f>
        <v>13209.516608386661</v>
      </c>
      <c r="Q51" s="258">
        <f t="shared" ref="Q51" si="37">P51+Q$20</f>
        <v>16209.516608386661</v>
      </c>
      <c r="R51" s="308"/>
      <c r="S51" s="14"/>
      <c r="T51" s="9"/>
      <c r="W51" s="4"/>
    </row>
    <row r="52" spans="1:23" ht="18" thickBot="1" x14ac:dyDescent="0.35">
      <c r="B52" s="286"/>
      <c r="C52" s="286"/>
      <c r="D52" s="287"/>
      <c r="E52" s="287"/>
      <c r="F52" s="286"/>
      <c r="G52" s="265"/>
      <c r="H52" s="232"/>
      <c r="I52" s="232"/>
      <c r="J52" s="47"/>
      <c r="K52" s="47"/>
      <c r="L52" s="39"/>
      <c r="M52" s="39"/>
      <c r="N52" s="261"/>
      <c r="O52" s="259"/>
      <c r="P52" s="252"/>
      <c r="Q52" s="258"/>
      <c r="R52" s="308"/>
      <c r="S52" s="14"/>
      <c r="T52" s="9"/>
      <c r="W52" s="4"/>
    </row>
    <row r="53" spans="1:23" ht="17.399999999999999" x14ac:dyDescent="0.3">
      <c r="B53" s="286"/>
      <c r="C53" s="286"/>
      <c r="D53" s="287"/>
      <c r="E53" s="287"/>
      <c r="F53" s="286"/>
      <c r="G53" s="309" t="s">
        <v>30</v>
      </c>
      <c r="H53" s="310">
        <f>SUM(H21:H52)</f>
        <v>1635818</v>
      </c>
      <c r="I53" s="265"/>
      <c r="J53" s="47"/>
      <c r="K53" s="47"/>
      <c r="L53" s="39">
        <f>SUM(L21:L52)</f>
        <v>27.369000000000003</v>
      </c>
      <c r="M53" s="39"/>
      <c r="N53" s="261"/>
      <c r="O53" s="259"/>
      <c r="P53" s="252"/>
      <c r="Q53" s="258"/>
      <c r="R53" s="308"/>
      <c r="S53" s="14"/>
      <c r="T53" s="9"/>
      <c r="W53" s="4"/>
    </row>
    <row r="54" spans="1:23" ht="17.399999999999999" x14ac:dyDescent="0.3">
      <c r="B54" s="280"/>
      <c r="C54" s="283"/>
      <c r="D54" s="284"/>
      <c r="E54" s="284"/>
      <c r="F54" s="285"/>
      <c r="G54" s="307" t="s">
        <v>53</v>
      </c>
      <c r="H54" s="304">
        <f>H53*0.19</f>
        <v>310805.42</v>
      </c>
      <c r="I54" s="265"/>
      <c r="J54" s="47"/>
      <c r="K54" s="47"/>
      <c r="L54" s="39"/>
      <c r="M54" s="12"/>
      <c r="N54" s="12"/>
      <c r="O54" s="253">
        <f>SUM(O21:O51)</f>
        <v>13.530848999999998</v>
      </c>
      <c r="P54" s="14"/>
      <c r="Q54" s="12"/>
      <c r="R54" s="238"/>
      <c r="S54" s="14"/>
      <c r="T54" s="9"/>
      <c r="W54" s="4"/>
    </row>
    <row r="55" spans="1:23" ht="18" thickBot="1" x14ac:dyDescent="0.35">
      <c r="B55" s="276"/>
      <c r="C55" s="282"/>
      <c r="D55" s="272"/>
      <c r="E55" s="272"/>
      <c r="F55" s="273"/>
      <c r="G55" s="281" t="s">
        <v>6</v>
      </c>
      <c r="H55" s="305">
        <f>H53+H54</f>
        <v>1946623.42</v>
      </c>
      <c r="I55" s="265"/>
      <c r="J55" s="47"/>
      <c r="K55" s="47"/>
      <c r="L55" s="39"/>
      <c r="M55" s="12"/>
      <c r="N55" s="12"/>
      <c r="O55" s="253">
        <f>O54</f>
        <v>13.530848999999998</v>
      </c>
      <c r="P55" s="14"/>
      <c r="Q55" s="12"/>
      <c r="R55" s="238">
        <f>SUM(R21:R54)</f>
        <v>0</v>
      </c>
      <c r="S55" s="14"/>
      <c r="T55" s="9"/>
      <c r="W55" s="4"/>
    </row>
    <row r="56" spans="1:23" ht="17.399999999999999" x14ac:dyDescent="0.3">
      <c r="B56" s="271"/>
      <c r="C56" s="271"/>
      <c r="D56" s="272"/>
      <c r="E56" s="272"/>
      <c r="F56" s="273"/>
      <c r="G56" s="274"/>
      <c r="H56" s="275"/>
      <c r="I56" s="265"/>
      <c r="J56" s="47"/>
      <c r="K56" s="47"/>
      <c r="L56" s="14"/>
      <c r="M56" s="12"/>
      <c r="N56" s="12"/>
      <c r="O56" s="39">
        <f>O55*20%</f>
        <v>2.7061697999999996</v>
      </c>
      <c r="P56" s="39" t="s">
        <v>132</v>
      </c>
      <c r="Q56" s="42"/>
      <c r="R56" s="239"/>
      <c r="S56" s="14"/>
      <c r="T56" s="9"/>
      <c r="W56" s="4"/>
    </row>
    <row r="57" spans="1:23" ht="17.399999999999999" x14ac:dyDescent="0.35">
      <c r="B57" s="269"/>
      <c r="C57" s="230"/>
      <c r="D57" s="230"/>
      <c r="E57" s="232"/>
      <c r="F57" s="233"/>
      <c r="G57" s="230"/>
      <c r="H57" s="275"/>
      <c r="I57" s="265"/>
      <c r="J57" s="319"/>
      <c r="K57" s="47"/>
      <c r="L57" s="14"/>
      <c r="M57" s="12"/>
      <c r="N57" s="12"/>
      <c r="O57" s="46">
        <f>O55+O56</f>
        <v>16.237018799999998</v>
      </c>
      <c r="P57" s="14"/>
      <c r="Q57" s="14"/>
      <c r="R57" s="237">
        <v>40</v>
      </c>
      <c r="S57" s="14"/>
      <c r="T57" s="9"/>
      <c r="W57" s="4"/>
    </row>
    <row r="58" spans="1:23" ht="17.399999999999999" x14ac:dyDescent="0.35">
      <c r="B58" s="234"/>
      <c r="C58" s="235"/>
      <c r="D58" s="236"/>
      <c r="E58" s="234"/>
      <c r="F58" s="230"/>
      <c r="G58" s="230"/>
      <c r="I58" s="265"/>
      <c r="J58" s="319"/>
      <c r="K58" s="47"/>
      <c r="L58" s="14"/>
      <c r="M58" s="14"/>
      <c r="N58" s="14"/>
      <c r="O58" s="14"/>
      <c r="P58" s="14"/>
      <c r="Q58" s="14"/>
      <c r="R58" s="237"/>
      <c r="S58" s="14"/>
      <c r="T58" s="9"/>
      <c r="W58" s="4"/>
    </row>
    <row r="59" spans="1:23" ht="17.399999999999999" x14ac:dyDescent="0.35">
      <c r="B59" s="230"/>
      <c r="C59" s="230"/>
      <c r="D59" s="230"/>
      <c r="E59" s="230"/>
      <c r="F59" s="230"/>
      <c r="G59" s="230"/>
      <c r="I59" s="265"/>
      <c r="J59" s="47"/>
      <c r="K59" s="47"/>
      <c r="L59" s="39">
        <f>O57</f>
        <v>16.237018799999998</v>
      </c>
      <c r="M59" s="12">
        <v>3500</v>
      </c>
      <c r="N59" s="12">
        <f t="shared" ref="N59:N64" si="38">L59*M59</f>
        <v>56829.565799999989</v>
      </c>
      <c r="O59" s="14" t="s">
        <v>22</v>
      </c>
      <c r="P59" s="14" t="s">
        <v>23</v>
      </c>
      <c r="Q59" s="14"/>
      <c r="R59" s="240"/>
      <c r="S59" s="14"/>
      <c r="T59" s="9"/>
      <c r="W59" s="4"/>
    </row>
    <row r="60" spans="1:23" ht="17.399999999999999" x14ac:dyDescent="0.35">
      <c r="A60" s="230"/>
      <c r="B60" s="230"/>
      <c r="C60" s="230"/>
      <c r="D60" s="230"/>
      <c r="E60" s="230"/>
      <c r="F60" s="230"/>
      <c r="G60" s="230"/>
      <c r="H60" s="230"/>
      <c r="I60" s="265"/>
      <c r="J60" s="47"/>
      <c r="K60" s="47"/>
      <c r="L60" s="249">
        <v>4</v>
      </c>
      <c r="M60" s="12">
        <v>43000</v>
      </c>
      <c r="N60" s="12">
        <f t="shared" si="38"/>
        <v>172000</v>
      </c>
      <c r="O60" s="39" t="s">
        <v>156</v>
      </c>
      <c r="P60" s="42"/>
      <c r="Q60" s="14"/>
      <c r="R60" s="239"/>
      <c r="S60" s="14"/>
      <c r="T60" s="9"/>
      <c r="W60" s="4"/>
    </row>
    <row r="61" spans="1:23" s="230" customFormat="1" ht="17.399999999999999" x14ac:dyDescent="0.35">
      <c r="B61" s="24" t="s">
        <v>153</v>
      </c>
      <c r="I61" s="262"/>
      <c r="J61" s="47"/>
      <c r="K61" s="250"/>
      <c r="L61" s="14"/>
      <c r="M61" s="250">
        <v>40754</v>
      </c>
      <c r="N61" s="12">
        <f t="shared" si="38"/>
        <v>0</v>
      </c>
      <c r="O61" s="39" t="s">
        <v>32</v>
      </c>
      <c r="P61" s="42"/>
      <c r="R61" s="239"/>
      <c r="S61" s="256"/>
      <c r="V61" s="231"/>
    </row>
    <row r="62" spans="1:23" s="230" customFormat="1" ht="17.399999999999999" x14ac:dyDescent="0.35">
      <c r="B62" s="24" t="s">
        <v>146</v>
      </c>
      <c r="C62"/>
      <c r="D62"/>
      <c r="E62"/>
      <c r="F62"/>
      <c r="I62" s="262"/>
      <c r="J62" s="318"/>
      <c r="K62" s="250"/>
      <c r="L62" s="14">
        <v>7</v>
      </c>
      <c r="M62" s="250">
        <v>39882</v>
      </c>
      <c r="N62" s="12">
        <f t="shared" si="38"/>
        <v>279174</v>
      </c>
      <c r="O62" s="14" t="s">
        <v>143</v>
      </c>
      <c r="P62" s="17"/>
      <c r="R62" s="237"/>
      <c r="S62" s="256"/>
      <c r="V62" s="231"/>
    </row>
    <row r="63" spans="1:23" s="230" customFormat="1" ht="17.399999999999999" x14ac:dyDescent="0.35">
      <c r="B63" s="29" t="s">
        <v>127</v>
      </c>
      <c r="C63"/>
      <c r="D63"/>
      <c r="E63"/>
      <c r="F63" s="229" t="s">
        <v>16</v>
      </c>
      <c r="I63" s="262"/>
      <c r="J63" s="318"/>
      <c r="K63" s="250"/>
      <c r="L63" s="249"/>
      <c r="M63" s="250">
        <v>800</v>
      </c>
      <c r="N63" s="12">
        <f t="shared" si="38"/>
        <v>0</v>
      </c>
      <c r="O63" s="14" t="s">
        <v>34</v>
      </c>
      <c r="P63" s="14"/>
      <c r="Q63" s="230">
        <v>1.52</v>
      </c>
      <c r="R63" s="237"/>
      <c r="S63" s="237"/>
    </row>
    <row r="64" spans="1:23" s="230" customFormat="1" ht="17.399999999999999" x14ac:dyDescent="0.35">
      <c r="I64" s="303"/>
      <c r="J64" s="47"/>
      <c r="K64" s="250"/>
      <c r="L64" s="266"/>
      <c r="M64" s="12">
        <v>1500</v>
      </c>
      <c r="N64" s="12">
        <f t="shared" si="38"/>
        <v>0</v>
      </c>
      <c r="O64" s="14" t="s">
        <v>24</v>
      </c>
      <c r="P64" s="14"/>
      <c r="Q64">
        <v>2.44</v>
      </c>
      <c r="R64"/>
      <c r="S64" s="237">
        <v>1500</v>
      </c>
      <c r="W64" s="231"/>
    </row>
    <row r="65" spans="2:23" s="230" customFormat="1" ht="17.399999999999999" x14ac:dyDescent="0.35">
      <c r="J65" s="47"/>
      <c r="K65" s="250"/>
      <c r="L65" s="14"/>
      <c r="M65" s="12"/>
      <c r="N65" s="12">
        <f>SUM(N59:N64)</f>
        <v>508003.56579999998</v>
      </c>
      <c r="O65" s="39" t="s">
        <v>25</v>
      </c>
      <c r="P65" s="14"/>
      <c r="Q65">
        <f>Q63*Q64</f>
        <v>3.7088000000000001</v>
      </c>
      <c r="R65"/>
      <c r="S65" s="237">
        <f>R57*S64</f>
        <v>60000</v>
      </c>
      <c r="W65" s="231"/>
    </row>
    <row r="66" spans="2:23" s="230" customFormat="1" ht="17.399999999999999" x14ac:dyDescent="0.35">
      <c r="I66" s="230" t="s">
        <v>167</v>
      </c>
      <c r="J66" s="47">
        <v>47460</v>
      </c>
      <c r="K66" s="250"/>
      <c r="L66" s="254" t="s">
        <v>35</v>
      </c>
      <c r="M66" s="12"/>
      <c r="N66" s="255">
        <f>N65*2.4</f>
        <v>1219208.5579199998</v>
      </c>
      <c r="O66" s="14" t="s">
        <v>142</v>
      </c>
      <c r="P66" s="14"/>
      <c r="Q66" s="46">
        <f>O55/Q65</f>
        <v>3.6483091566005172</v>
      </c>
      <c r="R66"/>
      <c r="S66" s="257" t="e">
        <f>S65/#REF!</f>
        <v>#REF!</v>
      </c>
    </row>
    <row r="67" spans="2:23" s="230" customFormat="1" ht="17.399999999999999" x14ac:dyDescent="0.35">
      <c r="G67"/>
      <c r="H67" s="260"/>
      <c r="I67" s="260">
        <v>7</v>
      </c>
      <c r="J67" s="47">
        <f>J66/1.19</f>
        <v>39882.352941176476</v>
      </c>
      <c r="K67" s="250"/>
      <c r="L67" s="14"/>
      <c r="M67" s="12"/>
      <c r="N67" s="12">
        <f>N66/O55</f>
        <v>90105.843167712534</v>
      </c>
      <c r="O67" s="45" t="s">
        <v>26</v>
      </c>
      <c r="P67" s="14"/>
      <c r="Q67" s="14"/>
      <c r="R67"/>
      <c r="S67" s="237"/>
    </row>
    <row r="68" spans="2:23" s="230" customFormat="1" ht="17.399999999999999" x14ac:dyDescent="0.35">
      <c r="G68"/>
      <c r="J68" s="47"/>
      <c r="K68" s="250"/>
      <c r="L68" s="13"/>
      <c r="M68" s="14"/>
      <c r="N68" s="17">
        <f>N66/N65</f>
        <v>2.4</v>
      </c>
      <c r="O68" s="15"/>
      <c r="P68"/>
      <c r="Q68"/>
      <c r="R68"/>
      <c r="S68" s="237"/>
    </row>
    <row r="69" spans="2:23" s="230" customFormat="1" ht="17.399999999999999" x14ac:dyDescent="0.35">
      <c r="G69" s="23"/>
      <c r="J69" s="47"/>
      <c r="K69" s="12"/>
      <c r="S69" s="237"/>
    </row>
    <row r="70" spans="2:23" s="230" customFormat="1" ht="17.399999999999999" x14ac:dyDescent="0.35">
      <c r="B70"/>
      <c r="C70" s="228"/>
      <c r="D70" s="22"/>
      <c r="E70" s="22"/>
      <c r="F70" s="21"/>
      <c r="G70" s="23"/>
      <c r="J70" s="47"/>
      <c r="K70" s="12"/>
      <c r="S70" s="237">
        <v>1.83</v>
      </c>
    </row>
    <row r="71" spans="2:23" ht="14.4" customHeight="1" x14ac:dyDescent="0.3">
      <c r="J71" s="47"/>
      <c r="K71" s="12"/>
      <c r="S71">
        <v>2.5</v>
      </c>
    </row>
    <row r="72" spans="2:23" x14ac:dyDescent="0.3">
      <c r="J72" s="47"/>
      <c r="K72" s="250"/>
      <c r="S72">
        <f>S70*S71</f>
        <v>4.5750000000000002</v>
      </c>
    </row>
    <row r="73" spans="2:23" x14ac:dyDescent="0.3">
      <c r="K73" s="250"/>
      <c r="S73" s="270">
        <f>O57/S72</f>
        <v>3.5490751475409832</v>
      </c>
    </row>
    <row r="74" spans="2:23" x14ac:dyDescent="0.3">
      <c r="K74" s="250"/>
    </row>
    <row r="75" spans="2:23" ht="15" customHeight="1" x14ac:dyDescent="0.3"/>
    <row r="77" spans="2:23" x14ac:dyDescent="0.3">
      <c r="N77">
        <v>40935</v>
      </c>
      <c r="O77" t="s">
        <v>17</v>
      </c>
      <c r="P77" t="s">
        <v>28</v>
      </c>
    </row>
    <row r="79" spans="2:23" x14ac:dyDescent="0.3">
      <c r="N79" s="54"/>
      <c r="O79" s="54"/>
    </row>
    <row r="80" spans="2:23" x14ac:dyDescent="0.3">
      <c r="R80" s="18"/>
      <c r="S80" s="18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4" spans="14:19" x14ac:dyDescent="0.3">
      <c r="R84" s="18"/>
      <c r="S84" s="18"/>
    </row>
    <row r="85" spans="14:19" x14ac:dyDescent="0.3">
      <c r="R85" s="18"/>
      <c r="S85" s="18"/>
    </row>
    <row r="86" spans="14:19" x14ac:dyDescent="0.3">
      <c r="R86" s="18"/>
      <c r="S86" s="18"/>
    </row>
    <row r="87" spans="14:19" x14ac:dyDescent="0.3">
      <c r="R87" s="18"/>
      <c r="S87" s="18"/>
    </row>
    <row r="88" spans="14:19" x14ac:dyDescent="0.3">
      <c r="R88" s="18"/>
      <c r="S88" s="18"/>
    </row>
    <row r="91" spans="14:19" x14ac:dyDescent="0.3">
      <c r="N91" s="43"/>
    </row>
    <row r="92" spans="14:19" x14ac:dyDescent="0.3">
      <c r="N92" s="43"/>
    </row>
    <row r="93" spans="14:19" x14ac:dyDescent="0.3">
      <c r="N93" s="6"/>
    </row>
    <row r="94" spans="14:19" x14ac:dyDescent="0.3">
      <c r="N94" s="6"/>
    </row>
    <row r="102" spans="3:3" x14ac:dyDescent="0.3">
      <c r="C102" t="s">
        <v>150</v>
      </c>
    </row>
    <row r="103" spans="3:3" x14ac:dyDescent="0.3">
      <c r="C103" t="s">
        <v>149</v>
      </c>
    </row>
    <row r="106" spans="3:3" x14ac:dyDescent="0.3">
      <c r="C106" t="s">
        <v>149</v>
      </c>
    </row>
    <row r="183" spans="3:3" x14ac:dyDescent="0.3">
      <c r="C183" t="s">
        <v>149</v>
      </c>
    </row>
    <row r="184" spans="3:3" x14ac:dyDescent="0.3">
      <c r="C184" t="s">
        <v>151</v>
      </c>
    </row>
    <row r="185" spans="3:3" x14ac:dyDescent="0.3">
      <c r="C185" t="s">
        <v>152</v>
      </c>
    </row>
    <row r="610" spans="3:3" x14ac:dyDescent="0.3">
      <c r="C610" t="s">
        <v>149</v>
      </c>
    </row>
  </sheetData>
  <mergeCells count="2">
    <mergeCell ref="F17:H17"/>
    <mergeCell ref="B19:H19"/>
  </mergeCells>
  <phoneticPr fontId="34" type="noConversion"/>
  <hyperlinks>
    <hyperlink ref="F6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45324</v>
      </c>
    </row>
    <row r="6" spans="2:31" ht="16.2" thickBot="1" x14ac:dyDescent="0.35">
      <c r="B6" s="140" t="s">
        <v>2</v>
      </c>
      <c r="C6" s="139" t="str">
        <f>'2229'!C10</f>
        <v>VICTOR RIVERO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100</v>
      </c>
      <c r="I7" s="341"/>
      <c r="J7" s="341"/>
      <c r="K7" s="342"/>
      <c r="N7" s="75"/>
      <c r="O7" s="33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10944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-201503.82777178744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'2229'!H53</f>
        <v>1635818</v>
      </c>
      <c r="E11" s="132">
        <f>D11*0.19</f>
        <v>310805.42</v>
      </c>
      <c r="F11" s="131">
        <f>E11+D11</f>
        <v>1946623.42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-95513.827771787444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258663.65658743959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-113513.82777178744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1377154.3434125604</v>
      </c>
      <c r="E13" s="221">
        <f>(D11/D12)-1</f>
        <v>5.324112252882431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-122513.82777178744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-161513.82777178744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426795.03336927528</v>
      </c>
      <c r="F15" s="216">
        <f>E15-D12</f>
        <v>168131.37678183569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-161513.82777178744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-121513.82777178744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'2229'!N61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'2229'!N60</f>
        <v>172000</v>
      </c>
      <c r="E19" s="123">
        <f>D19*0.19</f>
        <v>32680</v>
      </c>
      <c r="F19" s="120">
        <f>SUM(D19:E19)</f>
        <v>204680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'2229'!N59</f>
        <v>56829.565799999989</v>
      </c>
      <c r="E20" s="121">
        <f>D20*0.19</f>
        <v>10797.617501999997</v>
      </c>
      <c r="F20" s="120">
        <f>SUM(D20:E20)</f>
        <v>67627.18330199999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228829.56579999998</v>
      </c>
      <c r="E21" s="116">
        <f>SUM(E18:E20)</f>
        <v>43477.617501999994</v>
      </c>
      <c r="F21" s="115">
        <f>SUM(F18:F20)</f>
        <v>272307.18330199999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267327.80249799998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1635818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228829.56579999998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1377154.3434125604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1377154.3434125604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2024-05-02T16:38:31Z</dcterms:modified>
</cp:coreProperties>
</file>