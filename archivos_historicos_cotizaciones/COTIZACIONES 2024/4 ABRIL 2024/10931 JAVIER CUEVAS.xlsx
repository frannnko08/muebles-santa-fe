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3596F65A-50E4-4780-AAE3-21188719C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K22" i="1"/>
  <c r="L22" i="1"/>
  <c r="M22" i="1"/>
  <c r="N22" i="1"/>
  <c r="O22" i="1" s="1"/>
  <c r="R22" i="1"/>
  <c r="K21" i="1"/>
  <c r="J39" i="1" l="1"/>
  <c r="L21" i="1" l="1"/>
  <c r="L25" i="1" s="1"/>
  <c r="M21" i="1"/>
  <c r="N21" i="1" l="1"/>
  <c r="O21" i="1" s="1"/>
  <c r="O27" i="1" s="1"/>
  <c r="O28" i="1" s="1"/>
  <c r="O29" i="1" s="1"/>
  <c r="R21" i="1"/>
  <c r="N32" i="1"/>
  <c r="S44" i="1" l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G22" i="1" l="1"/>
  <c r="H22" i="1" s="1"/>
  <c r="Q22" i="1"/>
  <c r="P21" i="1"/>
  <c r="G21" i="1" s="1"/>
  <c r="F15" i="3"/>
  <c r="Q21" i="1" l="1"/>
  <c r="R27" i="1"/>
  <c r="H21" i="1" l="1"/>
  <c r="H25" i="1" l="1"/>
  <c r="H26" i="1" l="1"/>
  <c r="H27" i="1" s="1"/>
  <c r="K15" i="1"/>
  <c r="D11" i="3"/>
  <c r="X9" i="3" l="1"/>
  <c r="E13" i="3"/>
  <c r="M42" i="3"/>
  <c r="M46" i="3" s="1"/>
  <c r="M49" i="3" s="1"/>
  <c r="E11" i="3"/>
  <c r="D13" i="3"/>
  <c r="F11" i="3" l="1"/>
  <c r="D40" i="3"/>
  <c r="X15" i="3"/>
  <c r="X13" i="3"/>
  <c r="X12" i="3"/>
  <c r="X16" i="3"/>
  <c r="X11" i="3"/>
  <c r="X14" i="3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<sst xmlns="http://schemas.openxmlformats.org/spreadsheetml/2006/main" count="221" uniqueCount="165">
  <si>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</si>
  <si>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</si>
  <si>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</si>
  <si>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</si>
  <si>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</si>
  <si>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</si>
  <si>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</si>
  <si>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</si>
  <si>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</si>
  <si>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</si>
  <si>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</si>
  <si>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</si>
  <si>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</si>
  <si>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</si>
  <si>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</si>
  <si>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</si>
  <si>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</si>
  <si>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</si>
  <si>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</si>
  <si>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</si>
  <si>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</si>
  <si>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</si>
  <si>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</si>
  <si>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</si>
  <si>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</si>
  <si>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</si>
  <si>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</si>
  <si>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</si>
  <si>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</si>
  <si>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</si>
  <si>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</si>
  <si>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</si>
  <si>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</si>
  <si>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</si>
  <si>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</si>
  <si>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</si>
  <si>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</si>
  <si>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</si>
  <si>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</si>
  <si>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</si>
  <si>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</si>
  <si>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</si>
  <si>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</si>
  <si>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</si>
  <si>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</si>
  <si>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</si>
  <si>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</si>
  <si>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</si>
  <si>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</si>
  <si>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</si>
  <si>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</si>
  <si>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</si>
  <si>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</si>
  <si>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</si>
  <si>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</si>
  <si>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</si>
  <si>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</si>
  <si>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</si>
  <si>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</si>
  <si>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</si>
  <si>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</si>
  <si>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</si>
  <si>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</si>
  <si>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</si>
  <si>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</si>
  <si>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</si>
  <si>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</si>
  <si>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</si>
  <si>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</si>
  <si>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</si>
  <si>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</si>
  <si>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</si>
  <si>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</si>
  <si>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</si>
  <si>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</si>
  <si>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</si>
  <si>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</si>
  <si>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</si>
  <si>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</si>
  <si>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</si>
  <si>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</si>
  <si>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</si>
  <si>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</si>
  <si>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</si>
  <si>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</si>
  <si>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</si>
  <si>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</si>
  <si>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</si>
  <si>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</si>
  <si>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</si>
  <si>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</si>
  <si>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</si>
  <si>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</si>
  <si>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</si>
  <si>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</si>
  <si>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</si>
  <si>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</si>
  <si>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</si>
  <si>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</si>
  <si>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</si>
  <si>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</si>
  <si>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</si>
  <si>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</si>
  <si>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</si>
  <si>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</si>
  <si>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</si>
  <si>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</si>
  <si>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</si>
  <si>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</si>
  <si>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</si>
  <si>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</si>
  <si>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</si>
  <si>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</si>
  <si>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</si>
  <si>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</si>
  <si>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</si>
  <si>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</si>
  <si>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</si>
  <si>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</si>
  <si>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</si>
  <si>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</si>
  <si>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</si>
  <si>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</si>
  <si>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</si>
  <si>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</si>
  <si>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</si>
  <si>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</si>
  <si>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</si>
  <si>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</si>
  <si>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</si>
  <si>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</si>
  <si>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</si>
  <si>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</si>
  <si>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</si>
  <si>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</si>
  <si>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</si>
  <si>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</si>
  <si>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</si>
  <si>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</si>
  <si>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</si>
  <si>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</si>
  <si>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</si>
  <si>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</si>
  <si>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</si>
  <si>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</si>
  <si>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</si>
  <si>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</si>
  <si>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</si>
  <si>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</si>
  <si>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</si>
  <si>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</si>
  <si>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</si>
  <si>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</si>
  <si>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</si>
  <si>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</si>
  <si>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</si>
  <si>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</si>
  <si>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5 DIAS HABILES</t>
  </si>
  <si>
    <t>DURACION COTIZACION: 5 DIAS                   FRANCO DONOSO</t>
  </si>
  <si>
    <t>INSIDE WORK</t>
  </si>
  <si>
    <t>+569 5216 2705</t>
  </si>
  <si>
    <t>N° 10930</t>
  </si>
  <si>
    <t xml:space="preserve">CUB C/R R6 </t>
  </si>
  <si>
    <t>CUB MESA R6 2 LADOS</t>
  </si>
  <si>
    <t>OCEAN STONE FS 26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</si>
</sst>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[$$-340A]* #,##0_ ;_ [$$-340A]* \-#,##0_ ;_ [$$-340A]* &quot;-&quot;??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/>
    </xf>
    <xf numFmtId="175" fontId="33" fillId="8" borderId="29" xfId="0" applyNumberFormat="1" applyFont="1" applyFill="1" applyBorder="1"/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6" fillId="8" borderId="0" xfId="0" applyFont="1" applyFill="1"/>
    <xf numFmtId="0" fontId="29" fillId="0" borderId="0" xfId="0" applyFont="1" applyAlignment="1">
      <alignment horizontal="left"/>
    </xf>
    <xf numFmtId="0" fontId="9" fillId="8" borderId="0" xfId="3" applyFill="1"/>
    <xf numFmtId="0" fontId="5" fillId="8" borderId="0" xfId="0" applyFont="1" applyFill="1"/>
    <xf numFmtId="0" fontId="25" fillId="0" borderId="0" xfId="0" applyFont="1"/>
    <xf numFmtId="0" fontId="29" fillId="0" borderId="0" xfId="0" applyFont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9525</xdr:rowOff>
    </xdr:from>
    <xdr:to>
      <xdr:col>5</xdr:col>
      <xdr:colOff>1749491</xdr:colOff>
      <xdr:row>31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3072</xdr:colOff>
      <xdr:row>24</xdr:row>
      <xdr:rowOff>0</xdr:rowOff>
    </xdr:from>
    <xdr:to>
      <xdr:col>5</xdr:col>
      <xdr:colOff>1749490</xdr:colOff>
      <xdr:row>27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1567" y="4791658"/>
          <a:ext cx="6295091" cy="680358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804757</xdr:colOff>
      <xdr:row>6</xdr:row>
      <xdr:rowOff>72545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D17" zoomScale="98" zoomScaleNormal="98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0" t="s">
        <v>128</v>
      </c>
      <c r="C8" s="291"/>
      <c r="D8" s="302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45405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298"/>
      <c r="F11" t="s">
        <v>125</v>
      </c>
      <c r="G11" s="287" t="s">
        <v>157</v>
      </c>
      <c r="H11" s="288"/>
      <c r="P11" s="19"/>
      <c r="Q11" s="25" t="s">
        <v>19</v>
      </c>
      <c r="R11" s="19"/>
    </row>
    <row r="12" spans="2:23" ht="16.8" x14ac:dyDescent="0.4">
      <c r="B12" s="246" t="s">
        <v>147</v>
      </c>
      <c r="C12" s="31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86" t="s">
        <v>148</v>
      </c>
      <c r="G13" s="319"/>
      <c r="H13" s="28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46" t="s">
        <v>141</v>
      </c>
      <c r="C14" s="320"/>
      <c r="D14" s="247"/>
      <c r="E14" s="247"/>
      <c r="F14" s="321" t="s">
        <v>138</v>
      </c>
      <c r="G14" s="289" t="s">
        <v>137</v>
      </c>
      <c r="H14" s="248"/>
      <c r="J14" s="29"/>
      <c r="P14" s="20"/>
      <c r="Q14" s="26" t="s">
        <v>18</v>
      </c>
      <c r="R14" s="20"/>
    </row>
    <row r="15" spans="2:23" ht="15.6" x14ac:dyDescent="0.3">
      <c r="B15" s="286" t="s">
        <v>4</v>
      </c>
      <c r="C15" s="303" t="s">
        <v>160</v>
      </c>
      <c r="D15" s="322"/>
      <c r="F15" t="s">
        <v>136</v>
      </c>
      <c r="G15" s="323" t="s">
        <v>137</v>
      </c>
      <c r="H15" s="288"/>
      <c r="K15" s="18">
        <f>H25/L13</f>
        <v>14936.807155852035</v>
      </c>
    </row>
    <row r="16" spans="2:23" ht="16.8" x14ac:dyDescent="0.4">
      <c r="B16" s="324" t="s">
        <v>3</v>
      </c>
      <c r="C16" s="318"/>
      <c r="D16" s="247"/>
      <c r="E16" s="247"/>
      <c r="F16" s="325" t="s">
        <v>131</v>
      </c>
      <c r="G16" s="326" t="s">
        <v>155</v>
      </c>
      <c r="H16" s="248"/>
    </row>
    <row r="17" spans="1:24" ht="15" thickBot="1" x14ac:dyDescent="0.35">
      <c r="B17" s="327" t="s">
        <v>13</v>
      </c>
      <c r="C17" s="328" t="s">
        <v>156</v>
      </c>
      <c r="D17" s="329"/>
      <c r="E17" s="119"/>
      <c r="F17" s="330" t="s">
        <v>158</v>
      </c>
      <c r="G17" s="330"/>
      <c r="H17" s="331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106626.81818181821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3">
        <v>1</v>
      </c>
      <c r="C21" s="314" t="s">
        <v>162</v>
      </c>
      <c r="D21" s="315">
        <v>3.4</v>
      </c>
      <c r="E21" s="315">
        <v>0.6</v>
      </c>
      <c r="F21" s="314" t="s">
        <v>164</v>
      </c>
      <c r="G21" s="316">
        <f>P21</f>
        <v>220717.51363636367</v>
      </c>
      <c r="H21" s="317">
        <f t="shared" ref="H21" si="1">G21*B21</f>
        <v>220717.51363636367</v>
      </c>
      <c r="I21" s="265"/>
      <c r="J21" s="47"/>
      <c r="K21" s="304">
        <f t="shared" si="0"/>
        <v>1</v>
      </c>
      <c r="L21" s="305">
        <f t="shared" ref="L21:M21" si="2">D21+L$19</f>
        <v>3.4499999999999997</v>
      </c>
      <c r="M21" s="305">
        <f t="shared" si="2"/>
        <v>0.6</v>
      </c>
      <c r="N21" s="261">
        <f>L21*M21</f>
        <v>2.0699999999999998</v>
      </c>
      <c r="O21" s="259">
        <f>N21*K21</f>
        <v>2.0699999999999998</v>
      </c>
      <c r="P21" s="252">
        <f>P$20*N21</f>
        <v>220717.51363636367</v>
      </c>
      <c r="Q21" s="258">
        <f>P21+Q$20</f>
        <v>223717.51363636367</v>
      </c>
      <c r="R21" s="295">
        <f>K21*L21</f>
        <v>3.4499999999999997</v>
      </c>
      <c r="S21" s="14"/>
      <c r="T21" s="9"/>
      <c r="W21" s="4"/>
    </row>
    <row r="22" spans="1:24" ht="18" thickBot="1" x14ac:dyDescent="0.35">
      <c r="B22" s="313">
        <v>1</v>
      </c>
      <c r="C22" s="314" t="s">
        <v>163</v>
      </c>
      <c r="D22" s="315">
        <v>2.5</v>
      </c>
      <c r="E22" s="315">
        <v>1</v>
      </c>
      <c r="F22" s="314" t="s">
        <v>164</v>
      </c>
      <c r="G22" s="316">
        <f>P22</f>
        <v>271898.38636363641</v>
      </c>
      <c r="H22" s="317">
        <f t="shared" ref="H22" si="3">G22*B22</f>
        <v>271898.38636363641</v>
      </c>
      <c r="I22" s="265"/>
      <c r="J22" s="47"/>
      <c r="K22" s="304">
        <f t="shared" ref="K22" si="4">B22</f>
        <v>1</v>
      </c>
      <c r="L22" s="305">
        <f t="shared" ref="L22" si="5">D22+L$19</f>
        <v>2.5499999999999998</v>
      </c>
      <c r="M22" s="305">
        <f t="shared" ref="M22" si="6">E22+M$19</f>
        <v>1</v>
      </c>
      <c r="N22" s="261">
        <f>L22*M22</f>
        <v>2.5499999999999998</v>
      </c>
      <c r="O22" s="259">
        <f>N22*K22</f>
        <v>2.5499999999999998</v>
      </c>
      <c r="P22" s="252">
        <f>P$20*N22</f>
        <v>271898.38636363641</v>
      </c>
      <c r="Q22" s="258">
        <f>P22+Q$20</f>
        <v>274898.38636363641</v>
      </c>
      <c r="R22" s="295">
        <f>K22*L22</f>
        <v>2.5499999999999998</v>
      </c>
      <c r="S22" s="14"/>
      <c r="T22" s="9"/>
      <c r="W22" s="4"/>
    </row>
    <row r="23" spans="1:24" ht="17.399999999999999" x14ac:dyDescent="0.3">
      <c r="B23" s="284"/>
      <c r="C23" s="284"/>
      <c r="D23" s="285"/>
      <c r="E23" s="285"/>
      <c r="F23" s="284"/>
      <c r="G23" s="299"/>
      <c r="H23" s="299"/>
      <c r="I23" s="265"/>
      <c r="K23" s="306"/>
      <c r="L23" s="307"/>
      <c r="M23" s="307"/>
      <c r="N23" s="261"/>
      <c r="O23" s="259"/>
      <c r="P23" s="252"/>
      <c r="Q23" s="258"/>
      <c r="R23" s="295"/>
      <c r="S23" s="14"/>
      <c r="T23" s="9"/>
      <c r="W23" s="4"/>
    </row>
    <row r="24" spans="1:24" ht="18" thickBot="1" x14ac:dyDescent="0.35">
      <c r="B24" s="284"/>
      <c r="C24" s="284"/>
      <c r="D24" s="285"/>
      <c r="E24" s="285"/>
      <c r="F24" s="284"/>
      <c r="I24" s="232"/>
      <c r="J24" s="47"/>
      <c r="K24" s="47"/>
      <c r="L24" s="39"/>
      <c r="M24" s="39"/>
      <c r="N24" s="261"/>
      <c r="O24" s="259"/>
      <c r="P24" s="252"/>
      <c r="Q24" s="258"/>
      <c r="R24" s="295"/>
      <c r="S24" s="14"/>
      <c r="T24" s="9"/>
      <c r="W24" s="4"/>
    </row>
    <row r="25" spans="1:24" ht="17.399999999999999" x14ac:dyDescent="0.3">
      <c r="B25" s="284"/>
      <c r="C25" s="284"/>
      <c r="D25" s="285"/>
      <c r="E25" s="285"/>
      <c r="F25" s="284"/>
      <c r="G25" s="296" t="s">
        <v>30</v>
      </c>
      <c r="H25" s="297">
        <f>SUM(H21:H23)</f>
        <v>492615.90000000008</v>
      </c>
      <c r="I25" s="265"/>
      <c r="J25" s="47"/>
      <c r="K25" s="47"/>
      <c r="L25" s="39">
        <f>SUM(L21:L24)</f>
        <v>6</v>
      </c>
      <c r="M25" s="39"/>
      <c r="N25" s="261"/>
      <c r="O25" s="259"/>
      <c r="P25" s="252"/>
      <c r="Q25" s="258"/>
      <c r="R25" s="295"/>
      <c r="S25" s="14"/>
      <c r="T25" s="9"/>
      <c r="W25" s="4"/>
    </row>
    <row r="26" spans="1:24" ht="17.399999999999999" x14ac:dyDescent="0.3">
      <c r="B26" s="279"/>
      <c r="C26" s="281"/>
      <c r="D26" s="282"/>
      <c r="E26" s="282"/>
      <c r="F26" s="283"/>
      <c r="G26" s="294" t="s">
        <v>53</v>
      </c>
      <c r="H26" s="293">
        <f>H25*0.19</f>
        <v>93597.021000000022</v>
      </c>
      <c r="I26" s="265"/>
      <c r="J26" s="47"/>
      <c r="K26" s="47"/>
      <c r="L26" s="39"/>
      <c r="M26" s="12"/>
      <c r="N26" s="12"/>
      <c r="O26" s="253">
        <f>SUM(O21:O22)</f>
        <v>4.6199999999999992</v>
      </c>
      <c r="P26" s="14"/>
      <c r="Q26" s="12"/>
      <c r="R26" s="238"/>
      <c r="S26" s="14"/>
      <c r="T26" s="9"/>
      <c r="W26" s="4"/>
    </row>
    <row r="27" spans="1:24" ht="18" thickBot="1" x14ac:dyDescent="0.35">
      <c r="B27" s="275"/>
      <c r="C27" s="280"/>
      <c r="D27" s="272"/>
      <c r="E27" s="272"/>
      <c r="F27" s="273"/>
      <c r="G27" s="311" t="s">
        <v>6</v>
      </c>
      <c r="H27" s="312">
        <f>SUM(H25:H26)</f>
        <v>586212.92100000009</v>
      </c>
      <c r="I27" s="265"/>
      <c r="J27" s="47"/>
      <c r="K27" s="47"/>
      <c r="L27" s="39"/>
      <c r="M27" s="12"/>
      <c r="N27" s="12"/>
      <c r="O27" s="253">
        <f>O26</f>
        <v>4.6199999999999992</v>
      </c>
      <c r="P27" s="14"/>
      <c r="Q27" s="12"/>
      <c r="R27" s="238">
        <f>SUM(R21:R26)</f>
        <v>6</v>
      </c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O27*0.2</f>
        <v>0.92399999999999993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301"/>
      <c r="K29" s="47"/>
      <c r="L29" s="14"/>
      <c r="M29" s="12"/>
      <c r="N29" s="12"/>
      <c r="O29" s="46">
        <f>O27+O28</f>
        <v>5.5439999999999987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J30" s="301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39">
        <f>O29</f>
        <v>5.5439999999999987</v>
      </c>
      <c r="M31" s="12">
        <v>3500</v>
      </c>
      <c r="N31" s="12">
        <f t="shared" ref="N31:N36" si="7">L31*M31</f>
        <v>19403.999999999996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65"/>
      <c r="J32" s="47"/>
      <c r="K32" s="47"/>
      <c r="L32" s="249">
        <v>2</v>
      </c>
      <c r="M32" s="12">
        <v>25000</v>
      </c>
      <c r="N32" s="12">
        <f t="shared" si="7"/>
        <v>50000</v>
      </c>
      <c r="O32" s="39" t="s">
        <v>154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4" t="s">
        <v>153</v>
      </c>
      <c r="I33" s="262"/>
      <c r="J33" s="47"/>
      <c r="K33" s="250"/>
      <c r="L33" s="14"/>
      <c r="M33" s="250">
        <v>150000</v>
      </c>
      <c r="N33" s="12">
        <f t="shared" si="7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00"/>
      <c r="K34" s="250"/>
      <c r="L34" s="14">
        <v>2</v>
      </c>
      <c r="M34" s="250">
        <v>80000</v>
      </c>
      <c r="N34" s="12">
        <f t="shared" si="7"/>
        <v>160000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300"/>
      <c r="K35" s="250"/>
      <c r="L35" s="249">
        <v>0</v>
      </c>
      <c r="M35" s="250">
        <v>800</v>
      </c>
      <c r="N35" s="12">
        <f t="shared" si="7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I36" s="292"/>
      <c r="J36" s="47"/>
      <c r="K36" s="250"/>
      <c r="L36" s="266">
        <v>3.45</v>
      </c>
      <c r="M36" s="12">
        <v>1500</v>
      </c>
      <c r="N36" s="12">
        <f t="shared" si="7"/>
        <v>5175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234579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68410</v>
      </c>
      <c r="K38" s="250"/>
      <c r="L38" s="254" t="s">
        <v>35</v>
      </c>
      <c r="M38" s="12"/>
      <c r="N38" s="255">
        <f>N37*2.1</f>
        <v>492615.9</v>
      </c>
      <c r="O38" s="14" t="s">
        <v>142</v>
      </c>
      <c r="P38" s="14"/>
      <c r="Q38" s="46">
        <f>O29/Q37</f>
        <v>0.82773447997850014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57487.394957983197</v>
      </c>
      <c r="K39" s="250"/>
      <c r="L39" s="14"/>
      <c r="M39" s="12"/>
      <c r="N39" s="12">
        <f>N38/O27</f>
        <v>106626.81818181821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2.1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1.2118032786885242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45405</v>
      </c>
    </row>
    <row r="6" spans="2:31" ht="16.2" thickBot="1" x14ac:dyDescent="0.35">
      <c r="B6" s="140" t="s">
        <v>2</v>
      </c>
      <c r="C6" s="139" t="str">
        <f>'2229'!C10</f>
        <v>INSIDE WORK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10930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-54812.175033454121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492615.90000000008</v>
      </c>
      <c r="E11" s="132">
        <f>D11*0.19</f>
        <v>93597.021000000022</v>
      </c>
      <c r="F11" s="131">
        <f>E11+D11</f>
        <v>586212.92100000009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51177.824966545879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99238.090787439607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33177.824966545879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393377.80921256047</v>
      </c>
      <c r="E13" s="221">
        <f>(D11/D12)-1</f>
        <v>3.9639800210903458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24177.824966545879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-14822.175033454121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163742.84979927534</v>
      </c>
      <c r="F15" s="216">
        <f>E15-D12</f>
        <v>64504.759011835733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-14822.175033454121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25177.824966545879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19403.999999999996</v>
      </c>
      <c r="E20" s="121">
        <f>D20*0.19</f>
        <v>3686.7599999999993</v>
      </c>
      <c r="F20" s="120">
        <f>SUM(D20:E20)</f>
        <v>23090.759999999995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69404</v>
      </c>
      <c r="E21" s="116">
        <f>SUM(E18:E20)</f>
        <v>13186.759999999998</v>
      </c>
      <c r="F21" s="115">
        <f>SUM(F18:F20)</f>
        <v>82590.759999999995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80410.261000000028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492615.90000000008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69404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393377.80921256047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393377.80921256047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2024-04-23T15:56:17Z</cp:lastPrinted>
  <dcterms:created xsi:type="dcterms:W3CDTF">2013-03-18T13:35:42Z</dcterms:created>
  <dcterms:modified xsi:type="dcterms:W3CDTF">2024-04-24T14:51:25Z</dcterms:modified>
</cp:coreProperties>
</file>