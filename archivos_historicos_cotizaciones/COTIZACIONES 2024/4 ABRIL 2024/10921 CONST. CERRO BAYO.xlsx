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42CAF556-0980-4C7D-859E-A8F1498DBA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H22" i="1"/>
  <c r="V21" i="1"/>
  <c r="U28" i="1"/>
  <c r="J41" i="1"/>
  <c r="L21" i="1"/>
  <c r="M21" i="1"/>
  <c r="L26" i="1" l="1"/>
  <c r="S21" i="1"/>
  <c r="R21" i="1"/>
  <c r="N21" i="1"/>
  <c r="O21" i="1" s="1"/>
  <c r="U34" i="1"/>
  <c r="U35" i="1" s="1"/>
  <c r="R28" i="1" l="1"/>
  <c r="O27" i="1"/>
  <c r="N33" i="1"/>
  <c r="O28" i="1" l="1"/>
  <c r="O29" i="1" s="1"/>
  <c r="O30" i="1" s="1"/>
  <c r="L32" i="1" s="1"/>
  <c r="M20" i="1"/>
  <c r="K20" i="1"/>
  <c r="N34" i="1" l="1"/>
  <c r="Q38" i="1"/>
  <c r="Q39" i="1" s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1" i="1" l="1"/>
  <c r="F15" i="3"/>
  <c r="Q21" i="1" l="1"/>
  <c r="H21" i="1" s="1"/>
  <c r="H26" i="1" s="1"/>
  <c r="J23" i="1" l="1"/>
  <c r="J24" i="1"/>
  <c r="H27" i="1"/>
  <c r="D11" i="3" l="1"/>
  <c r="X9" i="3" s="1"/>
  <c r="X15" i="3" s="1"/>
  <c r="H28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<sst xmlns="http://schemas.openxmlformats.org/spreadsheetml/2006/main" count="231" uniqueCount="175">
  <si>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</si>
  <si>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</si>
  <si>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</si>
  <si>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</si>
  <si>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</si>
  <si>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</si>
  <si>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</si>
  <si>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</si>
  <si>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</si>
  <si>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</si>
  <si>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</si>
  <si>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</si>
  <si>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</si>
  <si>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</si>
  <si>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</si>
  <si>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</si>
  <si>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</si>
  <si>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</si>
  <si>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</si>
  <si>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</si>
  <si>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</si>
  <si>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</si>
  <si>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</si>
  <si>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</si>
  <si>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</si>
  <si>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</si>
  <si>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</si>
  <si>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</si>
  <si>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</si>
  <si>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</si>
  <si>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</si>
  <si>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</si>
  <si>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</si>
  <si>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</si>
  <si>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</si>
  <si>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</si>
  <si>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</si>
  <si>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</si>
  <si>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</si>
  <si>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</si>
  <si>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</si>
  <si>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</si>
  <si>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</si>
  <si>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</si>
  <si>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</si>
  <si>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</si>
  <si>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</si>
  <si>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</si>
  <si>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</si>
  <si>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</si>
  <si>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</si>
  <si>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</si>
  <si>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</si>
  <si>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</si>
  <si>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</si>
  <si>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</si>
  <si>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</si>
  <si>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</si>
  <si>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</si>
  <si>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</si>
  <si>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</si>
  <si>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</si>
  <si>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</si>
  <si>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</si>
  <si>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</si>
  <si>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</si>
  <si>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</si>
  <si>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</si>
  <si>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</si>
  <si>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</si>
  <si>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</si>
  <si>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</si>
  <si>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</si>
  <si>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</si>
  <si>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</si>
  <si>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</si>
  <si>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</si>
  <si>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</si>
  <si>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</si>
  <si>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</si>
  <si>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</si>
  <si>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</si>
  <si>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</si>
  <si>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</si>
  <si>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</si>
  <si>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</si>
  <si>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</si>
  <si>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</si>
  <si>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</si>
  <si>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</si>
  <si>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</si>
  <si>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</si>
  <si>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</si>
  <si>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</si>
  <si>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</si>
  <si>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</si>
  <si>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</si>
  <si>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</si>
  <si>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</si>
  <si>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</si>
  <si>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</si>
  <si>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</si>
  <si>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</si>
  <si>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</si>
  <si>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</si>
  <si>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</si>
  <si>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</si>
  <si>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</si>
  <si>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</si>
  <si>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</si>
  <si>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</si>
  <si>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</si>
  <si>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</si>
  <si>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</si>
  <si>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</si>
  <si>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</si>
  <si>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</si>
  <si>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</si>
  <si>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</si>
  <si>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</si>
  <si>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</si>
  <si>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</si>
  <si>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</si>
  <si>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</si>
  <si>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</si>
  <si>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</si>
  <si>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</si>
  <si>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</si>
  <si>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</si>
  <si>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</si>
  <si>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</si>
  <si>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</si>
  <si>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</si>
  <si>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</si>
  <si>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</si>
  <si>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</si>
  <si>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</si>
  <si>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</si>
  <si>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</si>
  <si>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</si>
  <si>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</si>
  <si>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</si>
  <si>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</si>
  <si>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</si>
  <si>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</si>
  <si>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</si>
  <si>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</si>
  <si>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</si>
  <si>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</si>
  <si>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</si>
  <si>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</si>
  <si>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</si>
  <si>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</si>
  <si>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</si>
  <si>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</si>
  <si>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</si>
  <si>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</si>
  <si>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</si>
  <si>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</si>
  <si>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</si>
  <si>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</si>
  <si>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</si>
  <si>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</si>
  <si>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</si>
  <si>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</si>
  <si>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</si>
  <si>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N° 10651</t>
  </si>
  <si>
    <t>CONSTRUCTORA CERRO BAYO S.A.</t>
  </si>
  <si>
    <t>15 DIAS HABILES</t>
  </si>
  <si>
    <t>PERFIL NEGRO</t>
  </si>
  <si>
    <t>SERVICIO INSTALACION</t>
  </si>
  <si>
    <t>OLIVE ELM 1503 PR</t>
  </si>
  <si>
    <t>ALEX VALENZUELA</t>
  </si>
  <si>
    <t>+569 4246 0386</t>
  </si>
  <si>
    <t>ENCHAPE 2 CARAS MDF 18MM DOBLE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</si>
</sst>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42" fontId="21" fillId="0" borderId="0" xfId="0" applyNumberFormat="1" applyFont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0" borderId="1" xfId="4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8194</xdr:colOff>
      <xdr:row>25</xdr:row>
      <xdr:rowOff>9525</xdr:rowOff>
    </xdr:from>
    <xdr:to>
      <xdr:col>5</xdr:col>
      <xdr:colOff>1635064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827331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B8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.21875" customWidth="1"/>
    <col min="4" max="4" width="12.3320312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126</v>
      </c>
      <c r="C8" s="302"/>
      <c r="D8" s="303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162</v>
      </c>
      <c r="C10" s="279" t="s">
        <v>167</v>
      </c>
      <c r="D10" s="243"/>
      <c r="E10" s="243"/>
      <c r="F10" s="244" t="s">
        <v>0</v>
      </c>
      <c r="G10" s="277">
        <v>45394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123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28"/>
      <c r="D12" s="247"/>
      <c r="E12" s="247"/>
      <c r="F12" s="247" t="s">
        <v>127</v>
      </c>
      <c r="G12" s="278" t="s">
        <v>135</v>
      </c>
      <c r="H12" s="248"/>
      <c r="P12" s="19"/>
      <c r="Q12" s="25"/>
      <c r="R12" s="19"/>
    </row>
    <row r="13" spans="2:23" x14ac:dyDescent="0.3">
      <c r="B13" s="246" t="s">
        <v>146</v>
      </c>
      <c r="C13" s="247" t="s">
        <v>172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139</v>
      </c>
      <c r="C14" s="307"/>
      <c r="F14" s="29" t="s">
        <v>136</v>
      </c>
      <c r="G14" s="291" t="s">
        <v>135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173</v>
      </c>
      <c r="D15" s="295"/>
      <c r="E15" s="247"/>
      <c r="F15" s="247" t="s">
        <v>134</v>
      </c>
      <c r="G15" s="296" t="s">
        <v>135</v>
      </c>
      <c r="H15" s="248"/>
    </row>
    <row r="16" spans="2:23" ht="16.8" x14ac:dyDescent="0.4">
      <c r="B16" s="292" t="s">
        <v>3</v>
      </c>
      <c r="C16" s="312"/>
      <c r="F16" s="293" t="s">
        <v>129</v>
      </c>
      <c r="G16" s="294" t="s">
        <v>163</v>
      </c>
      <c r="H16" s="290"/>
    </row>
    <row r="17" spans="2:24" ht="15" thickBot="1" x14ac:dyDescent="0.35">
      <c r="B17" s="297" t="s">
        <v>13</v>
      </c>
      <c r="C17" s="298" t="s">
        <v>165</v>
      </c>
      <c r="D17" s="299"/>
      <c r="E17" s="300"/>
      <c r="F17" s="334" t="s">
        <v>164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147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131</v>
      </c>
      <c r="M20" s="39" t="str">
        <f t="shared" ref="M20" si="0">E20</f>
        <v>ANCHO</v>
      </c>
      <c r="N20" s="261" t="s">
        <v>132</v>
      </c>
      <c r="O20" s="259" t="s">
        <v>17</v>
      </c>
      <c r="P20" s="252">
        <f>N40</f>
        <v>248133.35679099229</v>
      </c>
      <c r="Q20" s="258">
        <v>3000</v>
      </c>
      <c r="R20" s="38"/>
      <c r="S20" s="14" t="s">
        <v>128</v>
      </c>
      <c r="T20" s="9"/>
      <c r="V20">
        <v>86</v>
      </c>
      <c r="W20" s="4"/>
    </row>
    <row r="21" spans="2:24" ht="18" thickBot="1" x14ac:dyDescent="0.35">
      <c r="B21" s="323">
        <v>29</v>
      </c>
      <c r="C21" s="324" t="s">
        <v>174</v>
      </c>
      <c r="D21" s="325">
        <v>2.4</v>
      </c>
      <c r="E21" s="325">
        <v>0.16</v>
      </c>
      <c r="F21" s="324" t="s">
        <v>171</v>
      </c>
      <c r="G21" s="326">
        <v>100268</v>
      </c>
      <c r="H21" s="327">
        <f>G21*B21</f>
        <v>2907772</v>
      </c>
      <c r="I21" s="265"/>
      <c r="J21" s="47"/>
      <c r="K21" s="47">
        <v>29</v>
      </c>
      <c r="L21" s="39">
        <f t="shared" ref="L21" si="1">D21+L$19</f>
        <v>2.4499999999999997</v>
      </c>
      <c r="M21" s="39">
        <f t="shared" ref="M21" si="2">E21+M$19</f>
        <v>0.16</v>
      </c>
      <c r="N21" s="261">
        <f t="shared" ref="N21" si="3">L21*M21</f>
        <v>0.39199999999999996</v>
      </c>
      <c r="O21" s="259">
        <f t="shared" ref="O21" si="4">N21*K21</f>
        <v>11.367999999999999</v>
      </c>
      <c r="P21" s="252">
        <f>P$20*N21</f>
        <v>97268.275862068971</v>
      </c>
      <c r="Q21" s="258">
        <f t="shared" ref="Q21" si="5">P21+Q$20</f>
        <v>100268.27586206897</v>
      </c>
      <c r="R21" s="309">
        <f>L21*K21*2</f>
        <v>142.1</v>
      </c>
      <c r="S21" s="46">
        <f>M21*K21*2</f>
        <v>9.2799999999999994</v>
      </c>
      <c r="T21" s="9"/>
      <c r="V21">
        <f>V20/7.5</f>
        <v>11.466666666666667</v>
      </c>
      <c r="W21" s="4"/>
    </row>
    <row r="22" spans="2:24" ht="17.399999999999999" x14ac:dyDescent="0.3">
      <c r="B22" s="323">
        <v>1</v>
      </c>
      <c r="C22" s="324" t="s">
        <v>170</v>
      </c>
      <c r="D22" s="325"/>
      <c r="E22" s="325"/>
      <c r="F22" s="324"/>
      <c r="G22" s="326">
        <v>2350000</v>
      </c>
      <c r="H22" s="327">
        <f>G22*B22</f>
        <v>2350000</v>
      </c>
      <c r="J22" s="265"/>
      <c r="K22" s="47"/>
      <c r="L22" s="39"/>
      <c r="M22" s="39"/>
      <c r="N22" s="261"/>
      <c r="O22" s="259"/>
      <c r="P22" s="252"/>
      <c r="Q22" s="258"/>
      <c r="R22" s="309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2"/>
      <c r="H23" s="333"/>
      <c r="J23" s="331">
        <f>H26*15%</f>
        <v>788665.79999999993</v>
      </c>
      <c r="K23" s="47"/>
      <c r="L23" s="39"/>
      <c r="M23" s="39"/>
      <c r="N23" s="261"/>
      <c r="O23" s="259"/>
      <c r="P23" s="252"/>
      <c r="Q23" s="258"/>
      <c r="R23" s="309"/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30"/>
      <c r="H24" s="330"/>
      <c r="J24" s="331">
        <f>H26-J26</f>
        <v>-855228</v>
      </c>
      <c r="K24" s="47"/>
      <c r="L24" s="39"/>
      <c r="M24" s="39"/>
      <c r="N24" s="261"/>
      <c r="O24" s="259"/>
      <c r="P24" s="252"/>
      <c r="Q24" s="258"/>
      <c r="R24" s="309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J25" s="233"/>
      <c r="K25" s="47"/>
      <c r="L25" s="39"/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0" t="s">
        <v>29</v>
      </c>
      <c r="H26" s="311">
        <f>SUM(H21:H23)</f>
        <v>5257772</v>
      </c>
      <c r="J26" s="265">
        <v>6113000</v>
      </c>
      <c r="K26" s="47"/>
      <c r="L26" s="39">
        <f>SUM(L21:L25)</f>
        <v>2.4499999999999997</v>
      </c>
      <c r="M26" s="39"/>
      <c r="N26" s="261"/>
      <c r="O26" s="259"/>
      <c r="P26" s="252"/>
      <c r="Q26" s="258"/>
      <c r="R26" s="309"/>
      <c r="S26" s="14"/>
      <c r="T26" s="9"/>
      <c r="U26">
        <v>1220</v>
      </c>
      <c r="W26" s="4"/>
    </row>
    <row r="27" spans="2:24" ht="17.399999999999999" x14ac:dyDescent="0.3">
      <c r="B27" s="280"/>
      <c r="C27" s="283"/>
      <c r="D27" s="284"/>
      <c r="E27" s="284"/>
      <c r="F27" s="285"/>
      <c r="G27" s="308" t="s">
        <v>51</v>
      </c>
      <c r="H27" s="305">
        <f>H26*19%</f>
        <v>998976.68</v>
      </c>
      <c r="J27" s="265">
        <v>5500000</v>
      </c>
      <c r="K27" s="47"/>
      <c r="L27" s="39"/>
      <c r="M27" s="12"/>
      <c r="N27" s="12"/>
      <c r="O27" s="253">
        <f>SUM(O21:O21)</f>
        <v>11.367999999999999</v>
      </c>
      <c r="P27" s="14"/>
      <c r="Q27" s="12"/>
      <c r="R27" s="239"/>
      <c r="S27" s="14"/>
      <c r="T27" s="9"/>
      <c r="V27">
        <v>53</v>
      </c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6">
        <f>H26+H27</f>
        <v>6256748.6799999997</v>
      </c>
      <c r="I28" s="265"/>
      <c r="J28" s="47"/>
      <c r="K28" s="47"/>
      <c r="L28" s="39"/>
      <c r="M28" s="12"/>
      <c r="N28" s="12"/>
      <c r="O28" s="253">
        <f>O27</f>
        <v>11.367999999999999</v>
      </c>
      <c r="P28" s="14"/>
      <c r="Q28" s="12"/>
      <c r="R28" s="239">
        <f>SUM(R21:R27)</f>
        <v>142.1</v>
      </c>
      <c r="S28" s="14"/>
      <c r="T28" s="9"/>
      <c r="U28">
        <f>U26/V27</f>
        <v>23.018867924528301</v>
      </c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2.2735999999999996</v>
      </c>
      <c r="P29" s="39" t="s">
        <v>130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>
        <v>16</v>
      </c>
      <c r="K30" s="47"/>
      <c r="L30" s="14"/>
      <c r="M30" s="12"/>
      <c r="N30" s="12"/>
      <c r="O30" s="46">
        <f>O28+O29</f>
        <v>13.641599999999999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>
        <v>16</v>
      </c>
      <c r="K31" s="47"/>
      <c r="L31" s="14"/>
      <c r="M31" s="14"/>
      <c r="N31" s="14"/>
      <c r="O31" s="14"/>
      <c r="P31" s="14"/>
      <c r="Q31" s="14"/>
      <c r="R31" s="238"/>
      <c r="S31" s="14"/>
      <c r="T31" s="316" t="s">
        <v>22</v>
      </c>
      <c r="U31" s="313" t="s">
        <v>152</v>
      </c>
      <c r="V31" s="317">
        <v>44971</v>
      </c>
      <c r="W31" s="318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>
        <v>6</v>
      </c>
      <c r="K32" s="47"/>
      <c r="L32" s="39">
        <f>O30*3</f>
        <v>40.924799999999998</v>
      </c>
      <c r="M32" s="12">
        <v>2500</v>
      </c>
      <c r="N32" s="12">
        <f t="shared" ref="N32:N37" si="6">L32*M32</f>
        <v>102312</v>
      </c>
      <c r="O32" s="14" t="s">
        <v>22</v>
      </c>
      <c r="P32" s="14"/>
      <c r="Q32" s="14"/>
      <c r="R32" s="241"/>
      <c r="S32" s="14"/>
      <c r="T32" s="316" t="s">
        <v>153</v>
      </c>
      <c r="U32" s="313">
        <v>3625</v>
      </c>
      <c r="V32" s="59" t="s">
        <v>154</v>
      </c>
      <c r="W32" s="318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>
        <v>6</v>
      </c>
      <c r="K33" s="47"/>
      <c r="L33" s="249">
        <v>8</v>
      </c>
      <c r="M33" s="12">
        <v>28000</v>
      </c>
      <c r="N33" s="12">
        <f t="shared" si="6"/>
        <v>224000</v>
      </c>
      <c r="O33" s="39" t="s">
        <v>31</v>
      </c>
      <c r="P33" s="42"/>
      <c r="Q33" s="14"/>
      <c r="R33" s="240"/>
      <c r="S33" s="14"/>
      <c r="T33" s="316"/>
      <c r="U33" s="59">
        <v>906.25</v>
      </c>
      <c r="V33" s="59" t="s">
        <v>155</v>
      </c>
      <c r="W33" s="318"/>
    </row>
    <row r="34" spans="2:23" s="230" customFormat="1" ht="17.399999999999999" x14ac:dyDescent="0.35">
      <c r="I34" s="262"/>
      <c r="J34" s="232">
        <f>SUM(J30:J33)</f>
        <v>44</v>
      </c>
      <c r="K34" s="250"/>
      <c r="L34" s="14">
        <v>3</v>
      </c>
      <c r="M34" s="250">
        <v>26000</v>
      </c>
      <c r="N34" s="12">
        <f t="shared" si="6"/>
        <v>78000</v>
      </c>
      <c r="O34" s="39" t="s">
        <v>169</v>
      </c>
      <c r="P34" s="42"/>
      <c r="R34" s="240"/>
      <c r="S34" s="256"/>
      <c r="T34" s="59"/>
      <c r="U34" s="59">
        <f>U33*20%</f>
        <v>181.25</v>
      </c>
      <c r="V34" s="318" t="s">
        <v>156</v>
      </c>
      <c r="W34" s="59"/>
    </row>
    <row r="35" spans="2:23" s="230" customFormat="1" ht="17.399999999999999" x14ac:dyDescent="0.35">
      <c r="B35" s="24" t="s">
        <v>151</v>
      </c>
      <c r="I35" s="262"/>
      <c r="J35" s="232"/>
      <c r="K35" s="250"/>
      <c r="L35" s="14">
        <v>10</v>
      </c>
      <c r="M35" s="250">
        <v>55000</v>
      </c>
      <c r="N35" s="12">
        <f t="shared" si="6"/>
        <v>550000</v>
      </c>
      <c r="O35" s="14" t="s">
        <v>141</v>
      </c>
      <c r="P35" s="17"/>
      <c r="R35" s="238"/>
      <c r="S35" s="256"/>
      <c r="T35" s="59"/>
      <c r="U35" s="59">
        <f>U33+U34</f>
        <v>1087.5</v>
      </c>
      <c r="V35" s="318" t="s">
        <v>157</v>
      </c>
      <c r="W35" s="59"/>
    </row>
    <row r="36" spans="2:23" s="230" customFormat="1" ht="17.399999999999999" x14ac:dyDescent="0.35">
      <c r="B36" s="24" t="s">
        <v>144</v>
      </c>
      <c r="C36"/>
      <c r="D36"/>
      <c r="E36"/>
      <c r="F36"/>
      <c r="I36" s="262"/>
      <c r="J36" s="230">
        <v>29</v>
      </c>
      <c r="K36" s="250"/>
      <c r="L36" s="249">
        <v>58</v>
      </c>
      <c r="M36" s="250">
        <v>3000</v>
      </c>
      <c r="N36" s="12">
        <f t="shared" si="6"/>
        <v>174000</v>
      </c>
      <c r="O36" s="14" t="s">
        <v>32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125</v>
      </c>
      <c r="C37"/>
      <c r="D37"/>
      <c r="E37"/>
      <c r="F37" s="229" t="s">
        <v>16</v>
      </c>
      <c r="I37" s="304"/>
      <c r="J37" s="230">
        <v>29</v>
      </c>
      <c r="K37" s="250"/>
      <c r="L37" s="266"/>
      <c r="M37" s="12">
        <v>1500</v>
      </c>
      <c r="N37" s="12">
        <f t="shared" si="6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1128312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33</v>
      </c>
      <c r="M39" s="12"/>
      <c r="N39" s="255">
        <f>N38*2.5</f>
        <v>2820780</v>
      </c>
      <c r="O39" s="14" t="s">
        <v>140</v>
      </c>
      <c r="P39" s="14"/>
      <c r="Q39" s="40">
        <f>O30/Q38</f>
        <v>3.6781708369283859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65630</v>
      </c>
      <c r="K40" s="250"/>
      <c r="L40" s="14"/>
      <c r="M40" s="12"/>
      <c r="N40" s="12">
        <f>N39/O28</f>
        <v>248133.35679099229</v>
      </c>
      <c r="O40" s="45" t="s">
        <v>25</v>
      </c>
      <c r="P40" s="14"/>
      <c r="Q40" s="14"/>
      <c r="R40"/>
      <c r="S40" s="238"/>
      <c r="T40" s="59" t="s">
        <v>158</v>
      </c>
      <c r="U40" s="313">
        <v>43650</v>
      </c>
    </row>
    <row r="41" spans="2:23" s="230" customFormat="1" ht="17.399999999999999" x14ac:dyDescent="0.35">
      <c r="G41"/>
      <c r="J41" s="230">
        <f>J40/1.19</f>
        <v>55151.26050420168</v>
      </c>
      <c r="K41" s="250"/>
      <c r="L41" s="13"/>
      <c r="M41" s="14"/>
      <c r="N41" s="17">
        <f>N39/N38</f>
        <v>2.5</v>
      </c>
      <c r="O41" s="15"/>
      <c r="P41"/>
      <c r="Q41"/>
      <c r="R41"/>
      <c r="S41" s="238"/>
      <c r="T41" s="59" t="s">
        <v>160</v>
      </c>
      <c r="U41" s="314" t="s">
        <v>159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161</v>
      </c>
      <c r="U42" s="315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156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148</v>
      </c>
    </row>
    <row r="76" spans="3:14" x14ac:dyDescent="0.3">
      <c r="C76" t="s">
        <v>147</v>
      </c>
    </row>
    <row r="79" spans="3:14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45394</v>
      </c>
    </row>
    <row r="6" spans="2:31" ht="16.2" thickBot="1" x14ac:dyDescent="0.35">
      <c r="B6" s="140" t="s">
        <v>2</v>
      </c>
      <c r="C6" s="139" t="str">
        <f>'2229'!C10</f>
        <v>CONSTRUCTORA CERRO BAYO S.A.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10651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-756905.15836678736</v>
      </c>
    </row>
    <row r="10" spans="2:31" ht="16.2" thickBot="1" x14ac:dyDescent="0.35">
      <c r="D10" s="218" t="s">
        <v>29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5257772</v>
      </c>
      <c r="E11" s="132">
        <f>D11*0.19</f>
        <v>998976.68</v>
      </c>
      <c r="F11" s="131">
        <f>E11+D11</f>
        <v>6256748.6799999997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-650915.15836678736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434146.09078743961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-668915.15836678736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4823625.9092125604</v>
      </c>
      <c r="E13" s="221">
        <f>(D11/D12)-1</f>
        <v>11.110605419626443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-677915.15836678736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29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-716915.15836678736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716341.04979927535</v>
      </c>
      <c r="F15" s="216">
        <f>E15-D12</f>
        <v>282194.95901183574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-716915.15836678736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-676915.15836678736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29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'2229'!N34</f>
        <v>78000</v>
      </c>
      <c r="E18" s="123">
        <f>D18*0.19</f>
        <v>14820</v>
      </c>
      <c r="F18" s="120">
        <f>SUM(D18:E18)</f>
        <v>92820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'2229'!N33</f>
        <v>224000</v>
      </c>
      <c r="E19" s="123">
        <f>D19*0.19</f>
        <v>42560</v>
      </c>
      <c r="F19" s="120">
        <f>SUM(D19:E19)</f>
        <v>266560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102312</v>
      </c>
      <c r="E20" s="121">
        <f>D20*0.19</f>
        <v>19439.28</v>
      </c>
      <c r="F20" s="120">
        <f>SUM(D20:E20)</f>
        <v>121751.28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404312</v>
      </c>
      <c r="E21" s="116">
        <f>SUM(E18:E20)</f>
        <v>76819.28</v>
      </c>
      <c r="F21" s="115">
        <f>SUM(F18:F20)</f>
        <v>481131.28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922157.4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5257772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404312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4823625.9092125604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4823625.9092125604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2024-03-04T20:21:27Z</cp:lastPrinted>
  <dcterms:created xsi:type="dcterms:W3CDTF">2013-03-18T13:35:42Z</dcterms:created>
  <dcterms:modified xsi:type="dcterms:W3CDTF">2024-04-12T19:58:38Z</dcterms:modified>
</cp:coreProperties>
</file>