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105FC59E-A400-4E65-AE1E-44F18C17B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2" i="1"/>
  <c r="O26" i="1"/>
  <c r="N22" i="1"/>
  <c r="O22" i="1" s="1"/>
  <c r="M22" i="1"/>
  <c r="L22" i="1"/>
  <c r="K22" i="1"/>
  <c r="K23" i="1"/>
  <c r="L23" i="1"/>
  <c r="M23" i="1"/>
  <c r="S23" i="1" l="1"/>
  <c r="N23" i="1"/>
  <c r="O23" i="1" s="1"/>
  <c r="R23" i="1"/>
  <c r="K21" i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38" i="1" l="1"/>
  <c r="N39" i="1" s="1"/>
  <c r="D21" i="3"/>
  <c r="M43" i="3" s="1"/>
  <c r="D12" i="3" s="1"/>
  <c r="F20" i="3"/>
  <c r="F21" i="3" s="1"/>
  <c r="N40" i="1" l="1"/>
  <c r="P20" i="1"/>
  <c r="P22" i="1" s="1"/>
  <c r="Q22" i="1" s="1"/>
  <c r="E15" i="3"/>
  <c r="P23" i="1" l="1"/>
  <c r="Q23" i="1" s="1"/>
  <c r="H23" i="1" s="1"/>
  <c r="P21" i="1"/>
  <c r="F15" i="3"/>
  <c r="Q21" i="1" l="1"/>
  <c r="H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<sst xmlns="http://schemas.openxmlformats.org/spreadsheetml/2006/main" count="234" uniqueCount="175">
  <si>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</si>
  <si>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</si>
  <si>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</si>
  <si>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</si>
  <si>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</si>
  <si>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</si>
  <si>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</si>
  <si>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</si>
  <si>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</si>
  <si>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</si>
  <si>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</si>
  <si>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</si>
  <si>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</si>
  <si>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</si>
  <si>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</si>
  <si>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</si>
  <si>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</si>
  <si>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</si>
  <si>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</si>
  <si>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</si>
  <si>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</si>
  <si>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</si>
  <si>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</si>
  <si>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</si>
  <si>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</si>
  <si>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</si>
  <si>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</si>
  <si>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</si>
  <si>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</si>
  <si>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</si>
  <si>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</si>
  <si>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</si>
  <si>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</si>
  <si>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</si>
  <si>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</si>
  <si>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</si>
  <si>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</si>
  <si>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</si>
  <si>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</si>
  <si>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</si>
  <si>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</si>
  <si>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</si>
  <si>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</si>
  <si>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</si>
  <si>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</si>
  <si>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</si>
  <si>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</si>
  <si>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</si>
  <si>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</si>
  <si>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</si>
  <si>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</si>
  <si>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</si>
  <si>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</si>
  <si>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</si>
  <si>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</si>
  <si>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</si>
  <si>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</si>
  <si>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</si>
  <si>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</si>
  <si>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</si>
  <si>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</si>
  <si>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</si>
  <si>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</si>
  <si>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</si>
  <si>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</si>
  <si>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</si>
  <si>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</si>
  <si>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</si>
  <si>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</si>
  <si>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</si>
  <si>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</si>
  <si>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</si>
  <si>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</si>
  <si>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</si>
  <si>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</si>
  <si>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</si>
  <si>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</si>
  <si>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</si>
  <si>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</si>
  <si>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</si>
  <si>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</si>
  <si>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</si>
  <si>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</si>
  <si>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</si>
  <si>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</si>
  <si>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</si>
  <si>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</si>
  <si>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</si>
  <si>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</si>
  <si>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</si>
  <si>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</si>
  <si>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</si>
  <si>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</si>
  <si>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</si>
  <si>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</si>
  <si>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</si>
  <si>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</si>
  <si>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</si>
  <si>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</si>
  <si>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</si>
  <si>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</si>
  <si>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</si>
  <si>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</si>
  <si>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</si>
  <si>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</si>
  <si>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</si>
  <si>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</si>
  <si>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</si>
  <si>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</si>
  <si>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</si>
  <si>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</si>
  <si>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</si>
  <si>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</si>
  <si>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</si>
  <si>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</si>
  <si>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</si>
  <si>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</si>
  <si>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</si>
  <si>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</si>
  <si>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</si>
  <si>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</si>
  <si>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</si>
  <si>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</si>
  <si>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</si>
  <si>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</si>
  <si>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</si>
  <si>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</si>
  <si>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</si>
  <si>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</si>
  <si>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</si>
  <si>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</si>
  <si>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</si>
  <si>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</si>
  <si>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</si>
  <si>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</si>
  <si>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</si>
  <si>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</si>
  <si>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</si>
  <si>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</si>
  <si>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</si>
  <si>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</si>
  <si>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</si>
  <si>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</si>
  <si>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</si>
  <si>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</si>
  <si>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</si>
  <si>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</si>
  <si>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</si>
  <si>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</si>
  <si>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</si>
  <si>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</si>
  <si>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</si>
  <si>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</si>
  <si>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</si>
  <si>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</si>
  <si>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</si>
  <si>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</si>
  <si>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</si>
  <si>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</si>
  <si>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</si>
  <si>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</si>
  <si>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</si>
  <si>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</si>
  <si>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</si>
  <si>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</si>
  <si>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</si>
  <si>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</si>
  <si>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</si>
  <si>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</si>
  <si>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+569 9449 0390</t>
  </si>
  <si>
    <t>CATHERINE SALINAS</t>
  </si>
  <si>
    <t>5 DIAS HABILES</t>
  </si>
  <si>
    <t>N° 10938</t>
  </si>
  <si>
    <t>CUB CON RESPALDO FRENTE 90° R8</t>
  </si>
  <si>
    <t>BORGUNDY F6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</si>
</sst>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SIN REGRUESO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30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8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0" t="s">
        <v>169</v>
      </c>
      <c r="D15" s="321"/>
      <c r="F15" t="s">
        <v>135</v>
      </c>
      <c r="G15" s="319" t="s">
        <v>136</v>
      </c>
      <c r="H15" s="290"/>
    </row>
    <row r="16" spans="2:23" ht="16.8" x14ac:dyDescent="0.4">
      <c r="B16" s="327" t="s">
        <v>3</v>
      </c>
      <c r="C16" s="317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65668.151260504193</v>
      </c>
      <c r="Q20" s="258">
        <v>5000</v>
      </c>
      <c r="R20" s="38"/>
      <c r="S20" s="14" t="s">
        <v>129</v>
      </c>
      <c r="T20" s="9"/>
      <c r="W20" s="4"/>
    </row>
    <row r="21" spans="2:24" ht="18" thickBot="1" x14ac:dyDescent="0.35">
      <c r="B21" s="312">
        <v>1</v>
      </c>
      <c r="C21" s="313" t="s">
        <v>173</v>
      </c>
      <c r="D21" s="314">
        <v>0.66</v>
      </c>
      <c r="E21" s="314">
        <v>0.52</v>
      </c>
      <c r="F21" s="313" t="s">
        <v>174</v>
      </c>
      <c r="G21" s="315">
        <v>29245</v>
      </c>
      <c r="H21" s="316">
        <f>G21*B21</f>
        <v>29245</v>
      </c>
      <c r="I21" s="265"/>
      <c r="J21" s="47"/>
      <c r="K21" s="47">
        <f>B21</f>
        <v>1</v>
      </c>
      <c r="L21" s="39">
        <f t="shared" ref="L21" si="1">D21+L$19</f>
        <v>0.71000000000000008</v>
      </c>
      <c r="M21" s="39">
        <f t="shared" ref="M21" si="2">E21+M$19</f>
        <v>0.52</v>
      </c>
      <c r="N21" s="261">
        <f t="shared" ref="N21" si="3">L21*M21</f>
        <v>0.36920000000000003</v>
      </c>
      <c r="O21" s="259">
        <f t="shared" ref="O21" si="4">N21*K21</f>
        <v>0.36920000000000003</v>
      </c>
      <c r="P21" s="252">
        <f t="shared" ref="P21" si="5">P$20*N21</f>
        <v>24244.681445378152</v>
      </c>
      <c r="Q21" s="258">
        <f t="shared" ref="Q21" si="6">P21+Q$20</f>
        <v>29244.681445378152</v>
      </c>
      <c r="R21" s="298">
        <f>L21*K21*2</f>
        <v>1.4200000000000002</v>
      </c>
      <c r="S21" s="46">
        <f>M21*2*K21</f>
        <v>1.04</v>
      </c>
      <c r="T21" s="9"/>
      <c r="W21" s="4"/>
    </row>
    <row r="22" spans="2:24" ht="18" thickBot="1" x14ac:dyDescent="0.35">
      <c r="B22" s="312">
        <v>1</v>
      </c>
      <c r="C22" s="313" t="s">
        <v>173</v>
      </c>
      <c r="D22" s="314">
        <v>0.52</v>
      </c>
      <c r="E22" s="314">
        <v>0.54</v>
      </c>
      <c r="F22" s="313" t="s">
        <v>174</v>
      </c>
      <c r="G22" s="315">
        <v>25213</v>
      </c>
      <c r="H22" s="316">
        <f>G22*B22</f>
        <v>25213</v>
      </c>
      <c r="I22" s="265"/>
      <c r="J22" s="47"/>
      <c r="K22" s="47">
        <f>B22</f>
        <v>1</v>
      </c>
      <c r="L22" s="39">
        <f t="shared" ref="L22" si="7">D22+L$19</f>
        <v>0.57000000000000006</v>
      </c>
      <c r="M22" s="39">
        <f t="shared" ref="M22" si="8">E22+M$19</f>
        <v>0.54</v>
      </c>
      <c r="N22" s="261">
        <f t="shared" ref="N22" si="9">L22*M22</f>
        <v>0.30780000000000007</v>
      </c>
      <c r="O22" s="259">
        <f t="shared" ref="O22" si="10">N22*K22</f>
        <v>0.30780000000000007</v>
      </c>
      <c r="P22" s="252">
        <f t="shared" ref="P22" si="11">P$20*N22</f>
        <v>20212.656957983196</v>
      </c>
      <c r="Q22" s="258">
        <f t="shared" ref="Q22" si="12">P22+Q$20</f>
        <v>25212.656957983196</v>
      </c>
      <c r="R22" s="298"/>
      <c r="S22" s="46"/>
      <c r="T22" s="9"/>
      <c r="W22" s="4"/>
    </row>
    <row r="23" spans="2:24" ht="17.399999999999999" x14ac:dyDescent="0.3">
      <c r="B23" s="312">
        <v>1</v>
      </c>
      <c r="C23" s="313" t="s">
        <v>173</v>
      </c>
      <c r="D23" s="314">
        <v>0.9</v>
      </c>
      <c r="E23" s="314">
        <v>0.54</v>
      </c>
      <c r="F23" s="313" t="s">
        <v>174</v>
      </c>
      <c r="G23" s="315">
        <v>38688</v>
      </c>
      <c r="H23" s="316">
        <f t="shared" ref="H23" si="13">G23*B23</f>
        <v>38688</v>
      </c>
      <c r="I23" s="265"/>
      <c r="J23" s="47"/>
      <c r="K23" s="47">
        <f t="shared" ref="K23" si="14">B23</f>
        <v>1</v>
      </c>
      <c r="L23" s="39">
        <f t="shared" ref="L23" si="15">D23+L$19</f>
        <v>0.95000000000000007</v>
      </c>
      <c r="M23" s="39">
        <f t="shared" ref="M23" si="16">E23+M$19</f>
        <v>0.54</v>
      </c>
      <c r="N23" s="261">
        <f t="shared" ref="N23" si="17">L23*M23</f>
        <v>0.51300000000000012</v>
      </c>
      <c r="O23" s="259">
        <f t="shared" ref="O23" si="18">N23*K23</f>
        <v>0.51300000000000012</v>
      </c>
      <c r="P23" s="252">
        <f t="shared" ref="P23" si="19">P$20*N23</f>
        <v>33687.761596638658</v>
      </c>
      <c r="Q23" s="258">
        <f t="shared" ref="Q23" si="20">P23+Q$20</f>
        <v>38687.761596638658</v>
      </c>
      <c r="R23" s="298">
        <f t="shared" ref="R23" si="21">L23*K23*2</f>
        <v>1.9000000000000001</v>
      </c>
      <c r="S23" s="46">
        <f t="shared" ref="S23" si="22">M23*2*K23</f>
        <v>1.08</v>
      </c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93146</v>
      </c>
      <c r="I25" s="265"/>
      <c r="J25" s="47"/>
      <c r="K25" s="47"/>
      <c r="L25" s="39">
        <f>SUM(L21:L24)</f>
        <v>2.2300000000000004</v>
      </c>
      <c r="M25" s="39"/>
      <c r="N25" s="261"/>
      <c r="O25" s="259"/>
      <c r="P25" s="252"/>
      <c r="Q25" s="258"/>
      <c r="R25" s="298"/>
      <c r="S25" s="46">
        <f>SUM(S21:S24)</f>
        <v>2.12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SUM(O21:O23)*2</f>
        <v>2.3800000000000003</v>
      </c>
      <c r="P26" s="14"/>
      <c r="Q26" s="12"/>
      <c r="R26" s="239"/>
      <c r="S26" s="46">
        <f>S25*20%</f>
        <v>0.42400000000000004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93146</v>
      </c>
      <c r="I27" s="265"/>
      <c r="J27" s="47"/>
      <c r="K27" s="47"/>
      <c r="L27" s="39"/>
      <c r="M27" s="12"/>
      <c r="N27" s="12"/>
      <c r="O27" s="253">
        <f>O26</f>
        <v>2.3800000000000003</v>
      </c>
      <c r="P27" s="14"/>
      <c r="Q27" s="12"/>
      <c r="R27" s="239">
        <f>SUM(R21:R26)</f>
        <v>3.3200000000000003</v>
      </c>
      <c r="S27" s="46">
        <f>S25+S26</f>
        <v>2.544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0.47600000000000009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2.8560000000000003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2.8560000000000003</v>
      </c>
      <c r="M31" s="12">
        <v>3500</v>
      </c>
      <c r="N31" s="12">
        <f t="shared" ref="N31:N36" si="23">L31*M31</f>
        <v>9996.0000000000018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23"/>
        <v>25000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70000</v>
      </c>
      <c r="N33" s="12">
        <f t="shared" si="2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32700</v>
      </c>
      <c r="N34" s="12">
        <f t="shared" si="23"/>
        <v>32700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2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>
        <v>2.23</v>
      </c>
      <c r="M36" s="12">
        <v>1500</v>
      </c>
      <c r="N36" s="12">
        <f t="shared" si="23"/>
        <v>3345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71041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156290.20000000001</v>
      </c>
      <c r="O38" s="14" t="s">
        <v>141</v>
      </c>
      <c r="P38" s="14"/>
      <c r="Q38" s="40">
        <f>O29/Q37</f>
        <v>0.77006039689387407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38910</v>
      </c>
      <c r="K39" s="250"/>
      <c r="L39" s="14"/>
      <c r="M39" s="12"/>
      <c r="N39" s="12">
        <f>N38/O27</f>
        <v>65668.151260504193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32697.478991596639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45411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10938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2303.9416332125597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93146</v>
      </c>
      <c r="E11" s="132">
        <f>D11*0.19</f>
        <v>17697.740000000002</v>
      </c>
      <c r="F11" s="131">
        <f>E11+D11</f>
        <v>110843.74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108293.94163321255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64830.090787439614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90293.941633212555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28315.909212560386</v>
      </c>
      <c r="E13" s="221">
        <f>(D11/D12)-1</f>
        <v>0.43677108683066046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81293.941633212555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42293.941633212562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106969.64979927536</v>
      </c>
      <c r="F15" s="216">
        <f>E15-D12</f>
        <v>42139.559011835743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42293.941633212562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82293.941633212555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9996.0000000000018</v>
      </c>
      <c r="E20" s="121">
        <f>D20*0.19</f>
        <v>1899.2400000000005</v>
      </c>
      <c r="F20" s="120">
        <f>SUM(D20:E20)</f>
        <v>11895.240000000002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34996</v>
      </c>
      <c r="E21" s="116">
        <f>SUM(E18:E20)</f>
        <v>6649.2400000000007</v>
      </c>
      <c r="F21" s="115">
        <f>SUM(F18:F20)</f>
        <v>41645.240000000005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11048.5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93146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34996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28315.909212560386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28315.909212560386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2024-02-07T13:13:19Z</cp:lastPrinted>
  <dcterms:created xsi:type="dcterms:W3CDTF">2013-03-18T13:35:42Z</dcterms:created>
  <dcterms:modified xsi:type="dcterms:W3CDTF">2024-04-29T21:14:14Z</dcterms:modified>
</cp:coreProperties>
</file>