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556628A7-925F-4934-B67D-DC39AACC4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M22" i="1" l="1"/>
  <c r="L22" i="1"/>
  <c r="N22" i="1" s="1"/>
  <c r="K22" i="1"/>
  <c r="H22" i="1"/>
  <c r="K21" i="1"/>
  <c r="R22" i="1" l="1"/>
  <c r="O22" i="1"/>
  <c r="J39" i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F15" i="3"/>
  <c r="Q21" i="1" l="1"/>
  <c r="H21" i="1" s="1"/>
  <c r="R27" i="1"/>
  <c r="H2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<sst xmlns="http://schemas.openxmlformats.org/spreadsheetml/2006/main" count="220" uniqueCount="164">
  <si>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</si>
  <si>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</si>
  <si>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</si>
  <si>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</si>
  <si>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</si>
  <si>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</si>
  <si>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</si>
  <si>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</si>
  <si>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</si>
  <si>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</si>
  <si>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</si>
  <si>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</si>
  <si>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</si>
  <si>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</si>
  <si>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</si>
  <si>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</si>
  <si>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</si>
  <si>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</si>
  <si>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</si>
  <si>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</si>
  <si>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</si>
  <si>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</si>
  <si>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</si>
  <si>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</si>
  <si>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</si>
  <si>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</si>
  <si>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</si>
  <si>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</si>
  <si>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</si>
  <si>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</si>
  <si>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</si>
  <si>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</si>
  <si>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</si>
  <si>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</si>
  <si>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</si>
  <si>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</si>
  <si>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</si>
  <si>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</si>
  <si>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</si>
  <si>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</si>
  <si>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</si>
  <si>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</si>
  <si>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</si>
  <si>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</si>
  <si>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</si>
  <si>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</si>
  <si>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</si>
  <si>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</si>
  <si>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</si>
  <si>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</si>
  <si>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</si>
  <si>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</si>
  <si>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</si>
  <si>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</si>
  <si>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</si>
  <si>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</si>
  <si>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</si>
  <si>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</si>
  <si>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</si>
  <si>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</si>
  <si>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</si>
  <si>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</si>
  <si>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</si>
  <si>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</si>
  <si>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</si>
  <si>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</si>
  <si>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</si>
  <si>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</si>
  <si>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</si>
  <si>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</si>
  <si>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</si>
  <si>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</si>
  <si>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</si>
  <si>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</si>
  <si>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</si>
  <si>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</si>
  <si>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</si>
  <si>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</si>
  <si>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</si>
  <si>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</si>
  <si>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</si>
  <si>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</si>
  <si>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</si>
  <si>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</si>
  <si>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</si>
  <si>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</si>
  <si>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</si>
  <si>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</si>
  <si>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</si>
  <si>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</si>
  <si>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</si>
  <si>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</si>
  <si>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</si>
  <si>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</si>
  <si>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</si>
  <si>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</si>
  <si>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</si>
  <si>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</si>
  <si>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</si>
  <si>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</si>
  <si>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</si>
  <si>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</si>
  <si>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</si>
  <si>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</si>
  <si>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</si>
  <si>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</si>
  <si>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</si>
  <si>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</si>
  <si>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</si>
  <si>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</si>
  <si>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</si>
  <si>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</si>
  <si>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</si>
  <si>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</si>
  <si>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</si>
  <si>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</si>
  <si>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</si>
  <si>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</si>
  <si>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</si>
  <si>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</si>
  <si>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</si>
  <si>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</si>
  <si>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</si>
  <si>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</si>
  <si>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</si>
  <si>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</si>
  <si>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</si>
  <si>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</si>
  <si>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</si>
  <si>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</si>
  <si>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</si>
  <si>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</si>
  <si>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</si>
  <si>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</si>
  <si>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</si>
  <si>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</si>
  <si>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</si>
  <si>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</si>
  <si>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</si>
  <si>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</si>
  <si>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</si>
  <si>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</si>
  <si>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</si>
  <si>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</si>
  <si>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</si>
  <si>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</si>
  <si>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</si>
  <si>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</si>
  <si>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</si>
  <si>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</si>
  <si>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</si>
  <si>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</si>
  <si>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</si>
  <si>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</si>
  <si>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</si>
  <si>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</si>
  <si>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</si>
  <si>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</si>
  <si>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</si>
  <si>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C/R 90° R8</t>
  </si>
  <si>
    <t>FRANCISCO BASTIDAS</t>
  </si>
  <si>
    <t>+569 8727 9212</t>
  </si>
  <si>
    <t>N° 10909</t>
  </si>
  <si>
    <t>GRANITINO NEGRO 3014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</si>
</sst>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baseline="0"/>
            <a:t>SUSTRATO : MDF 18MM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9" zoomScale="98" zoomScaleNormal="98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2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45390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55282.005420054207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159</v>
      </c>
      <c r="D21" s="313">
        <v>3.05</v>
      </c>
      <c r="E21" s="313">
        <v>0.6</v>
      </c>
      <c r="F21" s="312" t="s">
        <v>163</v>
      </c>
      <c r="G21" s="314">
        <v>105825</v>
      </c>
      <c r="H21" s="315">
        <f t="shared" ref="H21" si="1">G21*B21</f>
        <v>105825</v>
      </c>
      <c r="I21" s="265"/>
      <c r="J21" s="47"/>
      <c r="K21" s="325">
        <f t="shared" si="0"/>
        <v>1</v>
      </c>
      <c r="L21" s="326">
        <f t="shared" ref="L21:M21" si="2">D21+L$19</f>
        <v>3.0999999999999996</v>
      </c>
      <c r="M21" s="326">
        <f t="shared" si="2"/>
        <v>0.6</v>
      </c>
      <c r="N21" s="261">
        <f>L21*M21</f>
        <v>1.8599999999999997</v>
      </c>
      <c r="O21" s="259">
        <f>N21*K21</f>
        <v>1.8599999999999997</v>
      </c>
      <c r="P21" s="252">
        <f>P$20*N21</f>
        <v>102824.53008130081</v>
      </c>
      <c r="Q21" s="258">
        <f>P21+Q$20</f>
        <v>105824.53008130081</v>
      </c>
      <c r="R21" s="308">
        <f>K21*L21</f>
        <v>3.0999999999999996</v>
      </c>
      <c r="S21" s="14"/>
      <c r="T21" s="9"/>
      <c r="W21" s="4"/>
    </row>
    <row r="22" spans="2:24" ht="17.399999999999999" x14ac:dyDescent="0.3">
      <c r="B22" s="323">
        <v>1</v>
      </c>
      <c r="C22" s="312" t="s">
        <v>159</v>
      </c>
      <c r="D22" s="313">
        <v>3</v>
      </c>
      <c r="E22" s="313">
        <v>0.6</v>
      </c>
      <c r="F22" s="312" t="s">
        <v>163</v>
      </c>
      <c r="G22" s="314">
        <v>104166</v>
      </c>
      <c r="H22" s="315">
        <f t="shared" ref="H22" si="3">G22*B22</f>
        <v>104166</v>
      </c>
      <c r="I22" s="265"/>
      <c r="J22" s="47"/>
      <c r="K22" s="325">
        <f t="shared" ref="K22" si="4">B22</f>
        <v>1</v>
      </c>
      <c r="L22" s="326">
        <f t="shared" ref="L22" si="5">D22+L$19</f>
        <v>3.05</v>
      </c>
      <c r="M22" s="326">
        <f t="shared" ref="M22" si="6">E22+M$19</f>
        <v>0.6</v>
      </c>
      <c r="N22" s="261">
        <f>L22*M22</f>
        <v>1.8299999999999998</v>
      </c>
      <c r="O22" s="259">
        <f>N22*K22</f>
        <v>1.8299999999999998</v>
      </c>
      <c r="P22" s="252">
        <f>P$20*N22</f>
        <v>101166.06991869918</v>
      </c>
      <c r="Q22" s="258">
        <f>P22+Q$20</f>
        <v>104166.06991869918</v>
      </c>
      <c r="R22" s="308">
        <f>K22*L22</f>
        <v>3.05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209991</v>
      </c>
      <c r="I25" s="265"/>
      <c r="J25" s="47"/>
      <c r="K25" s="47"/>
      <c r="L25" s="39">
        <f>SUM(L21:L24)</f>
        <v>6.1499999999999995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39898.29</v>
      </c>
      <c r="I26" s="265"/>
      <c r="J26" s="47"/>
      <c r="K26" s="47"/>
      <c r="L26" s="39"/>
      <c r="M26" s="12"/>
      <c r="N26" s="12"/>
      <c r="O26" s="253">
        <f>SUM(O21:O22)</f>
        <v>3.6899999999999995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249889.29</v>
      </c>
      <c r="I27" s="265"/>
      <c r="J27" s="47"/>
      <c r="K27" s="47"/>
      <c r="L27" s="39"/>
      <c r="M27" s="12"/>
      <c r="N27" s="12"/>
      <c r="O27" s="253">
        <f>O26</f>
        <v>3.6899999999999995</v>
      </c>
      <c r="P27" s="14"/>
      <c r="Q27" s="12"/>
      <c r="R27" s="238">
        <f>SUM(R21:R26)</f>
        <v>6.1499999999999995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0.73799999999999999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/>
      <c r="K29" s="47"/>
      <c r="L29" s="14"/>
      <c r="M29" s="12"/>
      <c r="N29" s="12"/>
      <c r="O29" s="46">
        <f>O27+O28</f>
        <v>4.427999999999999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4.427999999999999</v>
      </c>
      <c r="M31" s="12">
        <v>3500</v>
      </c>
      <c r="N31" s="12">
        <f t="shared" ref="N31:N36" si="7">L31*M31</f>
        <v>15497.999999999996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7"/>
        <v>25000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>
        <v>1</v>
      </c>
      <c r="M33" s="250">
        <v>43000</v>
      </c>
      <c r="N33" s="12">
        <f t="shared" si="7"/>
        <v>43000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/>
      <c r="M34" s="250">
        <v>21000</v>
      </c>
      <c r="N34" s="12">
        <f t="shared" si="7"/>
        <v>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7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6.15</v>
      </c>
      <c r="M36" s="12">
        <v>1500</v>
      </c>
      <c r="N36" s="12">
        <f t="shared" si="7"/>
        <v>9225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92723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50810</v>
      </c>
      <c r="K38" s="250"/>
      <c r="L38" s="254" t="s">
        <v>35</v>
      </c>
      <c r="M38" s="12"/>
      <c r="N38" s="255">
        <f>N37*2.2</f>
        <v>203990.6</v>
      </c>
      <c r="O38" s="14" t="s">
        <v>142</v>
      </c>
      <c r="P38" s="14"/>
      <c r="Q38" s="46">
        <f>O27/Q37</f>
        <v>0.99493097497842953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42697.478991596639</v>
      </c>
      <c r="K39" s="250"/>
      <c r="L39" s="14"/>
      <c r="M39" s="12"/>
      <c r="N39" s="12">
        <f>N38/O27</f>
        <v>55282.005420054207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0.9678688524590161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45390</v>
      </c>
    </row>
    <row r="6" spans="2:31" ht="16.2" thickBot="1" x14ac:dyDescent="0.35">
      <c r="B6" s="140" t="s">
        <v>2</v>
      </c>
      <c r="C6" s="139" t="str">
        <f>'2229'!C10</f>
        <v>FRANCISCO BASTIDAS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10909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-3832.1750334541089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209991</v>
      </c>
      <c r="E11" s="132">
        <f>D11*0.19</f>
        <v>39898.29</v>
      </c>
      <c r="F11" s="131">
        <f>E11+D11</f>
        <v>249889.29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102157.82496654589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113332.09078743961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84157.824966545886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96658.909212560393</v>
      </c>
      <c r="E13" s="221">
        <f>(D11/D12)-1</f>
        <v>0.85288207903840174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75157.824966545886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36157.824966545893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186997.94979927535</v>
      </c>
      <c r="F15" s="216">
        <f>E15-D12</f>
        <v>73665.859011835739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36157.824966545893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76157.824966545886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43000</v>
      </c>
      <c r="E18" s="123">
        <f>D18*0.19</f>
        <v>8170</v>
      </c>
      <c r="F18" s="120">
        <f>SUM(D18:E18)</f>
        <v>51170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15497.999999999996</v>
      </c>
      <c r="E20" s="121">
        <f>D20*0.19</f>
        <v>2944.6199999999994</v>
      </c>
      <c r="F20" s="120">
        <f>SUM(D20:E20)</f>
        <v>18442.619999999995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83498</v>
      </c>
      <c r="E21" s="116">
        <f>SUM(E18:E20)</f>
        <v>15864.619999999999</v>
      </c>
      <c r="F21" s="115">
        <f>SUM(F18:F20)</f>
        <v>99362.62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24033.670000000002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209991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83498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96658.909212560393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96658.909212560393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2024-04-08T20:14:19Z</dcterms:modified>
</cp:coreProperties>
</file>