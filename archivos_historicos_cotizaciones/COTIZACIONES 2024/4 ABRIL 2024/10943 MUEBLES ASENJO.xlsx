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FCE0932E-673A-487E-90BE-5D8C53888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9" i="1"/>
  <c r="L21" i="1"/>
  <c r="L24" i="1" s="1"/>
  <c r="L35" i="1" s="1"/>
  <c r="M21" i="1"/>
  <c r="S21" i="1" l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<sst xmlns="http://schemas.openxmlformats.org/spreadsheetml/2006/main" count="230" uniqueCount="174">
  <si>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</si>
  <si>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</si>
  <si>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</si>
  <si>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</si>
  <si>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</si>
  <si>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</si>
  <si>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</si>
  <si>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</si>
  <si>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</si>
  <si>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</si>
  <si>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</si>
  <si>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</si>
  <si>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</si>
  <si>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</si>
  <si>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</si>
  <si>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</si>
  <si>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</si>
  <si>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</si>
  <si>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</si>
  <si>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</si>
  <si>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</si>
  <si>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</si>
  <si>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</si>
  <si>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</si>
  <si>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</si>
  <si>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</si>
  <si>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</si>
  <si>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</si>
  <si>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</si>
  <si>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</si>
  <si>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</si>
  <si>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</si>
  <si>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</si>
  <si>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</si>
  <si>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</si>
  <si>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</si>
  <si>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</si>
  <si>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</si>
  <si>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</si>
  <si>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</si>
  <si>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</si>
  <si>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</si>
  <si>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</si>
  <si>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</si>
  <si>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</si>
  <si>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</si>
  <si>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</si>
  <si>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</si>
  <si>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</si>
  <si>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</si>
  <si>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</si>
  <si>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</si>
  <si>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</si>
  <si>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</si>
  <si>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</si>
  <si>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</si>
  <si>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</si>
  <si>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</si>
  <si>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</si>
  <si>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</si>
  <si>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</si>
  <si>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</si>
  <si>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</si>
  <si>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</si>
  <si>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</si>
  <si>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</si>
  <si>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</si>
  <si>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</si>
  <si>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</si>
  <si>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</si>
  <si>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</si>
  <si>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</si>
  <si>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</si>
  <si>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</si>
  <si>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</si>
  <si>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</si>
  <si>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</si>
  <si>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</si>
  <si>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</si>
  <si>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</si>
  <si>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</si>
  <si>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</si>
  <si>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</si>
  <si>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</si>
  <si>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</si>
  <si>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</si>
  <si>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</si>
  <si>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</si>
  <si>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</si>
  <si>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</si>
  <si>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</si>
  <si>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</si>
  <si>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</si>
  <si>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</si>
  <si>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</si>
  <si>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</si>
  <si>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</si>
  <si>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</si>
  <si>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</si>
  <si>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</si>
  <si>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</si>
  <si>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</si>
  <si>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</si>
  <si>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</si>
  <si>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</si>
  <si>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</si>
  <si>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</si>
  <si>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</si>
  <si>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</si>
  <si>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</si>
  <si>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</si>
  <si>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</si>
  <si>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</si>
  <si>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</si>
  <si>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</si>
  <si>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</si>
  <si>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</si>
  <si>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</si>
  <si>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</si>
  <si>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</si>
  <si>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</si>
  <si>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</si>
  <si>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</si>
  <si>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</si>
  <si>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</si>
  <si>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</si>
  <si>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</si>
  <si>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</si>
  <si>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</si>
  <si>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</si>
  <si>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</si>
  <si>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</si>
  <si>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</si>
  <si>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</si>
  <si>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</si>
  <si>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</si>
  <si>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</si>
  <si>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</si>
  <si>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</si>
  <si>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</si>
  <si>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</si>
  <si>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</si>
  <si>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</si>
  <si>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</si>
  <si>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</si>
  <si>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</si>
  <si>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</si>
  <si>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</si>
  <si>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</si>
  <si>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</si>
  <si>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</si>
  <si>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</si>
  <si>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</si>
  <si>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</si>
  <si>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</si>
  <si>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</si>
  <si>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</si>
  <si>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</si>
  <si>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</si>
  <si>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</si>
  <si>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</si>
  <si>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</si>
  <si>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</si>
  <si>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</si>
  <si>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</si>
  <si>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</si>
  <si>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</si>
  <si>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</si>
  <si>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MUEBLES ASENJO</t>
  </si>
  <si>
    <t>MIGUEL ASENJO</t>
  </si>
  <si>
    <t>56-227843030</t>
  </si>
  <si>
    <t>CUBIERTA CON RESPALDO FRENTE 90° R8</t>
  </si>
  <si>
    <t>2 DIAS HABILES</t>
  </si>
  <si>
    <t>MOUSE 2193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</si>
</sst>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4"/>
      <color rgb="FF008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6" fillId="0" borderId="42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0" fillId="0" borderId="5" xfId="0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12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10933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45405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169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8" x14ac:dyDescent="0.35">
      <c r="B15" s="288" t="s">
        <v>4</v>
      </c>
      <c r="C15" s="330" t="s">
        <v>170</v>
      </c>
      <c r="D15" s="321"/>
      <c r="F15" t="s">
        <v>135</v>
      </c>
      <c r="G15" s="320" t="s">
        <v>136</v>
      </c>
      <c r="H15" s="290"/>
    </row>
    <row r="16" spans="2:23" ht="16.8" x14ac:dyDescent="0.4">
      <c r="B16" s="327" t="s">
        <v>3</v>
      </c>
      <c r="C16" s="318"/>
      <c r="D16" s="247"/>
      <c r="E16" s="247"/>
      <c r="F16" s="328" t="s">
        <v>130</v>
      </c>
      <c r="G16" s="329" t="s">
        <v>164</v>
      </c>
      <c r="H16" s="248"/>
    </row>
    <row r="17" spans="1:24" ht="15" thickBot="1" x14ac:dyDescent="0.35">
      <c r="B17" s="322" t="s">
        <v>13</v>
      </c>
      <c r="C17" s="323" t="s">
        <v>167</v>
      </c>
      <c r="D17" s="324"/>
      <c r="E17" s="119"/>
      <c r="F17" s="332" t="s">
        <v>166</v>
      </c>
      <c r="G17" s="332"/>
      <c r="H17" s="333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1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81440.740740740759</v>
      </c>
      <c r="Q20" s="258">
        <v>3000</v>
      </c>
      <c r="R20" s="38"/>
      <c r="S20" s="14" t="s">
        <v>129</v>
      </c>
      <c r="T20" s="9"/>
      <c r="W20" s="4"/>
    </row>
    <row r="21" spans="1:24" ht="18" thickBot="1" x14ac:dyDescent="0.35">
      <c r="B21" s="313">
        <v>1</v>
      </c>
      <c r="C21" s="314" t="s">
        <v>171</v>
      </c>
      <c r="D21" s="315">
        <v>2.2000000000000002</v>
      </c>
      <c r="E21" s="315">
        <v>0.6</v>
      </c>
      <c r="F21" s="314" t="s">
        <v>173</v>
      </c>
      <c r="G21" s="316">
        <v>112945</v>
      </c>
      <c r="H21" s="317">
        <f>G21*B21</f>
        <v>112945</v>
      </c>
      <c r="I21" s="265"/>
      <c r="J21" s="47"/>
      <c r="K21" s="47">
        <f>B21</f>
        <v>1</v>
      </c>
      <c r="L21" s="39">
        <f t="shared" ref="L21" si="1">D21+L$19</f>
        <v>2.25</v>
      </c>
      <c r="M21" s="39">
        <f t="shared" ref="M21" si="2">E21+M$19</f>
        <v>0.6</v>
      </c>
      <c r="N21" s="261">
        <f t="shared" ref="N21" si="3">L21*M21</f>
        <v>1.3499999999999999</v>
      </c>
      <c r="O21" s="259">
        <f t="shared" ref="O21" si="4">N21*K21</f>
        <v>1.3499999999999999</v>
      </c>
      <c r="P21" s="252">
        <f t="shared" ref="P21" si="5">P$20*N21</f>
        <v>109945.00000000001</v>
      </c>
      <c r="Q21" s="258">
        <f t="shared" ref="Q21" si="6">P21+Q$20</f>
        <v>112945.00000000001</v>
      </c>
      <c r="R21" s="299">
        <f>L21*K21*2</f>
        <v>4.5</v>
      </c>
      <c r="S21" s="46">
        <f>M21*K21*2</f>
        <v>1.2</v>
      </c>
      <c r="T21" s="9"/>
      <c r="W21" s="4"/>
    </row>
    <row r="22" spans="1:24" ht="18" thickBot="1" x14ac:dyDescent="0.35">
      <c r="A22" s="346"/>
      <c r="B22" s="286"/>
      <c r="C22" s="286"/>
      <c r="D22" s="287"/>
      <c r="E22" s="287"/>
      <c r="F22" s="286"/>
      <c r="G22" s="331"/>
      <c r="H22" s="331"/>
      <c r="I22" s="265"/>
      <c r="J22" s="47"/>
      <c r="K22" s="47"/>
      <c r="L22" s="39"/>
      <c r="M22" s="39"/>
      <c r="N22" s="261"/>
      <c r="O22" s="259"/>
      <c r="P22" s="252"/>
      <c r="Q22" s="258"/>
      <c r="R22" s="299"/>
      <c r="S22" s="46"/>
      <c r="T22" s="9"/>
      <c r="W22" s="4"/>
    </row>
    <row r="23" spans="1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1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SUM(H21:H23)</f>
        <v>112945</v>
      </c>
      <c r="I24" s="265"/>
      <c r="J24" s="47"/>
      <c r="K24" s="47"/>
      <c r="L24" s="39">
        <f>SUM(L21:L23)</f>
        <v>2.25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1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21459.55</v>
      </c>
      <c r="I25" s="265"/>
      <c r="J25" s="47"/>
      <c r="K25" s="47"/>
      <c r="L25" s="39"/>
      <c r="M25" s="12"/>
      <c r="N25" s="12"/>
      <c r="O25" s="253">
        <f>SUM(O21:O21)</f>
        <v>1.3499999999999999</v>
      </c>
      <c r="P25" s="14"/>
      <c r="Q25" s="12"/>
      <c r="R25" s="239"/>
      <c r="S25" s="14"/>
      <c r="T25" s="9"/>
      <c r="W25" s="4"/>
    </row>
    <row r="26" spans="1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134404.54999999999</v>
      </c>
      <c r="I26" s="265"/>
      <c r="J26" s="47"/>
      <c r="K26" s="47"/>
      <c r="L26" s="39"/>
      <c r="M26" s="12"/>
      <c r="N26" s="12"/>
      <c r="O26" s="253">
        <f>O25</f>
        <v>1.3499999999999999</v>
      </c>
      <c r="P26" s="14"/>
      <c r="Q26" s="12"/>
      <c r="R26" s="239">
        <f>SUM(R21:R25)</f>
        <v>4.5</v>
      </c>
      <c r="S26" s="14"/>
      <c r="T26" s="9"/>
      <c r="W26" s="4"/>
    </row>
    <row r="27" spans="1:24" ht="17.399999999999999" x14ac:dyDescent="0.3">
      <c r="B27" s="276"/>
      <c r="C27" s="344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0.26999999999999996</v>
      </c>
      <c r="P27" s="39" t="s">
        <v>131</v>
      </c>
      <c r="Q27" s="42"/>
      <c r="R27" s="240"/>
      <c r="S27" s="14"/>
      <c r="T27" s="9"/>
      <c r="W27" s="4"/>
    </row>
    <row r="28" spans="1:24" ht="17.399999999999999" x14ac:dyDescent="0.3">
      <c r="B28" s="271"/>
      <c r="C28" s="345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1.6199999999999999</v>
      </c>
      <c r="P28" s="14"/>
      <c r="Q28" s="14"/>
      <c r="R28" s="238">
        <v>40</v>
      </c>
      <c r="S28" s="14"/>
      <c r="T28" s="9"/>
      <c r="W28" s="4"/>
    </row>
    <row r="29" spans="1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1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1.6199999999999999</v>
      </c>
      <c r="M30" s="12">
        <v>2500</v>
      </c>
      <c r="N30" s="12">
        <f t="shared" ref="N30:N35" si="7">L30*M30</f>
        <v>4049.9999999999995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23500</v>
      </c>
      <c r="N31" s="12">
        <f t="shared" si="7"/>
        <v>11750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1:24" s="230" customFormat="1" ht="17.399999999999999" x14ac:dyDescent="0.35">
      <c r="I32" s="262"/>
      <c r="J32" s="232"/>
      <c r="K32" s="250"/>
      <c r="L32" s="14"/>
      <c r="M32" s="250">
        <v>33500</v>
      </c>
      <c r="N32" s="12">
        <f t="shared" si="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30800</v>
      </c>
      <c r="N33" s="12">
        <f t="shared" si="7"/>
        <v>30800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f>L24</f>
        <v>2.25</v>
      </c>
      <c r="M35" s="12">
        <v>1500</v>
      </c>
      <c r="N35" s="12">
        <f t="shared" si="7"/>
        <v>3375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49975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109945.00000000001</v>
      </c>
      <c r="O37" s="14" t="s">
        <v>141</v>
      </c>
      <c r="P37" s="14"/>
      <c r="Q37" s="40">
        <f>O28/Q36</f>
        <v>0.43679896462467638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57540</v>
      </c>
      <c r="K38" s="250"/>
      <c r="L38" s="14"/>
      <c r="M38" s="12"/>
      <c r="N38" s="12">
        <f>N37/O26</f>
        <v>81440.740740740759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48352.941176470587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10933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-6274.7917001207725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112945</v>
      </c>
      <c r="E11" s="132">
        <f>D11*0.19</f>
        <v>21459.55</v>
      </c>
      <c r="F11" s="131">
        <f>E11+D11</f>
        <v>134404.54999999999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99715.208299879232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45634.090787439614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81715.208299879232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67310.909212560393</v>
      </c>
      <c r="E13" s="221">
        <f>(D11/D12)-1</f>
        <v>1.4750137024990781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72715.208299879232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33715.208299879225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75296.249799275363</v>
      </c>
      <c r="F15" s="216">
        <f>E15-D12</f>
        <v>29662.159011835749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33715.208299879225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73715.208299879232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4049.9999999999995</v>
      </c>
      <c r="E20" s="121">
        <f>D20*0.19</f>
        <v>769.49999999999989</v>
      </c>
      <c r="F20" s="120">
        <f>SUM(D20:E20)</f>
        <v>4819.4999999999991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15800</v>
      </c>
      <c r="E21" s="116">
        <f>SUM(E18:E20)</f>
        <v>3002</v>
      </c>
      <c r="F21" s="115">
        <f>SUM(F18:F20)</f>
        <v>18802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18457.55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112945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15800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67310.909212560393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67310.909212560393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2024-02-02T18:53:41Z</cp:lastPrinted>
  <dcterms:created xsi:type="dcterms:W3CDTF">2013-03-18T13:35:42Z</dcterms:created>
  <dcterms:modified xsi:type="dcterms:W3CDTF">2024-05-01T13:59:09Z</dcterms:modified>
</cp:coreProperties>
</file>