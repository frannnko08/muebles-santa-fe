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623194E2-3A03-4629-8B79-88336C240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21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<sst xmlns="http://schemas.openxmlformats.org/spreadsheetml/2006/main" count="218" uniqueCount="164">
  <si>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</si>
  <si>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</si>
  <si>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</si>
  <si>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</si>
  <si>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</si>
  <si>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</si>
  <si>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</si>
  <si>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</si>
  <si>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</si>
  <si>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</si>
  <si>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</si>
  <si>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</si>
  <si>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</si>
  <si>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</si>
  <si>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</si>
  <si>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</si>
  <si>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</si>
  <si>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</si>
  <si>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</si>
  <si>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</si>
  <si>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</si>
  <si>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</si>
  <si>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</si>
  <si>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</si>
  <si>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</si>
  <si>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</si>
  <si>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</si>
  <si>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</si>
  <si>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</si>
  <si>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</si>
  <si>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</si>
  <si>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</si>
  <si>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</si>
  <si>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</si>
  <si>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</si>
  <si>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</si>
  <si>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</si>
  <si>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</si>
  <si>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</si>
  <si>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</si>
  <si>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</si>
  <si>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</si>
  <si>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</si>
  <si>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</si>
  <si>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</si>
  <si>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</si>
  <si>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</si>
  <si>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</si>
  <si>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</si>
  <si>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</si>
  <si>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</si>
  <si>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</si>
  <si>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</si>
  <si>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</si>
  <si>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</si>
  <si>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</si>
  <si>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</si>
  <si>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</si>
  <si>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</si>
  <si>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</si>
  <si>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</si>
  <si>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</si>
  <si>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</si>
  <si>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</si>
  <si>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</si>
  <si>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</si>
  <si>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</si>
  <si>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</si>
  <si>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</si>
  <si>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</si>
  <si>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</si>
  <si>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</si>
  <si>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</si>
  <si>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</si>
  <si>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</si>
  <si>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</si>
  <si>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</si>
  <si>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</si>
  <si>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</si>
  <si>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</si>
  <si>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</si>
  <si>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</si>
  <si>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</si>
  <si>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</si>
  <si>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</si>
  <si>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</si>
  <si>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</si>
  <si>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</si>
  <si>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</si>
  <si>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</si>
  <si>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</si>
  <si>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</si>
  <si>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</si>
  <si>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</si>
  <si>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</si>
  <si>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</si>
  <si>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</si>
  <si>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</si>
  <si>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</si>
  <si>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</si>
  <si>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</si>
  <si>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</si>
  <si>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</si>
  <si>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</si>
  <si>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</si>
  <si>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</si>
  <si>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</si>
  <si>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</si>
  <si>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</si>
  <si>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</si>
  <si>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</si>
  <si>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</si>
  <si>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</si>
  <si>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</si>
  <si>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</si>
  <si>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</si>
  <si>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</si>
  <si>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</si>
  <si>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</si>
  <si>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</si>
  <si>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</si>
  <si>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</si>
  <si>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</si>
  <si>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</si>
  <si>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</si>
  <si>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</si>
  <si>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</si>
  <si>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</si>
  <si>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</si>
  <si>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</si>
  <si>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</si>
  <si>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</si>
  <si>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</si>
  <si>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</si>
  <si>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</si>
  <si>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</si>
  <si>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</si>
  <si>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</si>
  <si>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</si>
  <si>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</si>
  <si>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</si>
  <si>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</si>
  <si>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</si>
  <si>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</si>
  <si>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</si>
  <si>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</si>
  <si>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</si>
  <si>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</si>
  <si>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</si>
  <si>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</si>
  <si>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</si>
  <si>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</si>
  <si>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</si>
  <si>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</si>
  <si>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</si>
  <si>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</si>
  <si>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</si>
  <si>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</si>
  <si>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</si>
  <si>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C/R 90° R8</t>
  </si>
  <si>
    <t>FRANCISCO BASTIDAS</t>
  </si>
  <si>
    <t>+569 8727 9212</t>
  </si>
  <si>
    <t>N° 10910</t>
  </si>
  <si>
    <t>ROJO IMPERIO 3054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</si>
</sst>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baseline="0"/>
            <a:t>SUSTRATO : MDF 18MM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7" zoomScale="98" zoomScaleNormal="98" workbookViewId="0">
      <selection activeCell="J33" sqref="J33"/>
    </sheetView>
  </sheetViews>
  <sheetFormatPr baseColWidth="10" defaultRowHeight="14.4" x14ac:dyDescent="0.3"/>
  <cols>
    <col min="1" max="1" width="6" customWidth="1"/>
    <col min="2" max="2" width="10.5546875" customWidth="1"/>
    <col min="3" max="3" width="24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45390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100369.03225806452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159</v>
      </c>
      <c r="D21" s="313">
        <v>1.5</v>
      </c>
      <c r="E21" s="313">
        <v>0.66</v>
      </c>
      <c r="F21" s="312" t="s">
        <v>163</v>
      </c>
      <c r="G21" s="314">
        <v>85988</v>
      </c>
      <c r="H21" s="315">
        <f t="shared" ref="H21" si="1">G21*B21</f>
        <v>85988</v>
      </c>
      <c r="I21" s="265"/>
      <c r="J21" s="47"/>
      <c r="K21" s="325">
        <f t="shared" si="0"/>
        <v>1</v>
      </c>
      <c r="L21" s="326">
        <f t="shared" ref="L21:M21" si="2">D21+L$19</f>
        <v>1.55</v>
      </c>
      <c r="M21" s="326">
        <f t="shared" si="2"/>
        <v>0.66</v>
      </c>
      <c r="N21" s="261">
        <f>L21*M21</f>
        <v>1.0230000000000001</v>
      </c>
      <c r="O21" s="259">
        <f>N21*K21</f>
        <v>1.0230000000000001</v>
      </c>
      <c r="P21" s="252">
        <f>P$20*N21</f>
        <v>102677.52000000002</v>
      </c>
      <c r="Q21" s="258">
        <f>P21+Q$20</f>
        <v>105677.52000000002</v>
      </c>
      <c r="R21" s="308">
        <f>K21*L21</f>
        <v>1.55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85988</v>
      </c>
      <c r="I24" s="265"/>
      <c r="J24" s="47"/>
      <c r="K24" s="47"/>
      <c r="L24" s="39">
        <f>SUM(L21:L23)</f>
        <v>1.55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16337.72</v>
      </c>
      <c r="I25" s="265"/>
      <c r="J25" s="47"/>
      <c r="K25" s="47"/>
      <c r="L25" s="39"/>
      <c r="M25" s="12"/>
      <c r="N25" s="12"/>
      <c r="O25" s="253">
        <f>SUM(O21:O21)</f>
        <v>1.0230000000000001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102325.72</v>
      </c>
      <c r="I26" s="265"/>
      <c r="J26" s="47"/>
      <c r="K26" s="47"/>
      <c r="L26" s="39"/>
      <c r="M26" s="12"/>
      <c r="N26" s="12"/>
      <c r="O26" s="253">
        <f>O25</f>
        <v>1.0230000000000001</v>
      </c>
      <c r="P26" s="14"/>
      <c r="Q26" s="12"/>
      <c r="R26" s="238">
        <f>SUM(R21:R25)</f>
        <v>1.55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0.20460000000000003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1.2276000000000002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1.2276000000000002</v>
      </c>
      <c r="M30" s="12">
        <v>3500</v>
      </c>
      <c r="N30" s="12">
        <f t="shared" ref="N30:N35" si="3">L30*M30</f>
        <v>4296.6000000000013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3"/>
        <v>7500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32550</v>
      </c>
      <c r="N33" s="12">
        <f t="shared" si="3"/>
        <v>32550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1.55</v>
      </c>
      <c r="M35" s="12">
        <v>1500</v>
      </c>
      <c r="N35" s="12">
        <f t="shared" si="3"/>
        <v>2325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46671.600000000006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28020</v>
      </c>
      <c r="K37" s="250"/>
      <c r="L37" s="254" t="s">
        <v>35</v>
      </c>
      <c r="M37" s="12"/>
      <c r="N37" s="255">
        <f>N36*2.2</f>
        <v>102677.52000000002</v>
      </c>
      <c r="O37" s="14" t="s">
        <v>142</v>
      </c>
      <c r="P37" s="14"/>
      <c r="Q37" s="46">
        <f>O26/Q36</f>
        <v>0.27583045729076794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23546.218487394959</v>
      </c>
      <c r="K38" s="250"/>
      <c r="L38" s="14"/>
      <c r="M38" s="12"/>
      <c r="N38" s="12">
        <f>N37/O26</f>
        <v>100369.03225806452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0.26832786885245907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45390</v>
      </c>
    </row>
    <row r="6" spans="2:31" ht="16.2" thickBot="1" x14ac:dyDescent="0.35">
      <c r="B6" s="140" t="s">
        <v>2</v>
      </c>
      <c r="C6" s="139" t="str">
        <f>'2229'!C10</f>
        <v>FRANCISCO BASTIDAS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10910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-2882.8933667874394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85988</v>
      </c>
      <c r="E11" s="132">
        <f>D11*0.19</f>
        <v>16337.72</v>
      </c>
      <c r="F11" s="131">
        <f>E11+D11</f>
        <v>102325.72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103107.10663321256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41630.690787439613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85107.106633212563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44357.309212560387</v>
      </c>
      <c r="E13" s="221">
        <f>(D11/D12)-1</f>
        <v>1.0654953923066639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76107.106633212563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37107.106633212563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68690.639799275363</v>
      </c>
      <c r="F15" s="216">
        <f>E15-D12</f>
        <v>27059.94901183575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37107.106633212563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77107.106633212563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4296.6000000000013</v>
      </c>
      <c r="E20" s="121">
        <f>D20*0.19</f>
        <v>816.35400000000027</v>
      </c>
      <c r="F20" s="120">
        <f>SUM(D20:E20)</f>
        <v>5112.9540000000015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11796.600000000002</v>
      </c>
      <c r="E21" s="116">
        <f>SUM(E18:E20)</f>
        <v>2241.3540000000003</v>
      </c>
      <c r="F21" s="115">
        <f>SUM(F18:F20)</f>
        <v>14037.954000000002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14096.365999999998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85988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11796.600000000002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44357.309212560387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44357.309212560387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2024-06-11T20:10:51Z</dcterms:modified>
</cp:coreProperties>
</file>