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4\"/>
    </mc:Choice>
  </mc:AlternateContent>
  <xr:revisionPtr revIDLastSave="0" documentId="13_ncr:1_{A2ADCC70-997B-4B77-BCC7-F36AFD3344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J37" i="1" l="1"/>
  <c r="L21" i="1" l="1"/>
  <c r="L23" i="1" s="1"/>
  <c r="M21" i="1"/>
  <c r="N21" i="1" l="1"/>
  <c r="O21" i="1" s="1"/>
  <c r="R21" i="1"/>
  <c r="N30" i="1"/>
  <c r="O24" i="1" l="1"/>
  <c r="O25" i="1" s="1"/>
  <c r="O26" i="1" s="1"/>
  <c r="O27" i="1" s="1"/>
  <c r="S42" i="1"/>
  <c r="M20" i="1" l="1"/>
  <c r="K20" i="1"/>
  <c r="N31" i="1" l="1"/>
  <c r="Q35" i="1"/>
  <c r="Q36" i="1" s="1"/>
  <c r="N32" i="1" l="1"/>
  <c r="S35" i="1" l="1"/>
  <c r="S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L29" i="1" l="1"/>
  <c r="N29" i="1" l="1"/>
  <c r="N35" i="1" s="1"/>
  <c r="S43" i="1"/>
  <c r="N36" i="1" l="1"/>
  <c r="N37" i="1" s="1"/>
  <c r="D20" i="3"/>
  <c r="E20" i="3" s="1"/>
  <c r="E21" i="3" s="1"/>
  <c r="N38" i="1" l="1"/>
  <c r="D21" i="3"/>
  <c r="M43" i="3" s="1"/>
  <c r="D12" i="3" s="1"/>
  <c r="F20" i="3"/>
  <c r="F21" i="3" s="1"/>
  <c r="P20" i="1" l="1"/>
  <c r="E15" i="3"/>
  <c r="P21" i="1" l="1"/>
  <c r="G21" i="1" s="1"/>
  <c r="F15" i="3"/>
  <c r="Q21" i="1" l="1"/>
  <c r="R25" i="1"/>
  <c r="H21" i="1" l="1"/>
  <c r="H23" i="1" s="1"/>
  <c r="K15" i="1" s="1"/>
  <c r="H24" i="1" l="1"/>
  <c r="H25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<sst xmlns="http://schemas.openxmlformats.org/spreadsheetml/2006/main" count="219" uniqueCount="163">
  <si>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</si>
  <si>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</si>
  <si>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</si>
  <si>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</si>
  <si>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</si>
  <si>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</si>
  <si>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</si>
  <si>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</si>
  <si>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</si>
  <si>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</si>
  <si>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</si>
  <si>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</si>
  <si>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</si>
  <si>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</si>
  <si>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</si>
  <si>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</si>
  <si>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</si>
  <si>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</si>
  <si>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</si>
  <si>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</si>
  <si>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</si>
  <si>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</si>
  <si>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</si>
  <si>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</si>
  <si>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</si>
  <si>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</si>
  <si>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</si>
  <si>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</si>
  <si>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</si>
  <si>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</si>
  <si>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</si>
  <si>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</si>
  <si>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</si>
  <si>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</si>
  <si>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</si>
  <si>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</si>
  <si>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</si>
  <si>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</si>
  <si>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</si>
  <si>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</si>
  <si>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</si>
  <si>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</si>
  <si>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</si>
  <si>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</si>
  <si>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</si>
  <si>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</si>
  <si>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</si>
  <si>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</si>
  <si>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</si>
  <si>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</si>
  <si>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</si>
  <si>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</si>
  <si>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</si>
  <si>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</si>
  <si>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</si>
  <si>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</si>
  <si>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</si>
  <si>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</si>
  <si>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</si>
  <si>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</si>
  <si>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</si>
  <si>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</si>
  <si>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</si>
  <si>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</si>
  <si>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</si>
  <si>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</si>
  <si>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</si>
  <si>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</si>
  <si>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</si>
  <si>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</si>
  <si>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</si>
  <si>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</si>
  <si>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</si>
  <si>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</si>
  <si>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</si>
  <si>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</si>
  <si>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</si>
  <si>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</si>
  <si>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</si>
  <si>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</si>
  <si>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</si>
  <si>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</si>
  <si>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</si>
  <si>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</si>
  <si>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</si>
  <si>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</si>
  <si>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</si>
  <si>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</si>
  <si>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</si>
  <si>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</si>
  <si>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</si>
  <si>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</si>
  <si>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</si>
  <si>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</si>
  <si>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</si>
  <si>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</si>
  <si>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</si>
  <si>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</si>
  <si>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</si>
  <si>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</si>
  <si>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</si>
  <si>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</si>
  <si>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</si>
  <si>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</si>
  <si>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</si>
  <si>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</si>
  <si>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</si>
  <si>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</si>
  <si>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</si>
  <si>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</si>
  <si>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</si>
  <si>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</si>
  <si>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</si>
  <si>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</si>
  <si>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</si>
  <si>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</si>
  <si>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</si>
  <si>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</si>
  <si>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</si>
  <si>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</si>
  <si>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</si>
  <si>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</si>
  <si>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</si>
  <si>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</si>
  <si>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</si>
  <si>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</si>
  <si>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</si>
  <si>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</si>
  <si>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</si>
  <si>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</si>
  <si>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</si>
  <si>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</si>
  <si>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</si>
  <si>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</si>
  <si>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</si>
  <si>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</si>
  <si>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</si>
  <si>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</si>
  <si>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</si>
  <si>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</si>
  <si>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</si>
  <si>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</si>
  <si>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</si>
  <si>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</si>
  <si>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</si>
  <si>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</si>
  <si>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</si>
  <si>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</si>
  <si>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</si>
  <si>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</si>
  <si>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</si>
  <si>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</si>
  <si>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</si>
  <si>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</si>
  <si>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ABONO 50%, SALDO C/E</t>
  </si>
  <si>
    <t>SANTIAGO</t>
  </si>
  <si>
    <t>5 DIAS HABILES</t>
  </si>
  <si>
    <t>DURACION COTIZACION: 5 DIAS                   FRANCO DONOSO</t>
  </si>
  <si>
    <t>N° 10898</t>
  </si>
  <si>
    <t xml:space="preserve">CUBIERTA 180° CON RESPALDO </t>
  </si>
  <si>
    <t>CARLOS JESUS</t>
  </si>
  <si>
    <t>+56 9 8894 2246</t>
  </si>
  <si>
    <t>MADERA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</si>
</sst>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u/>
      <sz val="12"/>
      <color theme="3" tint="0.3999755851924192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7" fillId="0" borderId="54" xfId="0" applyFont="1" applyBorder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167" fontId="0" fillId="7" borderId="0" xfId="0" applyNumberFormat="1" applyFill="1"/>
    <xf numFmtId="166" fontId="3" fillId="7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6" fillId="0" borderId="0" xfId="3" quotePrefix="1" applyFont="1" applyFill="1" applyBorder="1" applyAlignment="1">
      <alignment horizontal="left"/>
    </xf>
    <xf numFmtId="14" fontId="0" fillId="0" borderId="46" xfId="0" applyNumberFormat="1" applyBorder="1"/>
    <xf numFmtId="14" fontId="29" fillId="0" borderId="0" xfId="0" applyNumberFormat="1" applyFont="1" applyAlignment="1">
      <alignment horizontal="left"/>
    </xf>
    <xf numFmtId="0" fontId="35" fillId="0" borderId="0" xfId="0" applyFont="1"/>
    <xf numFmtId="0" fontId="0" fillId="8" borderId="0" xfId="0" applyFill="1"/>
    <xf numFmtId="0" fontId="29" fillId="8" borderId="0" xfId="0" applyFont="1" applyFill="1" applyAlignment="1">
      <alignment horizontal="left"/>
    </xf>
    <xf numFmtId="0" fontId="9" fillId="0" borderId="0" xfId="3" applyBorder="1"/>
    <xf numFmtId="0" fontId="29" fillId="0" borderId="0" xfId="0" applyFont="1"/>
    <xf numFmtId="0" fontId="25" fillId="8" borderId="0" xfId="0" applyFont="1" applyFill="1"/>
    <xf numFmtId="0" fontId="29" fillId="8" borderId="0" xfId="0" applyFont="1" applyFill="1"/>
    <xf numFmtId="0" fontId="14" fillId="0" borderId="0" xfId="0" applyFont="1"/>
    <xf numFmtId="0" fontId="30" fillId="0" borderId="0" xfId="0" applyFont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26</xdr:row>
      <xdr:rowOff>5249</xdr:rowOff>
    </xdr:from>
    <xdr:to>
      <xdr:col>8</xdr:col>
      <xdr:colOff>0</xdr:colOff>
      <xdr:row>29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761709" y="5277045"/>
          <a:ext cx="2004332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26</xdr:row>
      <xdr:rowOff>9526</xdr:rowOff>
    </xdr:from>
    <xdr:to>
      <xdr:col>5</xdr:col>
      <xdr:colOff>1749491</xdr:colOff>
      <xdr:row>29</xdr:row>
      <xdr:rowOff>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281322"/>
          <a:ext cx="7120617" cy="643618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21</xdr:row>
      <xdr:rowOff>223973</xdr:rowOff>
    </xdr:from>
    <xdr:to>
      <xdr:col>5</xdr:col>
      <xdr:colOff>1749490</xdr:colOff>
      <xdr:row>25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</a:t>
          </a:r>
          <a:r>
            <a:rPr lang="es-CL" sz="1200" b="1" baseline="0"/>
            <a:t> CUBIERTAS SE ENTREGAN CON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 MDF 18MM.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0"/>
  <sheetViews>
    <sheetView tabSelected="1" topLeftCell="A10" zoomScale="98" zoomScaleNormal="98" workbookViewId="0">
      <selection activeCell="M33" sqref="M33"/>
    </sheetView>
  </sheetViews>
  <sheetFormatPr baseColWidth="10" defaultRowHeight="14.4" x14ac:dyDescent="0.3"/>
  <cols>
    <col min="1" max="1" width="6" customWidth="1"/>
    <col min="2" max="2" width="10.5546875" customWidth="1"/>
    <col min="3" max="3" width="46.2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1" t="s">
        <v>128</v>
      </c>
      <c r="C8" s="292"/>
      <c r="D8" s="302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309" t="s">
        <v>160</v>
      </c>
      <c r="D10" s="243"/>
      <c r="E10" s="243"/>
      <c r="F10" s="244" t="s">
        <v>0</v>
      </c>
      <c r="G10" s="275">
        <v>45385</v>
      </c>
      <c r="H10" s="245"/>
      <c r="J10" s="1"/>
      <c r="Q10" s="2"/>
      <c r="R10" s="3"/>
      <c r="S10" s="3"/>
      <c r="T10" s="4"/>
      <c r="U10" s="2"/>
      <c r="V10" s="3"/>
    </row>
    <row r="11" spans="2:23" x14ac:dyDescent="0.3">
      <c r="B11" s="284" t="s">
        <v>12</v>
      </c>
      <c r="F11" t="s">
        <v>125</v>
      </c>
      <c r="G11" s="310" t="s">
        <v>156</v>
      </c>
      <c r="H11" s="285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312"/>
      <c r="E12" s="312"/>
      <c r="F12" s="312" t="s">
        <v>129</v>
      </c>
      <c r="G12" s="313" t="s">
        <v>137</v>
      </c>
      <c r="H12" s="247"/>
      <c r="P12" s="19"/>
      <c r="Q12" s="25"/>
      <c r="R12" s="19"/>
    </row>
    <row r="13" spans="2:23" x14ac:dyDescent="0.3">
      <c r="B13" s="246" t="s">
        <v>148</v>
      </c>
      <c r="D13" s="312"/>
      <c r="E13" s="312"/>
      <c r="F13" s="312"/>
      <c r="G13" s="313"/>
      <c r="H13" s="247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4" t="s">
        <v>141</v>
      </c>
      <c r="C14" s="314"/>
      <c r="F14" s="29" t="s">
        <v>138</v>
      </c>
      <c r="G14" s="315" t="s">
        <v>137</v>
      </c>
      <c r="H14" s="285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08" t="s">
        <v>161</v>
      </c>
      <c r="D15" s="316"/>
      <c r="E15" s="312"/>
      <c r="F15" s="312" t="s">
        <v>136</v>
      </c>
      <c r="G15" s="317" t="s">
        <v>137</v>
      </c>
      <c r="H15" s="247"/>
      <c r="K15" s="18">
        <f>H23/L13</f>
        <v>17622.880533656768</v>
      </c>
    </row>
    <row r="16" spans="2:23" ht="16.8" x14ac:dyDescent="0.4">
      <c r="B16" s="286" t="s">
        <v>3</v>
      </c>
      <c r="C16" s="311"/>
      <c r="F16" s="318" t="s">
        <v>131</v>
      </c>
      <c r="G16" s="319" t="s">
        <v>154</v>
      </c>
      <c r="H16" s="285"/>
    </row>
    <row r="17" spans="1:24" ht="15" thickBot="1" x14ac:dyDescent="0.35">
      <c r="B17" s="287" t="s">
        <v>13</v>
      </c>
      <c r="C17" s="288" t="s">
        <v>155</v>
      </c>
      <c r="D17" s="289"/>
      <c r="E17" s="290"/>
      <c r="F17" s="320" t="s">
        <v>157</v>
      </c>
      <c r="G17" s="320"/>
      <c r="H17" s="321"/>
      <c r="I17" s="262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2" t="s">
        <v>149</v>
      </c>
      <c r="C19" s="323"/>
      <c r="D19" s="323"/>
      <c r="E19" s="323"/>
      <c r="F19" s="323"/>
      <c r="G19" s="323"/>
      <c r="H19" s="324"/>
      <c r="I19" s="263"/>
      <c r="J19" s="5"/>
      <c r="K19" s="249"/>
      <c r="L19" s="14">
        <v>0.05</v>
      </c>
      <c r="M19" s="14"/>
      <c r="N19" s="14"/>
      <c r="O19" s="250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05" t="s">
        <v>7</v>
      </c>
      <c r="C20" s="306" t="s">
        <v>1</v>
      </c>
      <c r="D20" s="306" t="s">
        <v>10</v>
      </c>
      <c r="E20" s="306" t="s">
        <v>11</v>
      </c>
      <c r="F20" s="306" t="s">
        <v>8</v>
      </c>
      <c r="G20" s="306" t="s">
        <v>5</v>
      </c>
      <c r="H20" s="307" t="s">
        <v>6</v>
      </c>
      <c r="I20" s="264"/>
      <c r="J20" s="47"/>
      <c r="K20" s="267" t="str">
        <f t="shared" ref="K20" si="0">B20</f>
        <v>UNIDAD</v>
      </c>
      <c r="L20" s="266" t="s">
        <v>133</v>
      </c>
      <c r="M20" s="39" t="str">
        <f>E20</f>
        <v>ANCHO</v>
      </c>
      <c r="N20" s="260" t="s">
        <v>134</v>
      </c>
      <c r="O20" s="258" t="s">
        <v>17</v>
      </c>
      <c r="P20" s="251">
        <f>N37</f>
        <v>105865.68306010932</v>
      </c>
      <c r="Q20" s="257">
        <v>3000</v>
      </c>
      <c r="R20" s="38"/>
      <c r="S20" s="14" t="s">
        <v>130</v>
      </c>
      <c r="T20" s="9"/>
      <c r="W20" s="4"/>
    </row>
    <row r="21" spans="1:24" ht="18" thickBot="1" x14ac:dyDescent="0.35">
      <c r="B21" s="332">
        <v>3</v>
      </c>
      <c r="C21" s="333" t="s">
        <v>159</v>
      </c>
      <c r="D21" s="334">
        <v>3</v>
      </c>
      <c r="E21" s="334">
        <v>0.6</v>
      </c>
      <c r="F21" s="333" t="s">
        <v>162</v>
      </c>
      <c r="G21" s="335">
        <f>P21</f>
        <v>193734.20000000004</v>
      </c>
      <c r="H21" s="336">
        <f t="shared" ref="H21" si="1">G21*B21</f>
        <v>581202.60000000009</v>
      </c>
      <c r="I21" s="264"/>
      <c r="J21" s="47"/>
      <c r="K21" s="303">
        <f>B21</f>
        <v>3</v>
      </c>
      <c r="L21" s="304">
        <f t="shared" ref="L21:M21" si="2">D21+L$19</f>
        <v>3.05</v>
      </c>
      <c r="M21" s="304">
        <f t="shared" si="2"/>
        <v>0.6</v>
      </c>
      <c r="N21" s="260">
        <f>L21*M21</f>
        <v>1.8299999999999998</v>
      </c>
      <c r="O21" s="258">
        <f>N21*K21</f>
        <v>5.4899999999999993</v>
      </c>
      <c r="P21" s="251">
        <f>P$20*N21</f>
        <v>193734.20000000004</v>
      </c>
      <c r="Q21" s="257">
        <f>P21+Q$20</f>
        <v>196734.20000000004</v>
      </c>
      <c r="R21" s="297">
        <f>K21*L21</f>
        <v>9.1499999999999986</v>
      </c>
      <c r="S21" s="14"/>
      <c r="T21" s="9"/>
      <c r="W21" s="4"/>
    </row>
    <row r="22" spans="1:24" ht="18" thickBot="1" x14ac:dyDescent="0.35">
      <c r="B22" s="282"/>
      <c r="C22" s="282"/>
      <c r="D22" s="283"/>
      <c r="E22" s="283"/>
      <c r="F22" s="282"/>
      <c r="G22" s="264"/>
      <c r="H22" s="232"/>
      <c r="I22" s="232"/>
      <c r="J22" s="47"/>
      <c r="K22" s="47"/>
      <c r="L22" s="39"/>
      <c r="M22" s="39"/>
      <c r="N22" s="260"/>
      <c r="O22" s="258"/>
      <c r="P22" s="251"/>
      <c r="Q22" s="257"/>
      <c r="R22" s="297"/>
      <c r="S22" s="14"/>
      <c r="T22" s="9"/>
      <c r="W22" s="4"/>
    </row>
    <row r="23" spans="1:24" ht="17.399999999999999" x14ac:dyDescent="0.3">
      <c r="B23" s="282"/>
      <c r="C23" s="282"/>
      <c r="D23" s="283"/>
      <c r="E23" s="283"/>
      <c r="F23" s="282"/>
      <c r="G23" s="298" t="s">
        <v>30</v>
      </c>
      <c r="H23" s="299">
        <f>SUM(H21:H22)</f>
        <v>581202.60000000009</v>
      </c>
      <c r="I23" s="264"/>
      <c r="J23" s="47"/>
      <c r="K23" s="47"/>
      <c r="L23" s="39">
        <f>SUM(L21:L22)</f>
        <v>3.05</v>
      </c>
      <c r="M23" s="39"/>
      <c r="N23" s="260"/>
      <c r="O23" s="258"/>
      <c r="P23" s="251"/>
      <c r="Q23" s="257"/>
      <c r="R23" s="297"/>
      <c r="S23" s="14"/>
      <c r="T23" s="9"/>
      <c r="W23" s="4"/>
    </row>
    <row r="24" spans="1:24" ht="17.399999999999999" x14ac:dyDescent="0.3">
      <c r="B24" s="276"/>
      <c r="C24" s="279"/>
      <c r="D24" s="280"/>
      <c r="E24" s="280"/>
      <c r="F24" s="281"/>
      <c r="G24" s="296" t="s">
        <v>53</v>
      </c>
      <c r="H24" s="294">
        <f>H23*0.19</f>
        <v>110428.49400000002</v>
      </c>
      <c r="I24" s="264"/>
      <c r="J24" s="47"/>
      <c r="K24" s="47"/>
      <c r="L24" s="39"/>
      <c r="M24" s="12"/>
      <c r="N24" s="12"/>
      <c r="O24" s="252">
        <f>SUM(O21:O21)</f>
        <v>5.4899999999999993</v>
      </c>
      <c r="P24" s="14"/>
      <c r="Q24" s="12"/>
      <c r="R24" s="238"/>
      <c r="S24" s="14"/>
      <c r="T24" s="9"/>
      <c r="W24" s="4"/>
    </row>
    <row r="25" spans="1:24" ht="18" thickBot="1" x14ac:dyDescent="0.35">
      <c r="B25" s="274"/>
      <c r="C25" s="278"/>
      <c r="D25" s="271"/>
      <c r="E25" s="271"/>
      <c r="F25" s="272"/>
      <c r="G25" s="277" t="s">
        <v>6</v>
      </c>
      <c r="H25" s="295">
        <f>H23+H24</f>
        <v>691631.09400000016</v>
      </c>
      <c r="I25" s="264"/>
      <c r="J25" s="47"/>
      <c r="K25" s="47"/>
      <c r="L25" s="39"/>
      <c r="M25" s="12"/>
      <c r="N25" s="12"/>
      <c r="O25" s="252">
        <f>O24</f>
        <v>5.4899999999999993</v>
      </c>
      <c r="P25" s="14"/>
      <c r="Q25" s="12"/>
      <c r="R25" s="238">
        <f>SUM(R21:R24)</f>
        <v>9.1499999999999986</v>
      </c>
      <c r="S25" s="14"/>
      <c r="T25" s="9"/>
      <c r="W25" s="4"/>
    </row>
    <row r="26" spans="1:24" ht="17.399999999999999" x14ac:dyDescent="0.3">
      <c r="B26" s="274"/>
      <c r="C26" s="270"/>
      <c r="D26" s="271"/>
      <c r="E26" s="271"/>
      <c r="F26" s="272"/>
      <c r="I26" s="264"/>
      <c r="J26" s="47"/>
      <c r="K26" s="47"/>
      <c r="L26" s="14"/>
      <c r="M26" s="12"/>
      <c r="N26" s="12"/>
      <c r="O26" s="39">
        <f>O25*0.2</f>
        <v>1.0979999999999999</v>
      </c>
      <c r="P26" s="39" t="s">
        <v>132</v>
      </c>
      <c r="Q26" s="42"/>
      <c r="R26" s="239"/>
      <c r="S26" s="14"/>
      <c r="T26" s="9"/>
      <c r="W26" s="4"/>
    </row>
    <row r="27" spans="1:24" ht="17.399999999999999" x14ac:dyDescent="0.35">
      <c r="B27" s="268"/>
      <c r="C27" s="230"/>
      <c r="D27" s="230"/>
      <c r="E27" s="232"/>
      <c r="F27" s="233"/>
      <c r="G27" s="230"/>
      <c r="H27" s="273"/>
      <c r="I27" s="264"/>
      <c r="J27" s="301"/>
      <c r="K27" s="47"/>
      <c r="L27" s="14"/>
      <c r="M27" s="12"/>
      <c r="N27" s="12"/>
      <c r="O27" s="46">
        <f>O25+O26</f>
        <v>6.5879999999999992</v>
      </c>
      <c r="P27" s="14"/>
      <c r="Q27" s="14"/>
      <c r="R27" s="237">
        <v>40</v>
      </c>
      <c r="S27" s="14"/>
      <c r="T27" s="9"/>
      <c r="W27" s="4"/>
    </row>
    <row r="28" spans="1:24" ht="17.399999999999999" x14ac:dyDescent="0.35">
      <c r="B28" s="234"/>
      <c r="C28" s="235"/>
      <c r="D28" s="236"/>
      <c r="E28" s="234"/>
      <c r="F28" s="230"/>
      <c r="G28" s="230"/>
      <c r="J28" s="301"/>
      <c r="K28" s="47"/>
      <c r="L28" s="14"/>
      <c r="M28" s="14"/>
      <c r="N28" s="14"/>
      <c r="O28" s="14"/>
      <c r="P28" s="14"/>
      <c r="Q28" s="14"/>
      <c r="R28" s="237"/>
      <c r="S28" s="14"/>
      <c r="T28" s="9"/>
      <c r="W28" s="4"/>
    </row>
    <row r="29" spans="1:24" ht="17.399999999999999" x14ac:dyDescent="0.35">
      <c r="B29" s="230"/>
      <c r="C29" s="230"/>
      <c r="D29" s="230"/>
      <c r="E29" s="230"/>
      <c r="F29" s="230"/>
      <c r="G29" s="230"/>
      <c r="I29" s="264"/>
      <c r="J29" s="47"/>
      <c r="K29" s="47"/>
      <c r="L29" s="39">
        <f>O27</f>
        <v>6.5879999999999992</v>
      </c>
      <c r="M29" s="12">
        <v>3500</v>
      </c>
      <c r="N29" s="12">
        <f t="shared" ref="N29:N34" si="3">L29*M29</f>
        <v>23057.999999999996</v>
      </c>
      <c r="O29" s="14" t="s">
        <v>22</v>
      </c>
      <c r="P29" s="14" t="s">
        <v>23</v>
      </c>
      <c r="Q29" s="14"/>
      <c r="R29" s="240"/>
      <c r="S29" s="14"/>
      <c r="T29" s="9"/>
      <c r="W29" s="4"/>
    </row>
    <row r="30" spans="1:24" ht="17.399999999999999" x14ac:dyDescent="0.35">
      <c r="A30" s="230"/>
      <c r="B30" s="230"/>
      <c r="C30" s="230"/>
      <c r="D30" s="230"/>
      <c r="E30" s="230"/>
      <c r="F30" s="230"/>
      <c r="G30" s="230"/>
      <c r="H30" s="230"/>
      <c r="I30" s="264"/>
      <c r="J30" s="47"/>
      <c r="K30" s="47"/>
      <c r="L30" s="248">
        <v>1.8</v>
      </c>
      <c r="M30" s="12">
        <v>25000</v>
      </c>
      <c r="N30" s="12">
        <f t="shared" si="3"/>
        <v>45000</v>
      </c>
      <c r="O30" s="39" t="s">
        <v>33</v>
      </c>
      <c r="P30" s="42"/>
      <c r="Q30" s="14"/>
      <c r="R30" s="239"/>
      <c r="S30" s="14"/>
      <c r="T30" s="9"/>
      <c r="W30" s="4"/>
    </row>
    <row r="31" spans="1:24" s="230" customFormat="1" ht="17.399999999999999" x14ac:dyDescent="0.35">
      <c r="B31" s="24" t="s">
        <v>153</v>
      </c>
      <c r="I31" s="261"/>
      <c r="J31" s="47"/>
      <c r="K31" s="249"/>
      <c r="L31" s="14"/>
      <c r="M31" s="249">
        <v>150000</v>
      </c>
      <c r="N31" s="12">
        <f t="shared" si="3"/>
        <v>0</v>
      </c>
      <c r="O31" s="39" t="s">
        <v>32</v>
      </c>
      <c r="P31" s="42"/>
      <c r="R31" s="239"/>
      <c r="S31" s="255"/>
      <c r="V31" s="231"/>
    </row>
    <row r="32" spans="1:24" s="230" customFormat="1" ht="17.399999999999999" x14ac:dyDescent="0.35">
      <c r="B32" s="24" t="s">
        <v>146</v>
      </c>
      <c r="C32"/>
      <c r="D32"/>
      <c r="E32"/>
      <c r="F32"/>
      <c r="I32" s="261"/>
      <c r="J32" s="300"/>
      <c r="K32" s="249"/>
      <c r="L32" s="14">
        <v>3</v>
      </c>
      <c r="M32" s="249">
        <v>60000</v>
      </c>
      <c r="N32" s="12">
        <f t="shared" si="3"/>
        <v>180000</v>
      </c>
      <c r="O32" s="14" t="s">
        <v>143</v>
      </c>
      <c r="P32" s="17"/>
      <c r="R32" s="237"/>
      <c r="S32" s="255"/>
      <c r="V32" s="231"/>
    </row>
    <row r="33" spans="2:23" s="230" customFormat="1" ht="17.399999999999999" x14ac:dyDescent="0.35">
      <c r="B33" s="29" t="s">
        <v>127</v>
      </c>
      <c r="C33"/>
      <c r="D33"/>
      <c r="E33"/>
      <c r="F33" s="229" t="s">
        <v>16</v>
      </c>
      <c r="I33" s="261"/>
      <c r="J33" s="300"/>
      <c r="K33" s="249"/>
      <c r="L33" s="248">
        <v>3</v>
      </c>
      <c r="M33" s="249">
        <v>800</v>
      </c>
      <c r="N33" s="12">
        <f t="shared" si="3"/>
        <v>2400</v>
      </c>
      <c r="O33" s="14" t="s">
        <v>34</v>
      </c>
      <c r="P33" s="14"/>
      <c r="Q33" s="230">
        <v>1.52</v>
      </c>
      <c r="R33" s="237"/>
      <c r="S33" s="237"/>
    </row>
    <row r="34" spans="2:23" s="230" customFormat="1" ht="17.399999999999999" x14ac:dyDescent="0.35">
      <c r="I34" s="293"/>
      <c r="J34" s="47"/>
      <c r="K34" s="249"/>
      <c r="L34" s="265">
        <v>9.15</v>
      </c>
      <c r="M34" s="12">
        <v>1500</v>
      </c>
      <c r="N34" s="12">
        <f t="shared" si="3"/>
        <v>13725</v>
      </c>
      <c r="O34" s="14" t="s">
        <v>24</v>
      </c>
      <c r="P34" s="14"/>
      <c r="Q34">
        <v>2.44</v>
      </c>
      <c r="R34"/>
      <c r="S34" s="237">
        <v>1500</v>
      </c>
      <c r="W34" s="231"/>
    </row>
    <row r="35" spans="2:23" s="230" customFormat="1" ht="17.399999999999999" x14ac:dyDescent="0.35">
      <c r="I35" s="264"/>
      <c r="J35" s="47"/>
      <c r="K35" s="249"/>
      <c r="L35" s="14"/>
      <c r="M35" s="12"/>
      <c r="N35" s="12">
        <f>SUM(N29:N34)</f>
        <v>264183</v>
      </c>
      <c r="O35" s="39" t="s">
        <v>25</v>
      </c>
      <c r="P35" s="14"/>
      <c r="Q35">
        <f>Q33*Q34</f>
        <v>3.7088000000000001</v>
      </c>
      <c r="R35"/>
      <c r="S35" s="237">
        <f>R27*S34</f>
        <v>60000</v>
      </c>
      <c r="W35" s="231"/>
    </row>
    <row r="36" spans="2:23" s="230" customFormat="1" ht="17.399999999999999" x14ac:dyDescent="0.35">
      <c r="J36" s="47"/>
      <c r="K36" s="249"/>
      <c r="L36" s="253" t="s">
        <v>35</v>
      </c>
      <c r="M36" s="12"/>
      <c r="N36" s="254">
        <f>N35*2.2</f>
        <v>581202.60000000009</v>
      </c>
      <c r="O36" s="14" t="s">
        <v>142</v>
      </c>
      <c r="P36" s="14"/>
      <c r="Q36" s="46">
        <f>O27/Q35</f>
        <v>1.7763157894736838</v>
      </c>
      <c r="R36"/>
      <c r="S36" s="256" t="e">
        <f>S35/#REF!</f>
        <v>#REF!</v>
      </c>
    </row>
    <row r="37" spans="2:23" s="230" customFormat="1" ht="17.399999999999999" x14ac:dyDescent="0.35">
      <c r="G37"/>
      <c r="H37" s="259"/>
      <c r="I37" s="259"/>
      <c r="J37" s="47">
        <f>J36/1.19</f>
        <v>0</v>
      </c>
      <c r="K37" s="249"/>
      <c r="L37" s="14"/>
      <c r="M37" s="12"/>
      <c r="N37" s="12">
        <f>N36/O25</f>
        <v>105865.68306010932</v>
      </c>
      <c r="O37" s="45" t="s">
        <v>26</v>
      </c>
      <c r="P37" s="14"/>
      <c r="Q37" s="14"/>
      <c r="R37"/>
      <c r="S37" s="237"/>
    </row>
    <row r="38" spans="2:23" s="230" customFormat="1" ht="17.399999999999999" x14ac:dyDescent="0.35">
      <c r="G38"/>
      <c r="J38" s="47"/>
      <c r="K38" s="249"/>
      <c r="L38" s="13"/>
      <c r="M38" s="14"/>
      <c r="N38" s="17">
        <f>N36/N35</f>
        <v>2.2000000000000002</v>
      </c>
      <c r="O38" s="15"/>
      <c r="P38"/>
      <c r="Q38"/>
      <c r="R38"/>
      <c r="S38" s="237"/>
    </row>
    <row r="39" spans="2:23" s="230" customFormat="1" ht="17.399999999999999" x14ac:dyDescent="0.35">
      <c r="G39" s="23"/>
      <c r="J39" s="47"/>
      <c r="K39" s="12"/>
      <c r="S39" s="237"/>
    </row>
    <row r="40" spans="2:23" s="230" customFormat="1" ht="17.399999999999999" x14ac:dyDescent="0.35">
      <c r="B40"/>
      <c r="C40" s="228"/>
      <c r="D40" s="22"/>
      <c r="E40" s="22"/>
      <c r="F40" s="21"/>
      <c r="G40" s="23"/>
      <c r="J40" s="47"/>
      <c r="K40" s="12"/>
      <c r="S40" s="237">
        <v>1.83</v>
      </c>
    </row>
    <row r="41" spans="2:23" ht="14.4" customHeight="1" x14ac:dyDescent="0.3">
      <c r="J41" s="47"/>
      <c r="K41" s="12"/>
      <c r="S41">
        <v>2.5</v>
      </c>
    </row>
    <row r="42" spans="2:23" x14ac:dyDescent="0.3">
      <c r="J42" s="47"/>
      <c r="K42" s="249"/>
      <c r="S42">
        <f>S40*S41</f>
        <v>4.5750000000000002</v>
      </c>
    </row>
    <row r="43" spans="2:23" x14ac:dyDescent="0.3">
      <c r="K43" s="249"/>
      <c r="S43" s="269">
        <f>O27/S42</f>
        <v>1.4399999999999997</v>
      </c>
    </row>
    <row r="44" spans="2:23" x14ac:dyDescent="0.3">
      <c r="K44" s="249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28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150</v>
      </c>
    </row>
    <row r="73" spans="3:3" x14ac:dyDescent="0.3">
      <c r="C73" t="s">
        <v>149</v>
      </c>
    </row>
    <row r="76" spans="3:3" x14ac:dyDescent="0.3">
      <c r="C76" t="s">
        <v>149</v>
      </c>
    </row>
    <row r="153" spans="3:3" x14ac:dyDescent="0.3">
      <c r="C153" t="s">
        <v>149</v>
      </c>
    </row>
    <row r="154" spans="3:3" x14ac:dyDescent="0.3">
      <c r="C154" t="s">
        <v>151</v>
      </c>
    </row>
    <row r="155" spans="3:3" x14ac:dyDescent="0.3">
      <c r="C155" t="s">
        <v>152</v>
      </c>
    </row>
    <row r="580" spans="3:3" x14ac:dyDescent="0.3">
      <c r="C580" t="s">
        <v>149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45385</v>
      </c>
    </row>
    <row r="6" spans="2:31" ht="16.2" thickBot="1" x14ac:dyDescent="0.35">
      <c r="B6" s="140" t="s">
        <v>2</v>
      </c>
      <c r="C6" s="139" t="str">
        <f>'2229'!C10</f>
        <v>CARLOS JESUS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26" t="s">
        <v>100</v>
      </c>
      <c r="I7" s="327"/>
      <c r="J7" s="327"/>
      <c r="K7" s="328"/>
      <c r="N7" s="75"/>
      <c r="O7" s="325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10898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5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-69946.77503345412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581202.60000000009</v>
      </c>
      <c r="E11" s="132">
        <f>D11*0.19</f>
        <v>110428.49400000002</v>
      </c>
      <c r="F11" s="131">
        <f>E11+D11</f>
        <v>691631.09400000016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36043.22496654588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97892.090787439607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18043.22496654588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483310.50921256049</v>
      </c>
      <c r="E13" s="221">
        <f>(D11/D12)-1</f>
        <v>4.9371762858963617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9043.2249665458803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-29956.77503345412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161521.94979927535</v>
      </c>
      <c r="F15" s="216">
        <f>E15-D12</f>
        <v>63629.859011835739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-29956.77503345412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10043.22496654588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'2229'!N30</f>
        <v>45000</v>
      </c>
      <c r="E19" s="123">
        <f>D19*0.19</f>
        <v>8550</v>
      </c>
      <c r="F19" s="120">
        <f>SUM(D19:E19)</f>
        <v>53550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23057.999999999996</v>
      </c>
      <c r="E20" s="121">
        <f>D20*0.19</f>
        <v>4381.0199999999995</v>
      </c>
      <c r="F20" s="120">
        <f>SUM(D20:E20)</f>
        <v>27439.019999999997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68058</v>
      </c>
      <c r="E21" s="116">
        <f>SUM(E18:E20)</f>
        <v>12931.02</v>
      </c>
      <c r="F21" s="115">
        <f>SUM(F18:F20)</f>
        <v>80989.01999999999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97497.474000000017</v>
      </c>
    </row>
    <row r="41" spans="2:16" ht="15" thickBot="1" x14ac:dyDescent="0.35">
      <c r="H41" s="329" t="s">
        <v>62</v>
      </c>
      <c r="I41" s="330"/>
      <c r="J41" s="330"/>
      <c r="K41" s="330"/>
      <c r="L41" s="330"/>
      <c r="M41" s="331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581202.60000000009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68058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483310.50921256049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483310.50921256049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2024-04-03T14:22:01Z</cp:lastPrinted>
  <dcterms:created xsi:type="dcterms:W3CDTF">2013-03-18T13:35:42Z</dcterms:created>
  <dcterms:modified xsi:type="dcterms:W3CDTF">2024-04-03T14:22:09Z</dcterms:modified>
</cp:coreProperties>
</file>