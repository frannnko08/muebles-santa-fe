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4 ABRIL 2024\"/>
    </mc:Choice>
  </mc:AlternateContent>
  <xr:revisionPtr revIDLastSave="0" documentId="13_ncr:1_{9E955D05-A4E7-4213-A8EE-4AB51F7192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9" i="1" l="1"/>
  <c r="N23" i="1"/>
  <c r="N22" i="1"/>
  <c r="N21" i="1"/>
  <c r="O22" i="1" l="1"/>
  <c r="O23" i="1"/>
  <c r="O24" i="1"/>
  <c r="O25" i="1"/>
  <c r="O26" i="1"/>
  <c r="O21" i="1"/>
  <c r="N24" i="1"/>
  <c r="N25" i="1"/>
  <c r="N26" i="1"/>
  <c r="L24" i="1" l="1"/>
  <c r="M24" i="1"/>
  <c r="L25" i="1"/>
  <c r="M25" i="1"/>
  <c r="L26" i="1"/>
  <c r="M26" i="1"/>
  <c r="K26" i="1"/>
  <c r="K25" i="1"/>
  <c r="K24" i="1"/>
  <c r="M22" i="1"/>
  <c r="L22" i="1"/>
  <c r="K22" i="1"/>
  <c r="K23" i="1"/>
  <c r="L23" i="1"/>
  <c r="M23" i="1"/>
  <c r="S23" i="1" l="1"/>
  <c r="R23" i="1"/>
  <c r="K21" i="1"/>
  <c r="J43" i="1"/>
  <c r="L21" i="1"/>
  <c r="L28" i="1" s="1"/>
  <c r="M21" i="1"/>
  <c r="S21" i="1" l="1"/>
  <c r="S28" i="1" s="1"/>
  <c r="S29" i="1" s="1"/>
  <c r="S30" i="1" s="1"/>
  <c r="R21" i="1"/>
  <c r="R30" i="1" s="1"/>
  <c r="U36" i="1"/>
  <c r="U37" i="1" s="1"/>
  <c r="N35" i="1" l="1"/>
  <c r="O30" i="1" l="1"/>
  <c r="O31" i="1" s="1"/>
  <c r="O32" i="1" s="1"/>
  <c r="L34" i="1" s="1"/>
  <c r="M20" i="1"/>
  <c r="K20" i="1"/>
  <c r="N36" i="1" l="1"/>
  <c r="Q40" i="1"/>
  <c r="N37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9" i="1"/>
  <c r="N38" i="1"/>
  <c r="F18" i="3" l="1"/>
  <c r="N34" i="1" l="1"/>
  <c r="N40" i="1" s="1"/>
  <c r="N41" i="1" s="1"/>
  <c r="Q41" i="1"/>
  <c r="D20" i="3" l="1"/>
  <c r="E20" i="3" s="1"/>
  <c r="E21" i="3" s="1"/>
  <c r="N42" i="1" l="1"/>
  <c r="D21" i="3"/>
  <c r="M43" i="3" s="1"/>
  <c r="D12" i="3" s="1"/>
  <c r="F20" i="3"/>
  <c r="F21" i="3" s="1"/>
  <c r="N43" i="1" l="1"/>
  <c r="P20" i="1"/>
  <c r="U21" i="1" s="1"/>
  <c r="E15" i="3"/>
  <c r="P22" i="1" l="1"/>
  <c r="P26" i="1"/>
  <c r="P23" i="1"/>
  <c r="P21" i="1"/>
  <c r="T21" i="1" s="1"/>
  <c r="P24" i="1"/>
  <c r="P25" i="1"/>
  <c r="F15" i="3"/>
  <c r="G21" i="1" l="1"/>
  <c r="H21" i="1" s="1"/>
  <c r="Q24" i="1"/>
  <c r="G24" i="1"/>
  <c r="H24" i="1" s="1"/>
  <c r="Q26" i="1"/>
  <c r="G26" i="1"/>
  <c r="H26" i="1" s="1"/>
  <c r="Q25" i="1"/>
  <c r="G25" i="1"/>
  <c r="H25" i="1" s="1"/>
  <c r="Q23" i="1"/>
  <c r="G23" i="1"/>
  <c r="H23" i="1" s="1"/>
  <c r="Q22" i="1"/>
  <c r="G22" i="1"/>
  <c r="H22" i="1" s="1"/>
  <c r="H28" i="1" s="1"/>
  <c r="Q21" i="1"/>
  <c r="H29" i="1" l="1"/>
  <c r="D11" i="3" l="1"/>
  <c r="X9" i="3" s="1"/>
  <c r="X15" i="3" s="1"/>
  <c r="H30" i="1"/>
  <c r="M42" i="3" l="1"/>
  <c r="M46" i="3" s="1"/>
  <c r="M49" i="3" s="1"/>
  <c r="X13" i="3"/>
  <c r="E11" i="3"/>
  <c r="D40" i="3" s="1"/>
  <c r="X14" i="3"/>
  <c r="X12" i="3"/>
  <c r="E13" i="3"/>
  <c r="X16" i="3"/>
  <c r="X11" i="3"/>
  <c r="D13" i="3"/>
  <c r="F11" i="3" l="1"/>
</calcChain>
</file>

<file path=xl/sharedStrings.xml><?xml version="1.0" encoding="utf-8"?>
<sst xmlns="http://schemas.openxmlformats.org/spreadsheetml/2006/main" count="241" uniqueCount="176">
  <si>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</si>
  <si>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</si>
  <si>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</si>
  <si>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</si>
  <si>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</si>
  <si>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</si>
  <si>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</si>
  <si>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</si>
  <si>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</si>
  <si>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</si>
  <si>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</si>
  <si>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</si>
  <si>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</si>
  <si>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</si>
  <si>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</si>
  <si>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</si>
  <si>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</si>
  <si>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</si>
  <si>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</si>
  <si>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</si>
  <si>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</si>
  <si>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</si>
  <si>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</si>
  <si>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</si>
  <si>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</si>
  <si>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</si>
  <si>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</si>
  <si>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</si>
  <si>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</si>
  <si>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</si>
  <si>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</si>
  <si>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</si>
  <si>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</si>
  <si>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</si>
  <si>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</si>
  <si>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</si>
  <si>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</si>
  <si>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</si>
  <si>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</si>
  <si>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</si>
  <si>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</si>
  <si>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</si>
  <si>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</si>
  <si>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</si>
  <si>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</si>
  <si>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</si>
  <si>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</si>
  <si>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</si>
  <si>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</si>
  <si>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</si>
  <si>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</si>
  <si>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</si>
  <si>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</si>
  <si>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</si>
  <si>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</si>
  <si>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</si>
  <si>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</si>
  <si>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</si>
  <si>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</si>
  <si>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</si>
  <si>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</si>
  <si>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</si>
  <si>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</si>
  <si>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</si>
  <si>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</si>
  <si>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</si>
  <si>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</si>
  <si>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</si>
  <si>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</si>
  <si>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</si>
  <si>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</si>
  <si>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</si>
  <si>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</si>
  <si>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</si>
  <si>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</si>
  <si>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</si>
  <si>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</si>
  <si>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</si>
  <si>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</si>
  <si>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</si>
  <si>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</si>
  <si>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</si>
  <si>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</si>
  <si>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</si>
  <si>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</si>
  <si>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</si>
  <si>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</si>
  <si>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</si>
  <si>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</si>
  <si>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</si>
  <si>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</si>
  <si>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</si>
  <si>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</si>
  <si>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</si>
  <si>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</si>
  <si>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</si>
  <si>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</si>
  <si>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</si>
  <si>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</si>
  <si>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</si>
  <si>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</si>
  <si>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</si>
  <si>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</si>
  <si>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</si>
  <si>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</si>
  <si>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</si>
  <si>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</si>
  <si>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</si>
  <si>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</si>
  <si>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</si>
  <si>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</si>
  <si>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</si>
  <si>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</si>
  <si>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</si>
  <si>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</si>
  <si>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</si>
  <si>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</si>
  <si>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</si>
  <si>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</si>
  <si>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</si>
  <si>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</si>
  <si>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</si>
  <si>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</si>
  <si>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</si>
  <si>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</si>
  <si>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</si>
  <si>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</si>
  <si>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</si>
  <si>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</si>
  <si>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</si>
  <si>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</si>
  <si>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</si>
  <si>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</si>
  <si>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</si>
  <si>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</si>
  <si>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</si>
  <si>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</si>
  <si>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</si>
  <si>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</si>
  <si>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</si>
  <si>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</si>
  <si>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</si>
  <si>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</si>
  <si>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</si>
  <si>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</si>
  <si>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</si>
  <si>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</si>
  <si>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</si>
  <si>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</si>
  <si>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</si>
  <si>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</si>
  <si>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</si>
  <si>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</si>
  <si>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</si>
  <si>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</si>
  <si>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</si>
  <si>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</si>
  <si>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</si>
  <si>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</si>
  <si>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</si>
  <si>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</si>
  <si>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</si>
  <si>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</si>
  <si>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</si>
  <si>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</si>
  <si>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</si>
  <si>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</si>
  <si>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>SANTIAGO</t>
  </si>
  <si>
    <t>5 DIAS HABILES</t>
  </si>
  <si>
    <t>N° 10940</t>
  </si>
  <si>
    <t>SISTEMA</t>
  </si>
  <si>
    <t>ALEXIS ARAYA</t>
  </si>
  <si>
    <t xml:space="preserve">+569 </t>
  </si>
  <si>
    <t xml:space="preserve">CUB 2 LADOS R8 </t>
  </si>
  <si>
    <t>CUB S/R R8 1 LADO</t>
  </si>
  <si>
    <t>BLANCO 2112 MT F6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</si>
</sst>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0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0" borderId="39" xfId="0" applyFont="1" applyBorder="1" applyAlignment="1">
      <alignment horizontal="center" vertical="center"/>
    </xf>
    <xf numFmtId="166" fontId="32" fillId="0" borderId="39" xfId="0" applyNumberFormat="1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0" fillId="7" borderId="0" xfId="0" applyNumberFormat="1" applyFill="1"/>
    <xf numFmtId="0" fontId="21" fillId="0" borderId="25" xfId="0" applyFont="1" applyFill="1" applyBorder="1" applyAlignment="1">
      <alignment horizontal="center" vertical="center"/>
    </xf>
    <xf numFmtId="0" fontId="32" fillId="0" borderId="28" xfId="0" applyFont="1" applyFill="1" applyBorder="1" applyAlignment="1">
      <alignment horizontal="center" vertical="center"/>
    </xf>
    <xf numFmtId="0" fontId="32" fillId="0" borderId="40" xfId="0" applyFont="1" applyFill="1" applyBorder="1" applyAlignment="1">
      <alignment horizontal="center" vertical="center"/>
    </xf>
    <xf numFmtId="0" fontId="32" fillId="0" borderId="1" xfId="0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32</xdr:row>
      <xdr:rowOff>26670</xdr:rowOff>
    </xdr:from>
    <xdr:to>
      <xdr:col>7</xdr:col>
      <xdr:colOff>1034435</xdr:colOff>
      <xdr:row>35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34</xdr:row>
      <xdr:rowOff>154305</xdr:rowOff>
    </xdr:from>
    <xdr:to>
      <xdr:col>7</xdr:col>
      <xdr:colOff>853440</xdr:colOff>
      <xdr:row>34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32</xdr:row>
      <xdr:rowOff>9525</xdr:rowOff>
    </xdr:from>
    <xdr:to>
      <xdr:col>5</xdr:col>
      <xdr:colOff>1714500</xdr:colOff>
      <xdr:row>35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376903</xdr:colOff>
      <xdr:row>27</xdr:row>
      <xdr:rowOff>9525</xdr:rowOff>
    </xdr:from>
    <xdr:to>
      <xdr:col>5</xdr:col>
      <xdr:colOff>1594096</xdr:colOff>
      <xdr:row>30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376903" y="4376686"/>
          <a:ext cx="7444290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CUBIERTAS SE ENTREGAN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25MM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5"/>
  <sheetViews>
    <sheetView tabSelected="1" topLeftCell="A12" zoomScale="93" zoomScaleNormal="93" workbookViewId="0">
      <selection activeCell="F21" sqref="F21:F26"/>
    </sheetView>
  </sheetViews>
  <sheetFormatPr baseColWidth="10" defaultRowHeight="14.4" x14ac:dyDescent="0.3"/>
  <cols>
    <col min="1" max="1" width="6" customWidth="1"/>
    <col min="2" max="2" width="10.5546875" customWidth="1"/>
    <col min="3" max="3" width="34.44140625" customWidth="1"/>
    <col min="4" max="4" width="11.109375" customWidth="1"/>
    <col min="5" max="5" width="10.5546875" customWidth="1"/>
    <col min="6" max="6" width="31.1093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17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328" t="s">
        <v>169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8" t="s">
        <v>163</v>
      </c>
      <c r="C10" s="279" t="s">
        <v>170</v>
      </c>
      <c r="D10" s="243"/>
      <c r="E10" s="243"/>
      <c r="F10" s="244" t="s">
        <v>0</v>
      </c>
      <c r="G10" s="277">
        <v>45411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1"/>
      <c r="F11" t="s">
        <v>124</v>
      </c>
      <c r="G11" s="289" t="s">
        <v>168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5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88" t="s">
        <v>147</v>
      </c>
      <c r="C13" t="s">
        <v>171</v>
      </c>
      <c r="G13" s="316"/>
      <c r="H13" s="290"/>
      <c r="P13" s="19"/>
      <c r="Q13" s="25"/>
      <c r="R13" s="19"/>
    </row>
    <row r="14" spans="2:23" x14ac:dyDescent="0.3">
      <c r="B14" s="246" t="s">
        <v>140</v>
      </c>
      <c r="C14" s="323"/>
      <c r="D14" s="247"/>
      <c r="E14" s="247"/>
      <c r="F14" s="324" t="s">
        <v>137</v>
      </c>
      <c r="G14" s="291" t="s">
        <v>136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18" t="s">
        <v>172</v>
      </c>
      <c r="D15" s="319"/>
      <c r="F15" t="s">
        <v>135</v>
      </c>
      <c r="G15" s="317" t="s">
        <v>136</v>
      </c>
      <c r="H15" s="290"/>
    </row>
    <row r="16" spans="2:23" ht="16.8" x14ac:dyDescent="0.4">
      <c r="B16" s="325" t="s">
        <v>3</v>
      </c>
      <c r="C16" s="315"/>
      <c r="D16" s="247"/>
      <c r="E16" s="247"/>
      <c r="F16" s="326" t="s">
        <v>130</v>
      </c>
      <c r="G16" s="327" t="s">
        <v>164</v>
      </c>
      <c r="H16" s="248"/>
    </row>
    <row r="17" spans="2:24" ht="15" thickBot="1" x14ac:dyDescent="0.35">
      <c r="B17" s="320" t="s">
        <v>13</v>
      </c>
      <c r="C17" s="321" t="s">
        <v>167</v>
      </c>
      <c r="D17" s="322"/>
      <c r="E17" s="119"/>
      <c r="F17" s="329" t="s">
        <v>166</v>
      </c>
      <c r="G17" s="329"/>
      <c r="H17" s="330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1" t="s">
        <v>148</v>
      </c>
      <c r="C19" s="332"/>
      <c r="D19" s="332"/>
      <c r="E19" s="332"/>
      <c r="F19" s="332"/>
      <c r="G19" s="332"/>
      <c r="H19" s="333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46" t="s">
        <v>7</v>
      </c>
      <c r="C20" s="309" t="s">
        <v>1</v>
      </c>
      <c r="D20" s="309" t="s">
        <v>10</v>
      </c>
      <c r="E20" s="309" t="s">
        <v>11</v>
      </c>
      <c r="F20" s="309" t="s">
        <v>8</v>
      </c>
      <c r="G20" s="309" t="s">
        <v>5</v>
      </c>
      <c r="H20" s="310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N42</f>
        <v>61731.712572514996</v>
      </c>
      <c r="Q20" s="258">
        <v>2000</v>
      </c>
      <c r="R20" s="38"/>
      <c r="S20" s="14" t="s">
        <v>129</v>
      </c>
      <c r="T20" s="9"/>
      <c r="W20" s="4"/>
    </row>
    <row r="21" spans="2:24" ht="18" thickBot="1" x14ac:dyDescent="0.35">
      <c r="B21" s="347">
        <v>4</v>
      </c>
      <c r="C21" s="311" t="s">
        <v>173</v>
      </c>
      <c r="D21" s="312">
        <v>1.52</v>
      </c>
      <c r="E21" s="312">
        <v>0.4</v>
      </c>
      <c r="F21" s="311" t="s">
        <v>175</v>
      </c>
      <c r="G21" s="313">
        <f>P21</f>
        <v>38767.515495539425</v>
      </c>
      <c r="H21" s="314">
        <f>G21*B21</f>
        <v>155070.0619821577</v>
      </c>
      <c r="I21" s="265"/>
      <c r="J21" s="47"/>
      <c r="K21" s="47">
        <f>B21</f>
        <v>4</v>
      </c>
      <c r="L21" s="39">
        <f t="shared" ref="L21" si="1">D21+L$19</f>
        <v>1.57</v>
      </c>
      <c r="M21" s="39">
        <f t="shared" ref="M21" si="2">E21+M$19</f>
        <v>0.4</v>
      </c>
      <c r="N21" s="261">
        <f>L21*M21</f>
        <v>0.62800000000000011</v>
      </c>
      <c r="O21" s="259">
        <f>N21*K21</f>
        <v>2.5120000000000005</v>
      </c>
      <c r="P21" s="252">
        <f>P$20*N21</f>
        <v>38767.515495539425</v>
      </c>
      <c r="Q21" s="258">
        <f t="shared" ref="Q21" si="3">P21+Q$20</f>
        <v>40767.515495539425</v>
      </c>
      <c r="R21" s="298">
        <f>L21*K21*2</f>
        <v>12.56</v>
      </c>
      <c r="S21" s="46">
        <f>M21*2*K21</f>
        <v>3.2</v>
      </c>
      <c r="T21" s="9">
        <f>P21*K21</f>
        <v>155070.0619821577</v>
      </c>
      <c r="U21" s="270">
        <f>O21*P20</f>
        <v>155070.0619821577</v>
      </c>
      <c r="W21" s="4"/>
    </row>
    <row r="22" spans="2:24" ht="18" thickBot="1" x14ac:dyDescent="0.35">
      <c r="B22" s="347">
        <v>3</v>
      </c>
      <c r="C22" s="311" t="s">
        <v>173</v>
      </c>
      <c r="D22" s="312">
        <v>1.63</v>
      </c>
      <c r="E22" s="312">
        <v>0.4</v>
      </c>
      <c r="F22" s="311" t="s">
        <v>175</v>
      </c>
      <c r="G22" s="313">
        <f t="shared" ref="G22:G26" si="4">P22</f>
        <v>41483.710848730079</v>
      </c>
      <c r="H22" s="314">
        <f t="shared" ref="H22:H26" si="5">G22*B22</f>
        <v>124451.13254619023</v>
      </c>
      <c r="I22" s="265"/>
      <c r="J22" s="47"/>
      <c r="K22" s="47">
        <f>B22</f>
        <v>3</v>
      </c>
      <c r="L22" s="39">
        <f t="shared" ref="L22" si="6">D22+L$19</f>
        <v>1.68</v>
      </c>
      <c r="M22" s="39">
        <f t="shared" ref="M22" si="7">E22+M$19</f>
        <v>0.4</v>
      </c>
      <c r="N22" s="261">
        <f>L22*M22</f>
        <v>0.67200000000000004</v>
      </c>
      <c r="O22" s="259">
        <f t="shared" ref="O22:O26" si="8">N22*K22</f>
        <v>2.016</v>
      </c>
      <c r="P22" s="252">
        <f t="shared" ref="P22:P26" si="9">P$20*N22</f>
        <v>41483.710848730079</v>
      </c>
      <c r="Q22" s="258">
        <f t="shared" ref="Q22" si="10">P22+Q$20</f>
        <v>43483.710848730079</v>
      </c>
      <c r="R22" s="298"/>
      <c r="S22" s="46"/>
      <c r="T22" s="9"/>
      <c r="U22" s="59"/>
      <c r="W22" s="4"/>
    </row>
    <row r="23" spans="2:24" ht="18" thickBot="1" x14ac:dyDescent="0.35">
      <c r="B23" s="348">
        <v>1</v>
      </c>
      <c r="C23" s="341" t="s">
        <v>173</v>
      </c>
      <c r="D23" s="342">
        <v>1.52</v>
      </c>
      <c r="E23" s="342">
        <v>0.8</v>
      </c>
      <c r="F23" s="311" t="s">
        <v>175</v>
      </c>
      <c r="G23" s="313">
        <f t="shared" si="4"/>
        <v>77535.030991078849</v>
      </c>
      <c r="H23" s="314">
        <f t="shared" si="5"/>
        <v>77535.030991078849</v>
      </c>
      <c r="I23" s="265"/>
      <c r="J23" s="47"/>
      <c r="K23" s="47">
        <f t="shared" ref="K23:K26" si="11">B23</f>
        <v>1</v>
      </c>
      <c r="L23" s="39">
        <f t="shared" ref="L23" si="12">D23+L$19</f>
        <v>1.57</v>
      </c>
      <c r="M23" s="39">
        <f t="shared" ref="M23" si="13">E23+M$19</f>
        <v>0.8</v>
      </c>
      <c r="N23" s="261">
        <f>L23*M23</f>
        <v>1.2560000000000002</v>
      </c>
      <c r="O23" s="259">
        <f t="shared" si="8"/>
        <v>1.2560000000000002</v>
      </c>
      <c r="P23" s="252">
        <f t="shared" si="9"/>
        <v>77535.030991078849</v>
      </c>
      <c r="Q23" s="258">
        <f t="shared" ref="Q23" si="14">P23+Q$20</f>
        <v>79535.030991078849</v>
      </c>
      <c r="R23" s="298">
        <f t="shared" ref="R23" si="15">L23*K23*2</f>
        <v>3.14</v>
      </c>
      <c r="S23" s="46">
        <f t="shared" ref="S23" si="16">M23*2*K23</f>
        <v>1.6</v>
      </c>
      <c r="T23" s="9"/>
      <c r="W23" s="4"/>
    </row>
    <row r="24" spans="2:24" ht="18" thickBot="1" x14ac:dyDescent="0.35">
      <c r="B24" s="349">
        <v>1</v>
      </c>
      <c r="C24" s="343" t="s">
        <v>173</v>
      </c>
      <c r="D24" s="344">
        <v>1.63</v>
      </c>
      <c r="E24" s="344">
        <v>0.8</v>
      </c>
      <c r="F24" s="311" t="s">
        <v>175</v>
      </c>
      <c r="G24" s="313">
        <f t="shared" si="4"/>
        <v>82967.421697460159</v>
      </c>
      <c r="H24" s="314">
        <f t="shared" si="5"/>
        <v>82967.421697460159</v>
      </c>
      <c r="I24" s="265"/>
      <c r="J24" s="47"/>
      <c r="K24" s="47">
        <f t="shared" si="11"/>
        <v>1</v>
      </c>
      <c r="L24" s="39">
        <f t="shared" ref="L24:L26" si="17">D24+L$19</f>
        <v>1.68</v>
      </c>
      <c r="M24" s="39">
        <f t="shared" ref="M24:M26" si="18">E24+M$19</f>
        <v>0.8</v>
      </c>
      <c r="N24" s="261">
        <f t="shared" ref="N22:N26" si="19">L24*M24</f>
        <v>1.3440000000000001</v>
      </c>
      <c r="O24" s="259">
        <f t="shared" si="8"/>
        <v>1.3440000000000001</v>
      </c>
      <c r="P24" s="252">
        <f t="shared" si="9"/>
        <v>82967.421697460159</v>
      </c>
      <c r="Q24" s="258">
        <f t="shared" ref="Q24:Q26" si="20">P24+Q$20</f>
        <v>84967.421697460159</v>
      </c>
      <c r="R24" s="298"/>
      <c r="S24" s="46"/>
      <c r="T24" s="9"/>
      <c r="W24" s="4"/>
    </row>
    <row r="25" spans="2:24" ht="18" thickBot="1" x14ac:dyDescent="0.35">
      <c r="B25" s="349">
        <v>4</v>
      </c>
      <c r="C25" s="343" t="s">
        <v>174</v>
      </c>
      <c r="D25" s="344">
        <v>1.52</v>
      </c>
      <c r="E25" s="344">
        <v>0.82</v>
      </c>
      <c r="F25" s="311" t="s">
        <v>175</v>
      </c>
      <c r="G25" s="313">
        <f t="shared" si="4"/>
        <v>79473.406765855805</v>
      </c>
      <c r="H25" s="314">
        <f t="shared" si="5"/>
        <v>317893.62706342322</v>
      </c>
      <c r="I25" s="265"/>
      <c r="J25" s="345">
        <v>6</v>
      </c>
      <c r="K25" s="47">
        <f t="shared" si="11"/>
        <v>4</v>
      </c>
      <c r="L25" s="39">
        <f t="shared" si="17"/>
        <v>1.57</v>
      </c>
      <c r="M25" s="39">
        <f t="shared" si="18"/>
        <v>0.82</v>
      </c>
      <c r="N25" s="261">
        <f t="shared" si="19"/>
        <v>1.2873999999999999</v>
      </c>
      <c r="O25" s="259">
        <f t="shared" si="8"/>
        <v>5.1495999999999995</v>
      </c>
      <c r="P25" s="252">
        <f t="shared" si="9"/>
        <v>79473.406765855805</v>
      </c>
      <c r="Q25" s="258">
        <f t="shared" si="20"/>
        <v>81473.406765855805</v>
      </c>
      <c r="R25" s="298"/>
      <c r="S25" s="46"/>
      <c r="T25" s="9"/>
      <c r="W25" s="4"/>
    </row>
    <row r="26" spans="2:24" ht="17.399999999999999" x14ac:dyDescent="0.3">
      <c r="B26" s="349">
        <v>3</v>
      </c>
      <c r="C26" s="343" t="s">
        <v>174</v>
      </c>
      <c r="D26" s="344">
        <v>1.63</v>
      </c>
      <c r="E26" s="344">
        <v>0.82</v>
      </c>
      <c r="F26" s="311" t="s">
        <v>175</v>
      </c>
      <c r="G26" s="313">
        <f t="shared" si="4"/>
        <v>85041.60723989665</v>
      </c>
      <c r="H26" s="314">
        <f t="shared" si="5"/>
        <v>255124.82171968993</v>
      </c>
      <c r="I26" s="265"/>
      <c r="J26" s="47">
        <v>4</v>
      </c>
      <c r="K26" s="47">
        <f t="shared" si="11"/>
        <v>3</v>
      </c>
      <c r="L26" s="39">
        <f t="shared" si="17"/>
        <v>1.68</v>
      </c>
      <c r="M26" s="39">
        <f t="shared" si="18"/>
        <v>0.82</v>
      </c>
      <c r="N26" s="261">
        <f t="shared" si="19"/>
        <v>1.3775999999999999</v>
      </c>
      <c r="O26" s="259">
        <f t="shared" si="8"/>
        <v>4.1327999999999996</v>
      </c>
      <c r="P26" s="252">
        <f t="shared" si="9"/>
        <v>85041.60723989665</v>
      </c>
      <c r="Q26" s="258">
        <f t="shared" si="20"/>
        <v>87041.60723989665</v>
      </c>
      <c r="R26" s="298"/>
      <c r="S26" s="46"/>
      <c r="T26" s="9"/>
      <c r="W26" s="4"/>
    </row>
    <row r="27" spans="2:24" ht="18" thickBot="1" x14ac:dyDescent="0.35">
      <c r="B27" s="286"/>
      <c r="C27" s="286"/>
      <c r="D27" s="287"/>
      <c r="E27" s="287"/>
      <c r="F27" s="286"/>
      <c r="G27" s="265"/>
      <c r="H27" s="233"/>
      <c r="I27" s="233"/>
      <c r="J27" s="47"/>
      <c r="K27" s="47"/>
      <c r="L27" s="39"/>
      <c r="M27" s="39"/>
      <c r="N27" s="261"/>
      <c r="O27" s="259"/>
      <c r="P27" s="252"/>
      <c r="Q27" s="258"/>
      <c r="R27" s="298"/>
      <c r="S27" s="14"/>
      <c r="T27" s="9"/>
      <c r="W27" s="4"/>
    </row>
    <row r="28" spans="2:24" ht="17.399999999999999" x14ac:dyDescent="0.3">
      <c r="B28" s="286"/>
      <c r="C28" s="286"/>
      <c r="D28" s="287"/>
      <c r="E28" s="287"/>
      <c r="F28" s="286"/>
      <c r="G28" s="299" t="s">
        <v>29</v>
      </c>
      <c r="H28" s="300">
        <f>SUM(H21:H27)</f>
        <v>1013042.0960000001</v>
      </c>
      <c r="I28" s="265"/>
      <c r="J28" s="47"/>
      <c r="K28" s="47"/>
      <c r="L28" s="39">
        <f>SUM(L21:L27)</f>
        <v>9.75</v>
      </c>
      <c r="M28" s="39"/>
      <c r="N28" s="261"/>
      <c r="O28" s="259"/>
      <c r="P28" s="252"/>
      <c r="Q28" s="258"/>
      <c r="R28" s="298"/>
      <c r="S28" s="46">
        <f>SUM(S21:S27)</f>
        <v>4.8000000000000007</v>
      </c>
      <c r="T28" s="9"/>
      <c r="W28" s="4"/>
    </row>
    <row r="29" spans="2:24" ht="17.399999999999999" x14ac:dyDescent="0.3">
      <c r="B29" s="280"/>
      <c r="C29" s="283"/>
      <c r="D29" s="284"/>
      <c r="E29" s="284"/>
      <c r="F29" s="285"/>
      <c r="G29" s="297" t="s">
        <v>52</v>
      </c>
      <c r="H29" s="295">
        <f>H28*19%</f>
        <v>192477.99824000002</v>
      </c>
      <c r="I29" s="265"/>
      <c r="J29" s="47"/>
      <c r="K29" s="47"/>
      <c r="L29" s="39"/>
      <c r="M29" s="12"/>
      <c r="N29" s="12"/>
      <c r="O29" s="253">
        <f>SUM(O21:O26)</f>
        <v>16.410399999999999</v>
      </c>
      <c r="P29" s="14"/>
      <c r="Q29" s="12"/>
      <c r="R29" s="239"/>
      <c r="S29" s="46">
        <f>S28*20%</f>
        <v>0.96000000000000019</v>
      </c>
      <c r="T29" s="9"/>
      <c r="W29" s="4"/>
    </row>
    <row r="30" spans="2:24" ht="18" thickBot="1" x14ac:dyDescent="0.35">
      <c r="B30" s="276"/>
      <c r="C30" s="282"/>
      <c r="D30" s="272"/>
      <c r="E30" s="272"/>
      <c r="F30" s="273"/>
      <c r="G30" s="281" t="s">
        <v>6</v>
      </c>
      <c r="H30" s="296">
        <f>H28+H29</f>
        <v>1205520.0942400002</v>
      </c>
      <c r="I30" s="265"/>
      <c r="J30" s="47"/>
      <c r="K30" s="47"/>
      <c r="L30" s="39"/>
      <c r="M30" s="12"/>
      <c r="N30" s="12"/>
      <c r="O30" s="253">
        <f>O29</f>
        <v>16.410399999999999</v>
      </c>
      <c r="P30" s="14"/>
      <c r="Q30" s="12"/>
      <c r="R30" s="239">
        <f>SUM(R21:R29)</f>
        <v>15.700000000000001</v>
      </c>
      <c r="S30" s="46">
        <f>S28+S29</f>
        <v>5.7600000000000007</v>
      </c>
      <c r="T30" s="9"/>
      <c r="W30" s="4"/>
    </row>
    <row r="31" spans="2:24" ht="17.399999999999999" x14ac:dyDescent="0.3">
      <c r="B31" s="276"/>
      <c r="C31" s="271"/>
      <c r="D31" s="272"/>
      <c r="E31" s="272"/>
      <c r="F31" s="273"/>
      <c r="I31" s="265"/>
      <c r="J31" s="47"/>
      <c r="K31" s="47"/>
      <c r="L31" s="14"/>
      <c r="M31" s="12"/>
      <c r="N31" s="12"/>
      <c r="O31" s="39">
        <f>O30*20%</f>
        <v>3.2820800000000001</v>
      </c>
      <c r="P31" s="39" t="s">
        <v>131</v>
      </c>
      <c r="Q31" s="42"/>
      <c r="R31" s="240"/>
      <c r="S31" s="14"/>
      <c r="T31" s="9"/>
      <c r="W31" s="4"/>
    </row>
    <row r="32" spans="2:24" ht="17.399999999999999" x14ac:dyDescent="0.3">
      <c r="B32" s="271"/>
      <c r="C32" s="271"/>
      <c r="D32" s="272"/>
      <c r="E32" s="272"/>
      <c r="F32" s="273"/>
      <c r="G32" s="274"/>
      <c r="H32" s="275"/>
      <c r="I32" s="265"/>
      <c r="J32" s="47"/>
      <c r="K32" s="47"/>
      <c r="L32" s="14"/>
      <c r="M32" s="12"/>
      <c r="N32" s="12"/>
      <c r="O32" s="46">
        <f>O30+O31</f>
        <v>19.69248</v>
      </c>
      <c r="P32" s="14"/>
      <c r="Q32" s="14"/>
      <c r="R32" s="238">
        <v>40</v>
      </c>
      <c r="S32" s="14"/>
      <c r="T32" s="9"/>
      <c r="W32" s="4"/>
    </row>
    <row r="33" spans="2:23" ht="17.399999999999999" x14ac:dyDescent="0.35">
      <c r="B33" s="269"/>
      <c r="C33" s="230"/>
      <c r="D33" s="230"/>
      <c r="E33" s="233"/>
      <c r="F33" s="234"/>
      <c r="G33" s="230"/>
      <c r="H33" s="275"/>
      <c r="I33" s="265"/>
      <c r="J33" s="47"/>
      <c r="K33" s="47"/>
      <c r="L33" s="14"/>
      <c r="M33" s="14"/>
      <c r="N33" s="14"/>
      <c r="O33" s="14"/>
      <c r="P33" s="14"/>
      <c r="Q33" s="14"/>
      <c r="R33" s="238"/>
      <c r="S33" s="14"/>
      <c r="T33" s="305" t="s">
        <v>22</v>
      </c>
      <c r="U33" s="302" t="s">
        <v>153</v>
      </c>
      <c r="V33" s="306">
        <v>44971</v>
      </c>
      <c r="W33" s="307"/>
    </row>
    <row r="34" spans="2:23" ht="17.399999999999999" x14ac:dyDescent="0.35">
      <c r="B34" s="235"/>
      <c r="C34" s="236"/>
      <c r="D34" s="237"/>
      <c r="E34" s="235"/>
      <c r="F34" s="230"/>
      <c r="G34" s="230"/>
      <c r="I34" s="265"/>
      <c r="J34" s="47"/>
      <c r="K34" s="47"/>
      <c r="L34" s="39">
        <f>O32</f>
        <v>19.69248</v>
      </c>
      <c r="M34" s="12">
        <v>3500</v>
      </c>
      <c r="N34" s="12">
        <f t="shared" ref="N34:N39" si="21">L34*M34</f>
        <v>68923.679999999993</v>
      </c>
      <c r="O34" s="14" t="s">
        <v>22</v>
      </c>
      <c r="P34" s="14"/>
      <c r="Q34" s="14"/>
      <c r="R34" s="241"/>
      <c r="S34" s="14"/>
      <c r="T34" s="305" t="s">
        <v>154</v>
      </c>
      <c r="U34" s="302">
        <v>3625</v>
      </c>
      <c r="V34" s="59" t="s">
        <v>155</v>
      </c>
      <c r="W34" s="307"/>
    </row>
    <row r="35" spans="2:23" ht="17.399999999999999" x14ac:dyDescent="0.35">
      <c r="B35" s="230"/>
      <c r="C35" s="230"/>
      <c r="D35" s="230"/>
      <c r="E35" s="230"/>
      <c r="F35" s="230"/>
      <c r="G35" s="230"/>
      <c r="I35" s="265"/>
      <c r="J35" s="47"/>
      <c r="K35" s="47"/>
      <c r="L35" s="249">
        <v>5.3</v>
      </c>
      <c r="M35" s="12">
        <v>37600</v>
      </c>
      <c r="N35" s="12">
        <f t="shared" si="21"/>
        <v>199280</v>
      </c>
      <c r="O35" s="39" t="s">
        <v>32</v>
      </c>
      <c r="P35" s="42"/>
      <c r="Q35" s="14"/>
      <c r="R35" s="240"/>
      <c r="S35" s="14"/>
      <c r="T35" s="305"/>
      <c r="U35" s="59">
        <v>906.25</v>
      </c>
      <c r="V35" s="59" t="s">
        <v>156</v>
      </c>
      <c r="W35" s="307"/>
    </row>
    <row r="36" spans="2:23" s="230" customFormat="1" ht="17.399999999999999" x14ac:dyDescent="0.35">
      <c r="I36" s="262"/>
      <c r="J36" s="232"/>
      <c r="K36" s="250"/>
      <c r="L36" s="14"/>
      <c r="M36" s="250">
        <v>70000</v>
      </c>
      <c r="N36" s="12">
        <f t="shared" si="21"/>
        <v>0</v>
      </c>
      <c r="O36" s="39" t="s">
        <v>31</v>
      </c>
      <c r="P36" s="42"/>
      <c r="R36" s="240"/>
      <c r="S36" s="256"/>
      <c r="T36" s="59"/>
      <c r="U36" s="59">
        <f>U35*20%</f>
        <v>181.25</v>
      </c>
      <c r="V36" s="307" t="s">
        <v>157</v>
      </c>
      <c r="W36" s="59"/>
    </row>
    <row r="37" spans="2:23" s="230" customFormat="1" ht="17.399999999999999" x14ac:dyDescent="0.35">
      <c r="B37" s="24" t="s">
        <v>152</v>
      </c>
      <c r="I37" s="262"/>
      <c r="J37" s="232"/>
      <c r="K37" s="250"/>
      <c r="L37" s="14">
        <v>10</v>
      </c>
      <c r="M37" s="250">
        <v>19227</v>
      </c>
      <c r="N37" s="12">
        <f t="shared" si="21"/>
        <v>192270</v>
      </c>
      <c r="O37" s="14" t="s">
        <v>142</v>
      </c>
      <c r="P37" s="17"/>
      <c r="R37" s="238"/>
      <c r="S37" s="256"/>
      <c r="T37" s="59"/>
      <c r="U37" s="59">
        <f>U35+U36</f>
        <v>1087.5</v>
      </c>
      <c r="V37" s="307" t="s">
        <v>158</v>
      </c>
      <c r="W37" s="59"/>
    </row>
    <row r="38" spans="2:23" s="230" customFormat="1" ht="17.399999999999999" x14ac:dyDescent="0.35">
      <c r="B38" s="24" t="s">
        <v>145</v>
      </c>
      <c r="C38"/>
      <c r="D38"/>
      <c r="E38"/>
      <c r="F38"/>
      <c r="I38" s="262"/>
      <c r="K38" s="250"/>
      <c r="L38" s="249"/>
      <c r="M38" s="250">
        <v>300</v>
      </c>
      <c r="N38" s="12">
        <f t="shared" si="21"/>
        <v>0</v>
      </c>
      <c r="O38" s="14" t="s">
        <v>33</v>
      </c>
      <c r="P38" s="14"/>
      <c r="Q38" s="230">
        <v>1.52</v>
      </c>
      <c r="R38" s="238"/>
      <c r="S38" s="238"/>
    </row>
    <row r="39" spans="2:23" s="230" customFormat="1" ht="17.399999999999999" x14ac:dyDescent="0.35">
      <c r="B39" s="29" t="s">
        <v>126</v>
      </c>
      <c r="C39"/>
      <c r="D39"/>
      <c r="E39"/>
      <c r="F39" s="229" t="s">
        <v>16</v>
      </c>
      <c r="I39" s="294"/>
      <c r="K39" s="250"/>
      <c r="L39" s="266"/>
      <c r="M39" s="12">
        <v>1500</v>
      </c>
      <c r="N39" s="12">
        <f t="shared" si="21"/>
        <v>0</v>
      </c>
      <c r="O39" s="14" t="s">
        <v>23</v>
      </c>
      <c r="P39" s="14"/>
      <c r="Q39">
        <v>2.44</v>
      </c>
      <c r="R39"/>
      <c r="S39" s="238"/>
      <c r="W39" s="231"/>
    </row>
    <row r="40" spans="2:23" s="230" customFormat="1" ht="17.399999999999999" x14ac:dyDescent="0.35">
      <c r="K40" s="250"/>
      <c r="L40" s="14"/>
      <c r="M40" s="12"/>
      <c r="N40" s="12">
        <f>SUM(N34:N39)</f>
        <v>460473.68</v>
      </c>
      <c r="O40" s="39" t="s">
        <v>24</v>
      </c>
      <c r="P40" s="14"/>
      <c r="Q40">
        <f>Q38*Q39</f>
        <v>3.7088000000000001</v>
      </c>
      <c r="R40"/>
      <c r="S40" s="238"/>
      <c r="W40" s="231"/>
    </row>
    <row r="41" spans="2:23" s="230" customFormat="1" ht="17.399999999999999" x14ac:dyDescent="0.35">
      <c r="K41" s="250"/>
      <c r="L41" s="254" t="s">
        <v>34</v>
      </c>
      <c r="M41" s="12"/>
      <c r="N41" s="255">
        <f>N40*2.2</f>
        <v>1013042.096</v>
      </c>
      <c r="O41" s="14" t="s">
        <v>141</v>
      </c>
      <c r="P41" s="14"/>
      <c r="Q41" s="40">
        <f>O32/Q40</f>
        <v>5.3096635030198449</v>
      </c>
      <c r="R41"/>
      <c r="S41" s="257"/>
    </row>
    <row r="42" spans="2:23" s="230" customFormat="1" ht="17.399999999999999" x14ac:dyDescent="0.35">
      <c r="G42"/>
      <c r="H42" s="260"/>
      <c r="I42" s="260"/>
      <c r="J42" s="230">
        <v>44730</v>
      </c>
      <c r="K42" s="250"/>
      <c r="L42" s="14"/>
      <c r="M42" s="12"/>
      <c r="N42" s="12">
        <f>N41/O30</f>
        <v>61731.712572514996</v>
      </c>
      <c r="O42" s="45" t="s">
        <v>25</v>
      </c>
      <c r="P42" s="14"/>
      <c r="Q42" s="14"/>
      <c r="R42"/>
      <c r="S42" s="238"/>
      <c r="T42" s="59" t="s">
        <v>159</v>
      </c>
      <c r="U42" s="302">
        <v>43650</v>
      </c>
    </row>
    <row r="43" spans="2:23" s="230" customFormat="1" ht="17.399999999999999" x14ac:dyDescent="0.35">
      <c r="G43"/>
      <c r="H43" s="230" t="s">
        <v>165</v>
      </c>
      <c r="J43" s="230">
        <f>J42/1.19</f>
        <v>37588.23529411765</v>
      </c>
      <c r="K43" s="250"/>
      <c r="L43" s="13"/>
      <c r="M43" s="14"/>
      <c r="N43" s="17">
        <f>N41/N40</f>
        <v>2.2000000000000002</v>
      </c>
      <c r="O43" s="15"/>
      <c r="P43"/>
      <c r="Q43"/>
      <c r="R43"/>
      <c r="S43" s="238"/>
      <c r="T43" s="59" t="s">
        <v>161</v>
      </c>
      <c r="U43" s="303" t="s">
        <v>160</v>
      </c>
      <c r="V43" s="59">
        <v>2.4</v>
      </c>
    </row>
    <row r="44" spans="2:23" s="230" customFormat="1" ht="17.399999999999999" x14ac:dyDescent="0.35">
      <c r="G44" s="23"/>
      <c r="K44" s="12"/>
      <c r="S44" s="238"/>
      <c r="T44" s="59" t="s">
        <v>162</v>
      </c>
      <c r="U44" s="304">
        <v>395.37</v>
      </c>
    </row>
    <row r="45" spans="2:23" s="230" customFormat="1" ht="17.399999999999999" x14ac:dyDescent="0.35">
      <c r="B45"/>
      <c r="C45" s="228"/>
      <c r="D45" s="22"/>
      <c r="E45" s="22"/>
      <c r="F45" s="21"/>
      <c r="G45" s="23"/>
      <c r="K45" s="12"/>
      <c r="S45" s="238"/>
      <c r="T45" s="59" t="s">
        <v>157</v>
      </c>
      <c r="U45" s="59">
        <v>474.45</v>
      </c>
    </row>
    <row r="46" spans="2:23" ht="14.4" customHeight="1" x14ac:dyDescent="0.3">
      <c r="K46" s="12"/>
      <c r="T46" s="59"/>
      <c r="U46" s="59"/>
    </row>
    <row r="47" spans="2:23" x14ac:dyDescent="0.3">
      <c r="K47" s="250"/>
    </row>
    <row r="48" spans="2:23" x14ac:dyDescent="0.3">
      <c r="K48" s="250"/>
      <c r="S48" s="270"/>
    </row>
    <row r="49" spans="11:19" x14ac:dyDescent="0.3">
      <c r="K49" s="250"/>
    </row>
    <row r="50" spans="11:19" ht="15" customHeight="1" x14ac:dyDescent="0.3"/>
    <row r="52" spans="11:19" x14ac:dyDescent="0.3">
      <c r="N52">
        <v>40935</v>
      </c>
      <c r="O52" t="s">
        <v>17</v>
      </c>
      <c r="P52" t="s">
        <v>27</v>
      </c>
    </row>
    <row r="54" spans="11:19" x14ac:dyDescent="0.3">
      <c r="N54" s="54"/>
      <c r="O54" s="54"/>
    </row>
    <row r="55" spans="11:19" x14ac:dyDescent="0.3">
      <c r="R55" s="18"/>
      <c r="S55" s="18"/>
    </row>
    <row r="56" spans="11:19" x14ac:dyDescent="0.3">
      <c r="R56" s="18"/>
      <c r="S56" s="18"/>
    </row>
    <row r="57" spans="11:19" x14ac:dyDescent="0.3">
      <c r="R57" s="18"/>
      <c r="S57" s="18"/>
    </row>
    <row r="58" spans="11:19" x14ac:dyDescent="0.3">
      <c r="R58" s="18"/>
      <c r="S58" s="18"/>
    </row>
    <row r="59" spans="11:19" x14ac:dyDescent="0.3">
      <c r="R59" s="18"/>
      <c r="S59" s="18"/>
    </row>
    <row r="60" spans="11:19" x14ac:dyDescent="0.3">
      <c r="R60" s="18"/>
      <c r="S60" s="18"/>
    </row>
    <row r="61" spans="11:19" x14ac:dyDescent="0.3">
      <c r="R61" s="18"/>
      <c r="S61" s="18"/>
    </row>
    <row r="62" spans="11:19" x14ac:dyDescent="0.3">
      <c r="R62" s="18"/>
      <c r="S62" s="18"/>
    </row>
    <row r="63" spans="11:19" x14ac:dyDescent="0.3">
      <c r="R63" s="18"/>
      <c r="S63" s="18"/>
    </row>
    <row r="66" spans="3:14" x14ac:dyDescent="0.3">
      <c r="N66" s="43"/>
    </row>
    <row r="67" spans="3:14" x14ac:dyDescent="0.3">
      <c r="N67" s="43"/>
    </row>
    <row r="68" spans="3:14" x14ac:dyDescent="0.3">
      <c r="N68" s="6"/>
    </row>
    <row r="69" spans="3:14" x14ac:dyDescent="0.3">
      <c r="N69" s="6"/>
    </row>
    <row r="77" spans="3:14" x14ac:dyDescent="0.3">
      <c r="C77" t="s">
        <v>149</v>
      </c>
    </row>
    <row r="78" spans="3:14" x14ac:dyDescent="0.3">
      <c r="C78" t="s">
        <v>148</v>
      </c>
    </row>
    <row r="81" spans="3:3" x14ac:dyDescent="0.3">
      <c r="C81" t="s">
        <v>148</v>
      </c>
    </row>
    <row r="158" spans="3:3" x14ac:dyDescent="0.3">
      <c r="C158" t="s">
        <v>148</v>
      </c>
    </row>
    <row r="159" spans="3:3" x14ac:dyDescent="0.3">
      <c r="C159" t="s">
        <v>150</v>
      </c>
    </row>
    <row r="160" spans="3:3" x14ac:dyDescent="0.3">
      <c r="C160" t="s">
        <v>151</v>
      </c>
    </row>
    <row r="585" spans="3:3" x14ac:dyDescent="0.3">
      <c r="C585" t="s">
        <v>148</v>
      </c>
    </row>
  </sheetData>
  <mergeCells count="2">
    <mergeCell ref="F17:H17"/>
    <mergeCell ref="B19:H19"/>
  </mergeCells>
  <phoneticPr fontId="34" type="noConversion"/>
  <hyperlinks>
    <hyperlink ref="F39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45411</v>
      </c>
    </row>
    <row r="6" spans="2:31" ht="16.2" thickBot="1" x14ac:dyDescent="0.35">
      <c r="B6" s="140" t="s">
        <v>2</v>
      </c>
      <c r="C6" s="139" t="str">
        <f>'2229'!C10</f>
        <v>SISTEMA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5" t="s">
        <v>99</v>
      </c>
      <c r="I7" s="336"/>
      <c r="J7" s="336"/>
      <c r="K7" s="337"/>
      <c r="N7" s="75"/>
      <c r="O7" s="334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10940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4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-86879.962366787455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'2229'!H28</f>
        <v>1013042.0960000001</v>
      </c>
      <c r="E11" s="132">
        <f>D11*0.19</f>
        <v>192477.99824000002</v>
      </c>
      <c r="F11" s="131">
        <f>E11+D11</f>
        <v>1205520.0942400002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19110.037633212545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298037.77078743966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1110.0376332125452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715004.32521256048</v>
      </c>
      <c r="E13" s="221">
        <f>(D11/D12)-1</f>
        <v>2.3990393007015918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-7889.9623667874548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-46889.962366787455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491762.32179927541</v>
      </c>
      <c r="F15" s="216">
        <f>E15-D12</f>
        <v>193724.55101183575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-46889.962366787455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-6889.9623667874548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'2229'!N36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'2229'!N35</f>
        <v>199280</v>
      </c>
      <c r="E19" s="123">
        <f>D19*0.19</f>
        <v>37863.199999999997</v>
      </c>
      <c r="F19" s="120">
        <f>SUM(D19:E19)</f>
        <v>237143.2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'2229'!N34</f>
        <v>68923.679999999993</v>
      </c>
      <c r="E20" s="121">
        <f>D20*0.19</f>
        <v>13095.499199999998</v>
      </c>
      <c r="F20" s="120">
        <f>SUM(D20:E20)</f>
        <v>82019.179199999984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268203.68</v>
      </c>
      <c r="E21" s="116">
        <f>SUM(E18:E20)</f>
        <v>50958.699199999995</v>
      </c>
      <c r="F21" s="115">
        <f>SUM(F18:F20)</f>
        <v>319162.37919999997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141519.29904000001</v>
      </c>
    </row>
    <row r="41" spans="2:16" ht="15" thickBot="1" x14ac:dyDescent="0.35">
      <c r="H41" s="338" t="s">
        <v>61</v>
      </c>
      <c r="I41" s="339"/>
      <c r="J41" s="339"/>
      <c r="K41" s="339"/>
      <c r="L41" s="339"/>
      <c r="M41" s="340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1013042.0960000001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268203.68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715004.32521256048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715004.32521256048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2024-04-29T21:46:20Z</cp:lastPrinted>
  <dcterms:created xsi:type="dcterms:W3CDTF">2013-03-18T13:35:42Z</dcterms:created>
  <dcterms:modified xsi:type="dcterms:W3CDTF">2024-04-29T21:47:26Z</dcterms:modified>
</cp:coreProperties>
</file>