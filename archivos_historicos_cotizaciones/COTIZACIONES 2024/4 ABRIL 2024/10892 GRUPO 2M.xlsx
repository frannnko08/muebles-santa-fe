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31AECBFB-B886-4CD7-B54C-B98D40B7A0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K21" i="1"/>
  <c r="J63" i="1" l="1"/>
  <c r="L21" i="1" l="1"/>
  <c r="L49" i="1" s="1"/>
  <c r="L60" i="1" s="1"/>
  <c r="M21" i="1"/>
  <c r="N21" i="1" l="1"/>
  <c r="O21" i="1" s="1"/>
  <c r="O50" i="1" s="1"/>
  <c r="O51" i="1" s="1"/>
  <c r="O52" i="1" s="1"/>
  <c r="O53" i="1" s="1"/>
  <c r="R21" i="1"/>
  <c r="N56" i="1"/>
  <c r="S68" i="1" l="1"/>
  <c r="M20" i="1" l="1"/>
  <c r="K20" i="1"/>
  <c r="N57" i="1" l="1"/>
  <c r="Q61" i="1"/>
  <c r="Q62" i="1" s="1"/>
  <c r="N58" i="1" l="1"/>
  <c r="S61" i="1" l="1"/>
  <c r="S6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60" i="1"/>
  <c r="N59" i="1"/>
  <c r="F18" i="3" l="1"/>
  <c r="L55" i="1" l="1"/>
  <c r="N55" i="1" l="1"/>
  <c r="N61" i="1" s="1"/>
  <c r="N62" i="1" s="1"/>
  <c r="S69" i="1"/>
  <c r="D20" i="3" l="1"/>
  <c r="E20" i="3" s="1"/>
  <c r="E21" i="3" s="1"/>
  <c r="N64" i="1" l="1"/>
  <c r="D21" i="3"/>
  <c r="M43" i="3" s="1"/>
  <c r="D12" i="3" s="1"/>
  <c r="F20" i="3"/>
  <c r="F21" i="3" s="1"/>
  <c r="N63" i="1" l="1"/>
  <c r="P20" i="1" s="1"/>
  <c r="E15" i="3"/>
  <c r="P21" i="1" l="1"/>
  <c r="F15" i="3"/>
  <c r="Q21" i="1" l="1"/>
  <c r="R51" i="1"/>
  <c r="H49" i="1" l="1"/>
  <c r="K15" i="1" s="1"/>
  <c r="H50" i="1" l="1"/>
  <c r="H51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<sst xmlns="http://schemas.openxmlformats.org/spreadsheetml/2006/main" count="309" uniqueCount="219">
  <si>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</si>
  <si>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</si>
  <si>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</si>
  <si>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</si>
  <si>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</si>
  <si>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</si>
  <si>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</si>
  <si>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</si>
  <si>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</si>
  <si>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</si>
  <si>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</si>
  <si>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</si>
  <si>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</si>
  <si>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</si>
  <si>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</si>
  <si>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</si>
  <si>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</si>
  <si>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</si>
  <si>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</si>
  <si>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</si>
  <si>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</si>
  <si>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</si>
  <si>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</si>
  <si>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</si>
  <si>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</si>
  <si>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</si>
  <si>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</si>
  <si>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</si>
  <si>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</si>
  <si>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</si>
  <si>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</si>
  <si>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</si>
  <si>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</si>
  <si>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</si>
  <si>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</si>
  <si>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</si>
  <si>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</si>
  <si>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</si>
  <si>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</si>
  <si>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</si>
  <si>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</si>
  <si>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</si>
  <si>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</si>
  <si>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</si>
  <si>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</si>
  <si>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</si>
  <si>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</si>
  <si>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</si>
  <si>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</si>
  <si>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</si>
  <si>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</si>
  <si>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</si>
  <si>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</si>
  <si>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</si>
  <si>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</si>
  <si>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</si>
  <si>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</si>
  <si>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</si>
  <si>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</si>
  <si>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</si>
  <si>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</si>
  <si>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</si>
  <si>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</si>
  <si>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</si>
  <si>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</si>
  <si>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</si>
  <si>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</si>
  <si>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</si>
  <si>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</si>
  <si>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</si>
  <si>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</si>
  <si>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</si>
  <si>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</si>
  <si>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</si>
  <si>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</si>
  <si>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</si>
  <si>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</si>
  <si>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</si>
  <si>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</si>
  <si>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</si>
  <si>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</si>
  <si>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</si>
  <si>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</si>
  <si>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</si>
  <si>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</si>
  <si>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</si>
  <si>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</si>
  <si>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</si>
  <si>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</si>
  <si>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</si>
  <si>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</si>
  <si>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</si>
  <si>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</si>
  <si>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</si>
  <si>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</si>
  <si>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</si>
  <si>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</si>
  <si>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</si>
  <si>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</si>
  <si>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</si>
  <si>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</si>
  <si>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</si>
  <si>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</si>
  <si>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</si>
  <si>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</si>
  <si>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</si>
  <si>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</si>
  <si>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</si>
  <si>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</si>
  <si>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</si>
  <si>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</si>
  <si>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</si>
  <si>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</si>
  <si>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</si>
  <si>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</si>
  <si>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</si>
  <si>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</si>
  <si>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</si>
  <si>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</si>
  <si>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</si>
  <si>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</si>
  <si>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</si>
  <si>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</si>
  <si>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</si>
  <si>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</si>
  <si>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</si>
  <si>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</si>
  <si>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</si>
  <si>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</si>
  <si>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</si>
  <si>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</si>
  <si>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</si>
  <si>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</si>
  <si>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</si>
  <si>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</si>
  <si>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</si>
  <si>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</si>
  <si>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</si>
  <si>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</si>
  <si>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</si>
  <si>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</si>
  <si>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</si>
  <si>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</si>
  <si>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</si>
  <si>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</si>
  <si>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</si>
  <si>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</si>
  <si>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</si>
  <si>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</si>
  <si>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</si>
  <si>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</si>
  <si>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</si>
  <si>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</si>
  <si>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</si>
  <si>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</si>
  <si>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ABONO 50%, SALDO C/E</t>
  </si>
  <si>
    <t>SANTIAGO</t>
  </si>
  <si>
    <t>5 DIAS HABILES</t>
  </si>
  <si>
    <t>DURACION COTIZACION: 5 DIAS                   FRANCO DONOSO</t>
  </si>
  <si>
    <t>MUEBLE</t>
  </si>
  <si>
    <t>ESTRUCTURA</t>
  </si>
  <si>
    <t>OBSERVACIONES</t>
  </si>
  <si>
    <t>MUEBLE RECEPCION</t>
  </si>
  <si>
    <t>M1</t>
  </si>
  <si>
    <t>SEGÚN EETT</t>
  </si>
  <si>
    <t xml:space="preserve">NO INCLUYE ESTRUCTURA METALICA </t>
  </si>
  <si>
    <t>APOYO RECEPCION</t>
  </si>
  <si>
    <t>M2</t>
  </si>
  <si>
    <t>ESCRITORIO</t>
  </si>
  <si>
    <t>E1</t>
  </si>
  <si>
    <t>NO INCLUYE SILLAS NI COMPUTADORES</t>
  </si>
  <si>
    <t>CONSULTA TIP</t>
  </si>
  <si>
    <t>M3</t>
  </si>
  <si>
    <t>NO INCLUYE LAVAPLATOS NI QUINCALLERIA</t>
  </si>
  <si>
    <t>CONSULTA 4 GASTRO</t>
  </si>
  <si>
    <t>M3a</t>
  </si>
  <si>
    <t>CONSULTA 5 GINECOLOGICA</t>
  </si>
  <si>
    <t>M4</t>
  </si>
  <si>
    <t>CONSULTA OFTALMOLOGICA</t>
  </si>
  <si>
    <t>M5</t>
  </si>
  <si>
    <t>ESTAR PERSONAL</t>
  </si>
  <si>
    <t>M8</t>
  </si>
  <si>
    <t>SALA ECOGRAFIA</t>
  </si>
  <si>
    <t>M11</t>
  </si>
  <si>
    <t>AREA LIMPIA</t>
  </si>
  <si>
    <t>M12</t>
  </si>
  <si>
    <t>AREA SUCIA</t>
  </si>
  <si>
    <t>M13</t>
  </si>
  <si>
    <t>M14</t>
  </si>
  <si>
    <t>NO INCLUYE LAVAPLATOS , QUINCALLERIA Y DISPENSADOR</t>
  </si>
  <si>
    <t>CONSULTA PROCEDIMIENTOS</t>
  </si>
  <si>
    <t>M18</t>
  </si>
  <si>
    <t>CONSULTA</t>
  </si>
  <si>
    <t>M21</t>
  </si>
  <si>
    <t>BODEGA ADMINISTRATIVA</t>
  </si>
  <si>
    <t>M22</t>
  </si>
  <si>
    <t>LOCKERS</t>
  </si>
  <si>
    <t>M6</t>
  </si>
  <si>
    <t>M6a</t>
  </si>
  <si>
    <t>M7</t>
  </si>
  <si>
    <t>M7a</t>
  </si>
  <si>
    <t>BODEGA</t>
  </si>
  <si>
    <t>M9</t>
  </si>
  <si>
    <t>BODEGA FINANZAS</t>
  </si>
  <si>
    <t>M10</t>
  </si>
  <si>
    <t>SALA RESIDUOS</t>
  </si>
  <si>
    <t>M15</t>
  </si>
  <si>
    <t>ACOPIO BIOPSIAS</t>
  </si>
  <si>
    <t>M16</t>
  </si>
  <si>
    <t>NITROGENO</t>
  </si>
  <si>
    <t>M17</t>
  </si>
  <si>
    <t>VESTIDOR</t>
  </si>
  <si>
    <t>M19</t>
  </si>
  <si>
    <t>REPISA LACTARIO</t>
  </si>
  <si>
    <t>M20</t>
  </si>
  <si>
    <t>N° 10892</t>
  </si>
  <si>
    <t>GRUPO 2M SA</t>
  </si>
  <si>
    <t>76.574.805-4</t>
  </si>
  <si>
    <t>PATRICIO VERGARA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</si>
</sst>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3" borderId="6" xfId="0" applyNumberFormat="1" applyFont="1" applyFill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166" fontId="32" fillId="3" borderId="4" xfId="0" applyNumberFormat="1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167" fontId="11" fillId="0" borderId="32" xfId="2" applyNumberFormat="1" applyFont="1" applyFill="1" applyBorder="1" applyAlignment="1">
      <alignment horizontal="center" vertical="center"/>
    </xf>
    <xf numFmtId="166" fontId="32" fillId="3" borderId="1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52</xdr:row>
      <xdr:rowOff>5249</xdr:rowOff>
    </xdr:from>
    <xdr:to>
      <xdr:col>8</xdr:col>
      <xdr:colOff>7776</xdr:colOff>
      <xdr:row>55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54</xdr:row>
      <xdr:rowOff>154305</xdr:rowOff>
    </xdr:from>
    <xdr:to>
      <xdr:col>7</xdr:col>
      <xdr:colOff>853440</xdr:colOff>
      <xdr:row>54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52</xdr:row>
      <xdr:rowOff>9525</xdr:rowOff>
    </xdr:from>
    <xdr:to>
      <xdr:col>5</xdr:col>
      <xdr:colOff>1749491</xdr:colOff>
      <xdr:row>55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47</xdr:row>
      <xdr:rowOff>223973</xdr:rowOff>
    </xdr:from>
    <xdr:to>
      <xdr:col>5</xdr:col>
      <xdr:colOff>1749490</xdr:colOff>
      <xdr:row>51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606"/>
  <sheetViews>
    <sheetView tabSelected="1" topLeftCell="A2" zoomScale="98" zoomScaleNormal="98" workbookViewId="0">
      <selection activeCell="D12" sqref="D12"/>
    </sheetView>
  </sheetViews>
  <sheetFormatPr baseColWidth="10" defaultRowHeight="14.4" x14ac:dyDescent="0.3"/>
  <cols>
    <col min="1" max="1" width="6" customWidth="1"/>
    <col min="2" max="2" width="10.5546875" customWidth="1"/>
    <col min="3" max="3" width="35.88671875" customWidth="1"/>
    <col min="4" max="4" width="11.109375" customWidth="1"/>
    <col min="5" max="5" width="20.3320312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215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216</v>
      </c>
      <c r="D10" s="243"/>
      <c r="E10" s="243"/>
      <c r="F10" s="244" t="s">
        <v>0</v>
      </c>
      <c r="G10" s="276">
        <v>45383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 t="s">
        <v>217</v>
      </c>
      <c r="F11" t="s">
        <v>125</v>
      </c>
      <c r="G11" s="288" t="s">
        <v>157</v>
      </c>
      <c r="H11" s="289"/>
      <c r="P11" s="19"/>
      <c r="Q11" s="25" t="s">
        <v>19</v>
      </c>
      <c r="R11" s="19"/>
    </row>
    <row r="12" spans="2:23" ht="16.8" x14ac:dyDescent="0.4">
      <c r="B12" s="246" t="s">
        <v>147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218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/>
      <c r="D15" s="294"/>
      <c r="E15" s="247"/>
      <c r="F15" s="247" t="s">
        <v>136</v>
      </c>
      <c r="G15" s="295" t="s">
        <v>137</v>
      </c>
      <c r="H15" s="248"/>
      <c r="K15" s="18">
        <f>H49/L13</f>
        <v>1999600.0000000002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155</v>
      </c>
      <c r="H16" s="289"/>
    </row>
    <row r="17" spans="2:24" ht="15" thickBot="1" x14ac:dyDescent="0.35">
      <c r="B17" s="296" t="s">
        <v>13</v>
      </c>
      <c r="C17" s="297" t="s">
        <v>156</v>
      </c>
      <c r="D17" s="298"/>
      <c r="E17" s="299"/>
      <c r="F17" s="317" t="s">
        <v>158</v>
      </c>
      <c r="G17" s="317"/>
      <c r="H17" s="31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19" t="s">
        <v>149</v>
      </c>
      <c r="C19" s="320"/>
      <c r="D19" s="320"/>
      <c r="E19" s="320"/>
      <c r="F19" s="320"/>
      <c r="G19" s="320"/>
      <c r="H19" s="32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9" t="s">
        <v>7</v>
      </c>
      <c r="C20" s="330" t="s">
        <v>1</v>
      </c>
      <c r="D20" s="330" t="s">
        <v>159</v>
      </c>
      <c r="E20" s="330" t="s">
        <v>160</v>
      </c>
      <c r="F20" s="330" t="s">
        <v>161</v>
      </c>
      <c r="G20" s="330" t="s">
        <v>5</v>
      </c>
      <c r="H20" s="331" t="s">
        <v>6</v>
      </c>
      <c r="I20" s="265"/>
      <c r="J20" s="47"/>
      <c r="K20" s="268" t="e">
        <f>#REF!</f>
        <v>#REF!</v>
      </c>
      <c r="L20" s="267" t="s">
        <v>133</v>
      </c>
      <c r="M20" s="39" t="e">
        <f>#REF!</f>
        <v>#REF!</v>
      </c>
      <c r="N20" s="261" t="s">
        <v>134</v>
      </c>
      <c r="O20" s="259" t="s">
        <v>17</v>
      </c>
      <c r="P20" s="252" t="e">
        <f>N63</f>
        <v>#VALUE!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32">
        <v>1</v>
      </c>
      <c r="C21" s="333" t="s">
        <v>162</v>
      </c>
      <c r="D21" s="334" t="s">
        <v>163</v>
      </c>
      <c r="E21" s="333" t="s">
        <v>164</v>
      </c>
      <c r="F21" s="335" t="s">
        <v>165</v>
      </c>
      <c r="G21" s="336">
        <v>7365806</v>
      </c>
      <c r="H21" s="337">
        <f t="shared" ref="H21:H46" si="0">G21*B21</f>
        <v>7365806</v>
      </c>
      <c r="I21" s="265"/>
      <c r="J21" s="47"/>
      <c r="K21" s="315" t="str">
        <f>B20</f>
        <v>UNIDAD</v>
      </c>
      <c r="L21" s="316" t="e">
        <f>D20+L$19</f>
        <v>#VALUE!</v>
      </c>
      <c r="M21" s="316" t="e">
        <f>E20+M$19</f>
        <v>#VALUE!</v>
      </c>
      <c r="N21" s="261" t="e">
        <f>L21*M21</f>
        <v>#VALUE!</v>
      </c>
      <c r="O21" s="259" t="e">
        <f>N21*K21</f>
        <v>#VALUE!</v>
      </c>
      <c r="P21" s="252" t="e">
        <f>P$20*N21</f>
        <v>#VALUE!</v>
      </c>
      <c r="Q21" s="258" t="e">
        <f>P21+Q$20</f>
        <v>#VALUE!</v>
      </c>
      <c r="R21" s="307" t="e">
        <f>K21*L21</f>
        <v>#VALUE!</v>
      </c>
      <c r="S21" s="14"/>
      <c r="T21" s="9"/>
      <c r="W21" s="4"/>
    </row>
    <row r="22" spans="2:24" ht="17.399999999999999" x14ac:dyDescent="0.3">
      <c r="B22" s="332">
        <v>1</v>
      </c>
      <c r="C22" s="333" t="s">
        <v>166</v>
      </c>
      <c r="D22" s="334" t="s">
        <v>167</v>
      </c>
      <c r="E22" s="333" t="s">
        <v>164</v>
      </c>
      <c r="F22" s="335"/>
      <c r="G22" s="336">
        <v>2891944</v>
      </c>
      <c r="H22" s="337">
        <f t="shared" si="0"/>
        <v>2891944</v>
      </c>
      <c r="I22" s="265"/>
      <c r="J22" s="47"/>
      <c r="K22" s="315"/>
      <c r="L22" s="316"/>
      <c r="M22" s="316"/>
      <c r="N22" s="261"/>
      <c r="O22" s="259"/>
      <c r="P22" s="252"/>
      <c r="Q22" s="258"/>
      <c r="R22" s="307"/>
      <c r="S22" s="14"/>
      <c r="T22" s="9"/>
      <c r="W22" s="4"/>
    </row>
    <row r="23" spans="2:24" ht="17.399999999999999" x14ac:dyDescent="0.3">
      <c r="B23" s="332">
        <v>10</v>
      </c>
      <c r="C23" s="333" t="s">
        <v>168</v>
      </c>
      <c r="D23" s="334" t="s">
        <v>169</v>
      </c>
      <c r="E23" s="333" t="s">
        <v>164</v>
      </c>
      <c r="F23" s="335" t="s">
        <v>170</v>
      </c>
      <c r="G23" s="336">
        <v>1537206</v>
      </c>
      <c r="H23" s="337">
        <f t="shared" si="0"/>
        <v>15372060</v>
      </c>
      <c r="I23" s="265"/>
      <c r="J23" s="47"/>
      <c r="K23" s="315"/>
      <c r="L23" s="316"/>
      <c r="M23" s="316"/>
      <c r="N23" s="261"/>
      <c r="O23" s="259"/>
      <c r="P23" s="252"/>
      <c r="Q23" s="258"/>
      <c r="R23" s="307"/>
      <c r="S23" s="14"/>
      <c r="T23" s="9"/>
      <c r="W23" s="4"/>
    </row>
    <row r="24" spans="2:24" ht="17.399999999999999" x14ac:dyDescent="0.3">
      <c r="B24" s="332">
        <v>7</v>
      </c>
      <c r="C24" s="332" t="s">
        <v>171</v>
      </c>
      <c r="D24" s="334" t="s">
        <v>172</v>
      </c>
      <c r="E24" s="333" t="s">
        <v>164</v>
      </c>
      <c r="F24" s="338" t="s">
        <v>173</v>
      </c>
      <c r="G24" s="339">
        <v>1470870</v>
      </c>
      <c r="H24" s="337">
        <f t="shared" si="0"/>
        <v>10296090</v>
      </c>
      <c r="I24" s="265"/>
      <c r="J24" s="47"/>
      <c r="K24" s="315"/>
      <c r="L24" s="316"/>
      <c r="M24" s="316"/>
      <c r="N24" s="261"/>
      <c r="O24" s="259"/>
      <c r="P24" s="252"/>
      <c r="Q24" s="258"/>
      <c r="R24" s="307"/>
      <c r="S24" s="14"/>
      <c r="T24" s="9"/>
      <c r="W24" s="4"/>
    </row>
    <row r="25" spans="2:24" ht="17.399999999999999" x14ac:dyDescent="0.3">
      <c r="B25" s="340">
        <v>1</v>
      </c>
      <c r="C25" s="340" t="s">
        <v>174</v>
      </c>
      <c r="D25" s="341" t="s">
        <v>175</v>
      </c>
      <c r="E25" s="342" t="s">
        <v>164</v>
      </c>
      <c r="F25" s="338" t="s">
        <v>173</v>
      </c>
      <c r="G25" s="343">
        <v>2079278</v>
      </c>
      <c r="H25" s="344">
        <f t="shared" si="0"/>
        <v>2079278</v>
      </c>
      <c r="I25" s="265"/>
      <c r="J25" s="47"/>
      <c r="K25" s="315"/>
      <c r="L25" s="316"/>
      <c r="M25" s="316"/>
      <c r="N25" s="261"/>
      <c r="O25" s="259"/>
      <c r="P25" s="252"/>
      <c r="Q25" s="258"/>
      <c r="R25" s="307"/>
      <c r="S25" s="14"/>
      <c r="T25" s="9"/>
      <c r="W25" s="4"/>
    </row>
    <row r="26" spans="2:24" ht="17.399999999999999" x14ac:dyDescent="0.3">
      <c r="B26" s="332">
        <v>1</v>
      </c>
      <c r="C26" s="332" t="s">
        <v>176</v>
      </c>
      <c r="D26" s="345" t="s">
        <v>177</v>
      </c>
      <c r="E26" s="332" t="s">
        <v>164</v>
      </c>
      <c r="F26" s="346" t="s">
        <v>173</v>
      </c>
      <c r="G26" s="339">
        <v>2517554</v>
      </c>
      <c r="H26" s="339">
        <f t="shared" si="0"/>
        <v>2517554</v>
      </c>
      <c r="I26" s="265"/>
      <c r="J26" s="47"/>
      <c r="K26" s="315"/>
      <c r="L26" s="316"/>
      <c r="M26" s="316"/>
      <c r="N26" s="261"/>
      <c r="O26" s="259"/>
      <c r="P26" s="252"/>
      <c r="Q26" s="258"/>
      <c r="R26" s="307"/>
      <c r="S26" s="14"/>
      <c r="T26" s="9"/>
      <c r="W26" s="4"/>
    </row>
    <row r="27" spans="2:24" ht="17.399999999999999" x14ac:dyDescent="0.3">
      <c r="B27" s="332">
        <v>1</v>
      </c>
      <c r="C27" s="332" t="s">
        <v>178</v>
      </c>
      <c r="D27" s="345" t="s">
        <v>179</v>
      </c>
      <c r="E27" s="332" t="s">
        <v>164</v>
      </c>
      <c r="F27" s="346" t="s">
        <v>173</v>
      </c>
      <c r="G27" s="339">
        <v>1987586</v>
      </c>
      <c r="H27" s="339">
        <f t="shared" si="0"/>
        <v>1987586</v>
      </c>
      <c r="I27" s="265"/>
      <c r="J27" s="47"/>
      <c r="K27" s="315"/>
      <c r="L27" s="316"/>
      <c r="M27" s="316"/>
      <c r="N27" s="261"/>
      <c r="O27" s="259"/>
      <c r="P27" s="252"/>
      <c r="Q27" s="258"/>
      <c r="R27" s="307"/>
      <c r="S27" s="14"/>
      <c r="T27" s="9"/>
      <c r="W27" s="4"/>
    </row>
    <row r="28" spans="2:24" ht="17.399999999999999" x14ac:dyDescent="0.3">
      <c r="B28" s="332">
        <v>1</v>
      </c>
      <c r="C28" s="332" t="s">
        <v>180</v>
      </c>
      <c r="D28" s="345" t="s">
        <v>181</v>
      </c>
      <c r="E28" s="332" t="s">
        <v>164</v>
      </c>
      <c r="F28" s="346" t="s">
        <v>173</v>
      </c>
      <c r="G28" s="339">
        <v>930954</v>
      </c>
      <c r="H28" s="339">
        <f t="shared" si="0"/>
        <v>930954</v>
      </c>
      <c r="I28" s="265"/>
      <c r="J28" s="47"/>
      <c r="K28" s="315"/>
      <c r="L28" s="316"/>
      <c r="M28" s="316"/>
      <c r="N28" s="261"/>
      <c r="O28" s="259"/>
      <c r="P28" s="252"/>
      <c r="Q28" s="258"/>
      <c r="R28" s="307"/>
      <c r="S28" s="14"/>
      <c r="T28" s="9"/>
      <c r="W28" s="4"/>
    </row>
    <row r="29" spans="2:24" ht="17.399999999999999" x14ac:dyDescent="0.3">
      <c r="B29" s="332">
        <v>1</v>
      </c>
      <c r="C29" s="332" t="s">
        <v>182</v>
      </c>
      <c r="D29" s="345" t="s">
        <v>183</v>
      </c>
      <c r="E29" s="332" t="s">
        <v>164</v>
      </c>
      <c r="F29" s="346" t="s">
        <v>173</v>
      </c>
      <c r="G29" s="339">
        <v>1417466</v>
      </c>
      <c r="H29" s="339">
        <f t="shared" si="0"/>
        <v>1417466</v>
      </c>
      <c r="I29" s="265"/>
      <c r="J29" s="47"/>
      <c r="K29" s="315"/>
      <c r="L29" s="316"/>
      <c r="M29" s="316"/>
      <c r="N29" s="261"/>
      <c r="O29" s="259"/>
      <c r="P29" s="252"/>
      <c r="Q29" s="258"/>
      <c r="R29" s="307"/>
      <c r="S29" s="14"/>
      <c r="T29" s="9"/>
      <c r="W29" s="4"/>
    </row>
    <row r="30" spans="2:24" ht="17.399999999999999" x14ac:dyDescent="0.3">
      <c r="B30" s="332">
        <v>1</v>
      </c>
      <c r="C30" s="332" t="s">
        <v>184</v>
      </c>
      <c r="D30" s="345" t="s">
        <v>185</v>
      </c>
      <c r="E30" s="332" t="s">
        <v>164</v>
      </c>
      <c r="F30" s="346" t="s">
        <v>173</v>
      </c>
      <c r="G30" s="339">
        <v>2810023</v>
      </c>
      <c r="H30" s="339">
        <f t="shared" si="0"/>
        <v>2810023</v>
      </c>
      <c r="I30" s="265"/>
      <c r="J30" s="47"/>
      <c r="K30" s="315"/>
      <c r="L30" s="316"/>
      <c r="M30" s="316"/>
      <c r="N30" s="261"/>
      <c r="O30" s="259"/>
      <c r="P30" s="252"/>
      <c r="Q30" s="258"/>
      <c r="R30" s="307"/>
      <c r="S30" s="14"/>
      <c r="T30" s="9"/>
      <c r="W30" s="4"/>
    </row>
    <row r="31" spans="2:24" ht="17.399999999999999" x14ac:dyDescent="0.3">
      <c r="B31" s="332">
        <v>1</v>
      </c>
      <c r="C31" s="332" t="s">
        <v>186</v>
      </c>
      <c r="D31" s="345" t="s">
        <v>187</v>
      </c>
      <c r="E31" s="332" t="s">
        <v>164</v>
      </c>
      <c r="F31" s="346" t="s">
        <v>173</v>
      </c>
      <c r="G31" s="339">
        <v>2599305</v>
      </c>
      <c r="H31" s="339">
        <f t="shared" si="0"/>
        <v>2599305</v>
      </c>
      <c r="I31" s="265"/>
      <c r="J31" s="47"/>
      <c r="K31" s="315"/>
      <c r="L31" s="316"/>
      <c r="M31" s="316"/>
      <c r="N31" s="261"/>
      <c r="O31" s="259"/>
      <c r="P31" s="252"/>
      <c r="Q31" s="258"/>
      <c r="R31" s="307"/>
      <c r="S31" s="14"/>
      <c r="T31" s="9"/>
      <c r="W31" s="4"/>
    </row>
    <row r="32" spans="2:24" ht="20.399999999999999" x14ac:dyDescent="0.3">
      <c r="B32" s="332">
        <v>1</v>
      </c>
      <c r="C32" s="332" t="s">
        <v>180</v>
      </c>
      <c r="D32" s="345" t="s">
        <v>188</v>
      </c>
      <c r="E32" s="332" t="s">
        <v>164</v>
      </c>
      <c r="F32" s="347" t="s">
        <v>189</v>
      </c>
      <c r="G32" s="339">
        <v>1543483</v>
      </c>
      <c r="H32" s="339">
        <f t="shared" si="0"/>
        <v>1543483</v>
      </c>
      <c r="I32" s="265"/>
      <c r="J32" s="47"/>
      <c r="K32" s="315"/>
      <c r="L32" s="316"/>
      <c r="M32" s="316"/>
      <c r="N32" s="261"/>
      <c r="O32" s="259"/>
      <c r="P32" s="252"/>
      <c r="Q32" s="258"/>
      <c r="R32" s="307"/>
      <c r="S32" s="14"/>
      <c r="T32" s="9"/>
      <c r="W32" s="4"/>
    </row>
    <row r="33" spans="2:23" ht="17.399999999999999" x14ac:dyDescent="0.3">
      <c r="B33" s="332">
        <v>1</v>
      </c>
      <c r="C33" s="332" t="s">
        <v>190</v>
      </c>
      <c r="D33" s="345" t="s">
        <v>191</v>
      </c>
      <c r="E33" s="332" t="s">
        <v>164</v>
      </c>
      <c r="F33" s="346" t="s">
        <v>173</v>
      </c>
      <c r="G33" s="339">
        <v>2517486</v>
      </c>
      <c r="H33" s="339">
        <f t="shared" si="0"/>
        <v>2517486</v>
      </c>
      <c r="I33" s="265"/>
      <c r="J33" s="47"/>
      <c r="K33" s="315"/>
      <c r="L33" s="316"/>
      <c r="M33" s="316"/>
      <c r="N33" s="261"/>
      <c r="O33" s="259"/>
      <c r="P33" s="252"/>
      <c r="Q33" s="258"/>
      <c r="R33" s="307"/>
      <c r="S33" s="14"/>
      <c r="T33" s="9"/>
      <c r="W33" s="4"/>
    </row>
    <row r="34" spans="2:23" ht="17.399999999999999" x14ac:dyDescent="0.3">
      <c r="B34" s="332">
        <v>1</v>
      </c>
      <c r="C34" s="332" t="s">
        <v>192</v>
      </c>
      <c r="D34" s="345" t="s">
        <v>193</v>
      </c>
      <c r="E34" s="332" t="s">
        <v>164</v>
      </c>
      <c r="F34" s="348" t="s">
        <v>173</v>
      </c>
      <c r="G34" s="339">
        <v>1429287</v>
      </c>
      <c r="H34" s="339">
        <f t="shared" si="0"/>
        <v>1429287</v>
      </c>
      <c r="I34" s="265"/>
      <c r="J34" s="47"/>
      <c r="K34" s="315"/>
      <c r="L34" s="316"/>
      <c r="M34" s="316"/>
      <c r="N34" s="261"/>
      <c r="O34" s="259"/>
      <c r="P34" s="252"/>
      <c r="Q34" s="258"/>
      <c r="R34" s="307"/>
      <c r="S34" s="14"/>
      <c r="T34" s="9"/>
      <c r="W34" s="4"/>
    </row>
    <row r="35" spans="2:23" ht="17.399999999999999" x14ac:dyDescent="0.3">
      <c r="B35" s="332">
        <v>1</v>
      </c>
      <c r="C35" s="332" t="s">
        <v>194</v>
      </c>
      <c r="D35" s="345" t="s">
        <v>195</v>
      </c>
      <c r="E35" s="349" t="s">
        <v>164</v>
      </c>
      <c r="F35" s="346"/>
      <c r="G35" s="339">
        <v>1805544</v>
      </c>
      <c r="H35" s="339">
        <f t="shared" si="0"/>
        <v>1805544</v>
      </c>
      <c r="I35" s="265"/>
      <c r="J35" s="47"/>
      <c r="K35" s="315"/>
      <c r="L35" s="316"/>
      <c r="M35" s="316"/>
      <c r="N35" s="261"/>
      <c r="O35" s="259"/>
      <c r="P35" s="252"/>
      <c r="Q35" s="258"/>
      <c r="R35" s="307"/>
      <c r="S35" s="14"/>
      <c r="T35" s="9"/>
      <c r="W35" s="4"/>
    </row>
    <row r="36" spans="2:23" ht="17.399999999999999" x14ac:dyDescent="0.3">
      <c r="B36" s="332">
        <v>1</v>
      </c>
      <c r="C36" s="332" t="s">
        <v>196</v>
      </c>
      <c r="D36" s="345" t="s">
        <v>197</v>
      </c>
      <c r="E36" s="349" t="s">
        <v>164</v>
      </c>
      <c r="F36" s="346"/>
      <c r="G36" s="339">
        <v>2343892</v>
      </c>
      <c r="H36" s="339">
        <f t="shared" si="0"/>
        <v>2343892</v>
      </c>
      <c r="I36" s="265"/>
      <c r="J36" s="47"/>
      <c r="K36" s="315"/>
      <c r="L36" s="316"/>
      <c r="M36" s="316"/>
      <c r="N36" s="261"/>
      <c r="O36" s="259"/>
      <c r="P36" s="252"/>
      <c r="Q36" s="258"/>
      <c r="R36" s="307"/>
      <c r="S36" s="14"/>
      <c r="T36" s="9"/>
      <c r="W36" s="4"/>
    </row>
    <row r="37" spans="2:23" ht="17.399999999999999" x14ac:dyDescent="0.3">
      <c r="B37" s="332">
        <v>1</v>
      </c>
      <c r="C37" s="332" t="s">
        <v>159</v>
      </c>
      <c r="D37" s="345" t="s">
        <v>198</v>
      </c>
      <c r="E37" s="349" t="s">
        <v>164</v>
      </c>
      <c r="F37" s="346"/>
      <c r="G37" s="339">
        <v>397620</v>
      </c>
      <c r="H37" s="339">
        <f t="shared" si="0"/>
        <v>397620</v>
      </c>
      <c r="I37" s="265"/>
      <c r="J37" s="47"/>
      <c r="K37" s="315"/>
      <c r="L37" s="316"/>
      <c r="M37" s="316"/>
      <c r="N37" s="261"/>
      <c r="O37" s="259"/>
      <c r="P37" s="252"/>
      <c r="Q37" s="258"/>
      <c r="R37" s="307"/>
      <c r="S37" s="14"/>
      <c r="T37" s="9"/>
      <c r="W37" s="4"/>
    </row>
    <row r="38" spans="2:23" ht="17.399999999999999" x14ac:dyDescent="0.3">
      <c r="B38" s="332">
        <v>1</v>
      </c>
      <c r="C38" s="332" t="s">
        <v>196</v>
      </c>
      <c r="D38" s="345" t="s">
        <v>199</v>
      </c>
      <c r="E38" s="349" t="s">
        <v>164</v>
      </c>
      <c r="F38" s="346"/>
      <c r="G38" s="339">
        <v>1599048</v>
      </c>
      <c r="H38" s="339">
        <f t="shared" si="0"/>
        <v>1599048</v>
      </c>
      <c r="I38" s="265"/>
      <c r="J38" s="47"/>
      <c r="K38" s="315"/>
      <c r="L38" s="316"/>
      <c r="M38" s="316"/>
      <c r="N38" s="261"/>
      <c r="O38" s="259"/>
      <c r="P38" s="252"/>
      <c r="Q38" s="258"/>
      <c r="R38" s="307"/>
      <c r="S38" s="14"/>
      <c r="T38" s="9"/>
      <c r="W38" s="4"/>
    </row>
    <row r="39" spans="2:23" ht="17.399999999999999" x14ac:dyDescent="0.3">
      <c r="B39" s="332">
        <v>1</v>
      </c>
      <c r="C39" s="332" t="s">
        <v>159</v>
      </c>
      <c r="D39" s="345" t="s">
        <v>200</v>
      </c>
      <c r="E39" s="349" t="s">
        <v>164</v>
      </c>
      <c r="F39" s="346"/>
      <c r="G39" s="339">
        <v>407424</v>
      </c>
      <c r="H39" s="339">
        <f t="shared" si="0"/>
        <v>407424</v>
      </c>
      <c r="I39" s="265"/>
      <c r="J39" s="47"/>
      <c r="K39" s="315"/>
      <c r="L39" s="316"/>
      <c r="M39" s="316"/>
      <c r="N39" s="261"/>
      <c r="O39" s="259"/>
      <c r="P39" s="252"/>
      <c r="Q39" s="258"/>
      <c r="R39" s="307"/>
      <c r="S39" s="14"/>
      <c r="T39" s="9"/>
      <c r="W39" s="4"/>
    </row>
    <row r="40" spans="2:23" ht="17.399999999999999" x14ac:dyDescent="0.3">
      <c r="B40" s="332">
        <v>1</v>
      </c>
      <c r="C40" s="332" t="s">
        <v>201</v>
      </c>
      <c r="D40" s="345" t="s">
        <v>202</v>
      </c>
      <c r="E40" s="349" t="s">
        <v>164</v>
      </c>
      <c r="F40" s="346"/>
      <c r="G40" s="339">
        <v>1513000</v>
      </c>
      <c r="H40" s="339">
        <f t="shared" si="0"/>
        <v>1513000</v>
      </c>
      <c r="I40" s="265"/>
      <c r="J40" s="47"/>
      <c r="K40" s="315"/>
      <c r="L40" s="316"/>
      <c r="M40" s="316"/>
      <c r="N40" s="261"/>
      <c r="O40" s="259"/>
      <c r="P40" s="252"/>
      <c r="Q40" s="258"/>
      <c r="R40" s="307"/>
      <c r="S40" s="14"/>
      <c r="T40" s="9"/>
      <c r="W40" s="4"/>
    </row>
    <row r="41" spans="2:23" ht="17.399999999999999" x14ac:dyDescent="0.3">
      <c r="B41" s="340">
        <v>1</v>
      </c>
      <c r="C41" s="340" t="s">
        <v>203</v>
      </c>
      <c r="D41" s="345" t="s">
        <v>204</v>
      </c>
      <c r="E41" s="350" t="s">
        <v>164</v>
      </c>
      <c r="F41" s="348"/>
      <c r="G41" s="343">
        <v>1201000</v>
      </c>
      <c r="H41" s="343">
        <f t="shared" si="0"/>
        <v>1201000</v>
      </c>
      <c r="I41" s="265"/>
      <c r="J41" s="47"/>
      <c r="K41" s="315"/>
      <c r="L41" s="316"/>
      <c r="M41" s="316"/>
      <c r="N41" s="261"/>
      <c r="O41" s="259"/>
      <c r="P41" s="252"/>
      <c r="Q41" s="258"/>
      <c r="R41" s="307"/>
      <c r="S41" s="14"/>
      <c r="T41" s="9"/>
      <c r="W41" s="4"/>
    </row>
    <row r="42" spans="2:23" ht="17.399999999999999" x14ac:dyDescent="0.3">
      <c r="B42" s="332">
        <v>1</v>
      </c>
      <c r="C42" s="332" t="s">
        <v>205</v>
      </c>
      <c r="D42" s="345" t="s">
        <v>206</v>
      </c>
      <c r="E42" s="332" t="s">
        <v>164</v>
      </c>
      <c r="F42" s="346"/>
      <c r="G42" s="339">
        <v>173754</v>
      </c>
      <c r="H42" s="339">
        <f t="shared" si="0"/>
        <v>173754</v>
      </c>
      <c r="I42" s="265"/>
      <c r="J42" s="47"/>
      <c r="K42" s="315"/>
      <c r="L42" s="316"/>
      <c r="M42" s="316"/>
      <c r="N42" s="261"/>
      <c r="O42" s="259"/>
      <c r="P42" s="252"/>
      <c r="Q42" s="258"/>
      <c r="R42" s="307"/>
      <c r="S42" s="14"/>
      <c r="T42" s="9"/>
      <c r="W42" s="4"/>
    </row>
    <row r="43" spans="2:23" ht="17.399999999999999" x14ac:dyDescent="0.3">
      <c r="B43" s="332">
        <v>1</v>
      </c>
      <c r="C43" s="332" t="s">
        <v>207</v>
      </c>
      <c r="D43" s="345" t="s">
        <v>208</v>
      </c>
      <c r="E43" s="332" t="s">
        <v>164</v>
      </c>
      <c r="F43" s="346"/>
      <c r="G43" s="339">
        <v>195715</v>
      </c>
      <c r="H43" s="339">
        <f t="shared" si="0"/>
        <v>195715</v>
      </c>
      <c r="I43" s="265"/>
      <c r="J43" s="47"/>
      <c r="K43" s="315"/>
      <c r="L43" s="316"/>
      <c r="M43" s="316"/>
      <c r="N43" s="261"/>
      <c r="O43" s="259"/>
      <c r="P43" s="252"/>
      <c r="Q43" s="258"/>
      <c r="R43" s="307"/>
      <c r="S43" s="14"/>
      <c r="T43" s="9"/>
      <c r="W43" s="4"/>
    </row>
    <row r="44" spans="2:23" ht="17.399999999999999" x14ac:dyDescent="0.3">
      <c r="B44" s="332">
        <v>1</v>
      </c>
      <c r="C44" s="332" t="s">
        <v>209</v>
      </c>
      <c r="D44" s="345" t="s">
        <v>210</v>
      </c>
      <c r="E44" s="332" t="s">
        <v>164</v>
      </c>
      <c r="F44" s="346"/>
      <c r="G44" s="339">
        <v>80368</v>
      </c>
      <c r="H44" s="339">
        <f t="shared" si="0"/>
        <v>80368</v>
      </c>
      <c r="I44" s="265"/>
      <c r="J44" s="47"/>
      <c r="K44" s="315"/>
      <c r="L44" s="316"/>
      <c r="M44" s="316"/>
      <c r="N44" s="261"/>
      <c r="O44" s="259"/>
      <c r="P44" s="252"/>
      <c r="Q44" s="258"/>
      <c r="R44" s="307"/>
      <c r="S44" s="14"/>
      <c r="T44" s="9"/>
      <c r="W44" s="4"/>
    </row>
    <row r="45" spans="2:23" ht="17.399999999999999" x14ac:dyDescent="0.3">
      <c r="B45" s="332">
        <v>1</v>
      </c>
      <c r="C45" s="332" t="s">
        <v>211</v>
      </c>
      <c r="D45" s="345" t="s">
        <v>212</v>
      </c>
      <c r="E45" s="332" t="s">
        <v>164</v>
      </c>
      <c r="F45" s="346"/>
      <c r="G45" s="339">
        <v>369991</v>
      </c>
      <c r="H45" s="339">
        <f t="shared" si="0"/>
        <v>369991</v>
      </c>
      <c r="I45" s="265"/>
      <c r="J45" s="47"/>
      <c r="K45" s="315"/>
      <c r="L45" s="316"/>
      <c r="M45" s="316"/>
      <c r="N45" s="261"/>
      <c r="O45" s="259"/>
      <c r="P45" s="252"/>
      <c r="Q45" s="258"/>
      <c r="R45" s="307"/>
      <c r="S45" s="14"/>
      <c r="T45" s="9"/>
      <c r="W45" s="4"/>
    </row>
    <row r="46" spans="2:23" ht="17.399999999999999" x14ac:dyDescent="0.3">
      <c r="B46" s="332">
        <v>1</v>
      </c>
      <c r="C46" s="332" t="s">
        <v>213</v>
      </c>
      <c r="D46" s="345" t="s">
        <v>214</v>
      </c>
      <c r="E46" s="332" t="s">
        <v>164</v>
      </c>
      <c r="F46" s="346"/>
      <c r="G46" s="339">
        <v>101130</v>
      </c>
      <c r="H46" s="339">
        <f t="shared" si="0"/>
        <v>101130</v>
      </c>
      <c r="I46" s="265"/>
      <c r="J46" s="47"/>
      <c r="K46" s="315"/>
      <c r="L46" s="316"/>
      <c r="M46" s="316"/>
      <c r="N46" s="261"/>
      <c r="O46" s="259"/>
      <c r="P46" s="252"/>
      <c r="Q46" s="258"/>
      <c r="R46" s="307"/>
      <c r="S46" s="14"/>
      <c r="T46" s="9"/>
      <c r="W46" s="4"/>
    </row>
    <row r="47" spans="2:23" ht="17.399999999999999" x14ac:dyDescent="0.3">
      <c r="I47" s="265"/>
      <c r="J47" s="47"/>
      <c r="K47" s="315"/>
      <c r="L47" s="316"/>
      <c r="M47" s="316"/>
      <c r="N47" s="261"/>
      <c r="O47" s="259"/>
      <c r="P47" s="252"/>
      <c r="Q47" s="258"/>
      <c r="R47" s="307"/>
      <c r="S47" s="14"/>
      <c r="T47" s="9"/>
      <c r="W47" s="4"/>
    </row>
    <row r="48" spans="2:23" ht="18" thickBot="1" x14ac:dyDescent="0.35">
      <c r="B48" s="285"/>
      <c r="C48" s="285"/>
      <c r="D48" s="286"/>
      <c r="E48" s="286"/>
      <c r="F48" s="285"/>
      <c r="G48" s="265"/>
      <c r="H48" s="232"/>
      <c r="I48" s="232"/>
      <c r="J48" s="47"/>
      <c r="K48" s="47"/>
      <c r="L48" s="39"/>
      <c r="M48" s="39"/>
      <c r="N48" s="261"/>
      <c r="O48" s="259"/>
      <c r="P48" s="252"/>
      <c r="Q48" s="258"/>
      <c r="R48" s="307"/>
      <c r="S48" s="14"/>
      <c r="T48" s="9"/>
      <c r="W48" s="4"/>
    </row>
    <row r="49" spans="1:23" ht="17.399999999999999" x14ac:dyDescent="0.3">
      <c r="B49" s="285"/>
      <c r="C49" s="285"/>
      <c r="D49" s="286"/>
      <c r="E49" s="286"/>
      <c r="F49" s="285"/>
      <c r="G49" s="308" t="s">
        <v>30</v>
      </c>
      <c r="H49" s="309">
        <f>SUM(H20:H48)</f>
        <v>65946808</v>
      </c>
      <c r="I49" s="265"/>
      <c r="J49" s="47"/>
      <c r="K49" s="47"/>
      <c r="L49" s="39" t="e">
        <f>SUM(L21:L48)</f>
        <v>#VALUE!</v>
      </c>
      <c r="M49" s="39"/>
      <c r="N49" s="261"/>
      <c r="O49" s="259"/>
      <c r="P49" s="252"/>
      <c r="Q49" s="258"/>
      <c r="R49" s="307"/>
      <c r="S49" s="14"/>
      <c r="T49" s="9"/>
      <c r="W49" s="4"/>
    </row>
    <row r="50" spans="1:23" ht="17.399999999999999" x14ac:dyDescent="0.3">
      <c r="B50" s="279"/>
      <c r="C50" s="282"/>
      <c r="D50" s="283"/>
      <c r="E50" s="283"/>
      <c r="F50" s="284"/>
      <c r="G50" s="306" t="s">
        <v>53</v>
      </c>
      <c r="H50" s="303">
        <f>H49*0.19</f>
        <v>12529893.52</v>
      </c>
      <c r="I50" s="265"/>
      <c r="J50" s="47"/>
      <c r="K50" s="47"/>
      <c r="L50" s="39"/>
      <c r="M50" s="12"/>
      <c r="N50" s="12"/>
      <c r="O50" s="253" t="e">
        <f>SUM(O21:O21)</f>
        <v>#VALUE!</v>
      </c>
      <c r="P50" s="14"/>
      <c r="Q50" s="12"/>
      <c r="R50" s="238"/>
      <c r="S50" s="14"/>
      <c r="T50" s="9"/>
      <c r="W50" s="4"/>
    </row>
    <row r="51" spans="1:23" ht="18" thickBot="1" x14ac:dyDescent="0.35">
      <c r="B51" s="275"/>
      <c r="C51" s="281"/>
      <c r="D51" s="272"/>
      <c r="E51" s="272"/>
      <c r="F51" s="273"/>
      <c r="G51" s="280" t="s">
        <v>6</v>
      </c>
      <c r="H51" s="304">
        <f>H49+H50</f>
        <v>78476701.519999996</v>
      </c>
      <c r="I51" s="265"/>
      <c r="J51" s="47"/>
      <c r="K51" s="47"/>
      <c r="L51" s="39"/>
      <c r="M51" s="12"/>
      <c r="N51" s="12"/>
      <c r="O51" s="253" t="e">
        <f>O50</f>
        <v>#VALUE!</v>
      </c>
      <c r="P51" s="14"/>
      <c r="Q51" s="12"/>
      <c r="R51" s="238" t="e">
        <f>SUM(R21:R50)</f>
        <v>#VALUE!</v>
      </c>
      <c r="S51" s="14"/>
      <c r="T51" s="9"/>
      <c r="W51" s="4"/>
    </row>
    <row r="52" spans="1:23" ht="17.399999999999999" x14ac:dyDescent="0.3">
      <c r="B52" s="275"/>
      <c r="C52" s="271"/>
      <c r="D52" s="272"/>
      <c r="E52" s="272"/>
      <c r="F52" s="273"/>
      <c r="I52" s="265"/>
      <c r="J52" s="47"/>
      <c r="K52" s="47"/>
      <c r="L52" s="14"/>
      <c r="M52" s="12"/>
      <c r="N52" s="12"/>
      <c r="O52" s="39" t="e">
        <f>O51*0.2</f>
        <v>#VALUE!</v>
      </c>
      <c r="P52" s="39" t="s">
        <v>132</v>
      </c>
      <c r="Q52" s="42"/>
      <c r="R52" s="239"/>
      <c r="S52" s="14"/>
      <c r="T52" s="9"/>
      <c r="W52" s="4"/>
    </row>
    <row r="53" spans="1:23" ht="17.399999999999999" x14ac:dyDescent="0.35">
      <c r="B53" s="269"/>
      <c r="C53" s="230"/>
      <c r="D53" s="230"/>
      <c r="E53" s="232"/>
      <c r="F53" s="233"/>
      <c r="G53" s="230"/>
      <c r="H53" s="274"/>
      <c r="I53" s="265"/>
      <c r="J53" s="312"/>
      <c r="K53" s="47"/>
      <c r="L53" s="14"/>
      <c r="M53" s="12"/>
      <c r="N53" s="12"/>
      <c r="O53" s="46" t="e">
        <f>O51+O52</f>
        <v>#VALUE!</v>
      </c>
      <c r="P53" s="14"/>
      <c r="Q53" s="14"/>
      <c r="R53" s="237">
        <v>40</v>
      </c>
      <c r="S53" s="14"/>
      <c r="T53" s="9"/>
      <c r="W53" s="4"/>
    </row>
    <row r="54" spans="1:23" ht="17.399999999999999" x14ac:dyDescent="0.35">
      <c r="B54" s="234"/>
      <c r="C54" s="235"/>
      <c r="D54" s="236"/>
      <c r="E54" s="234"/>
      <c r="F54" s="230"/>
      <c r="G54" s="230"/>
      <c r="J54" s="312"/>
      <c r="K54" s="47"/>
      <c r="L54" s="14"/>
      <c r="M54" s="14"/>
      <c r="N54" s="14"/>
      <c r="O54" s="14"/>
      <c r="P54" s="14"/>
      <c r="Q54" s="14"/>
      <c r="R54" s="237"/>
      <c r="S54" s="14"/>
      <c r="T54" s="9"/>
      <c r="W54" s="4"/>
    </row>
    <row r="55" spans="1:23" ht="17.399999999999999" x14ac:dyDescent="0.35">
      <c r="B55" s="230"/>
      <c r="C55" s="230"/>
      <c r="D55" s="230"/>
      <c r="E55" s="230"/>
      <c r="F55" s="230"/>
      <c r="G55" s="230"/>
      <c r="I55" s="265"/>
      <c r="J55" s="47"/>
      <c r="K55" s="47"/>
      <c r="L55" s="39" t="e">
        <f>O53</f>
        <v>#VALUE!</v>
      </c>
      <c r="M55" s="12">
        <v>3500</v>
      </c>
      <c r="N55" s="12" t="e">
        <f t="shared" ref="N55:N60" si="1">L55*M55</f>
        <v>#VALUE!</v>
      </c>
      <c r="O55" s="14" t="s">
        <v>22</v>
      </c>
      <c r="P55" s="14" t="s">
        <v>23</v>
      </c>
      <c r="Q55" s="14"/>
      <c r="R55" s="240"/>
      <c r="S55" s="14"/>
      <c r="T55" s="9"/>
      <c r="W55" s="4"/>
    </row>
    <row r="56" spans="1:23" ht="17.399999999999999" x14ac:dyDescent="0.35">
      <c r="A56" s="230"/>
      <c r="B56" s="230"/>
      <c r="C56" s="230"/>
      <c r="D56" s="230"/>
      <c r="E56" s="230"/>
      <c r="F56" s="230"/>
      <c r="G56" s="230"/>
      <c r="H56" s="230"/>
      <c r="I56" s="265"/>
      <c r="J56" s="47"/>
      <c r="K56" s="47"/>
      <c r="L56" s="249">
        <v>0.22</v>
      </c>
      <c r="M56" s="12">
        <v>25000</v>
      </c>
      <c r="N56" s="12">
        <f t="shared" si="1"/>
        <v>5500</v>
      </c>
      <c r="O56" s="39" t="s">
        <v>154</v>
      </c>
      <c r="P56" s="42"/>
      <c r="Q56" s="14"/>
      <c r="R56" s="239"/>
      <c r="S56" s="14"/>
      <c r="T56" s="9"/>
      <c r="W56" s="4"/>
    </row>
    <row r="57" spans="1:23" s="230" customFormat="1" ht="17.399999999999999" x14ac:dyDescent="0.35">
      <c r="B57" s="24" t="s">
        <v>153</v>
      </c>
      <c r="I57" s="262"/>
      <c r="J57" s="47"/>
      <c r="K57" s="250"/>
      <c r="L57" s="14"/>
      <c r="M57" s="250">
        <v>150000</v>
      </c>
      <c r="N57" s="12">
        <f t="shared" si="1"/>
        <v>0</v>
      </c>
      <c r="O57" s="39" t="s">
        <v>32</v>
      </c>
      <c r="P57" s="42"/>
      <c r="R57" s="239"/>
      <c r="S57" s="256"/>
      <c r="V57" s="231"/>
    </row>
    <row r="58" spans="1:23" s="230" customFormat="1" ht="17.399999999999999" x14ac:dyDescent="0.35">
      <c r="B58" s="24" t="s">
        <v>146</v>
      </c>
      <c r="C58"/>
      <c r="D58"/>
      <c r="E58"/>
      <c r="F58"/>
      <c r="I58" s="262"/>
      <c r="J58" s="311"/>
      <c r="K58" s="250"/>
      <c r="L58" s="14">
        <v>1</v>
      </c>
      <c r="M58" s="250">
        <v>22000</v>
      </c>
      <c r="N58" s="12">
        <f t="shared" si="1"/>
        <v>22000</v>
      </c>
      <c r="O58" s="14" t="s">
        <v>143</v>
      </c>
      <c r="P58" s="17"/>
      <c r="R58" s="237"/>
      <c r="S58" s="256"/>
      <c r="V58" s="231"/>
    </row>
    <row r="59" spans="1:23" s="230" customFormat="1" ht="17.399999999999999" x14ac:dyDescent="0.35">
      <c r="B59" s="29" t="s">
        <v>127</v>
      </c>
      <c r="C59"/>
      <c r="D59"/>
      <c r="E59"/>
      <c r="F59" s="229" t="s">
        <v>16</v>
      </c>
      <c r="I59" s="262"/>
      <c r="J59" s="311"/>
      <c r="K59" s="250"/>
      <c r="L59" s="249">
        <v>1</v>
      </c>
      <c r="M59" s="250">
        <v>800</v>
      </c>
      <c r="N59" s="12">
        <f t="shared" si="1"/>
        <v>800</v>
      </c>
      <c r="O59" s="14" t="s">
        <v>34</v>
      </c>
      <c r="P59" s="14"/>
      <c r="Q59" s="230">
        <v>1.83</v>
      </c>
      <c r="R59" s="237"/>
      <c r="S59" s="237"/>
    </row>
    <row r="60" spans="1:23" s="230" customFormat="1" ht="17.399999999999999" x14ac:dyDescent="0.35">
      <c r="I60" s="302"/>
      <c r="J60" s="47"/>
      <c r="K60" s="250"/>
      <c r="L60" s="266" t="e">
        <f>L49</f>
        <v>#VALUE!</v>
      </c>
      <c r="M60" s="12">
        <v>1500</v>
      </c>
      <c r="N60" s="12" t="e">
        <f t="shared" si="1"/>
        <v>#VALUE!</v>
      </c>
      <c r="O60" s="14" t="s">
        <v>24</v>
      </c>
      <c r="P60" s="14"/>
      <c r="Q60">
        <v>3.66</v>
      </c>
      <c r="R60"/>
      <c r="S60" s="237">
        <v>1500</v>
      </c>
      <c r="W60" s="231"/>
    </row>
    <row r="61" spans="1:23" s="230" customFormat="1" ht="17.399999999999999" x14ac:dyDescent="0.35">
      <c r="I61" s="265"/>
      <c r="J61" s="47"/>
      <c r="K61" s="250"/>
      <c r="L61" s="14"/>
      <c r="M61" s="12"/>
      <c r="N61" s="12" t="e">
        <f>SUM(N55:N60)</f>
        <v>#VALUE!</v>
      </c>
      <c r="O61" s="39" t="s">
        <v>25</v>
      </c>
      <c r="P61" s="14"/>
      <c r="Q61">
        <f>Q59*Q60</f>
        <v>6.6978000000000009</v>
      </c>
      <c r="R61"/>
      <c r="S61" s="237">
        <f>R53*S60</f>
        <v>60000</v>
      </c>
      <c r="W61" s="231"/>
    </row>
    <row r="62" spans="1:23" s="230" customFormat="1" ht="17.399999999999999" x14ac:dyDescent="0.35">
      <c r="J62" s="47">
        <v>68410</v>
      </c>
      <c r="K62" s="250"/>
      <c r="L62" s="254" t="s">
        <v>35</v>
      </c>
      <c r="M62" s="12"/>
      <c r="N62" s="255" t="e">
        <f>N61*2.2</f>
        <v>#VALUE!</v>
      </c>
      <c r="O62" s="14" t="s">
        <v>142</v>
      </c>
      <c r="P62" s="14"/>
      <c r="Q62" s="46" t="e">
        <f>O53/Q61</f>
        <v>#VALUE!</v>
      </c>
      <c r="R62"/>
      <c r="S62" s="257" t="e">
        <f>S61/#REF!</f>
        <v>#REF!</v>
      </c>
    </row>
    <row r="63" spans="1:23" s="230" customFormat="1" ht="17.399999999999999" x14ac:dyDescent="0.35">
      <c r="G63"/>
      <c r="H63" s="260"/>
      <c r="I63" s="260"/>
      <c r="J63" s="47">
        <f>J62/1.19</f>
        <v>57487.394957983197</v>
      </c>
      <c r="K63" s="250"/>
      <c r="L63" s="14"/>
      <c r="M63" s="12"/>
      <c r="N63" s="12" t="e">
        <f>N62/O51</f>
        <v>#VALUE!</v>
      </c>
      <c r="O63" s="45" t="s">
        <v>26</v>
      </c>
      <c r="P63" s="14"/>
      <c r="Q63" s="14"/>
      <c r="R63"/>
      <c r="S63" s="237"/>
    </row>
    <row r="64" spans="1:23" s="230" customFormat="1" ht="17.399999999999999" x14ac:dyDescent="0.35">
      <c r="G64"/>
      <c r="J64" s="47"/>
      <c r="K64" s="250"/>
      <c r="L64" s="13"/>
      <c r="M64" s="14"/>
      <c r="N64" s="17" t="e">
        <f>N62/N61</f>
        <v>#VALUE!</v>
      </c>
      <c r="O64" s="15"/>
      <c r="P64"/>
      <c r="Q64"/>
      <c r="R64"/>
      <c r="S64" s="237"/>
    </row>
    <row r="65" spans="2:19" s="230" customFormat="1" ht="17.399999999999999" x14ac:dyDescent="0.35">
      <c r="G65" s="23"/>
      <c r="J65" s="47"/>
      <c r="K65" s="12"/>
      <c r="S65" s="237"/>
    </row>
    <row r="66" spans="2:19" s="230" customFormat="1" ht="17.399999999999999" x14ac:dyDescent="0.35">
      <c r="B66"/>
      <c r="C66" s="228"/>
      <c r="D66" s="22"/>
      <c r="E66" s="22"/>
      <c r="F66" s="21"/>
      <c r="G66" s="23"/>
      <c r="J66" s="47"/>
      <c r="K66" s="12"/>
      <c r="S66" s="237">
        <v>1.83</v>
      </c>
    </row>
    <row r="67" spans="2:19" ht="14.4" customHeight="1" x14ac:dyDescent="0.3">
      <c r="J67" s="47"/>
      <c r="K67" s="12"/>
      <c r="S67">
        <v>2.5</v>
      </c>
    </row>
    <row r="68" spans="2:19" x14ac:dyDescent="0.3">
      <c r="J68" s="47"/>
      <c r="K68" s="250"/>
      <c r="S68">
        <f>S66*S67</f>
        <v>4.5750000000000002</v>
      </c>
    </row>
    <row r="69" spans="2:19" x14ac:dyDescent="0.3">
      <c r="K69" s="250"/>
      <c r="S69" s="270" t="e">
        <f>O53/S68</f>
        <v>#VALUE!</v>
      </c>
    </row>
    <row r="70" spans="2:19" x14ac:dyDescent="0.3">
      <c r="K70" s="250"/>
    </row>
    <row r="71" spans="2:19" ht="15" customHeight="1" x14ac:dyDescent="0.3"/>
    <row r="73" spans="2:19" x14ac:dyDescent="0.3">
      <c r="N73">
        <v>40935</v>
      </c>
      <c r="O73" t="s">
        <v>17</v>
      </c>
      <c r="P73" t="s">
        <v>28</v>
      </c>
    </row>
    <row r="75" spans="2:19" x14ac:dyDescent="0.3">
      <c r="N75" s="54"/>
      <c r="O75" s="54"/>
    </row>
    <row r="76" spans="2:19" x14ac:dyDescent="0.3">
      <c r="R76" s="18"/>
      <c r="S76" s="18"/>
    </row>
    <row r="77" spans="2:19" x14ac:dyDescent="0.3">
      <c r="R77" s="18"/>
      <c r="S77" s="18"/>
    </row>
    <row r="78" spans="2:19" x14ac:dyDescent="0.3">
      <c r="R78" s="18"/>
      <c r="S78" s="18"/>
    </row>
    <row r="79" spans="2:19" x14ac:dyDescent="0.3">
      <c r="R79" s="18"/>
      <c r="S79" s="18"/>
    </row>
    <row r="80" spans="2:19" x14ac:dyDescent="0.3">
      <c r="R80" s="18"/>
      <c r="S80" s="18"/>
    </row>
    <row r="81" spans="14:19" x14ac:dyDescent="0.3">
      <c r="R81" s="18"/>
      <c r="S81" s="18"/>
    </row>
    <row r="82" spans="14:19" x14ac:dyDescent="0.3">
      <c r="R82" s="18"/>
      <c r="S82" s="18"/>
    </row>
    <row r="83" spans="14:19" x14ac:dyDescent="0.3">
      <c r="R83" s="18"/>
      <c r="S83" s="18"/>
    </row>
    <row r="84" spans="14:19" x14ac:dyDescent="0.3">
      <c r="R84" s="18"/>
      <c r="S84" s="18"/>
    </row>
    <row r="87" spans="14:19" x14ac:dyDescent="0.3">
      <c r="N87" s="43"/>
    </row>
    <row r="88" spans="14:19" x14ac:dyDescent="0.3">
      <c r="N88" s="43"/>
    </row>
    <row r="89" spans="14:19" x14ac:dyDescent="0.3">
      <c r="N89" s="6"/>
    </row>
    <row r="90" spans="14:19" x14ac:dyDescent="0.3">
      <c r="N90" s="6"/>
    </row>
    <row r="98" spans="3:3" x14ac:dyDescent="0.3">
      <c r="C98" t="s">
        <v>150</v>
      </c>
    </row>
    <row r="99" spans="3:3" x14ac:dyDescent="0.3">
      <c r="C99" t="s">
        <v>149</v>
      </c>
    </row>
    <row r="102" spans="3:3" x14ac:dyDescent="0.3">
      <c r="C102" t="s">
        <v>149</v>
      </c>
    </row>
    <row r="179" spans="3:3" x14ac:dyDescent="0.3">
      <c r="C179" t="s">
        <v>149</v>
      </c>
    </row>
    <row r="180" spans="3:3" x14ac:dyDescent="0.3">
      <c r="C180" t="s">
        <v>151</v>
      </c>
    </row>
    <row r="181" spans="3:3" x14ac:dyDescent="0.3">
      <c r="C181" t="s">
        <v>152</v>
      </c>
    </row>
    <row r="606" spans="3:3" x14ac:dyDescent="0.3">
      <c r="C606" t="s">
        <v>149</v>
      </c>
    </row>
  </sheetData>
  <mergeCells count="2">
    <mergeCell ref="F17:H17"/>
    <mergeCell ref="B19:H19"/>
  </mergeCells>
  <phoneticPr fontId="34" type="noConversion"/>
  <hyperlinks>
    <hyperlink ref="F5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45383</v>
      </c>
    </row>
    <row r="6" spans="2:31" ht="16.2" thickBot="1" x14ac:dyDescent="0.35">
      <c r="B6" s="140" t="s">
        <v>2</v>
      </c>
      <c r="C6" s="139" t="str">
        <f>'2229'!C10</f>
        <v>GRUPO 2M SA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3" t="s">
        <v>100</v>
      </c>
      <c r="I7" s="324"/>
      <c r="J7" s="324"/>
      <c r="K7" s="325"/>
      <c r="N7" s="75"/>
      <c r="O7" s="32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10892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 t="e">
        <f>(E15-D11)/X8</f>
        <v>#VALUE!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'2229'!H49</f>
        <v>65946808</v>
      </c>
      <c r="E11" s="132">
        <f>D11*0.19</f>
        <v>12529893.52</v>
      </c>
      <c r="F11" s="131">
        <f>E11+D11</f>
        <v>78476701.519999996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 t="e">
        <f t="shared" ref="X11:X16" si="2">V11+$X$9</f>
        <v>#VALUE!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 t="e">
        <f>SUM(M43:M45)</f>
        <v>#VALUE!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 t="e">
        <f t="shared" si="2"/>
        <v>#VALUE!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 t="e">
        <f>D11-D12</f>
        <v>#VALUE!</v>
      </c>
      <c r="E13" s="221" t="e">
        <f>(D11/D12)-1</f>
        <v>#VALUE!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 t="e">
        <f t="shared" si="2"/>
        <v>#VALUE!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 t="e">
        <f t="shared" si="2"/>
        <v>#VALUE!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 t="e">
        <f>(100%+D15)*D12</f>
        <v>#VALUE!</v>
      </c>
      <c r="F15" s="216" t="e">
        <f>E15-D12</f>
        <v>#VALUE!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 t="e">
        <f t="shared" si="2"/>
        <v>#VALUE!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 t="e">
        <f t="shared" si="2"/>
        <v>#VALUE!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'2229'!N57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'2229'!N56</f>
        <v>5500</v>
      </c>
      <c r="E19" s="123">
        <f>D19*0.19</f>
        <v>1045</v>
      </c>
      <c r="F19" s="120">
        <f>SUM(D19:E19)</f>
        <v>6545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 t="e">
        <f>'2229'!N55</f>
        <v>#VALUE!</v>
      </c>
      <c r="E20" s="121" t="e">
        <f>D20*0.19</f>
        <v>#VALUE!</v>
      </c>
      <c r="F20" s="120" t="e">
        <f>SUM(D20:E20)</f>
        <v>#VALUE!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 t="e">
        <f>SUM(D18:D20)</f>
        <v>#VALUE!</v>
      </c>
      <c r="E21" s="116" t="e">
        <f>SUM(E18:E20)</f>
        <v>#VALUE!</v>
      </c>
      <c r="F21" s="115" t="e">
        <f>SUM(F18:F20)</f>
        <v>#VALUE!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 t="e">
        <f>E11-E21</f>
        <v>#VALUE!</v>
      </c>
    </row>
    <row r="41" spans="2:16" ht="15" thickBot="1" x14ac:dyDescent="0.35">
      <c r="H41" s="326" t="s">
        <v>62</v>
      </c>
      <c r="I41" s="327"/>
      <c r="J41" s="327"/>
      <c r="K41" s="327"/>
      <c r="L41" s="327"/>
      <c r="M41" s="32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65946808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 t="e">
        <f>D21</f>
        <v>#VALUE!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 t="e">
        <f>M42-(SUM(M43:M45))</f>
        <v>#VALUE!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 t="e">
        <f>M46-SUM(M47:M48)</f>
        <v>#VALUE!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2024-04-01T14:43:24Z</cp:lastPrinted>
  <dcterms:created xsi:type="dcterms:W3CDTF">2013-03-18T13:35:42Z</dcterms:created>
  <dcterms:modified xsi:type="dcterms:W3CDTF">2024-04-01T18:20:29Z</dcterms:modified>
</cp:coreProperties>
</file>