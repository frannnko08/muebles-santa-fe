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E7306AE2-3861-42DB-B946-E31E6C35FE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M21" i="1" l="1"/>
  <c r="M24" i="1" s="1"/>
  <c r="N21" i="1"/>
  <c r="O21" i="1" l="1"/>
  <c r="P21" i="1" s="1"/>
  <c r="P25" i="1" s="1"/>
  <c r="S21" i="1"/>
  <c r="O31" i="1"/>
  <c r="P26" i="1" l="1"/>
  <c r="T43" i="1"/>
  <c r="P27" i="1" l="1"/>
  <c r="N20" i="1"/>
  <c r="L20" i="1"/>
  <c r="O32" i="1" l="1"/>
  <c r="R36" i="1"/>
  <c r="R37" i="1" s="1"/>
  <c r="O33" i="1" l="1"/>
  <c r="T36" i="1" l="1"/>
  <c r="T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P28" i="1" l="1"/>
  <c r="M30" i="1" s="1"/>
  <c r="O30" i="1" l="1"/>
  <c r="T44" i="1"/>
  <c r="O36" i="1" l="1"/>
  <c r="O37" i="1" s="1"/>
  <c r="D20" i="3"/>
  <c r="E20" i="3" s="1"/>
  <c r="E21" i="3" s="1"/>
  <c r="O39" i="1" l="1"/>
  <c r="D21" i="3"/>
  <c r="M43" i="3" s="1"/>
  <c r="D12" i="3" s="1"/>
  <c r="F20" i="3"/>
  <c r="F21" i="3" s="1"/>
  <c r="O38" i="1" l="1"/>
  <c r="Q20" i="1" s="1"/>
  <c r="E15" i="3"/>
  <c r="Q21" i="1" l="1"/>
  <c r="F15" i="3"/>
  <c r="R21" i="1" l="1"/>
  <c r="I21" i="1"/>
  <c r="S26" i="1"/>
  <c r="I24" i="1" l="1"/>
  <c r="I25" i="1" s="1"/>
  <c r="I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<sst xmlns="http://schemas.openxmlformats.org/spreadsheetml/2006/main" count="219" uniqueCount="166">
  <si>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</si>
  <si>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</si>
  <si>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</si>
  <si>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</si>
  <si>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</si>
  <si>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</si>
  <si>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</si>
  <si>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</si>
  <si>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</si>
  <si>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</si>
  <si>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</si>
  <si>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</si>
  <si>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</si>
  <si>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</si>
  <si>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</si>
  <si>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</si>
  <si>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</si>
  <si>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</si>
  <si>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</si>
  <si>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</si>
  <si>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</si>
  <si>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</si>
  <si>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</si>
  <si>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</si>
  <si>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</si>
  <si>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</si>
  <si>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</si>
  <si>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</si>
  <si>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</si>
  <si>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</si>
  <si>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</si>
  <si>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</si>
  <si>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</si>
  <si>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</si>
  <si>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</si>
  <si>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</si>
  <si>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</si>
  <si>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</si>
  <si>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</si>
  <si>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</si>
  <si>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</si>
  <si>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</si>
  <si>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</si>
  <si>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</si>
  <si>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</si>
  <si>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</si>
  <si>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</si>
  <si>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</si>
  <si>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</si>
  <si>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</si>
  <si>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</si>
  <si>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</si>
  <si>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</si>
  <si>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</si>
  <si>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</si>
  <si>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</si>
  <si>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</si>
  <si>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</si>
  <si>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</si>
  <si>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</si>
  <si>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</si>
  <si>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</si>
  <si>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</si>
  <si>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</si>
  <si>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</si>
  <si>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</si>
  <si>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</si>
  <si>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</si>
  <si>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</si>
  <si>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</si>
  <si>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</si>
  <si>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</si>
  <si>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</si>
  <si>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</si>
  <si>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</si>
  <si>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</si>
  <si>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</si>
  <si>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</si>
  <si>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</si>
  <si>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</si>
  <si>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</si>
  <si>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</si>
  <si>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</si>
  <si>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</si>
  <si>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</si>
  <si>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</si>
  <si>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</si>
  <si>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</si>
  <si>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</si>
  <si>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</si>
  <si>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</si>
  <si>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</si>
  <si>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</si>
  <si>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</si>
  <si>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</si>
  <si>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</si>
  <si>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</si>
  <si>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</si>
  <si>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</si>
  <si>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</si>
  <si>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</si>
  <si>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</si>
  <si>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</si>
  <si>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</si>
  <si>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</si>
  <si>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</si>
  <si>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</si>
  <si>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</si>
  <si>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</si>
  <si>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</si>
  <si>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</si>
  <si>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</si>
  <si>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</si>
  <si>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</si>
  <si>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</si>
  <si>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</si>
  <si>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</si>
  <si>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</si>
  <si>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</si>
  <si>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</si>
  <si>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</si>
  <si>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</si>
  <si>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</si>
  <si>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</si>
  <si>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</si>
  <si>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</si>
  <si>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</si>
  <si>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</si>
  <si>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</si>
  <si>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</si>
  <si>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</si>
  <si>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</si>
  <si>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</si>
  <si>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</si>
  <si>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</si>
  <si>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</si>
  <si>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</si>
  <si>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</si>
  <si>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</si>
  <si>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</si>
  <si>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</si>
  <si>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</si>
  <si>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</si>
  <si>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</si>
  <si>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</si>
  <si>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</si>
  <si>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</si>
  <si>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</si>
  <si>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</si>
  <si>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</si>
  <si>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</si>
  <si>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</si>
  <si>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</si>
  <si>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</si>
  <si>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</si>
  <si>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</si>
  <si>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</si>
  <si>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</si>
  <si>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QCLASS</t>
  </si>
  <si>
    <t>ABONO 50%, SALDO C/E</t>
  </si>
  <si>
    <t>CARLOS ARANDA</t>
  </si>
  <si>
    <t>+5697684 4745</t>
  </si>
  <si>
    <t>10 DIAS HABILES</t>
  </si>
  <si>
    <t xml:space="preserve">MUEBLE </t>
  </si>
  <si>
    <t>FONDO</t>
  </si>
  <si>
    <t>ENCHAPADO 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</si>
</sst>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28</xdr:row>
      <xdr:rowOff>28575</xdr:rowOff>
    </xdr:from>
    <xdr:to>
      <xdr:col>9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30</xdr:row>
      <xdr:rowOff>154305</xdr:rowOff>
    </xdr:from>
    <xdr:to>
      <xdr:col>8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6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6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OBSERVACIONES:INCLUYE</a:t>
          </a:r>
          <a:r>
            <a:rPr lang="es-CL" sz="1200" b="1" baseline="0"/>
            <a:t>  CUBIERTA POSFORMADA.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ESTRUCTURA MDF ENCHAPADO CON LAMINA BLANCO BRILLO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1"/>
  <sheetViews>
    <sheetView tabSelected="1" topLeftCell="A7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6" width="10.5546875" customWidth="1"/>
    <col min="7" max="7" width="28.554687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8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G2" s="241" t="s">
        <v>144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G3" s="59" t="s">
        <v>140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G4" s="59" t="s">
        <v>145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G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G6" s="59" t="s">
        <v>15</v>
      </c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G7" s="59" t="s">
        <v>126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01" t="s">
        <v>128</v>
      </c>
      <c r="C8" s="302"/>
      <c r="D8" s="322">
        <v>10905</v>
      </c>
      <c r="G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42" t="s">
        <v>2</v>
      </c>
      <c r="C10" s="279" t="s">
        <v>158</v>
      </c>
      <c r="D10" s="243"/>
      <c r="E10" s="243"/>
      <c r="F10" s="243"/>
      <c r="G10" s="244" t="s">
        <v>0</v>
      </c>
      <c r="H10" s="277">
        <v>45387</v>
      </c>
      <c r="I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312"/>
      <c r="G11" t="s">
        <v>125</v>
      </c>
      <c r="H11" s="289" t="s">
        <v>162</v>
      </c>
      <c r="I11" s="290"/>
      <c r="Q11" s="19"/>
      <c r="R11" s="25" t="s">
        <v>19</v>
      </c>
      <c r="S11" s="19"/>
    </row>
    <row r="12" spans="2:24" ht="16.8" x14ac:dyDescent="0.4">
      <c r="B12" s="246" t="s">
        <v>147</v>
      </c>
      <c r="C12" s="312"/>
      <c r="D12" s="247"/>
      <c r="E12" s="247"/>
      <c r="F12" s="247"/>
      <c r="G12" s="247" t="s">
        <v>129</v>
      </c>
      <c r="H12" s="278" t="s">
        <v>137</v>
      </c>
      <c r="I12" s="248"/>
      <c r="Q12" s="19"/>
      <c r="R12" s="25"/>
      <c r="S12" s="19"/>
    </row>
    <row r="13" spans="2:24" x14ac:dyDescent="0.3">
      <c r="B13" s="246" t="s">
        <v>148</v>
      </c>
      <c r="C13" t="s">
        <v>160</v>
      </c>
      <c r="D13" s="247"/>
      <c r="E13" s="247"/>
      <c r="F13" s="247"/>
      <c r="G13" s="247"/>
      <c r="H13" s="278"/>
      <c r="I13" s="248"/>
      <c r="Q13" s="19"/>
      <c r="R13" s="25"/>
      <c r="S13" s="19"/>
    </row>
    <row r="14" spans="2:24" x14ac:dyDescent="0.3">
      <c r="B14" s="288" t="s">
        <v>141</v>
      </c>
      <c r="C14" s="306"/>
      <c r="G14" s="29" t="s">
        <v>138</v>
      </c>
      <c r="H14" s="291" t="s">
        <v>157</v>
      </c>
      <c r="I14" s="290"/>
      <c r="K14" s="29"/>
      <c r="Q14" s="20"/>
      <c r="R14" s="26" t="s">
        <v>18</v>
      </c>
      <c r="S14" s="20"/>
    </row>
    <row r="15" spans="2:24" ht="15.6" x14ac:dyDescent="0.3">
      <c r="B15" s="246" t="s">
        <v>4</v>
      </c>
      <c r="C15" s="309" t="s">
        <v>161</v>
      </c>
      <c r="D15" s="295"/>
      <c r="E15" s="247"/>
      <c r="F15" s="247"/>
      <c r="G15" s="247" t="s">
        <v>136</v>
      </c>
      <c r="H15" s="296" t="s">
        <v>137</v>
      </c>
      <c r="I15" s="248"/>
    </row>
    <row r="16" spans="2:24" ht="16.8" x14ac:dyDescent="0.4">
      <c r="B16" s="292" t="s">
        <v>3</v>
      </c>
      <c r="C16" s="312"/>
      <c r="G16" s="293" t="s">
        <v>131</v>
      </c>
      <c r="H16" s="294" t="s">
        <v>159</v>
      </c>
      <c r="I16" s="290"/>
    </row>
    <row r="17" spans="2:25" ht="15" thickBot="1" x14ac:dyDescent="0.35">
      <c r="B17" s="297" t="s">
        <v>13</v>
      </c>
      <c r="C17" s="298" t="s">
        <v>154</v>
      </c>
      <c r="D17" s="299"/>
      <c r="E17" s="300"/>
      <c r="F17" s="300"/>
      <c r="G17" s="325" t="s">
        <v>155</v>
      </c>
      <c r="H17" s="325"/>
      <c r="I17" s="326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x14ac:dyDescent="0.3">
      <c r="B19" s="327" t="s">
        <v>149</v>
      </c>
      <c r="C19" s="328"/>
      <c r="D19" s="328"/>
      <c r="E19" s="328"/>
      <c r="F19" s="328"/>
      <c r="G19" s="328"/>
      <c r="H19" s="328"/>
      <c r="I19" s="329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21</v>
      </c>
      <c r="R19" s="37" t="s">
        <v>135</v>
      </c>
      <c r="S19" s="10" t="s">
        <v>139</v>
      </c>
      <c r="U19" s="9"/>
      <c r="V19" s="9"/>
      <c r="X19" s="6"/>
      <c r="Y19" s="6"/>
    </row>
    <row r="20" spans="2:25" ht="18" thickBot="1" x14ac:dyDescent="0.35">
      <c r="B20" s="323" t="s">
        <v>7</v>
      </c>
      <c r="C20" s="317" t="s">
        <v>1</v>
      </c>
      <c r="D20" s="317" t="s">
        <v>133</v>
      </c>
      <c r="E20" s="317" t="s">
        <v>11</v>
      </c>
      <c r="F20" s="317" t="s">
        <v>164</v>
      </c>
      <c r="G20" s="317" t="s">
        <v>8</v>
      </c>
      <c r="H20" s="317" t="s">
        <v>5</v>
      </c>
      <c r="I20" s="318" t="s">
        <v>6</v>
      </c>
      <c r="J20" s="265"/>
      <c r="K20" s="47"/>
      <c r="L20" s="268" t="str">
        <f t="shared" ref="L20" si="0">B20</f>
        <v>UNIDAD</v>
      </c>
      <c r="M20" s="267" t="s">
        <v>133</v>
      </c>
      <c r="N20" s="39" t="str">
        <f>E20</f>
        <v>ANCHO</v>
      </c>
      <c r="O20" s="261" t="s">
        <v>134</v>
      </c>
      <c r="P20" s="259" t="s">
        <v>17</v>
      </c>
      <c r="Q20" s="252" t="e">
        <f>O38</f>
        <v>#DIV/0!</v>
      </c>
      <c r="R20" s="258">
        <v>7500</v>
      </c>
      <c r="S20" s="38"/>
      <c r="T20" s="14" t="s">
        <v>130</v>
      </c>
      <c r="U20" s="9"/>
      <c r="X20" s="4"/>
    </row>
    <row r="21" spans="2:25" ht="17.399999999999999" x14ac:dyDescent="0.3">
      <c r="B21" s="324">
        <v>1</v>
      </c>
      <c r="C21" s="313" t="s">
        <v>163</v>
      </c>
      <c r="D21" s="314">
        <v>0.85</v>
      </c>
      <c r="E21" s="314">
        <v>0.435</v>
      </c>
      <c r="F21" s="314">
        <v>0.38</v>
      </c>
      <c r="G21" s="313" t="s">
        <v>165</v>
      </c>
      <c r="H21" s="315">
        <v>148523</v>
      </c>
      <c r="I21" s="316">
        <f t="shared" ref="I21" si="1">H21*B21</f>
        <v>148523</v>
      </c>
      <c r="J21" s="265"/>
      <c r="K21" s="47"/>
      <c r="L21" s="47"/>
      <c r="M21" s="39">
        <f>D21+M$19</f>
        <v>0.9</v>
      </c>
      <c r="N21" s="39">
        <f>E21+N$19</f>
        <v>0.435</v>
      </c>
      <c r="O21" s="261">
        <f>M21*N21</f>
        <v>0.39150000000000001</v>
      </c>
      <c r="P21" s="259">
        <f>O21*L21</f>
        <v>0</v>
      </c>
      <c r="Q21" s="252" t="e">
        <f>Q$20*O21</f>
        <v>#DIV/0!</v>
      </c>
      <c r="R21" s="258" t="e">
        <f>Q21+R$20</f>
        <v>#DIV/0!</v>
      </c>
      <c r="S21" s="308">
        <f>L21*M21</f>
        <v>0</v>
      </c>
      <c r="T21" s="14"/>
      <c r="U21" s="9"/>
      <c r="X21" s="4"/>
    </row>
    <row r="22" spans="2:25" ht="17.399999999999999" x14ac:dyDescent="0.3">
      <c r="B22" s="286"/>
      <c r="C22" s="286"/>
      <c r="D22" s="287"/>
      <c r="E22" s="287"/>
      <c r="F22" s="287"/>
      <c r="G22" s="286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258"/>
      <c r="S22" s="308"/>
      <c r="T22" s="14"/>
      <c r="U22" s="9"/>
      <c r="X22" s="4"/>
    </row>
    <row r="23" spans="2:25" ht="18" thickBot="1" x14ac:dyDescent="0.35">
      <c r="B23" s="286"/>
      <c r="C23" s="286"/>
      <c r="D23" s="287"/>
      <c r="E23" s="287"/>
      <c r="F23" s="287"/>
      <c r="G23" s="286"/>
      <c r="H23" s="265"/>
      <c r="I23" s="232"/>
      <c r="J23" s="232"/>
      <c r="K23" s="47"/>
      <c r="L23" s="47"/>
      <c r="M23" s="39"/>
      <c r="N23" s="39"/>
      <c r="O23" s="261"/>
      <c r="P23" s="259"/>
      <c r="Q23" s="252"/>
      <c r="R23" s="258"/>
      <c r="S23" s="308"/>
      <c r="T23" s="14"/>
      <c r="U23" s="9"/>
      <c r="X23" s="4"/>
    </row>
    <row r="24" spans="2:25" ht="17.399999999999999" x14ac:dyDescent="0.3">
      <c r="B24" s="286"/>
      <c r="C24" s="286"/>
      <c r="D24" s="287"/>
      <c r="E24" s="287"/>
      <c r="F24" s="287"/>
      <c r="G24" s="286"/>
      <c r="H24" s="310" t="s">
        <v>30</v>
      </c>
      <c r="I24" s="311">
        <f>SUM(I21:I23)</f>
        <v>148523</v>
      </c>
      <c r="J24" s="265"/>
      <c r="K24" s="47"/>
      <c r="L24" s="47"/>
      <c r="M24" s="39">
        <f>SUM(M21:M23)</f>
        <v>0.9</v>
      </c>
      <c r="N24" s="39"/>
      <c r="O24" s="261"/>
      <c r="P24" s="259"/>
      <c r="Q24" s="252"/>
      <c r="R24" s="258"/>
      <c r="S24" s="308"/>
      <c r="T24" s="14"/>
      <c r="U24" s="9"/>
      <c r="X24" s="4"/>
    </row>
    <row r="25" spans="2:25" ht="17.399999999999999" x14ac:dyDescent="0.3">
      <c r="B25" s="280"/>
      <c r="C25" s="283"/>
      <c r="D25" s="284"/>
      <c r="E25" s="284"/>
      <c r="F25" s="284"/>
      <c r="G25" s="285"/>
      <c r="H25" s="307" t="s">
        <v>53</v>
      </c>
      <c r="I25" s="304">
        <f>I24*0.19</f>
        <v>28219.37</v>
      </c>
      <c r="J25" s="265"/>
      <c r="K25" s="47"/>
      <c r="L25" s="47"/>
      <c r="M25" s="39"/>
      <c r="N25" s="12"/>
      <c r="O25" s="12"/>
      <c r="P25" s="253">
        <f>SUM(P21:P21)</f>
        <v>0</v>
      </c>
      <c r="Q25" s="14"/>
      <c r="R25" s="12"/>
      <c r="S25" s="238"/>
      <c r="T25" s="14"/>
      <c r="U25" s="9"/>
      <c r="X25" s="4"/>
    </row>
    <row r="26" spans="2:25" ht="18" thickBot="1" x14ac:dyDescent="0.35">
      <c r="B26" s="276"/>
      <c r="C26" s="282"/>
      <c r="D26" s="272"/>
      <c r="E26" s="272"/>
      <c r="F26" s="272"/>
      <c r="G26" s="273"/>
      <c r="H26" s="281" t="s">
        <v>6</v>
      </c>
      <c r="I26" s="305">
        <f>I24+I25</f>
        <v>176742.37</v>
      </c>
      <c r="J26" s="265"/>
      <c r="K26" s="47"/>
      <c r="L26" s="47"/>
      <c r="M26" s="39"/>
      <c r="N26" s="12"/>
      <c r="O26" s="12"/>
      <c r="P26" s="253">
        <f>P25</f>
        <v>0</v>
      </c>
      <c r="Q26" s="14"/>
      <c r="R26" s="12"/>
      <c r="S26" s="238">
        <f>SUM(S21:S25)</f>
        <v>0</v>
      </c>
      <c r="T26" s="14"/>
      <c r="U26" s="9"/>
      <c r="X26" s="4"/>
    </row>
    <row r="27" spans="2:25" ht="17.399999999999999" x14ac:dyDescent="0.3">
      <c r="B27" s="276"/>
      <c r="C27" s="271"/>
      <c r="D27" s="272"/>
      <c r="E27" s="272"/>
      <c r="F27" s="272"/>
      <c r="G27" s="273"/>
      <c r="J27" s="265"/>
      <c r="K27" s="47"/>
      <c r="L27" s="47"/>
      <c r="M27" s="14"/>
      <c r="N27" s="12"/>
      <c r="O27" s="12"/>
      <c r="P27" s="39">
        <f>P26*20%</f>
        <v>0</v>
      </c>
      <c r="Q27" s="39" t="s">
        <v>132</v>
      </c>
      <c r="R27" s="42"/>
      <c r="S27" s="239"/>
      <c r="T27" s="14"/>
      <c r="U27" s="9"/>
      <c r="X27" s="4"/>
    </row>
    <row r="28" spans="2:25" ht="17.399999999999999" x14ac:dyDescent="0.3">
      <c r="B28" s="271"/>
      <c r="C28" s="271"/>
      <c r="D28" s="272"/>
      <c r="E28" s="272"/>
      <c r="F28" s="272"/>
      <c r="G28" s="273"/>
      <c r="H28" s="274"/>
      <c r="I28" s="275"/>
      <c r="J28" s="265"/>
      <c r="K28" s="321"/>
      <c r="L28" s="47"/>
      <c r="M28" s="14"/>
      <c r="N28" s="12"/>
      <c r="O28" s="12"/>
      <c r="P28" s="46">
        <f>P26+P27</f>
        <v>0</v>
      </c>
      <c r="Q28" s="14"/>
      <c r="R28" s="14"/>
      <c r="S28" s="237">
        <v>40</v>
      </c>
      <c r="T28" s="14"/>
      <c r="U28" s="9"/>
      <c r="X28" s="4"/>
    </row>
    <row r="29" spans="2:25" ht="17.399999999999999" x14ac:dyDescent="0.35">
      <c r="B29" s="269"/>
      <c r="C29" s="230"/>
      <c r="D29" s="230"/>
      <c r="E29" s="232"/>
      <c r="F29" s="232"/>
      <c r="G29" s="233"/>
      <c r="H29" s="230"/>
      <c r="I29" s="275"/>
      <c r="J29" s="265"/>
      <c r="K29" s="321"/>
      <c r="L29" s="47"/>
      <c r="M29" s="14"/>
      <c r="N29" s="14"/>
      <c r="O29" s="14"/>
      <c r="P29" s="14"/>
      <c r="Q29" s="14"/>
      <c r="R29" s="14"/>
      <c r="S29" s="237"/>
      <c r="T29" s="14"/>
      <c r="U29" s="9"/>
      <c r="X29" s="4"/>
    </row>
    <row r="30" spans="2:25" ht="17.399999999999999" x14ac:dyDescent="0.35">
      <c r="B30" s="234"/>
      <c r="C30" s="235"/>
      <c r="D30" s="236"/>
      <c r="E30" s="234"/>
      <c r="F30" s="234"/>
      <c r="G30" s="230"/>
      <c r="H30" s="230"/>
      <c r="J30" s="265"/>
      <c r="K30" s="47"/>
      <c r="L30" s="47"/>
      <c r="M30" s="39">
        <f>P28</f>
        <v>0</v>
      </c>
      <c r="N30" s="12">
        <v>3500</v>
      </c>
      <c r="O30" s="12">
        <f t="shared" ref="O30:O35" si="2">M30*N30</f>
        <v>0</v>
      </c>
      <c r="P30" s="14" t="s">
        <v>22</v>
      </c>
      <c r="Q30" s="14" t="s">
        <v>23</v>
      </c>
      <c r="R30" s="14"/>
      <c r="S30" s="240"/>
      <c r="T30" s="14"/>
      <c r="U30" s="9"/>
      <c r="X30" s="4"/>
    </row>
    <row r="31" spans="2:25" ht="17.399999999999999" x14ac:dyDescent="0.35"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</v>
      </c>
      <c r="N31" s="12">
        <v>45000</v>
      </c>
      <c r="O31" s="12">
        <f t="shared" si="2"/>
        <v>45000</v>
      </c>
      <c r="P31" s="39" t="s">
        <v>156</v>
      </c>
      <c r="Q31" s="42"/>
      <c r="R31" s="14"/>
      <c r="S31" s="239"/>
      <c r="T31" s="14"/>
      <c r="U31" s="9"/>
      <c r="X31" s="4"/>
    </row>
    <row r="32" spans="2:25" s="230" customFormat="1" ht="17.399999999999999" x14ac:dyDescent="0.35">
      <c r="J32" s="262"/>
      <c r="K32" s="47"/>
      <c r="L32" s="250"/>
      <c r="M32" s="14"/>
      <c r="N32" s="250">
        <v>40754</v>
      </c>
      <c r="O32" s="12">
        <f t="shared" si="2"/>
        <v>0</v>
      </c>
      <c r="P32" s="39" t="s">
        <v>32</v>
      </c>
      <c r="Q32" s="42"/>
      <c r="S32" s="239"/>
      <c r="T32" s="256"/>
      <c r="W32" s="231"/>
    </row>
    <row r="33" spans="2:24" s="230" customFormat="1" ht="17.399999999999999" x14ac:dyDescent="0.35">
      <c r="B33" s="24" t="s">
        <v>153</v>
      </c>
      <c r="J33" s="262"/>
      <c r="K33" s="320"/>
      <c r="L33" s="250"/>
      <c r="M33" s="14">
        <v>2</v>
      </c>
      <c r="N33" s="250">
        <v>36500</v>
      </c>
      <c r="O33" s="12">
        <f t="shared" si="2"/>
        <v>73000</v>
      </c>
      <c r="P33" s="14" t="s">
        <v>143</v>
      </c>
      <c r="Q33" s="17"/>
      <c r="S33" s="237"/>
      <c r="T33" s="256"/>
      <c r="W33" s="231"/>
    </row>
    <row r="34" spans="2:24" s="230" customFormat="1" ht="17.399999999999999" x14ac:dyDescent="0.35">
      <c r="B34" s="24" t="s">
        <v>146</v>
      </c>
      <c r="C34"/>
      <c r="D34"/>
      <c r="E34"/>
      <c r="F34"/>
      <c r="G34"/>
      <c r="J34" s="262"/>
      <c r="K34" s="320"/>
      <c r="L34" s="250"/>
      <c r="M34" s="249"/>
      <c r="N34" s="250">
        <v>800</v>
      </c>
      <c r="O34" s="12">
        <f t="shared" si="2"/>
        <v>0</v>
      </c>
      <c r="P34" s="14" t="s">
        <v>34</v>
      </c>
      <c r="Q34" s="14"/>
      <c r="R34" s="230">
        <v>1.52</v>
      </c>
      <c r="S34" s="237"/>
      <c r="T34" s="237"/>
    </row>
    <row r="35" spans="2:24" s="230" customFormat="1" ht="17.399999999999999" x14ac:dyDescent="0.35">
      <c r="B35" s="29" t="s">
        <v>127</v>
      </c>
      <c r="C35"/>
      <c r="D35"/>
      <c r="E35"/>
      <c r="F35"/>
      <c r="G35" s="229" t="s">
        <v>16</v>
      </c>
      <c r="J35" s="303"/>
      <c r="K35" s="47"/>
      <c r="L35" s="250"/>
      <c r="M35" s="266"/>
      <c r="N35" s="12">
        <v>1500</v>
      </c>
      <c r="O35" s="12">
        <f t="shared" si="2"/>
        <v>0</v>
      </c>
      <c r="P35" s="14" t="s">
        <v>24</v>
      </c>
      <c r="Q35" s="14"/>
      <c r="R35">
        <v>2.44</v>
      </c>
      <c r="S35"/>
      <c r="T35" s="237">
        <v>1500</v>
      </c>
      <c r="X35" s="231"/>
    </row>
    <row r="36" spans="2:24" s="230" customFormat="1" ht="17.399999999999999" x14ac:dyDescent="0.35">
      <c r="K36" s="47"/>
      <c r="L36" s="250"/>
      <c r="M36" s="14"/>
      <c r="N36" s="12"/>
      <c r="O36" s="12">
        <f>SUM(O30:O35)</f>
        <v>118000</v>
      </c>
      <c r="P36" s="39" t="s">
        <v>25</v>
      </c>
      <c r="Q36" s="14"/>
      <c r="R36">
        <f>R34*R35</f>
        <v>3.7088000000000001</v>
      </c>
      <c r="S36"/>
      <c r="T36" s="237">
        <f>S28*T35</f>
        <v>60000</v>
      </c>
      <c r="X36" s="231"/>
    </row>
    <row r="37" spans="2:24" s="230" customFormat="1" ht="17.399999999999999" x14ac:dyDescent="0.35">
      <c r="K37" s="47">
        <v>43180</v>
      </c>
      <c r="L37" s="250"/>
      <c r="M37" s="254" t="s">
        <v>35</v>
      </c>
      <c r="N37" s="12"/>
      <c r="O37" s="255">
        <f>O36*2.5</f>
        <v>295000</v>
      </c>
      <c r="P37" s="14" t="s">
        <v>142</v>
      </c>
      <c r="Q37" s="14"/>
      <c r="R37" s="46">
        <f>P26/R36</f>
        <v>0</v>
      </c>
      <c r="S37"/>
      <c r="T37" s="257" t="e">
        <f>T36/#REF!</f>
        <v>#REF!</v>
      </c>
    </row>
    <row r="38" spans="2:24" s="230" customFormat="1" ht="17.399999999999999" x14ac:dyDescent="0.35">
      <c r="H38"/>
      <c r="I38" s="260"/>
      <c r="J38" s="260"/>
      <c r="K38" s="47">
        <f>K37/1.19</f>
        <v>36285.71428571429</v>
      </c>
      <c r="L38" s="250"/>
      <c r="M38" s="14"/>
      <c r="N38" s="12"/>
      <c r="O38" s="12" t="e">
        <f>O37/P26</f>
        <v>#DIV/0!</v>
      </c>
      <c r="P38" s="45" t="s">
        <v>26</v>
      </c>
      <c r="Q38" s="14"/>
      <c r="R38" s="14"/>
      <c r="S38"/>
      <c r="T38" s="237"/>
    </row>
    <row r="39" spans="2:24" s="230" customFormat="1" ht="17.399999999999999" x14ac:dyDescent="0.35">
      <c r="H39"/>
      <c r="K39" s="47"/>
      <c r="L39" s="250"/>
      <c r="M39" s="13"/>
      <c r="N39" s="14"/>
      <c r="O39" s="17">
        <f>O37/O36</f>
        <v>2.5</v>
      </c>
      <c r="P39" s="15"/>
      <c r="Q39"/>
      <c r="R39"/>
      <c r="S39"/>
      <c r="T39" s="237"/>
    </row>
    <row r="40" spans="2:24" s="230" customFormat="1" ht="17.399999999999999" x14ac:dyDescent="0.35">
      <c r="H40" s="23"/>
      <c r="K40" s="47"/>
      <c r="L40" s="12"/>
      <c r="T40" s="237"/>
    </row>
    <row r="41" spans="2:24" s="230" customFormat="1" ht="17.399999999999999" x14ac:dyDescent="0.35">
      <c r="B41"/>
      <c r="C41" s="228"/>
      <c r="D41" s="22"/>
      <c r="E41" s="22"/>
      <c r="F41" s="22"/>
      <c r="G41" s="21"/>
      <c r="H41" s="23"/>
      <c r="K41" s="47"/>
      <c r="L41" s="12"/>
      <c r="T41" s="237">
        <v>1.83</v>
      </c>
    </row>
    <row r="42" spans="2:24" ht="14.4" customHeight="1" x14ac:dyDescent="0.3">
      <c r="K42" s="47"/>
      <c r="L42" s="12"/>
      <c r="T42">
        <v>2.5</v>
      </c>
    </row>
    <row r="43" spans="2:24" x14ac:dyDescent="0.3">
      <c r="K43" s="47"/>
      <c r="L43" s="250"/>
      <c r="T43">
        <f>T41*T42</f>
        <v>4.5750000000000002</v>
      </c>
    </row>
    <row r="44" spans="2:24" x14ac:dyDescent="0.3">
      <c r="L44" s="250"/>
      <c r="T44" s="270">
        <f>P28/T43</f>
        <v>0</v>
      </c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17</v>
      </c>
      <c r="Q48" t="s">
        <v>28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150</v>
      </c>
    </row>
    <row r="74" spans="3:15" x14ac:dyDescent="0.3">
      <c r="C74" t="s">
        <v>149</v>
      </c>
    </row>
    <row r="77" spans="3:15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G17:I17"/>
    <mergeCell ref="B19:I19"/>
  </mergeCells>
  <phoneticPr fontId="34" type="noConversion"/>
  <hyperlinks>
    <hyperlink ref="G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45387</v>
      </c>
    </row>
    <row r="6" spans="2:31" ht="16.2" thickBot="1" x14ac:dyDescent="0.35">
      <c r="B6" s="140" t="s">
        <v>2</v>
      </c>
      <c r="C6" s="139" t="str">
        <f>'2229'!C10</f>
        <v>QCLASS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10905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-4174.4583667874422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'2229'!I24</f>
        <v>148523</v>
      </c>
      <c r="E11" s="132">
        <f>D11*0.19</f>
        <v>28219.37</v>
      </c>
      <c r="F11" s="131">
        <f>E11+D11</f>
        <v>176742.37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101815.54163321256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74834.090787439607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83815.541633212561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73688.909212560393</v>
      </c>
      <c r="E13" s="221">
        <f>(D11/D12)-1</f>
        <v>0.98469706035272053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74815.541633212561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35815.541633212561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123476.24979927535</v>
      </c>
      <c r="F15" s="216">
        <f>E15-D12</f>
        <v>48642.159011835742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35815.541633212561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75815.541633212561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'2229'!O31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'2229'!O30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45000</v>
      </c>
      <c r="E21" s="116">
        <f>SUM(E18:E20)</f>
        <v>8550</v>
      </c>
      <c r="F21" s="115">
        <f>SUM(F18:F20)</f>
        <v>53550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19669.37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148523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45000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73688.909212560393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73688.909212560393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2024-04-05T13:29:56Z</dcterms:modified>
</cp:coreProperties>
</file>