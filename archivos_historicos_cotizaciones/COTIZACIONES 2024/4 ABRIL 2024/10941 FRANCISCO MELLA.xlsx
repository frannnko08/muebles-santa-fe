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DFDC7DA7-F059-45C8-A8F5-C57687147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M22" i="1"/>
  <c r="L22" i="1"/>
  <c r="N22" i="1" s="1"/>
  <c r="K22" i="1"/>
  <c r="H22" i="1"/>
  <c r="J31" i="1"/>
  <c r="K10" i="1"/>
  <c r="O22" i="1" l="1"/>
  <c r="J39" i="1"/>
  <c r="L21" i="1" l="1"/>
  <c r="L25" i="1" s="1"/>
  <c r="M21" i="1"/>
  <c r="N21" i="1" l="1"/>
  <c r="O21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H21" i="1" s="1"/>
  <c r="H25" i="1" s="1"/>
  <c r="R27" i="1"/>
  <c r="H27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<sst xmlns="http://schemas.openxmlformats.org/spreadsheetml/2006/main" count="220" uniqueCount="166">
  <si>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</si>
  <si>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</si>
  <si>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</si>
  <si>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</si>
  <si>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</si>
  <si>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</si>
  <si>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</si>
  <si>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</si>
  <si>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</si>
  <si>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</si>
  <si>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</si>
  <si>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</si>
  <si>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</si>
  <si>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</si>
  <si>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</si>
  <si>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</si>
  <si>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</si>
  <si>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</si>
  <si>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</si>
  <si>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</si>
  <si>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</si>
  <si>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</si>
  <si>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</si>
  <si>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</si>
  <si>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</si>
  <si>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</si>
  <si>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</si>
  <si>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</si>
  <si>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</si>
  <si>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</si>
  <si>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</si>
  <si>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</si>
  <si>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</si>
  <si>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</si>
  <si>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</si>
  <si>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</si>
  <si>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</si>
  <si>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</si>
  <si>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</si>
  <si>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</si>
  <si>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</si>
  <si>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</si>
  <si>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</si>
  <si>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</si>
  <si>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</si>
  <si>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</si>
  <si>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</si>
  <si>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</si>
  <si>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</si>
  <si>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</si>
  <si>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</si>
  <si>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</si>
  <si>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</si>
  <si>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</si>
  <si>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</si>
  <si>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</si>
  <si>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</si>
  <si>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</si>
  <si>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</si>
  <si>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</si>
  <si>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</si>
  <si>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</si>
  <si>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</si>
  <si>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</si>
  <si>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</si>
  <si>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</si>
  <si>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</si>
  <si>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</si>
  <si>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</si>
  <si>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</si>
  <si>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</si>
  <si>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</si>
  <si>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</si>
  <si>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</si>
  <si>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</si>
  <si>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</si>
  <si>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</si>
  <si>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</si>
  <si>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</si>
  <si>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</si>
  <si>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</si>
  <si>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</si>
  <si>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</si>
  <si>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</si>
  <si>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</si>
  <si>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</si>
  <si>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</si>
  <si>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</si>
  <si>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</si>
  <si>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</si>
  <si>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</si>
  <si>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</si>
  <si>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</si>
  <si>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</si>
  <si>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</si>
  <si>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</si>
  <si>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</si>
  <si>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</si>
  <si>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</si>
  <si>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</si>
  <si>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</si>
  <si>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</si>
  <si>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</si>
  <si>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</si>
  <si>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</si>
  <si>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</si>
  <si>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</si>
  <si>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</si>
  <si>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</si>
  <si>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</si>
  <si>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</si>
  <si>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</si>
  <si>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</si>
  <si>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</si>
  <si>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</si>
  <si>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</si>
  <si>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</si>
  <si>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</si>
  <si>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</si>
  <si>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</si>
  <si>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</si>
  <si>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</si>
  <si>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</si>
  <si>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</si>
  <si>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</si>
  <si>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</si>
  <si>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</si>
  <si>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</si>
  <si>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</si>
  <si>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</si>
  <si>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</si>
  <si>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</si>
  <si>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</si>
  <si>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</si>
  <si>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</si>
  <si>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</si>
  <si>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</si>
  <si>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</si>
  <si>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</si>
  <si>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</si>
  <si>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</si>
  <si>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</si>
  <si>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</si>
  <si>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</si>
  <si>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</si>
  <si>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</si>
  <si>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</si>
  <si>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</si>
  <si>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</si>
  <si>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</si>
  <si>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</si>
  <si>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</si>
  <si>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</si>
  <si>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</si>
  <si>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</si>
  <si>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</si>
  <si>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</si>
  <si>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</si>
  <si>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</si>
  <si>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FRANCISCO MELLA</t>
  </si>
  <si>
    <t>+569 8451 4974</t>
  </si>
  <si>
    <t>NICE PEAR 10854 SF</t>
  </si>
  <si>
    <t>CUB MESA R8 2L 1LARGO + 1 CORTO</t>
  </si>
  <si>
    <t>CUB CON RESPALDO FRENTE 90° R8</t>
  </si>
  <si>
    <t>EBANO 2109 MT</t>
  </si>
  <si>
    <t>N° 10941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</si>
</sst>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8" zoomScaleNormal="98" workbookViewId="0">
      <selection activeCell="D13" sqref="D1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45411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6" t="s">
        <v>10</v>
      </c>
      <c r="E20" s="326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72769.411764705888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2</v>
      </c>
      <c r="C21" s="312" t="s">
        <v>163</v>
      </c>
      <c r="D21" s="327">
        <v>2.4500000000000002</v>
      </c>
      <c r="E21" s="327">
        <v>0.85</v>
      </c>
      <c r="F21" s="312" t="s">
        <v>161</v>
      </c>
      <c r="G21" s="313">
        <v>118525</v>
      </c>
      <c r="H21" s="314">
        <f t="shared" ref="H21" si="1">G21*B21</f>
        <v>237050</v>
      </c>
      <c r="I21" s="265"/>
      <c r="J21" s="47"/>
      <c r="K21" s="324"/>
      <c r="L21" s="325">
        <f t="shared" ref="L21:M21" si="2">D21+L$19</f>
        <v>2.5</v>
      </c>
      <c r="M21" s="325">
        <f t="shared" si="2"/>
        <v>0.85</v>
      </c>
      <c r="N21" s="261">
        <f>L21*M21</f>
        <v>2.125</v>
      </c>
      <c r="O21" s="259">
        <f>N21*K21</f>
        <v>0</v>
      </c>
      <c r="P21" s="252">
        <f>P$20*N21</f>
        <v>154635</v>
      </c>
      <c r="Q21" s="258">
        <f>P21+Q$20</f>
        <v>157635</v>
      </c>
      <c r="R21" s="308">
        <f>K21*L21</f>
        <v>0</v>
      </c>
      <c r="S21" s="14"/>
      <c r="T21" s="9"/>
      <c r="W21" s="4"/>
    </row>
    <row r="22" spans="2:24" ht="17.399999999999999" x14ac:dyDescent="0.3">
      <c r="B22" s="322">
        <v>1</v>
      </c>
      <c r="C22" s="312" t="s">
        <v>162</v>
      </c>
      <c r="D22" s="327">
        <v>1.6</v>
      </c>
      <c r="E22" s="327">
        <v>0.85</v>
      </c>
      <c r="F22" s="312" t="s">
        <v>164</v>
      </c>
      <c r="G22" s="313">
        <v>112059</v>
      </c>
      <c r="H22" s="314">
        <f t="shared" ref="H22" si="3">G22*B22</f>
        <v>112059</v>
      </c>
      <c r="I22" s="265"/>
      <c r="J22" s="47"/>
      <c r="K22" s="324">
        <f>B22</f>
        <v>1</v>
      </c>
      <c r="L22" s="325">
        <f t="shared" ref="L22" si="4">D22+L$19</f>
        <v>1.6500000000000001</v>
      </c>
      <c r="M22" s="325">
        <f t="shared" ref="M22" si="5">E22+M$19</f>
        <v>0.85</v>
      </c>
      <c r="N22" s="261">
        <f>L22*M22</f>
        <v>1.4025000000000001</v>
      </c>
      <c r="O22" s="259">
        <f>N22*K22</f>
        <v>1.4025000000000001</v>
      </c>
      <c r="P22" s="252">
        <f>P$20*N22</f>
        <v>102059.10000000002</v>
      </c>
      <c r="Q22" s="258">
        <f>P22+Q$20</f>
        <v>105059.10000000002</v>
      </c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7"/>
      <c r="H23" s="317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349109</v>
      </c>
      <c r="I25" s="265"/>
      <c r="J25" s="47"/>
      <c r="K25" s="47"/>
      <c r="L25" s="39">
        <f>SUM(L21:L24)</f>
        <v>4.1500000000000004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/>
      <c r="I26" s="265"/>
      <c r="J26" s="47"/>
      <c r="K26" s="47"/>
      <c r="L26" s="39"/>
      <c r="M26" s="12"/>
      <c r="N26" s="12"/>
      <c r="O26" s="253">
        <f>SUM(O21:O22)</f>
        <v>1.4025000000000001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349109</v>
      </c>
      <c r="I27" s="265"/>
      <c r="J27" s="47"/>
      <c r="K27" s="47"/>
      <c r="L27" s="39"/>
      <c r="M27" s="12"/>
      <c r="N27" s="12"/>
      <c r="O27" s="253">
        <f>O26</f>
        <v>1.4025000000000001</v>
      </c>
      <c r="P27" s="14"/>
      <c r="Q27" s="12"/>
      <c r="R27" s="238">
        <f>SUM(R21:R26)</f>
        <v>0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32</v>
      </c>
      <c r="K28" s="47"/>
      <c r="L28" s="14"/>
      <c r="M28" s="12"/>
      <c r="N28" s="12"/>
      <c r="O28" s="39">
        <f>O27*20%</f>
        <v>0.28050000000000003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9">
        <v>32</v>
      </c>
      <c r="K29" s="47"/>
      <c r="L29" s="14"/>
      <c r="M29" s="12"/>
      <c r="N29" s="12"/>
      <c r="O29" s="46">
        <f>O27+O28</f>
        <v>1.6830000000000001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9">
        <v>55</v>
      </c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>
        <f>SUM(J28:J30)</f>
        <v>119</v>
      </c>
      <c r="K31" s="47"/>
      <c r="L31" s="39">
        <f>O29</f>
        <v>1.6830000000000001</v>
      </c>
      <c r="M31" s="12">
        <v>3500</v>
      </c>
      <c r="N31" s="12">
        <f t="shared" ref="N31:N36" si="6">L31*M31</f>
        <v>5890.5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0.4</v>
      </c>
      <c r="M32" s="12">
        <v>25000</v>
      </c>
      <c r="N32" s="12">
        <f t="shared" si="6"/>
        <v>10000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43000</v>
      </c>
      <c r="N33" s="12">
        <f t="shared" si="6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8"/>
      <c r="K34" s="250"/>
      <c r="L34" s="14">
        <v>1</v>
      </c>
      <c r="M34" s="250">
        <v>30500</v>
      </c>
      <c r="N34" s="12">
        <f t="shared" si="6"/>
        <v>30500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8"/>
      <c r="K35" s="250"/>
      <c r="L35" s="249"/>
      <c r="M35" s="250">
        <v>800</v>
      </c>
      <c r="N35" s="12">
        <f t="shared" si="6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6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46390.5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36110</v>
      </c>
      <c r="K38" s="250"/>
      <c r="L38" s="254" t="s">
        <v>35</v>
      </c>
      <c r="M38" s="12"/>
      <c r="N38" s="255">
        <f>N37*2.2</f>
        <v>102059.1</v>
      </c>
      <c r="O38" s="14" t="s">
        <v>142</v>
      </c>
      <c r="P38" s="14"/>
      <c r="Q38" s="46">
        <f>O27/Q37</f>
        <v>0.37815465918895602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30344.537815126052</v>
      </c>
      <c r="K39" s="250"/>
      <c r="L39" s="14"/>
      <c r="M39" s="12"/>
      <c r="N39" s="12">
        <f>N38/O27</f>
        <v>72769.411764705888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0.3678688524590164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45411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10941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-45610.570866787435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349109</v>
      </c>
      <c r="E11" s="132">
        <f>D11*0.19</f>
        <v>66330.710000000006</v>
      </c>
      <c r="F11" s="131">
        <f>E11+D11</f>
        <v>415439.71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60379.429133212565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45724.590787439614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42379.429133212565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303384.40921256039</v>
      </c>
      <c r="E13" s="221">
        <f>(D11/D12)-1</f>
        <v>6.6350382581422469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33379.429133212565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-5620.5708667874351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75445.57479927536</v>
      </c>
      <c r="F15" s="216">
        <f>E15-D12</f>
        <v>29720.984011835746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-5620.5708667874351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34379.429133212565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5890.5</v>
      </c>
      <c r="E20" s="121">
        <f>D20*0.19</f>
        <v>1119.1949999999999</v>
      </c>
      <c r="F20" s="120">
        <f>SUM(D20:E20)</f>
        <v>7009.6949999999997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15890.5</v>
      </c>
      <c r="E21" s="116">
        <f>SUM(E18:E20)</f>
        <v>3019.1949999999997</v>
      </c>
      <c r="F21" s="115">
        <f>SUM(F18:F20)</f>
        <v>18909.695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63311.515000000007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349109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15890.5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303384.40921256039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303384.40921256039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2024-04-29T23:17:29Z</dcterms:modified>
</cp:coreProperties>
</file>