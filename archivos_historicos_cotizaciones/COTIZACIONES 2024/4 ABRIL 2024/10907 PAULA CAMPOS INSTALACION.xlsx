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BF7F3728-120C-4AEF-B678-184BCED6D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O24" i="1" s="1"/>
  <c r="M24" i="1"/>
  <c r="L24" i="1"/>
  <c r="M23" i="1"/>
  <c r="L23" i="1"/>
  <c r="N23" i="1" s="1"/>
  <c r="O23" i="1" s="1"/>
  <c r="K23" i="1"/>
  <c r="J25" i="1"/>
  <c r="H23" i="1"/>
  <c r="H22" i="1"/>
  <c r="H21" i="1"/>
  <c r="H24" i="1"/>
  <c r="H28" i="1" l="1"/>
  <c r="H29" i="1" s="1"/>
  <c r="L22" i="1"/>
  <c r="M22" i="1"/>
  <c r="N22" i="1" l="1"/>
  <c r="O22" i="1" s="1"/>
  <c r="R22" i="1"/>
  <c r="J43" i="1"/>
  <c r="L21" i="1"/>
  <c r="M21" i="1"/>
  <c r="L28" i="1" l="1"/>
  <c r="S21" i="1"/>
  <c r="R21" i="1"/>
  <c r="N21" i="1"/>
  <c r="O21" i="1" s="1"/>
  <c r="O29" i="1" s="1"/>
  <c r="U36" i="1"/>
  <c r="U37" i="1" s="1"/>
  <c r="R30" i="1" l="1"/>
  <c r="N35" i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4" i="1" l="1"/>
  <c r="Q24" i="1" s="1"/>
  <c r="P23" i="1"/>
  <c r="Q23" i="1" s="1"/>
  <c r="P22" i="1"/>
  <c r="Q22" i="1" s="1"/>
  <c r="P21" i="1"/>
  <c r="F15" i="3"/>
  <c r="Q21" i="1" l="1"/>
  <c r="H30" i="1" l="1"/>
  <c r="D11" i="3" l="1"/>
  <c r="X9" i="3" s="1"/>
  <c r="X15" i="3" s="1"/>
  <c r="E11" i="3" l="1"/>
  <c r="D40" i="3" s="1"/>
  <c r="X13" i="3"/>
  <c r="X11" i="3"/>
  <c r="X14" i="3"/>
  <c r="X16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<sst xmlns="http://schemas.openxmlformats.org/spreadsheetml/2006/main" count="245" uniqueCount="187">
  <si>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</si>
  <si>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</si>
  <si>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</si>
  <si>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</si>
  <si>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</si>
  <si>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</si>
  <si>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</si>
  <si>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</si>
  <si>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</si>
  <si>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</si>
  <si>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</si>
  <si>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</si>
  <si>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</si>
  <si>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</si>
  <si>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</si>
  <si>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</si>
  <si>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</si>
  <si>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</si>
  <si>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</si>
  <si>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</si>
  <si>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</si>
  <si>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</si>
  <si>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</si>
  <si>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</si>
  <si>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</si>
  <si>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</si>
  <si>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</si>
  <si>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</si>
  <si>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</si>
  <si>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</si>
  <si>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</si>
  <si>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</si>
  <si>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</si>
  <si>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</si>
  <si>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</si>
  <si>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</si>
  <si>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</si>
  <si>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</si>
  <si>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</si>
  <si>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</si>
  <si>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</si>
  <si>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</si>
  <si>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</si>
  <si>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</si>
  <si>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</si>
  <si>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</si>
  <si>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</si>
  <si>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</si>
  <si>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</si>
  <si>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</si>
  <si>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</si>
  <si>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</si>
  <si>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</si>
  <si>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</si>
  <si>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</si>
  <si>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</si>
  <si>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</si>
  <si>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</si>
  <si>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</si>
  <si>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</si>
  <si>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</si>
  <si>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</si>
  <si>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</si>
  <si>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</si>
  <si>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</si>
  <si>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</si>
  <si>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</si>
  <si>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</si>
  <si>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</si>
  <si>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</si>
  <si>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</si>
  <si>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</si>
  <si>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</si>
  <si>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</si>
  <si>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</si>
  <si>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</si>
  <si>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</si>
  <si>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</si>
  <si>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</si>
  <si>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</si>
  <si>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</si>
  <si>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</si>
  <si>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</si>
  <si>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</si>
  <si>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</si>
  <si>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</si>
  <si>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</si>
  <si>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</si>
  <si>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</si>
  <si>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</si>
  <si>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</si>
  <si>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</si>
  <si>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</si>
  <si>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</si>
  <si>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</si>
  <si>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</si>
  <si>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</si>
  <si>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</si>
  <si>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</si>
  <si>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</si>
  <si>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</si>
  <si>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</si>
  <si>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</si>
  <si>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</si>
  <si>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</si>
  <si>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</si>
  <si>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</si>
  <si>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</si>
  <si>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</si>
  <si>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</si>
  <si>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</si>
  <si>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</si>
  <si>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</si>
  <si>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</si>
  <si>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</si>
  <si>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</si>
  <si>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</si>
  <si>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</si>
  <si>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</si>
  <si>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</si>
  <si>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</si>
  <si>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</si>
  <si>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</si>
  <si>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</si>
  <si>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</si>
  <si>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</si>
  <si>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</si>
  <si>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</si>
  <si>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</si>
  <si>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</si>
  <si>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</si>
  <si>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</si>
  <si>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</si>
  <si>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</si>
  <si>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</si>
  <si>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</si>
  <si>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</si>
  <si>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</si>
  <si>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</si>
  <si>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</si>
  <si>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</si>
  <si>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</si>
  <si>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</si>
  <si>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</si>
  <si>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</si>
  <si>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</si>
  <si>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</si>
  <si>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</si>
  <si>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</si>
  <si>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</si>
  <si>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</si>
  <si>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</si>
  <si>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</si>
  <si>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</si>
  <si>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</si>
  <si>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</si>
  <si>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</si>
  <si>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</si>
  <si>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</si>
  <si>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</si>
  <si>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</si>
  <si>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</si>
  <si>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</si>
  <si>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</si>
  <si>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</si>
  <si>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</si>
  <si>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SERVICIO DE INSTALACION</t>
  </si>
  <si>
    <t>PRESUPUESTO NO INCLUYE:</t>
  </si>
  <si>
    <t> Servicios o provisiones que no estén expresamente identificados en el presupuesto aprobado.</t>
  </si>
  <si>
    <t>(CUALQUIER MATERIAL QUE NO ESTÉ CONSIDERADO EN EL PRESUPUESTO SERÁ COBRADO COMO ADICIONAL)</t>
  </si>
  <si>
    <t>CONDICIONES PARA LA INSTALACIÓN:</t>
  </si>
  <si>
    <t>CONDICIONES DE PAGO:</t>
  </si>
  <si>
    <t> 50% Inicio de trabajos (al aceptar el presupuesto)</t>
  </si>
  <si>
    <t> Saldo contra entrega (el cliente debe hacer el pago restante en su totalidad una vez recepcionado los</t>
  </si>
  <si>
    <t>trabajos; posterior a ello los técnicos proceden a retirarse de la propiedad)</t>
  </si>
  <si>
    <t> Desinstalación de cubiertas existenes.</t>
  </si>
  <si>
    <t> Al momento de la instalación el área de trabajo debe estar despejada</t>
  </si>
  <si>
    <t>CUENTA CORRIENTE BANCO SANTANDER Nº 87316181 A NOMBRE DE MUEBLES SANTA FE SPA</t>
  </si>
  <si>
    <t>Plazo de entrega: 10 días hábiles una vez recibido el abono</t>
  </si>
  <si>
    <t> Retiro de cubiertas y servicio de gasfiteria</t>
  </si>
  <si>
    <t>BLANCO OPACO</t>
  </si>
  <si>
    <t xml:space="preserve">SI </t>
  </si>
  <si>
    <t>SI</t>
  </si>
  <si>
    <t>CUB CON RESPALDO R2</t>
  </si>
  <si>
    <t>N° 10907</t>
  </si>
  <si>
    <t>7 DIAS HABILES</t>
  </si>
  <si>
    <t>PAULA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</si>
</sst>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color rgb="FFFF0000"/>
      <name val="Calibri"/>
      <family val="2"/>
      <scheme val="minor"/>
    </font>
    <font>
      <b/>
      <u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2" applyNumberFormat="1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0" fontId="22" fillId="20" borderId="3" xfId="0" applyFont="1" applyFill="1" applyBorder="1" applyAlignment="1">
      <alignment horizontal="center"/>
    </xf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4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0" fillId="20" borderId="25" xfId="0" applyFont="1" applyFill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4" fillId="21" borderId="47" xfId="0" applyFont="1" applyFill="1" applyBorder="1" applyAlignment="1">
      <alignment horizontal="left" vertical="center"/>
    </xf>
    <xf numFmtId="0" fontId="0" fillId="21" borderId="46" xfId="0" applyFill="1" applyBorder="1"/>
    <xf numFmtId="0" fontId="0" fillId="21" borderId="53" xfId="0" applyFill="1" applyBorder="1"/>
    <xf numFmtId="0" fontId="0" fillId="21" borderId="0" xfId="0" applyFill="1"/>
    <xf numFmtId="0" fontId="0" fillId="21" borderId="55" xfId="0" applyFill="1" applyBorder="1"/>
    <xf numFmtId="0" fontId="5" fillId="21" borderId="44" xfId="0" applyFont="1" applyFill="1" applyBorder="1"/>
    <xf numFmtId="0" fontId="0" fillId="21" borderId="37" xfId="0" applyFill="1" applyBorder="1"/>
    <xf numFmtId="0" fontId="10" fillId="21" borderId="37" xfId="3" applyFont="1" applyFill="1" applyBorder="1" applyAlignment="1">
      <alignment vertical="center"/>
    </xf>
    <xf numFmtId="0" fontId="0" fillId="21" borderId="56" xfId="0" applyFill="1" applyBorder="1"/>
    <xf numFmtId="0" fontId="23" fillId="0" borderId="0" xfId="0" applyFont="1"/>
    <xf numFmtId="0" fontId="35" fillId="21" borderId="54" xfId="0" applyFont="1" applyFill="1" applyBorder="1" applyAlignment="1">
      <alignment horizontal="left" vertical="center"/>
    </xf>
    <xf numFmtId="0" fontId="20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6" fontId="31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27</xdr:row>
      <xdr:rowOff>17718</xdr:rowOff>
    </xdr:from>
    <xdr:to>
      <xdr:col>5</xdr:col>
      <xdr:colOff>1747274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302557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45</xdr:row>
      <xdr:rowOff>83267</xdr:rowOff>
    </xdr:from>
    <xdr:to>
      <xdr:col>24</xdr:col>
      <xdr:colOff>8194</xdr:colOff>
      <xdr:row>50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5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2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5" t="s">
        <v>127</v>
      </c>
      <c r="C8" s="296"/>
      <c r="D8" s="297" t="s">
        <v>184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3" t="s">
        <v>161</v>
      </c>
      <c r="C10" s="273" t="s">
        <v>186</v>
      </c>
      <c r="D10" s="238"/>
      <c r="E10" s="238"/>
      <c r="F10" s="239" t="s">
        <v>0</v>
      </c>
      <c r="G10" s="271">
        <v>45391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2" t="s">
        <v>12</v>
      </c>
      <c r="C11" s="306"/>
      <c r="F11" t="s">
        <v>124</v>
      </c>
      <c r="G11" s="283" t="s">
        <v>185</v>
      </c>
      <c r="H11" s="284"/>
      <c r="P11" s="19"/>
      <c r="Q11" s="24" t="s">
        <v>19</v>
      </c>
      <c r="R11" s="19"/>
    </row>
    <row r="12" spans="2:23" ht="16.8" x14ac:dyDescent="0.4">
      <c r="B12" s="241" t="s">
        <v>146</v>
      </c>
      <c r="C12" s="306"/>
      <c r="D12" s="242"/>
      <c r="E12" s="242"/>
      <c r="F12" s="242" t="s">
        <v>128</v>
      </c>
      <c r="G12" s="272" t="s">
        <v>136</v>
      </c>
      <c r="H12" s="243"/>
      <c r="P12" s="19"/>
      <c r="Q12" s="24"/>
      <c r="R12" s="19"/>
    </row>
    <row r="13" spans="2:23" x14ac:dyDescent="0.3">
      <c r="B13" s="241" t="s">
        <v>147</v>
      </c>
      <c r="D13" s="242"/>
      <c r="E13" s="242"/>
      <c r="F13" s="242"/>
      <c r="G13" s="272"/>
      <c r="H13" s="243"/>
      <c r="P13" s="19"/>
      <c r="Q13" s="24"/>
      <c r="R13" s="19"/>
    </row>
    <row r="14" spans="2:23" x14ac:dyDescent="0.3">
      <c r="B14" s="282" t="s">
        <v>140</v>
      </c>
      <c r="C14" s="301"/>
      <c r="F14" s="28" t="s">
        <v>137</v>
      </c>
      <c r="G14" s="285" t="s">
        <v>181</v>
      </c>
      <c r="H14" s="284"/>
      <c r="J14" s="28"/>
      <c r="P14" s="20"/>
      <c r="Q14" s="25" t="s">
        <v>18</v>
      </c>
      <c r="R14" s="20"/>
    </row>
    <row r="15" spans="2:23" ht="15.6" x14ac:dyDescent="0.3">
      <c r="B15" s="241" t="s">
        <v>4</v>
      </c>
      <c r="C15" s="330"/>
      <c r="D15" s="289"/>
      <c r="E15" s="242"/>
      <c r="F15" s="242" t="s">
        <v>135</v>
      </c>
      <c r="G15" s="290" t="s">
        <v>182</v>
      </c>
      <c r="H15" s="243"/>
    </row>
    <row r="16" spans="2:23" ht="16.8" x14ac:dyDescent="0.4">
      <c r="B16" s="286" t="s">
        <v>3</v>
      </c>
      <c r="C16" s="306"/>
      <c r="F16" s="287" t="s">
        <v>130</v>
      </c>
      <c r="G16" s="288" t="s">
        <v>162</v>
      </c>
      <c r="H16" s="284"/>
    </row>
    <row r="17" spans="2:24" ht="15" thickBot="1" x14ac:dyDescent="0.35">
      <c r="B17" s="291" t="s">
        <v>13</v>
      </c>
      <c r="C17" s="292" t="s">
        <v>165</v>
      </c>
      <c r="D17" s="293"/>
      <c r="E17" s="294"/>
      <c r="F17" s="341" t="s">
        <v>164</v>
      </c>
      <c r="G17" s="341"/>
      <c r="H17" s="342"/>
      <c r="I17" s="258"/>
      <c r="S17" s="6"/>
      <c r="T17" s="6"/>
    </row>
    <row r="18" spans="2:24" ht="15.75" customHeight="1" thickBot="1" x14ac:dyDescent="0.35">
      <c r="I18" s="46"/>
      <c r="J18" s="5"/>
      <c r="U18" s="9"/>
      <c r="W18" s="6"/>
      <c r="X18" s="6"/>
    </row>
    <row r="19" spans="2:24" ht="13.5" customHeight="1" x14ac:dyDescent="0.3">
      <c r="B19" s="343" t="s">
        <v>148</v>
      </c>
      <c r="C19" s="344"/>
      <c r="D19" s="344"/>
      <c r="E19" s="344"/>
      <c r="F19" s="344"/>
      <c r="G19" s="344"/>
      <c r="H19" s="345"/>
      <c r="I19" s="259"/>
      <c r="J19" s="5"/>
      <c r="K19" s="245"/>
      <c r="L19" s="14">
        <v>0.05</v>
      </c>
      <c r="M19" s="14"/>
      <c r="N19" s="14"/>
      <c r="O19" s="246" t="s">
        <v>6</v>
      </c>
      <c r="P19" s="35" t="s">
        <v>21</v>
      </c>
      <c r="Q19" s="36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0"/>
      <c r="J20" s="46"/>
      <c r="K20" s="263" t="str">
        <f>B20</f>
        <v>UNIDAD</v>
      </c>
      <c r="L20" s="262" t="s">
        <v>132</v>
      </c>
      <c r="M20" s="38" t="str">
        <f t="shared" ref="M20" si="0">E20</f>
        <v>ANCHO</v>
      </c>
      <c r="N20" s="256" t="s">
        <v>133</v>
      </c>
      <c r="O20" s="254" t="s">
        <v>17</v>
      </c>
      <c r="P20" s="247">
        <f>N42</f>
        <v>82261.010101010092</v>
      </c>
      <c r="Q20" s="253">
        <v>5000</v>
      </c>
      <c r="R20" s="37"/>
      <c r="S20" s="14" t="s">
        <v>129</v>
      </c>
      <c r="T20" s="9"/>
      <c r="W20" s="4"/>
    </row>
    <row r="21" spans="2:24" ht="18" thickBot="1" x14ac:dyDescent="0.35">
      <c r="B21" s="336">
        <v>1</v>
      </c>
      <c r="C21" s="337" t="s">
        <v>183</v>
      </c>
      <c r="D21" s="338">
        <v>2.63</v>
      </c>
      <c r="E21" s="338">
        <v>0.52</v>
      </c>
      <c r="F21" s="337" t="s">
        <v>180</v>
      </c>
      <c r="G21" s="339">
        <v>117848</v>
      </c>
      <c r="H21" s="340">
        <f t="shared" ref="H21:H22" si="1">G21*B21</f>
        <v>117848</v>
      </c>
      <c r="I21" s="260"/>
      <c r="J21" s="46"/>
      <c r="K21" s="46"/>
      <c r="L21" s="38">
        <f t="shared" ref="L21" si="2">D21+L$19</f>
        <v>2.6799999999999997</v>
      </c>
      <c r="M21" s="38">
        <f t="shared" ref="M21" si="3">E21+M$19</f>
        <v>0.52</v>
      </c>
      <c r="N21" s="256">
        <f t="shared" ref="N21" si="4">L21*M21</f>
        <v>1.3935999999999999</v>
      </c>
      <c r="O21" s="254">
        <f t="shared" ref="O21" si="5">N21*K21</f>
        <v>0</v>
      </c>
      <c r="P21" s="247">
        <f t="shared" ref="P21" si="6">P$20*N21</f>
        <v>114638.94367676765</v>
      </c>
      <c r="Q21" s="253">
        <f t="shared" ref="Q21" si="7">P21+Q$20</f>
        <v>119638.94367676765</v>
      </c>
      <c r="R21" s="303">
        <f>L21*K21*2</f>
        <v>0</v>
      </c>
      <c r="S21" s="45">
        <f>M21*K21*2</f>
        <v>0</v>
      </c>
      <c r="T21" s="9"/>
      <c r="W21" s="4"/>
    </row>
    <row r="22" spans="2:24" ht="18" thickBot="1" x14ac:dyDescent="0.35">
      <c r="B22" s="336">
        <v>1</v>
      </c>
      <c r="C22" s="337" t="s">
        <v>183</v>
      </c>
      <c r="D22" s="338">
        <v>2.2799999999999998</v>
      </c>
      <c r="E22" s="338">
        <v>0.52</v>
      </c>
      <c r="F22" s="337" t="s">
        <v>180</v>
      </c>
      <c r="G22" s="339">
        <v>102849</v>
      </c>
      <c r="H22" s="340">
        <f t="shared" si="1"/>
        <v>102849</v>
      </c>
      <c r="I22" s="260"/>
      <c r="J22" s="46"/>
      <c r="K22" s="46"/>
      <c r="L22" s="38">
        <f t="shared" ref="L22" si="8">D22+L$19</f>
        <v>2.3299999999999996</v>
      </c>
      <c r="M22" s="38">
        <f t="shared" ref="M22" si="9">E22+M$19</f>
        <v>0.52</v>
      </c>
      <c r="N22" s="256">
        <f t="shared" ref="N22" si="10">L22*M22</f>
        <v>1.2115999999999998</v>
      </c>
      <c r="O22" s="254">
        <f t="shared" ref="O22" si="11">N22*K22</f>
        <v>0</v>
      </c>
      <c r="P22" s="247">
        <f t="shared" ref="P22" si="12">P$20*N22</f>
        <v>99667.439838383812</v>
      </c>
      <c r="Q22" s="253">
        <f t="shared" ref="Q22" si="13">P22+Q$20</f>
        <v>104667.43983838381</v>
      </c>
      <c r="R22" s="303">
        <f t="shared" ref="R22" si="14">L22*K22*2</f>
        <v>0</v>
      </c>
      <c r="S22" s="45"/>
      <c r="T22" s="9"/>
      <c r="W22" s="4"/>
    </row>
    <row r="23" spans="2:24" ht="18" thickBot="1" x14ac:dyDescent="0.35">
      <c r="B23" s="336">
        <v>1</v>
      </c>
      <c r="C23" s="337" t="s">
        <v>183</v>
      </c>
      <c r="D23" s="338">
        <v>1.27</v>
      </c>
      <c r="E23" s="338">
        <v>0.6</v>
      </c>
      <c r="F23" s="337" t="s">
        <v>180</v>
      </c>
      <c r="G23" s="339">
        <v>70151</v>
      </c>
      <c r="H23" s="340">
        <f t="shared" ref="H23" si="15">G23*B23</f>
        <v>70151</v>
      </c>
      <c r="I23" s="260"/>
      <c r="J23" s="46">
        <v>45000</v>
      </c>
      <c r="K23" s="46">
        <f>B23</f>
        <v>1</v>
      </c>
      <c r="L23" s="38">
        <f t="shared" ref="L23:L24" si="16">D23+L$19</f>
        <v>1.32</v>
      </c>
      <c r="M23" s="38">
        <f t="shared" ref="M23:M24" si="17">E23+M$19</f>
        <v>0.6</v>
      </c>
      <c r="N23" s="256">
        <f t="shared" ref="N23:N24" si="18">L23*M23</f>
        <v>0.79200000000000004</v>
      </c>
      <c r="O23" s="254">
        <f t="shared" ref="O23:O24" si="19">N23*K23</f>
        <v>0.79200000000000004</v>
      </c>
      <c r="P23" s="247">
        <f t="shared" ref="P23:P24" si="20">P$20*N23</f>
        <v>65150.719999999994</v>
      </c>
      <c r="Q23" s="253">
        <f t="shared" ref="Q23:Q24" si="21">P23+Q$20</f>
        <v>70150.720000000001</v>
      </c>
      <c r="R23" s="303"/>
      <c r="S23" s="45"/>
      <c r="T23" s="9"/>
      <c r="W23" s="4"/>
    </row>
    <row r="24" spans="2:24" ht="18" thickBot="1" x14ac:dyDescent="0.35">
      <c r="B24" s="331">
        <v>1</v>
      </c>
      <c r="C24" s="332" t="s">
        <v>166</v>
      </c>
      <c r="D24" s="333"/>
      <c r="E24" s="333"/>
      <c r="F24" s="332"/>
      <c r="G24" s="334">
        <v>150000</v>
      </c>
      <c r="H24" s="335">
        <f t="shared" ref="H24" si="22">G24*B24</f>
        <v>150000</v>
      </c>
      <c r="I24" s="260"/>
      <c r="J24" s="46">
        <v>1.3</v>
      </c>
      <c r="K24" s="46"/>
      <c r="L24" s="38">
        <f t="shared" si="16"/>
        <v>0.05</v>
      </c>
      <c r="M24" s="38">
        <f t="shared" si="17"/>
        <v>0</v>
      </c>
      <c r="N24" s="256">
        <f t="shared" si="18"/>
        <v>0</v>
      </c>
      <c r="O24" s="254">
        <f t="shared" si="19"/>
        <v>0</v>
      </c>
      <c r="P24" s="247">
        <f t="shared" si="20"/>
        <v>0</v>
      </c>
      <c r="Q24" s="253">
        <f t="shared" si="21"/>
        <v>5000</v>
      </c>
      <c r="R24" s="303"/>
      <c r="S24" s="45"/>
      <c r="T24" s="9"/>
      <c r="W24" s="4"/>
    </row>
    <row r="25" spans="2:24" ht="17.399999999999999" x14ac:dyDescent="0.3">
      <c r="B25" s="280"/>
      <c r="C25" s="280"/>
      <c r="D25" s="281"/>
      <c r="E25" s="281"/>
      <c r="F25" s="280"/>
      <c r="G25" s="329"/>
      <c r="H25" s="329"/>
      <c r="I25" s="260"/>
      <c r="J25" s="46">
        <f>J23*J24</f>
        <v>58500</v>
      </c>
      <c r="K25" s="46"/>
      <c r="L25" s="38"/>
      <c r="M25" s="38"/>
      <c r="N25" s="256"/>
      <c r="O25" s="254"/>
      <c r="P25" s="247"/>
      <c r="Q25" s="253"/>
      <c r="R25" s="303"/>
      <c r="S25" s="45"/>
      <c r="T25" s="9"/>
      <c r="W25" s="4"/>
    </row>
    <row r="26" spans="2:24" ht="17.399999999999999" x14ac:dyDescent="0.3">
      <c r="B26" s="280"/>
      <c r="C26" s="280"/>
      <c r="D26" s="281"/>
      <c r="E26" s="281"/>
      <c r="F26" s="280"/>
      <c r="G26" s="329"/>
      <c r="H26" s="329"/>
      <c r="I26" s="260"/>
      <c r="J26" s="46"/>
      <c r="K26" s="46"/>
      <c r="L26" s="38"/>
      <c r="M26" s="38"/>
      <c r="N26" s="256"/>
      <c r="O26" s="254"/>
      <c r="P26" s="247"/>
      <c r="Q26" s="253"/>
      <c r="R26" s="303"/>
      <c r="S26" s="45"/>
      <c r="T26" s="9"/>
      <c r="W26" s="4"/>
    </row>
    <row r="27" spans="2:24" ht="18" thickBot="1" x14ac:dyDescent="0.35">
      <c r="B27" s="280"/>
      <c r="C27" s="280"/>
      <c r="D27" s="281"/>
      <c r="E27" s="281"/>
      <c r="F27" s="280"/>
      <c r="G27" s="260"/>
      <c r="H27" s="232"/>
      <c r="I27" s="232"/>
      <c r="J27" s="46"/>
      <c r="K27" s="46"/>
      <c r="L27" s="38"/>
      <c r="M27" s="38"/>
      <c r="N27" s="256"/>
      <c r="O27" s="254"/>
      <c r="P27" s="247"/>
      <c r="Q27" s="253"/>
      <c r="R27" s="303"/>
      <c r="S27" s="14"/>
      <c r="T27" s="9"/>
      <c r="W27" s="4"/>
    </row>
    <row r="28" spans="2:24" ht="17.399999999999999" x14ac:dyDescent="0.3">
      <c r="B28" s="280"/>
      <c r="C28" s="280"/>
      <c r="D28" s="281"/>
      <c r="E28" s="281"/>
      <c r="F28" s="280"/>
      <c r="G28" s="304" t="s">
        <v>29</v>
      </c>
      <c r="H28" s="305">
        <f>SUM(H21:H27)</f>
        <v>440848</v>
      </c>
      <c r="I28" s="260"/>
      <c r="J28" s="46"/>
      <c r="K28" s="46"/>
      <c r="L28" s="38">
        <f>SUM(L21:L27)</f>
        <v>6.38</v>
      </c>
      <c r="M28" s="38"/>
      <c r="N28" s="256"/>
      <c r="O28" s="254"/>
      <c r="P28" s="247"/>
      <c r="Q28" s="253"/>
      <c r="R28" s="303"/>
      <c r="S28" s="14"/>
      <c r="T28" s="9"/>
      <c r="W28" s="4"/>
    </row>
    <row r="29" spans="2:24" ht="17.399999999999999" x14ac:dyDescent="0.3">
      <c r="B29" s="274"/>
      <c r="C29" s="277"/>
      <c r="D29" s="278"/>
      <c r="E29" s="278"/>
      <c r="F29" s="279"/>
      <c r="G29" s="302" t="s">
        <v>52</v>
      </c>
      <c r="H29" s="299">
        <f>H28*19%</f>
        <v>83761.119999999995</v>
      </c>
      <c r="I29" s="260"/>
      <c r="J29" s="46"/>
      <c r="K29" s="46"/>
      <c r="L29" s="38"/>
      <c r="M29" s="12"/>
      <c r="N29" s="12"/>
      <c r="O29" s="248">
        <f>SUM(O21:O23)</f>
        <v>0.79200000000000004</v>
      </c>
      <c r="P29" s="14"/>
      <c r="Q29" s="12"/>
      <c r="R29" s="234"/>
      <c r="S29" s="14"/>
      <c r="T29" s="9"/>
      <c r="W29" s="4"/>
    </row>
    <row r="30" spans="2:24" ht="18" thickBot="1" x14ac:dyDescent="0.35">
      <c r="B30" s="270"/>
      <c r="C30" s="276"/>
      <c r="D30" s="266"/>
      <c r="E30" s="266"/>
      <c r="F30" s="267"/>
      <c r="G30" s="275" t="s">
        <v>6</v>
      </c>
      <c r="H30" s="300">
        <f>H28+H29</f>
        <v>524609.12</v>
      </c>
      <c r="I30" s="260"/>
      <c r="J30" s="46"/>
      <c r="K30" s="46"/>
      <c r="L30" s="38"/>
      <c r="M30" s="12"/>
      <c r="N30" s="12"/>
      <c r="O30" s="248">
        <f>O29</f>
        <v>0.79200000000000004</v>
      </c>
      <c r="P30" s="14"/>
      <c r="Q30" s="12"/>
      <c r="R30" s="234">
        <f>SUM(R21:R29)</f>
        <v>0</v>
      </c>
      <c r="S30" s="14"/>
      <c r="T30" s="9"/>
      <c r="W30" s="4"/>
    </row>
    <row r="31" spans="2:24" ht="17.399999999999999" x14ac:dyDescent="0.3">
      <c r="B31" s="270"/>
      <c r="C31" s="265"/>
      <c r="D31" s="266"/>
      <c r="E31" s="266"/>
      <c r="F31" s="267"/>
      <c r="I31" s="260"/>
      <c r="J31" s="46"/>
      <c r="K31" s="46"/>
      <c r="L31" s="14"/>
      <c r="M31" s="12"/>
      <c r="N31" s="12"/>
      <c r="O31" s="38">
        <f>O30*20%</f>
        <v>0.15840000000000001</v>
      </c>
      <c r="P31" s="38" t="s">
        <v>131</v>
      </c>
      <c r="Q31" s="41"/>
      <c r="R31" s="235"/>
      <c r="S31" s="14"/>
      <c r="T31" s="9"/>
      <c r="W31" s="4"/>
    </row>
    <row r="32" spans="2:24" ht="17.399999999999999" x14ac:dyDescent="0.35">
      <c r="B32" s="328" t="s">
        <v>167</v>
      </c>
      <c r="C32" s="229"/>
      <c r="D32" s="229"/>
      <c r="E32" s="229"/>
      <c r="F32" s="229"/>
      <c r="G32" s="268"/>
      <c r="H32" s="269"/>
      <c r="I32" s="260"/>
      <c r="J32" s="46"/>
      <c r="K32" s="46"/>
      <c r="L32" s="14"/>
      <c r="M32" s="12"/>
      <c r="N32" s="12"/>
      <c r="O32" s="45">
        <f>O30+O31</f>
        <v>0.95040000000000002</v>
      </c>
      <c r="P32" s="14"/>
      <c r="Q32" s="14"/>
      <c r="R32" s="233">
        <v>40</v>
      </c>
      <c r="S32" s="14"/>
      <c r="T32" s="9"/>
      <c r="W32" s="4"/>
    </row>
    <row r="33" spans="2:23" ht="17.399999999999999" x14ac:dyDescent="0.35">
      <c r="B33" s="229" t="s">
        <v>175</v>
      </c>
      <c r="C33" s="229"/>
      <c r="D33" s="229"/>
      <c r="E33" s="229"/>
      <c r="F33" s="229"/>
      <c r="G33" s="229"/>
      <c r="H33" s="269"/>
      <c r="I33" s="260"/>
      <c r="J33" s="46"/>
      <c r="K33" s="46"/>
      <c r="L33" s="14"/>
      <c r="M33" s="14"/>
      <c r="N33" s="14"/>
      <c r="O33" s="14"/>
      <c r="P33" s="14"/>
      <c r="Q33" s="14"/>
      <c r="R33" s="233"/>
      <c r="S33" s="14"/>
      <c r="T33" s="310" t="s">
        <v>22</v>
      </c>
      <c r="U33" s="307" t="s">
        <v>151</v>
      </c>
      <c r="V33" s="311">
        <v>44971</v>
      </c>
      <c r="W33" s="312"/>
    </row>
    <row r="34" spans="2:23" ht="17.399999999999999" x14ac:dyDescent="0.35">
      <c r="B34" s="229" t="s">
        <v>179</v>
      </c>
      <c r="C34" s="229"/>
      <c r="D34" s="229"/>
      <c r="E34" s="229"/>
      <c r="F34" s="229"/>
      <c r="G34" s="229"/>
      <c r="I34" s="260"/>
      <c r="J34" s="46"/>
      <c r="K34" s="46"/>
      <c r="L34" s="38">
        <f>O32</f>
        <v>0.95040000000000002</v>
      </c>
      <c r="M34" s="12">
        <v>3500</v>
      </c>
      <c r="N34" s="12">
        <f t="shared" ref="N34:N39" si="23">L34*M34</f>
        <v>3326.4</v>
      </c>
      <c r="O34" s="14" t="s">
        <v>22</v>
      </c>
      <c r="P34" s="14"/>
      <c r="Q34" s="14"/>
      <c r="R34" s="236"/>
      <c r="S34" s="14"/>
      <c r="T34" s="310" t="s">
        <v>152</v>
      </c>
      <c r="U34" s="307">
        <v>3625</v>
      </c>
      <c r="V34" s="58" t="s">
        <v>153</v>
      </c>
      <c r="W34" s="312"/>
    </row>
    <row r="35" spans="2:23" ht="17.399999999999999" x14ac:dyDescent="0.35">
      <c r="B35" t="s">
        <v>168</v>
      </c>
      <c r="C35" s="227"/>
      <c r="D35" s="229"/>
      <c r="E35" s="229"/>
      <c r="F35" s="229"/>
      <c r="G35" s="229"/>
      <c r="I35" s="260"/>
      <c r="J35" s="46"/>
      <c r="K35" s="46"/>
      <c r="L35" s="244">
        <v>0.3</v>
      </c>
      <c r="M35" s="12">
        <v>25000</v>
      </c>
      <c r="N35" s="12">
        <f t="shared" si="23"/>
        <v>7500</v>
      </c>
      <c r="O35" s="38" t="s">
        <v>32</v>
      </c>
      <c r="P35" s="41"/>
      <c r="Q35" s="14"/>
      <c r="R35" s="235"/>
      <c r="S35" s="14"/>
      <c r="T35" s="310"/>
      <c r="U35" s="58">
        <v>906.25</v>
      </c>
      <c r="V35" s="58" t="s">
        <v>154</v>
      </c>
      <c r="W35" s="312"/>
    </row>
    <row r="36" spans="2:23" s="229" customFormat="1" ht="17.399999999999999" x14ac:dyDescent="0.35">
      <c r="B36" t="s">
        <v>169</v>
      </c>
      <c r="C36"/>
      <c r="D36" s="22"/>
      <c r="E36" s="22"/>
      <c r="F36" s="21"/>
      <c r="I36" s="257"/>
      <c r="J36" s="231"/>
      <c r="K36" s="245"/>
      <c r="L36" s="14"/>
      <c r="M36" s="245">
        <v>46500</v>
      </c>
      <c r="N36" s="12">
        <f t="shared" si="23"/>
        <v>0</v>
      </c>
      <c r="O36" s="38" t="s">
        <v>31</v>
      </c>
      <c r="P36" s="41"/>
      <c r="R36" s="235"/>
      <c r="S36" s="251"/>
      <c r="T36" s="58"/>
      <c r="U36" s="58">
        <f>U35*20%</f>
        <v>181.25</v>
      </c>
      <c r="V36" s="312" t="s">
        <v>155</v>
      </c>
      <c r="W36" s="58"/>
    </row>
    <row r="37" spans="2:23" s="229" customFormat="1" ht="17.399999999999999" x14ac:dyDescent="0.35">
      <c r="B37" s="74" t="s">
        <v>170</v>
      </c>
      <c r="C37"/>
      <c r="D37"/>
      <c r="E37"/>
      <c r="F37"/>
      <c r="I37" s="257"/>
      <c r="J37" s="231"/>
      <c r="K37" s="245"/>
      <c r="L37" s="14">
        <v>0.5</v>
      </c>
      <c r="M37" s="245">
        <v>35000</v>
      </c>
      <c r="N37" s="12">
        <f t="shared" si="23"/>
        <v>17500</v>
      </c>
      <c r="O37" s="14" t="s">
        <v>142</v>
      </c>
      <c r="P37" s="17"/>
      <c r="R37" s="233"/>
      <c r="S37" s="251"/>
      <c r="T37" s="58"/>
      <c r="U37" s="58">
        <f>U35+U36</f>
        <v>1087.5</v>
      </c>
      <c r="V37" s="312" t="s">
        <v>156</v>
      </c>
      <c r="W37" s="58"/>
    </row>
    <row r="38" spans="2:23" s="229" customFormat="1" ht="17.399999999999999" x14ac:dyDescent="0.35">
      <c r="B38" t="s">
        <v>176</v>
      </c>
      <c r="C38"/>
      <c r="D38"/>
      <c r="E38"/>
      <c r="F38"/>
      <c r="I38" s="257"/>
      <c r="K38" s="245"/>
      <c r="L38" s="244"/>
      <c r="M38" s="245">
        <v>300</v>
      </c>
      <c r="N38" s="12">
        <f t="shared" si="23"/>
        <v>0</v>
      </c>
      <c r="O38" s="14" t="s">
        <v>33</v>
      </c>
      <c r="P38" s="14"/>
      <c r="Q38" s="229">
        <v>1.52</v>
      </c>
      <c r="R38" s="233"/>
      <c r="S38" s="233"/>
    </row>
    <row r="39" spans="2:23" s="229" customFormat="1" ht="17.399999999999999" x14ac:dyDescent="0.35">
      <c r="D39"/>
      <c r="E39"/>
      <c r="F39"/>
      <c r="I39" s="298"/>
      <c r="K39" s="245"/>
      <c r="L39" s="261"/>
      <c r="M39" s="12">
        <v>1500</v>
      </c>
      <c r="N39" s="12">
        <f t="shared" si="23"/>
        <v>0</v>
      </c>
      <c r="O39" s="14" t="s">
        <v>23</v>
      </c>
      <c r="P39" s="14"/>
      <c r="Q39">
        <v>2.44</v>
      </c>
      <c r="R39"/>
      <c r="S39" s="233"/>
      <c r="W39" s="230"/>
    </row>
    <row r="40" spans="2:23" s="229" customFormat="1" ht="18" x14ac:dyDescent="0.35">
      <c r="B40" s="326" t="s">
        <v>171</v>
      </c>
      <c r="C40" s="326"/>
      <c r="D40"/>
      <c r="E40"/>
      <c r="F40"/>
      <c r="K40" s="245"/>
      <c r="L40" s="14"/>
      <c r="M40" s="12"/>
      <c r="N40" s="12">
        <f>SUM(N34:N39)</f>
        <v>28326.400000000001</v>
      </c>
      <c r="O40" s="38" t="s">
        <v>24</v>
      </c>
      <c r="P40" s="14"/>
      <c r="Q40">
        <f>Q38*Q39</f>
        <v>3.7088000000000001</v>
      </c>
      <c r="R40"/>
      <c r="S40" s="233"/>
      <c r="W40" s="230"/>
    </row>
    <row r="41" spans="2:23" s="229" customFormat="1" ht="17.399999999999999" x14ac:dyDescent="0.35">
      <c r="B41" t="s">
        <v>172</v>
      </c>
      <c r="C41"/>
      <c r="F41"/>
      <c r="K41" s="245"/>
      <c r="L41" s="249" t="s">
        <v>34</v>
      </c>
      <c r="M41" s="12"/>
      <c r="N41" s="250">
        <f>N40*2.3</f>
        <v>65150.720000000001</v>
      </c>
      <c r="O41" s="14" t="s">
        <v>141</v>
      </c>
      <c r="P41" s="14"/>
      <c r="Q41" s="39">
        <f>O32/Q40</f>
        <v>0.25625539257981017</v>
      </c>
      <c r="R41"/>
      <c r="S41" s="252"/>
    </row>
    <row r="42" spans="2:23" s="229" customFormat="1" ht="17.399999999999999" x14ac:dyDescent="0.35">
      <c r="B42" t="s">
        <v>173</v>
      </c>
      <c r="C42"/>
      <c r="G42"/>
      <c r="H42" s="255"/>
      <c r="I42" s="255"/>
      <c r="J42" s="229">
        <v>92280</v>
      </c>
      <c r="K42" s="245"/>
      <c r="L42" s="14"/>
      <c r="M42" s="12"/>
      <c r="N42" s="12">
        <f>N41/O30</f>
        <v>82261.010101010092</v>
      </c>
      <c r="O42" s="44" t="s">
        <v>25</v>
      </c>
      <c r="P42" s="14"/>
      <c r="Q42" s="14"/>
      <c r="R42"/>
      <c r="S42" s="233"/>
      <c r="T42" s="58" t="s">
        <v>157</v>
      </c>
      <c r="U42" s="307">
        <v>43650</v>
      </c>
    </row>
    <row r="43" spans="2:23" s="229" customFormat="1" ht="17.399999999999999" x14ac:dyDescent="0.35">
      <c r="B43" t="s">
        <v>174</v>
      </c>
      <c r="G43"/>
      <c r="H43" s="229" t="s">
        <v>163</v>
      </c>
      <c r="J43" s="229">
        <f>J42/1.19</f>
        <v>77546.218487394959</v>
      </c>
      <c r="K43" s="245"/>
      <c r="L43" s="13"/>
      <c r="M43" s="14"/>
      <c r="N43" s="17">
        <f>N41/N40</f>
        <v>2.2999999999999998</v>
      </c>
      <c r="O43" s="15"/>
      <c r="P43"/>
      <c r="Q43"/>
      <c r="R43"/>
      <c r="S43" s="233"/>
      <c r="T43" s="58" t="s">
        <v>159</v>
      </c>
      <c r="U43" s="308" t="s">
        <v>158</v>
      </c>
      <c r="V43" s="58">
        <v>2.4</v>
      </c>
    </row>
    <row r="44" spans="2:23" s="229" customFormat="1" ht="17.399999999999999" x14ac:dyDescent="0.35">
      <c r="B44" t="s">
        <v>178</v>
      </c>
      <c r="G44" s="23"/>
      <c r="K44" s="12"/>
      <c r="S44" s="233"/>
      <c r="T44" s="58" t="s">
        <v>160</v>
      </c>
      <c r="U44" s="309">
        <v>395.37</v>
      </c>
    </row>
    <row r="45" spans="2:23" s="229" customFormat="1" ht="18" thickBot="1" x14ac:dyDescent="0.4">
      <c r="B45"/>
      <c r="C45"/>
      <c r="D45"/>
      <c r="E45"/>
      <c r="G45" s="23"/>
      <c r="K45" s="12"/>
      <c r="S45" s="233"/>
      <c r="T45" s="58" t="s">
        <v>155</v>
      </c>
      <c r="U45" s="58">
        <v>474.45</v>
      </c>
    </row>
    <row r="46" spans="2:23" ht="14.4" customHeight="1" x14ac:dyDescent="0.3">
      <c r="B46" s="317" t="s">
        <v>177</v>
      </c>
      <c r="C46" s="318"/>
      <c r="D46" s="318"/>
      <c r="E46" s="319"/>
      <c r="K46" s="12"/>
      <c r="T46" s="58"/>
      <c r="U46" s="58"/>
    </row>
    <row r="47" spans="2:23" ht="15.6" x14ac:dyDescent="0.3">
      <c r="B47" s="327" t="s">
        <v>145</v>
      </c>
      <c r="C47" s="320"/>
      <c r="D47" s="320"/>
      <c r="E47" s="321"/>
      <c r="K47" s="245"/>
    </row>
    <row r="48" spans="2:23" ht="15" thickBot="1" x14ac:dyDescent="0.35">
      <c r="B48" s="322" t="s">
        <v>126</v>
      </c>
      <c r="C48" s="323"/>
      <c r="D48" s="324" t="s">
        <v>16</v>
      </c>
      <c r="E48" s="325"/>
      <c r="K48" s="245"/>
      <c r="S48" s="264"/>
    </row>
    <row r="49" spans="11:19" x14ac:dyDescent="0.3">
      <c r="K49" s="245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3"/>
      <c r="O54" s="53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2"/>
    </row>
    <row r="67" spans="3:14" x14ac:dyDescent="0.3">
      <c r="N67" s="42"/>
    </row>
    <row r="68" spans="3:14" x14ac:dyDescent="0.3">
      <c r="N68" s="6"/>
    </row>
    <row r="69" spans="3:14" x14ac:dyDescent="0.3">
      <c r="N69" s="6"/>
    </row>
    <row r="77" spans="3:14" ht="17.399999999999999" x14ac:dyDescent="0.35">
      <c r="C77" s="229"/>
      <c r="D77" s="229"/>
      <c r="E77" s="229"/>
      <c r="F77" s="229"/>
    </row>
    <row r="79" spans="3:14" x14ac:dyDescent="0.3">
      <c r="F79" s="228" t="s">
        <v>16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3" type="noConversion"/>
  <hyperlinks>
    <hyperlink ref="F79" r:id="rId1" xr:uid="{00000000-0004-0000-0000-000000000000}"/>
    <hyperlink ref="D48" r:id="rId2" xr:uid="{F6856512-39E6-4128-B029-76BA6A1BFD3A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106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45391</v>
      </c>
    </row>
    <row r="6" spans="2:31" ht="16.2" thickBot="1" x14ac:dyDescent="0.35">
      <c r="B6" s="139" t="s">
        <v>2</v>
      </c>
      <c r="C6" s="138" t="str">
        <f>'2229'!C10</f>
        <v>PAULA CAMPOS</v>
      </c>
      <c r="D6" s="137"/>
      <c r="E6" s="137"/>
      <c r="F6" s="137"/>
      <c r="N6" s="74" t="s">
        <v>105</v>
      </c>
      <c r="O6" s="74"/>
      <c r="P6" s="141" t="s">
        <v>104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47" t="s">
        <v>99</v>
      </c>
      <c r="I7" s="348"/>
      <c r="J7" s="348"/>
      <c r="K7" s="349"/>
      <c r="N7" s="74"/>
      <c r="O7" s="346" t="s">
        <v>103</v>
      </c>
      <c r="P7" s="140" t="s">
        <v>102</v>
      </c>
      <c r="Q7" s="140"/>
    </row>
    <row r="8" spans="2:31" ht="16.2" thickBot="1" x14ac:dyDescent="0.35">
      <c r="B8" s="139" t="s">
        <v>101</v>
      </c>
      <c r="C8" s="138" t="str">
        <f>'2229'!D8</f>
        <v>N° 10907</v>
      </c>
      <c r="D8" s="137"/>
      <c r="E8" s="137"/>
      <c r="F8" s="137"/>
      <c r="H8" s="181" t="s">
        <v>118</v>
      </c>
      <c r="I8" s="153" t="s">
        <v>117</v>
      </c>
      <c r="J8" s="226" t="s">
        <v>96</v>
      </c>
      <c r="K8" s="134" t="s">
        <v>6</v>
      </c>
      <c r="L8" s="133" t="s">
        <v>6</v>
      </c>
      <c r="N8" s="74"/>
      <c r="O8" s="346"/>
      <c r="P8" s="74" t="s">
        <v>100</v>
      </c>
      <c r="Q8" s="74"/>
      <c r="X8">
        <f>SUM(Q11:Q16)</f>
        <v>6</v>
      </c>
    </row>
    <row r="9" spans="2:31" ht="15" thickBot="1" x14ac:dyDescent="0.35">
      <c r="H9" s="196" t="s">
        <v>97</v>
      </c>
      <c r="I9" s="197" t="s">
        <v>116</v>
      </c>
      <c r="J9" s="182" t="s">
        <v>93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-62293.031700120773</v>
      </c>
    </row>
    <row r="10" spans="2:31" ht="16.2" thickBot="1" x14ac:dyDescent="0.35">
      <c r="D10" s="217" t="s">
        <v>29</v>
      </c>
      <c r="E10" s="218" t="s">
        <v>52</v>
      </c>
      <c r="F10" s="219" t="s">
        <v>6</v>
      </c>
      <c r="H10" s="189">
        <v>3</v>
      </c>
      <c r="I10" s="203">
        <v>350</v>
      </c>
      <c r="J10" s="200" t="s">
        <v>33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94</v>
      </c>
      <c r="D11" s="132">
        <f>'2229'!H28</f>
        <v>440848</v>
      </c>
      <c r="E11" s="131">
        <f>D11*0.19</f>
        <v>83761.119999999995</v>
      </c>
      <c r="F11" s="130">
        <f>E11+D11</f>
        <v>524609.12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36</v>
      </c>
      <c r="S11" s="50">
        <v>2.8</v>
      </c>
      <c r="T11" s="50">
        <v>0.62</v>
      </c>
      <c r="U11" s="7" t="s">
        <v>39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43696.968299879227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98</v>
      </c>
      <c r="D12" s="135">
        <f>SUM(M43:M45)</f>
        <v>40660.490787439616</v>
      </c>
      <c r="F12" s="60"/>
      <c r="H12" s="190">
        <v>0</v>
      </c>
      <c r="I12" s="173">
        <v>7500</v>
      </c>
      <c r="J12" s="149" t="s">
        <v>112</v>
      </c>
      <c r="K12" s="157">
        <f t="shared" si="0"/>
        <v>0</v>
      </c>
      <c r="L12" s="60"/>
      <c r="Q12" s="7">
        <v>1</v>
      </c>
      <c r="R12" s="7" t="s">
        <v>36</v>
      </c>
      <c r="S12" s="50">
        <v>2.2999999999999998</v>
      </c>
      <c r="T12" s="50">
        <v>0.62</v>
      </c>
      <c r="U12" s="7" t="s">
        <v>39</v>
      </c>
      <c r="V12" s="54">
        <v>87990</v>
      </c>
      <c r="W12" s="48">
        <f t="shared" si="1"/>
        <v>87990</v>
      </c>
      <c r="X12" s="175">
        <f t="shared" si="2"/>
        <v>25696.968299879227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92</v>
      </c>
      <c r="D13" s="216">
        <f>D11-D12</f>
        <v>400187.50921256037</v>
      </c>
      <c r="E13" s="220">
        <f>(D11/D12)-1</f>
        <v>9.8421711460546817</v>
      </c>
      <c r="H13" s="190">
        <v>0</v>
      </c>
      <c r="I13" s="173">
        <v>50</v>
      </c>
      <c r="J13" s="149" t="s">
        <v>113</v>
      </c>
      <c r="K13" s="157">
        <f t="shared" si="0"/>
        <v>0</v>
      </c>
      <c r="L13" s="60"/>
      <c r="Q13" s="7">
        <v>1</v>
      </c>
      <c r="R13" s="7" t="s">
        <v>36</v>
      </c>
      <c r="S13" s="50">
        <v>2.0299999999999998</v>
      </c>
      <c r="T13" s="50">
        <v>0.62</v>
      </c>
      <c r="U13" s="7" t="s">
        <v>39</v>
      </c>
      <c r="V13" s="54">
        <v>78990</v>
      </c>
      <c r="W13" s="48">
        <f t="shared" si="1"/>
        <v>78990</v>
      </c>
      <c r="X13" s="175">
        <f t="shared" si="2"/>
        <v>16696.968299879227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123</v>
      </c>
      <c r="E14" s="178" t="s">
        <v>29</v>
      </c>
      <c r="F14" s="177" t="s">
        <v>111</v>
      </c>
      <c r="H14" s="190">
        <v>0</v>
      </c>
      <c r="I14" s="173">
        <v>50</v>
      </c>
      <c r="J14" s="149" t="s">
        <v>114</v>
      </c>
      <c r="K14" s="157">
        <f t="shared" si="0"/>
        <v>0</v>
      </c>
      <c r="L14" s="60"/>
      <c r="P14" s="125"/>
      <c r="Q14" s="7">
        <v>1</v>
      </c>
      <c r="R14" s="7" t="s">
        <v>36</v>
      </c>
      <c r="S14" s="50">
        <v>1.08</v>
      </c>
      <c r="T14" s="50">
        <v>0.62</v>
      </c>
      <c r="U14" s="7" t="s">
        <v>39</v>
      </c>
      <c r="V14" s="54">
        <v>39990</v>
      </c>
      <c r="W14" s="48">
        <f t="shared" si="1"/>
        <v>39990</v>
      </c>
      <c r="X14" s="175">
        <f t="shared" si="2"/>
        <v>-22303.031700120773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122</v>
      </c>
      <c r="D15" s="213">
        <v>0.65</v>
      </c>
      <c r="E15" s="214">
        <f>(100%+D15)*D12</f>
        <v>67089.809799275361</v>
      </c>
      <c r="F15" s="215">
        <f>E15-D12</f>
        <v>26429.319011835745</v>
      </c>
      <c r="H15" s="190">
        <v>0</v>
      </c>
      <c r="I15" s="173">
        <v>10</v>
      </c>
      <c r="J15" s="149" t="s">
        <v>115</v>
      </c>
      <c r="K15" s="157">
        <f t="shared" si="0"/>
        <v>0</v>
      </c>
      <c r="L15" s="60"/>
      <c r="Q15" s="7">
        <v>1</v>
      </c>
      <c r="R15" s="7" t="s">
        <v>36</v>
      </c>
      <c r="S15" s="50">
        <v>1.08</v>
      </c>
      <c r="T15" s="50">
        <v>0.62</v>
      </c>
      <c r="U15" s="7" t="s">
        <v>39</v>
      </c>
      <c r="V15" s="54">
        <v>39990</v>
      </c>
      <c r="W15" s="48">
        <f t="shared" si="1"/>
        <v>39990</v>
      </c>
      <c r="X15" s="175">
        <f t="shared" si="2"/>
        <v>-22303.031700120773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91</v>
      </c>
      <c r="K16" s="157">
        <f t="shared" si="0"/>
        <v>0</v>
      </c>
      <c r="L16" s="60"/>
      <c r="Q16" s="7">
        <v>1</v>
      </c>
      <c r="R16" s="7" t="s">
        <v>36</v>
      </c>
      <c r="S16" s="50">
        <v>2.06</v>
      </c>
      <c r="T16" s="50">
        <v>0.62</v>
      </c>
      <c r="U16" s="7" t="s">
        <v>39</v>
      </c>
      <c r="V16" s="54">
        <v>79990</v>
      </c>
      <c r="W16" s="48">
        <f t="shared" si="1"/>
        <v>79990</v>
      </c>
      <c r="X16" s="175">
        <f t="shared" si="2"/>
        <v>17696.968299879227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89</v>
      </c>
      <c r="C17" s="128" t="s">
        <v>88</v>
      </c>
      <c r="D17" s="128" t="s">
        <v>29</v>
      </c>
      <c r="E17" s="127" t="s">
        <v>52</v>
      </c>
      <c r="F17" s="126" t="s">
        <v>6</v>
      </c>
      <c r="H17" s="192">
        <v>1</v>
      </c>
      <c r="I17" s="201"/>
      <c r="J17" s="187" t="s">
        <v>90</v>
      </c>
      <c r="K17" s="157">
        <f t="shared" si="0"/>
        <v>0</v>
      </c>
      <c r="L17" s="60"/>
      <c r="Q17" s="7">
        <v>6</v>
      </c>
      <c r="R17" s="7" t="s">
        <v>37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86</v>
      </c>
      <c r="D18" s="121">
        <f>'2229'!N36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87</v>
      </c>
      <c r="K18" s="157">
        <f t="shared" si="0"/>
        <v>0</v>
      </c>
      <c r="L18" s="60"/>
      <c r="Q18" s="7">
        <v>1</v>
      </c>
      <c r="R18" s="55" t="s">
        <v>38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32</v>
      </c>
      <c r="D19" s="121">
        <f>'2229'!N35</f>
        <v>7500</v>
      </c>
      <c r="E19" s="122">
        <f>D19*0.19</f>
        <v>1425</v>
      </c>
      <c r="F19" s="119">
        <f>SUM(D19:E19)</f>
        <v>8925</v>
      </c>
      <c r="H19" s="191">
        <v>1</v>
      </c>
      <c r="I19" s="201"/>
      <c r="J19" s="183" t="s">
        <v>85</v>
      </c>
      <c r="K19" s="157">
        <f t="shared" si="0"/>
        <v>0</v>
      </c>
      <c r="L19" s="60"/>
      <c r="Q19" s="16"/>
      <c r="T19" s="5"/>
      <c r="U19" s="6"/>
      <c r="V19" s="29" t="s">
        <v>29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'2229'!N34</f>
        <v>3326.4</v>
      </c>
      <c r="E20" s="120">
        <f>D20*0.19</f>
        <v>632.01600000000008</v>
      </c>
      <c r="F20" s="119">
        <f>SUM(D20:E20)</f>
        <v>3958.4160000000002</v>
      </c>
      <c r="H20" s="191">
        <v>1</v>
      </c>
      <c r="I20" s="201"/>
      <c r="J20" s="183" t="s">
        <v>84</v>
      </c>
      <c r="K20" s="157">
        <f t="shared" si="0"/>
        <v>0</v>
      </c>
      <c r="V20" s="30" t="s">
        <v>30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10826.4</v>
      </c>
      <c r="E21" s="115">
        <f>SUM(E18:E20)</f>
        <v>2057.0160000000001</v>
      </c>
      <c r="F21" s="114">
        <f>SUM(F18:F20)</f>
        <v>12883.416000000001</v>
      </c>
      <c r="H21" s="191">
        <v>1</v>
      </c>
      <c r="I21" s="201"/>
      <c r="J21" s="183" t="s">
        <v>83</v>
      </c>
      <c r="K21" s="157">
        <f t="shared" si="0"/>
        <v>0</v>
      </c>
      <c r="M21" s="152">
        <f>B32/9</f>
        <v>2318.840579710145</v>
      </c>
      <c r="Q21" s="49" t="s">
        <v>40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81</v>
      </c>
      <c r="C22" s="112" t="s">
        <v>80</v>
      </c>
      <c r="D22" s="111" t="s">
        <v>79</v>
      </c>
      <c r="E22" s="110" t="s">
        <v>78</v>
      </c>
      <c r="F22" s="109" t="s">
        <v>6</v>
      </c>
      <c r="H22" s="191">
        <v>1</v>
      </c>
      <c r="I22" s="201"/>
      <c r="J22" s="147" t="s">
        <v>82</v>
      </c>
      <c r="K22" s="157">
        <f t="shared" si="0"/>
        <v>0</v>
      </c>
      <c r="M22" s="104"/>
      <c r="N22" s="57"/>
      <c r="Q22" s="49" t="s">
        <v>35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77</v>
      </c>
      <c r="K23" s="157">
        <f t="shared" si="0"/>
        <v>0</v>
      </c>
      <c r="M23" s="104"/>
      <c r="N23" s="57"/>
      <c r="Q23" s="49" t="s">
        <v>28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75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118</v>
      </c>
      <c r="I24" s="154" t="s">
        <v>116</v>
      </c>
      <c r="J24" s="180" t="s">
        <v>76</v>
      </c>
      <c r="K24" s="151" t="s">
        <v>95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74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109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72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73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71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70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69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107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68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119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120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66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121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65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42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41</v>
      </c>
      <c r="K33" s="96">
        <f t="shared" si="5"/>
        <v>0</v>
      </c>
    </row>
    <row r="34" spans="2:16" ht="15" thickBot="1" x14ac:dyDescent="0.35">
      <c r="B34" s="82" t="s">
        <v>64</v>
      </c>
      <c r="C34" s="81" t="s">
        <v>63</v>
      </c>
      <c r="D34" s="80">
        <f>L9</f>
        <v>2550</v>
      </c>
      <c r="H34" s="191">
        <v>1</v>
      </c>
      <c r="I34" s="173"/>
      <c r="J34" s="147" t="s">
        <v>108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62</v>
      </c>
      <c r="D35" s="77">
        <f>L24</f>
        <v>0</v>
      </c>
      <c r="H35" s="193">
        <v>6</v>
      </c>
      <c r="I35" s="205"/>
      <c r="J35" s="179" t="s">
        <v>110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60</v>
      </c>
      <c r="D36" s="77">
        <f>L36</f>
        <v>18467.665666666668</v>
      </c>
      <c r="E36" s="57"/>
      <c r="H36" s="150" t="s">
        <v>97</v>
      </c>
      <c r="I36" s="154" t="s">
        <v>116</v>
      </c>
      <c r="J36" s="188" t="s">
        <v>67</v>
      </c>
      <c r="K36" s="151" t="s">
        <v>95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43</v>
      </c>
      <c r="D37" s="72"/>
      <c r="H37" s="198">
        <f>$E$33</f>
        <v>3.9000000000000004</v>
      </c>
      <c r="I37" s="203">
        <f>32609.69/9</f>
        <v>3623.2988888888885</v>
      </c>
      <c r="J37" s="186" t="s">
        <v>46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44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45</v>
      </c>
      <c r="K39" s="83">
        <f>I39*H39</f>
        <v>565.5</v>
      </c>
    </row>
    <row r="40" spans="2:16" ht="15" thickBot="1" x14ac:dyDescent="0.35">
      <c r="B40" s="67" t="s">
        <v>53</v>
      </c>
      <c r="C40" s="66" t="s">
        <v>52</v>
      </c>
      <c r="D40" s="65">
        <f>E11-E21</f>
        <v>81704.103999999992</v>
      </c>
    </row>
    <row r="41" spans="2:16" ht="15" thickBot="1" x14ac:dyDescent="0.35">
      <c r="H41" s="350" t="s">
        <v>61</v>
      </c>
      <c r="I41" s="351"/>
      <c r="J41" s="351"/>
      <c r="K41" s="351"/>
      <c r="L41" s="351"/>
      <c r="M41" s="352"/>
    </row>
    <row r="42" spans="2:16" ht="15" thickBot="1" x14ac:dyDescent="0.35">
      <c r="B42" s="74" t="s">
        <v>47</v>
      </c>
      <c r="C42" s="74"/>
      <c r="D42" s="206">
        <f>E33</f>
        <v>3.9000000000000004</v>
      </c>
      <c r="H42" s="76" t="s">
        <v>59</v>
      </c>
      <c r="I42" s="158" t="s">
        <v>58</v>
      </c>
      <c r="J42" s="159"/>
      <c r="K42" s="159"/>
      <c r="L42" s="160"/>
      <c r="M42" s="75">
        <f>D11</f>
        <v>440848</v>
      </c>
    </row>
    <row r="43" spans="2:16" ht="15" thickBot="1" x14ac:dyDescent="0.35">
      <c r="D43" s="56"/>
      <c r="H43" s="71" t="s">
        <v>57</v>
      </c>
      <c r="I43" s="161" t="s">
        <v>56</v>
      </c>
      <c r="J43" s="162"/>
      <c r="K43" s="162"/>
      <c r="L43" s="163"/>
      <c r="M43" s="63">
        <f>D21</f>
        <v>10826.4</v>
      </c>
    </row>
    <row r="44" spans="2:16" x14ac:dyDescent="0.3">
      <c r="D44" s="56"/>
      <c r="I44" s="164" t="s">
        <v>55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54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51</v>
      </c>
      <c r="J46" s="171"/>
      <c r="K46" s="171"/>
      <c r="L46" s="172"/>
      <c r="M46" s="61">
        <f>M42-(SUM(M43:M45))</f>
        <v>400187.50921256037</v>
      </c>
    </row>
    <row r="47" spans="2:16" x14ac:dyDescent="0.3">
      <c r="I47" s="161" t="s">
        <v>50</v>
      </c>
      <c r="J47" s="162"/>
      <c r="K47" s="162"/>
      <c r="L47" s="163"/>
      <c r="M47" s="63"/>
    </row>
    <row r="48" spans="2:16" ht="15" thickBot="1" x14ac:dyDescent="0.35">
      <c r="D48" s="59"/>
      <c r="I48" s="167" t="s">
        <v>49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48</v>
      </c>
      <c r="J49" s="171"/>
      <c r="K49" s="171"/>
      <c r="L49" s="172"/>
      <c r="M49" s="61">
        <f>M46-SUM(M47:M48)</f>
        <v>400187.50921256037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2024-04-02T20:17:31Z</cp:lastPrinted>
  <dcterms:created xsi:type="dcterms:W3CDTF">2013-03-18T13:35:42Z</dcterms:created>
  <dcterms:modified xsi:type="dcterms:W3CDTF">2024-04-09T18:36:24Z</dcterms:modified>
</cp:coreProperties>
</file>