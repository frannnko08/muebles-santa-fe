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4\"/>
    </mc:Choice>
  </mc:AlternateContent>
  <xr:revisionPtr revIDLastSave="0" documentId="13_ncr:1_{62FEFB14-5DBC-4B42-AB5D-363FB12F7E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N22" i="1" s="1"/>
  <c r="O22" i="1" s="1"/>
  <c r="M22" i="1"/>
  <c r="H22" i="1"/>
  <c r="J35" i="1"/>
  <c r="K21" i="1"/>
  <c r="R22" i="1" l="1"/>
  <c r="J39" i="1"/>
  <c r="L21" i="1" l="1"/>
  <c r="L25" i="1" s="1"/>
  <c r="M21" i="1"/>
  <c r="N21" i="1" l="1"/>
  <c r="O21" i="1" s="1"/>
  <c r="O26" i="1" s="1"/>
  <c r="R21" i="1"/>
  <c r="N32" i="1"/>
  <c r="O27" i="1" l="1"/>
  <c r="O28" i="1" s="1"/>
  <c r="O29" i="1" s="1"/>
  <c r="L31" i="1" s="1"/>
  <c r="S44" i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N37" i="1" s="1"/>
  <c r="N38" i="1" s="1"/>
  <c r="S45" i="1"/>
  <c r="N39" i="1" l="1"/>
  <c r="D20" i="3"/>
  <c r="E20" i="3" s="1"/>
  <c r="E21" i="3" s="1"/>
  <c r="N40" i="1" l="1"/>
  <c r="D21" i="3"/>
  <c r="M43" i="3" s="1"/>
  <c r="D12" i="3" s="1"/>
  <c r="F20" i="3"/>
  <c r="F21" i="3" s="1"/>
  <c r="P20" i="1" l="1"/>
  <c r="P22" i="1" s="1"/>
  <c r="Q22" i="1" s="1"/>
  <c r="E15" i="3"/>
  <c r="P21" i="1" l="1"/>
  <c r="F15" i="3"/>
  <c r="Q21" i="1" l="1"/>
  <c r="R27" i="1"/>
  <c r="H21" i="1" l="1"/>
  <c r="H25" i="1" s="1"/>
  <c r="K15" i="1" s="1"/>
  <c r="H26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<sst xmlns="http://schemas.openxmlformats.org/spreadsheetml/2006/main" count="220" uniqueCount="162">
  <si>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</si>
  <si>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</si>
  <si>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</si>
  <si>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</si>
  <si>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</si>
  <si>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</si>
  <si>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</si>
  <si>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</si>
  <si>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</si>
  <si>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</si>
  <si>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</si>
  <si>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</si>
  <si>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</si>
  <si>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</si>
  <si>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</si>
  <si>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</si>
  <si>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</si>
  <si>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</si>
  <si>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</si>
  <si>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</si>
  <si>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</si>
  <si>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</si>
  <si>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</si>
  <si>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</si>
  <si>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</si>
  <si>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</si>
  <si>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</si>
  <si>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</si>
  <si>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</si>
  <si>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</si>
  <si>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</si>
  <si>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</si>
  <si>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</si>
  <si>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</si>
  <si>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</si>
  <si>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</si>
  <si>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</si>
  <si>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</si>
  <si>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</si>
  <si>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</si>
  <si>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</si>
  <si>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</si>
  <si>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</si>
  <si>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</si>
  <si>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</si>
  <si>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</si>
  <si>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</si>
  <si>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</si>
  <si>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</si>
  <si>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</si>
  <si>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</si>
  <si>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</si>
  <si>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</si>
  <si>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</si>
  <si>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</si>
  <si>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</si>
  <si>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</si>
  <si>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</si>
  <si>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</si>
  <si>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</si>
  <si>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</si>
  <si>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</si>
  <si>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</si>
  <si>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</si>
  <si>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</si>
  <si>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</si>
  <si>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</si>
  <si>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</si>
  <si>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</si>
  <si>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</si>
  <si>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</si>
  <si>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</si>
  <si>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</si>
  <si>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</si>
  <si>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</si>
  <si>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</si>
  <si>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</si>
  <si>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</si>
  <si>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</si>
  <si>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</si>
  <si>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</si>
  <si>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</si>
  <si>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</si>
  <si>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</si>
  <si>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</si>
  <si>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</si>
  <si>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</si>
  <si>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</si>
  <si>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</si>
  <si>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</si>
  <si>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</si>
  <si>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</si>
  <si>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</si>
  <si>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</si>
  <si>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</si>
  <si>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</si>
  <si>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</si>
  <si>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</si>
  <si>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</si>
  <si>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</si>
  <si>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</si>
  <si>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</si>
  <si>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</si>
  <si>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</si>
  <si>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</si>
  <si>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</si>
  <si>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</si>
  <si>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</si>
  <si>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</si>
  <si>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</si>
  <si>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</si>
  <si>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</si>
  <si>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</si>
  <si>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</si>
  <si>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</si>
  <si>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</si>
  <si>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</si>
  <si>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</si>
  <si>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</si>
  <si>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</si>
  <si>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</si>
  <si>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</si>
  <si>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</si>
  <si>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</si>
  <si>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</si>
  <si>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</si>
  <si>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</si>
  <si>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</si>
  <si>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</si>
  <si>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</si>
  <si>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</si>
  <si>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</si>
  <si>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</si>
  <si>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</si>
  <si>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</si>
  <si>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</si>
  <si>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</si>
  <si>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</si>
  <si>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</si>
  <si>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</si>
  <si>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</si>
  <si>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</si>
  <si>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</si>
  <si>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</si>
  <si>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</si>
  <si>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</si>
  <si>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</si>
  <si>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</si>
  <si>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</si>
  <si>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</si>
  <si>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</si>
  <si>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</si>
  <si>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</si>
  <si>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</si>
  <si>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ABONO 50%, SALDO C/E</t>
  </si>
  <si>
    <t>SANTIAGO</t>
  </si>
  <si>
    <t>5 DIAS HABILES</t>
  </si>
  <si>
    <t>DURACION COTIZACION: 5 DIAS                   FRANCO DONOSO</t>
  </si>
  <si>
    <t>PAULA CAMPOS</t>
  </si>
  <si>
    <t>CUB CON RESPALDO R2</t>
  </si>
  <si>
    <t>BLANCO OPACO</t>
  </si>
  <si>
    <t>N° 10903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</si>
</sst>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2"/>
      <color theme="3" tint="0.3999755851924192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7" fillId="0" borderId="54" xfId="0" applyFont="1" applyBorder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6" fillId="0" borderId="0" xfId="3" quotePrefix="1" applyFont="1" applyFill="1" applyBorder="1" applyAlignment="1">
      <alignment horizontal="left"/>
    </xf>
    <xf numFmtId="14" fontId="0" fillId="0" borderId="46" xfId="0" applyNumberFormat="1" applyBorder="1"/>
    <xf numFmtId="14" fontId="29" fillId="0" borderId="0" xfId="0" applyNumberFormat="1" applyFont="1" applyAlignment="1">
      <alignment horizontal="left"/>
    </xf>
    <xf numFmtId="0" fontId="35" fillId="0" borderId="0" xfId="0" applyFont="1"/>
    <xf numFmtId="0" fontId="0" fillId="8" borderId="0" xfId="0" applyFill="1"/>
    <xf numFmtId="0" fontId="29" fillId="8" borderId="0" xfId="0" applyFont="1" applyFill="1" applyAlignment="1">
      <alignment horizontal="left"/>
    </xf>
    <xf numFmtId="0" fontId="9" fillId="0" borderId="0" xfId="3" applyBorder="1"/>
    <xf numFmtId="0" fontId="29" fillId="0" borderId="0" xfId="0" applyFont="1"/>
    <xf numFmtId="0" fontId="25" fillId="8" borderId="0" xfId="0" applyFont="1" applyFill="1"/>
    <xf numFmtId="0" fontId="29" fillId="8" borderId="0" xfId="0" applyFont="1" applyFill="1"/>
    <xf numFmtId="0" fontId="14" fillId="0" borderId="0" xfId="0" applyFont="1"/>
    <xf numFmtId="0" fontId="30" fillId="0" borderId="0" xfId="0" applyFont="1"/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28</xdr:row>
      <xdr:rowOff>5249</xdr:rowOff>
    </xdr:from>
    <xdr:to>
      <xdr:col>8</xdr:col>
      <xdr:colOff>0</xdr:colOff>
      <xdr:row>31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761709" y="5277045"/>
          <a:ext cx="2004332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28</xdr:row>
      <xdr:rowOff>9526</xdr:rowOff>
    </xdr:from>
    <xdr:to>
      <xdr:col>5</xdr:col>
      <xdr:colOff>1749491</xdr:colOff>
      <xdr:row>31</xdr:row>
      <xdr:rowOff>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281322"/>
          <a:ext cx="7120617" cy="64361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23</xdr:row>
      <xdr:rowOff>223973</xdr:rowOff>
    </xdr:from>
    <xdr:to>
      <xdr:col>5</xdr:col>
      <xdr:colOff>1749490</xdr:colOff>
      <xdr:row>27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A6" zoomScale="98" zoomScaleNormal="98" workbookViewId="0">
      <selection activeCell="B21" sqref="B21:H22"/>
    </sheetView>
  </sheetViews>
  <sheetFormatPr baseColWidth="10" defaultRowHeight="14.4" x14ac:dyDescent="0.3"/>
  <cols>
    <col min="1" max="1" width="6" customWidth="1"/>
    <col min="2" max="2" width="10.5546875" customWidth="1"/>
    <col min="3" max="3" width="46.2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1" t="s">
        <v>128</v>
      </c>
      <c r="C8" s="292"/>
      <c r="D8" s="302" t="s">
        <v>161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309" t="s">
        <v>158</v>
      </c>
      <c r="D10" s="243"/>
      <c r="E10" s="243"/>
      <c r="F10" s="244" t="s">
        <v>0</v>
      </c>
      <c r="G10" s="275">
        <v>45385</v>
      </c>
      <c r="H10" s="245"/>
      <c r="J10" s="1"/>
      <c r="Q10" s="2"/>
      <c r="R10" s="3"/>
      <c r="S10" s="3"/>
      <c r="T10" s="4"/>
      <c r="U10" s="2"/>
      <c r="V10" s="3"/>
    </row>
    <row r="11" spans="2:23" x14ac:dyDescent="0.3">
      <c r="B11" s="284" t="s">
        <v>12</v>
      </c>
      <c r="F11" t="s">
        <v>125</v>
      </c>
      <c r="G11" s="310" t="s">
        <v>156</v>
      </c>
      <c r="H11" s="285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312"/>
      <c r="E12" s="312"/>
      <c r="F12" s="312" t="s">
        <v>129</v>
      </c>
      <c r="G12" s="313" t="s">
        <v>137</v>
      </c>
      <c r="H12" s="247"/>
      <c r="P12" s="19"/>
      <c r="Q12" s="25"/>
      <c r="R12" s="19"/>
    </row>
    <row r="13" spans="2:23" x14ac:dyDescent="0.3">
      <c r="B13" s="246" t="s">
        <v>148</v>
      </c>
      <c r="D13" s="312"/>
      <c r="E13" s="312"/>
      <c r="F13" s="312"/>
      <c r="G13" s="313"/>
      <c r="H13" s="247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4" t="s">
        <v>141</v>
      </c>
      <c r="C14" s="314"/>
      <c r="F14" s="29" t="s">
        <v>138</v>
      </c>
      <c r="G14" s="315" t="s">
        <v>137</v>
      </c>
      <c r="H14" s="285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8"/>
      <c r="D15" s="316"/>
      <c r="E15" s="312"/>
      <c r="F15" s="312" t="s">
        <v>136</v>
      </c>
      <c r="G15" s="317" t="s">
        <v>137</v>
      </c>
      <c r="H15" s="247"/>
      <c r="K15" s="18">
        <f>H25/L13</f>
        <v>6691.8435415403283</v>
      </c>
    </row>
    <row r="16" spans="2:23" ht="16.8" x14ac:dyDescent="0.4">
      <c r="B16" s="286" t="s">
        <v>3</v>
      </c>
      <c r="C16" s="311"/>
      <c r="F16" s="318" t="s">
        <v>131</v>
      </c>
      <c r="G16" s="319" t="s">
        <v>154</v>
      </c>
      <c r="H16" s="285"/>
    </row>
    <row r="17" spans="1:24" ht="15" thickBot="1" x14ac:dyDescent="0.35">
      <c r="B17" s="287" t="s">
        <v>13</v>
      </c>
      <c r="C17" s="288" t="s">
        <v>155</v>
      </c>
      <c r="D17" s="289"/>
      <c r="E17" s="290"/>
      <c r="F17" s="325" t="s">
        <v>157</v>
      </c>
      <c r="G17" s="325"/>
      <c r="H17" s="326"/>
      <c r="I17" s="262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7" t="s">
        <v>149</v>
      </c>
      <c r="C19" s="328"/>
      <c r="D19" s="328"/>
      <c r="E19" s="328"/>
      <c r="F19" s="328"/>
      <c r="G19" s="328"/>
      <c r="H19" s="329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05" t="s">
        <v>7</v>
      </c>
      <c r="C20" s="306" t="s">
        <v>1</v>
      </c>
      <c r="D20" s="306" t="s">
        <v>10</v>
      </c>
      <c r="E20" s="306" t="s">
        <v>11</v>
      </c>
      <c r="F20" s="306" t="s">
        <v>8</v>
      </c>
      <c r="G20" s="306" t="s">
        <v>5</v>
      </c>
      <c r="H20" s="307" t="s">
        <v>6</v>
      </c>
      <c r="I20" s="264"/>
      <c r="J20" s="47"/>
      <c r="K20" s="267" t="str">
        <f t="shared" ref="K20" si="0">B20</f>
        <v>UNIDAD</v>
      </c>
      <c r="L20" s="266" t="s">
        <v>133</v>
      </c>
      <c r="M20" s="39" t="str">
        <f>E20</f>
        <v>ANCHO</v>
      </c>
      <c r="N20" s="260" t="s">
        <v>134</v>
      </c>
      <c r="O20" s="258" t="s">
        <v>17</v>
      </c>
      <c r="P20" s="251">
        <f>N39</f>
        <v>82410.723169046527</v>
      </c>
      <c r="Q20" s="257">
        <v>3000</v>
      </c>
      <c r="R20" s="38"/>
      <c r="S20" s="14" t="s">
        <v>130</v>
      </c>
      <c r="T20" s="9"/>
      <c r="W20" s="4"/>
    </row>
    <row r="21" spans="1:24" ht="18" thickBot="1" x14ac:dyDescent="0.35">
      <c r="B21" s="320">
        <v>1</v>
      </c>
      <c r="C21" s="321" t="s">
        <v>159</v>
      </c>
      <c r="D21" s="322">
        <v>2.63</v>
      </c>
      <c r="E21" s="322">
        <v>0.52</v>
      </c>
      <c r="F21" s="321" t="s">
        <v>160</v>
      </c>
      <c r="G21" s="323">
        <v>117848</v>
      </c>
      <c r="H21" s="324">
        <f t="shared" ref="H21" si="1">G21*B21</f>
        <v>117848</v>
      </c>
      <c r="I21" s="264"/>
      <c r="J21" s="47"/>
      <c r="K21" s="303">
        <f>B21</f>
        <v>1</v>
      </c>
      <c r="L21" s="304">
        <f t="shared" ref="L21:M21" si="2">D21+L$19</f>
        <v>2.6799999999999997</v>
      </c>
      <c r="M21" s="304">
        <f t="shared" si="2"/>
        <v>0.52</v>
      </c>
      <c r="N21" s="260">
        <f>L21*M21</f>
        <v>1.3935999999999999</v>
      </c>
      <c r="O21" s="258">
        <f>N21*K21</f>
        <v>1.3935999999999999</v>
      </c>
      <c r="P21" s="251">
        <f>P$20*N21</f>
        <v>114847.58380838324</v>
      </c>
      <c r="Q21" s="257">
        <f>P21+Q$20</f>
        <v>117847.58380838324</v>
      </c>
      <c r="R21" s="297">
        <f>K21*L21</f>
        <v>2.6799999999999997</v>
      </c>
      <c r="S21" s="14"/>
      <c r="T21" s="9"/>
      <c r="W21" s="4"/>
    </row>
    <row r="22" spans="1:24" ht="18" thickBot="1" x14ac:dyDescent="0.35">
      <c r="B22" s="320">
        <v>1</v>
      </c>
      <c r="C22" s="321" t="s">
        <v>159</v>
      </c>
      <c r="D22" s="322">
        <v>2.2799999999999998</v>
      </c>
      <c r="E22" s="322">
        <v>0.52</v>
      </c>
      <c r="F22" s="321" t="s">
        <v>160</v>
      </c>
      <c r="G22" s="323">
        <v>102849</v>
      </c>
      <c r="H22" s="324">
        <f t="shared" ref="H22" si="3">G22*B22</f>
        <v>102849</v>
      </c>
      <c r="I22" s="264"/>
      <c r="J22" s="47"/>
      <c r="K22" s="303">
        <f>B22</f>
        <v>1</v>
      </c>
      <c r="L22" s="304">
        <f t="shared" ref="L22" si="4">D22+L$19</f>
        <v>2.3299999999999996</v>
      </c>
      <c r="M22" s="304">
        <f t="shared" ref="M22" si="5">E22+M$19</f>
        <v>0.52</v>
      </c>
      <c r="N22" s="260">
        <f>L22*M22</f>
        <v>1.2115999999999998</v>
      </c>
      <c r="O22" s="258">
        <f>N22*K22</f>
        <v>1.2115999999999998</v>
      </c>
      <c r="P22" s="251">
        <f>P$20*N22</f>
        <v>99848.832191616748</v>
      </c>
      <c r="Q22" s="257">
        <f>P22+Q$20</f>
        <v>102848.83219161675</v>
      </c>
      <c r="R22" s="297">
        <f>K22*L22</f>
        <v>2.3299999999999996</v>
      </c>
      <c r="S22" s="14"/>
      <c r="T22" s="9"/>
      <c r="W22" s="4"/>
    </row>
    <row r="23" spans="1:24" ht="17.399999999999999" x14ac:dyDescent="0.3">
      <c r="B23" s="337"/>
      <c r="C23" s="337"/>
      <c r="D23" s="338"/>
      <c r="E23" s="338"/>
      <c r="F23" s="337"/>
      <c r="G23" s="339"/>
      <c r="H23" s="339"/>
      <c r="I23" s="264"/>
      <c r="J23" s="47"/>
      <c r="K23" s="303"/>
      <c r="L23" s="304"/>
      <c r="M23" s="304"/>
      <c r="N23" s="260"/>
      <c r="O23" s="258"/>
      <c r="P23" s="251"/>
      <c r="Q23" s="257"/>
      <c r="R23" s="297"/>
      <c r="S23" s="14"/>
      <c r="T23" s="9"/>
      <c r="W23" s="4"/>
    </row>
    <row r="24" spans="1:24" ht="18" thickBot="1" x14ac:dyDescent="0.35">
      <c r="B24" s="282"/>
      <c r="C24" s="282"/>
      <c r="D24" s="283"/>
      <c r="E24" s="283"/>
      <c r="F24" s="282"/>
      <c r="G24" s="264"/>
      <c r="H24" s="232"/>
      <c r="I24" s="232"/>
      <c r="J24" s="47"/>
      <c r="K24" s="47"/>
      <c r="L24" s="39"/>
      <c r="M24" s="39"/>
      <c r="N24" s="260"/>
      <c r="O24" s="258"/>
      <c r="P24" s="251"/>
      <c r="Q24" s="257"/>
      <c r="R24" s="297"/>
      <c r="S24" s="14"/>
      <c r="T24" s="9"/>
      <c r="W24" s="4"/>
    </row>
    <row r="25" spans="1:24" ht="17.399999999999999" x14ac:dyDescent="0.3">
      <c r="B25" s="282"/>
      <c r="C25" s="282"/>
      <c r="D25" s="283"/>
      <c r="E25" s="283"/>
      <c r="F25" s="282"/>
      <c r="G25" s="298" t="s">
        <v>30</v>
      </c>
      <c r="H25" s="299">
        <f>SUM(H21:H24)</f>
        <v>220697</v>
      </c>
      <c r="I25" s="264"/>
      <c r="J25" s="47"/>
      <c r="K25" s="47"/>
      <c r="L25" s="39">
        <f>SUM(L21:L24)</f>
        <v>5.01</v>
      </c>
      <c r="M25" s="39"/>
      <c r="N25" s="260"/>
      <c r="O25" s="258"/>
      <c r="P25" s="251"/>
      <c r="Q25" s="257"/>
      <c r="R25" s="297"/>
      <c r="S25" s="14"/>
      <c r="T25" s="9"/>
      <c r="W25" s="4"/>
    </row>
    <row r="26" spans="1:24" ht="17.399999999999999" x14ac:dyDescent="0.3">
      <c r="B26" s="276"/>
      <c r="C26" s="279"/>
      <c r="D26" s="280"/>
      <c r="E26" s="280"/>
      <c r="F26" s="281"/>
      <c r="G26" s="296" t="s">
        <v>53</v>
      </c>
      <c r="H26" s="294">
        <f>H25*0.19</f>
        <v>41932.43</v>
      </c>
      <c r="I26" s="264"/>
      <c r="J26" s="47"/>
      <c r="K26" s="47"/>
      <c r="L26" s="39"/>
      <c r="M26" s="12"/>
      <c r="N26" s="12"/>
      <c r="O26" s="252">
        <f>SUM(O21:O22)</f>
        <v>2.6052</v>
      </c>
      <c r="P26" s="14"/>
      <c r="Q26" s="12"/>
      <c r="R26" s="238"/>
      <c r="S26" s="14"/>
      <c r="T26" s="9"/>
      <c r="W26" s="4"/>
    </row>
    <row r="27" spans="1:24" ht="18" thickBot="1" x14ac:dyDescent="0.35">
      <c r="B27" s="274"/>
      <c r="C27" s="278"/>
      <c r="D27" s="271"/>
      <c r="E27" s="271"/>
      <c r="F27" s="272"/>
      <c r="G27" s="277" t="s">
        <v>6</v>
      </c>
      <c r="H27" s="295">
        <f>H25+H26</f>
        <v>262629.43</v>
      </c>
      <c r="I27" s="264"/>
      <c r="J27" s="47"/>
      <c r="K27" s="47"/>
      <c r="L27" s="39"/>
      <c r="M27" s="12"/>
      <c r="N27" s="12"/>
      <c r="O27" s="252">
        <f>O26</f>
        <v>2.6052</v>
      </c>
      <c r="P27" s="14"/>
      <c r="Q27" s="12"/>
      <c r="R27" s="238">
        <f>SUM(R21:R26)</f>
        <v>5.01</v>
      </c>
      <c r="S27" s="14"/>
      <c r="T27" s="9"/>
      <c r="W27" s="4"/>
    </row>
    <row r="28" spans="1:24" ht="17.399999999999999" x14ac:dyDescent="0.3">
      <c r="B28" s="274"/>
      <c r="C28" s="270"/>
      <c r="D28" s="271"/>
      <c r="E28" s="271"/>
      <c r="F28" s="272"/>
      <c r="I28" s="264"/>
      <c r="J28" s="47"/>
      <c r="K28" s="47"/>
      <c r="L28" s="14"/>
      <c r="M28" s="12"/>
      <c r="N28" s="12"/>
      <c r="O28" s="39">
        <f>O27*0.2</f>
        <v>0.52104000000000006</v>
      </c>
      <c r="P28" s="39" t="s">
        <v>132</v>
      </c>
      <c r="Q28" s="42"/>
      <c r="R28" s="239"/>
      <c r="S28" s="14"/>
      <c r="T28" s="9"/>
      <c r="W28" s="4"/>
    </row>
    <row r="29" spans="1:24" ht="17.399999999999999" x14ac:dyDescent="0.35">
      <c r="B29" s="268"/>
      <c r="C29" s="230"/>
      <c r="D29" s="230"/>
      <c r="E29" s="232"/>
      <c r="F29" s="233"/>
      <c r="G29" s="230"/>
      <c r="H29" s="273"/>
      <c r="I29" s="264"/>
      <c r="J29" s="301"/>
      <c r="K29" s="47"/>
      <c r="L29" s="14"/>
      <c r="M29" s="12"/>
      <c r="N29" s="12"/>
      <c r="O29" s="46">
        <f>O27+O28</f>
        <v>3.1262400000000001</v>
      </c>
      <c r="P29" s="14"/>
      <c r="Q29" s="14"/>
      <c r="R29" s="237">
        <v>40</v>
      </c>
      <c r="S29" s="14"/>
      <c r="T29" s="9"/>
      <c r="W29" s="4"/>
    </row>
    <row r="30" spans="1:24" ht="17.399999999999999" x14ac:dyDescent="0.35">
      <c r="B30" s="234"/>
      <c r="C30" s="235"/>
      <c r="D30" s="236"/>
      <c r="E30" s="234"/>
      <c r="F30" s="230"/>
      <c r="G30" s="230"/>
      <c r="J30" s="301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1:24" ht="17.399999999999999" x14ac:dyDescent="0.35">
      <c r="B31" s="230"/>
      <c r="C31" s="230"/>
      <c r="D31" s="230"/>
      <c r="E31" s="230"/>
      <c r="F31" s="230"/>
      <c r="G31" s="230"/>
      <c r="I31" s="264"/>
      <c r="J31" s="47"/>
      <c r="K31" s="47"/>
      <c r="L31" s="39">
        <f>O29</f>
        <v>3.1262400000000001</v>
      </c>
      <c r="M31" s="12">
        <v>3500</v>
      </c>
      <c r="N31" s="12">
        <f t="shared" ref="N31:N36" si="6">L31*M31</f>
        <v>10941.84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1:24" ht="17.399999999999999" x14ac:dyDescent="0.35">
      <c r="A32" s="230"/>
      <c r="B32" s="230"/>
      <c r="C32" s="230"/>
      <c r="D32" s="230"/>
      <c r="E32" s="230"/>
      <c r="F32" s="230"/>
      <c r="G32" s="230"/>
      <c r="H32" s="230"/>
      <c r="I32" s="264"/>
      <c r="J32" s="47"/>
      <c r="K32" s="47"/>
      <c r="L32" s="248">
        <v>1</v>
      </c>
      <c r="M32" s="12">
        <v>25000</v>
      </c>
      <c r="N32" s="12">
        <f t="shared" si="6"/>
        <v>25000</v>
      </c>
      <c r="O32" s="39" t="s">
        <v>33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B33" s="24" t="s">
        <v>153</v>
      </c>
      <c r="I33" s="261"/>
      <c r="J33" s="47"/>
      <c r="K33" s="249"/>
      <c r="L33" s="14"/>
      <c r="M33" s="249">
        <v>150000</v>
      </c>
      <c r="N33" s="12">
        <f t="shared" si="6"/>
        <v>0</v>
      </c>
      <c r="O33" s="39" t="s">
        <v>32</v>
      </c>
      <c r="P33" s="42"/>
      <c r="R33" s="239"/>
      <c r="S33" s="255"/>
      <c r="V33" s="231"/>
    </row>
    <row r="34" spans="2:23" s="230" customFormat="1" ht="17.399999999999999" x14ac:dyDescent="0.35">
      <c r="B34" s="24" t="s">
        <v>146</v>
      </c>
      <c r="C34"/>
      <c r="D34"/>
      <c r="E34"/>
      <c r="F34"/>
      <c r="I34" s="261"/>
      <c r="J34" s="300">
        <v>35000</v>
      </c>
      <c r="K34" s="249"/>
      <c r="L34" s="14">
        <v>2</v>
      </c>
      <c r="M34" s="249">
        <v>23000</v>
      </c>
      <c r="N34" s="12">
        <f t="shared" si="6"/>
        <v>46000</v>
      </c>
      <c r="O34" s="14" t="s">
        <v>143</v>
      </c>
      <c r="P34" s="17"/>
      <c r="R34" s="237"/>
      <c r="S34" s="255"/>
      <c r="V34" s="231"/>
    </row>
    <row r="35" spans="2:23" s="230" customFormat="1" ht="17.399999999999999" x14ac:dyDescent="0.35">
      <c r="B35" s="29" t="s">
        <v>127</v>
      </c>
      <c r="C35"/>
      <c r="D35"/>
      <c r="E35"/>
      <c r="F35" s="229" t="s">
        <v>16</v>
      </c>
      <c r="I35" s="261"/>
      <c r="J35" s="300">
        <f>J34*1.6</f>
        <v>56000</v>
      </c>
      <c r="K35" s="249"/>
      <c r="L35" s="248"/>
      <c r="M35" s="249">
        <v>800</v>
      </c>
      <c r="N35" s="12">
        <f t="shared" si="6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I36" s="293"/>
      <c r="J36" s="47"/>
      <c r="K36" s="249"/>
      <c r="L36" s="265">
        <v>5.01</v>
      </c>
      <c r="M36" s="12">
        <v>1500</v>
      </c>
      <c r="N36" s="12">
        <f t="shared" si="6"/>
        <v>7515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I37" s="264"/>
      <c r="J37" s="47"/>
      <c r="K37" s="249"/>
      <c r="L37" s="14"/>
      <c r="M37" s="12"/>
      <c r="N37" s="12">
        <f>SUM(N31:N36)</f>
        <v>89456.84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/>
      <c r="K38" s="249"/>
      <c r="L38" s="253" t="s">
        <v>35</v>
      </c>
      <c r="M38" s="12"/>
      <c r="N38" s="254">
        <f>N37*2.4</f>
        <v>214696.416</v>
      </c>
      <c r="O38" s="14" t="s">
        <v>142</v>
      </c>
      <c r="P38" s="14"/>
      <c r="Q38" s="46">
        <f>O29/Q37</f>
        <v>0.84292493528904233</v>
      </c>
      <c r="R38"/>
      <c r="S38" s="256" t="e">
        <f>S37/#REF!</f>
        <v>#REF!</v>
      </c>
    </row>
    <row r="39" spans="2:23" s="230" customFormat="1" ht="17.399999999999999" x14ac:dyDescent="0.35">
      <c r="G39"/>
      <c r="H39" s="259"/>
      <c r="I39" s="259"/>
      <c r="J39" s="47">
        <f>J38/1.19</f>
        <v>0</v>
      </c>
      <c r="K39" s="249"/>
      <c r="L39" s="14"/>
      <c r="M39" s="12"/>
      <c r="N39" s="12">
        <f>N38/O27</f>
        <v>82410.723169046527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49"/>
      <c r="L40" s="13"/>
      <c r="M40" s="14"/>
      <c r="N40" s="17">
        <f>N38/N37</f>
        <v>2.4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49"/>
      <c r="S44">
        <f>S42*S43</f>
        <v>4.5750000000000002</v>
      </c>
    </row>
    <row r="45" spans="2:23" x14ac:dyDescent="0.3">
      <c r="K45" s="249"/>
      <c r="S45" s="269">
        <f>O29/S44</f>
        <v>0.68333114754098356</v>
      </c>
    </row>
    <row r="46" spans="2:23" x14ac:dyDescent="0.3">
      <c r="K46" s="249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45385</v>
      </c>
    </row>
    <row r="6" spans="2:31" ht="16.2" thickBot="1" x14ac:dyDescent="0.35">
      <c r="B6" s="140" t="s">
        <v>2</v>
      </c>
      <c r="C6" s="139" t="str">
        <f>'2229'!C10</f>
        <v>PAULA CAMPOS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10903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-18694.452366787442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220697</v>
      </c>
      <c r="E11" s="132">
        <f>D11*0.19</f>
        <v>41932.43</v>
      </c>
      <c r="F11" s="131">
        <f>E11+D11</f>
        <v>262629.43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87295.547633212555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65775.930787439604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69295.547633212555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154921.0692125604</v>
      </c>
      <c r="E13" s="221">
        <f>(D11/D12)-1</f>
        <v>2.3552850922505488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60295.547633212555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21295.547633212558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108530.28579927534</v>
      </c>
      <c r="F15" s="216">
        <f>E15-D12</f>
        <v>42754.355011835738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21295.547633212558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61295.547633212555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10941.84</v>
      </c>
      <c r="E20" s="121">
        <f>D20*0.19</f>
        <v>2078.9495999999999</v>
      </c>
      <c r="F20" s="120">
        <f>SUM(D20:E20)</f>
        <v>13020.7896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35941.839999999997</v>
      </c>
      <c r="E21" s="116">
        <f>SUM(E18:E20)</f>
        <v>6828.9495999999999</v>
      </c>
      <c r="F21" s="115">
        <f>SUM(F18:F20)</f>
        <v>42770.789600000004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35103.4804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220697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35941.839999999997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154921.0692125604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154921.0692125604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2024-04-03T14:22:01Z</cp:lastPrinted>
  <dcterms:created xsi:type="dcterms:W3CDTF">2013-03-18T13:35:42Z</dcterms:created>
  <dcterms:modified xsi:type="dcterms:W3CDTF">2024-04-05T22:48:27Z</dcterms:modified>
</cp:coreProperties>
</file>