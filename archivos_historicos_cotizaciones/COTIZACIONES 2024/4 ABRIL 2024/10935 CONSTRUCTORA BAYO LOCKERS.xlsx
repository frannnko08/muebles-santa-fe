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2E33F177-1A2C-43EB-91F3-DDC72AAAA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OSET" sheetId="7" r:id="rId1"/>
    <sheet name="M.RECEPCION PISO 2" sheetId="6" r:id="rId2"/>
    <sheet name="TABIQUE" sheetId="5" r:id="rId3"/>
    <sheet name="SEPARADORES" sheetId="4" r:id="rId4"/>
    <sheet name="LOCKERS" sheetId="1" r:id="rId5"/>
    <sheet name="COSTOS" sheetId="3" r:id="rId6"/>
  </sheets>
  <definedNames>
    <definedName name="_xlnm.Print_Area" localSheetId="0">CLOSET!$B$1:$H$41</definedName>
    <definedName name="_xlnm.Print_Area" localSheetId="4">LOCKERS!$B$1:$H$39</definedName>
    <definedName name="_xlnm.Print_Area" localSheetId="1">'M.RECEPCION PISO 2'!$B$1:$H$39</definedName>
    <definedName name="_xlnm.Print_Area" localSheetId="3">SEPARADORES!$B$1:$H$39</definedName>
    <definedName name="_xlnm.Print_Area" localSheetId="2">TABIQUE!$B$1:$H$39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7" l="1"/>
  <c r="L27" i="7"/>
  <c r="M27" i="7"/>
  <c r="N27" i="7"/>
  <c r="O27" i="7" s="1"/>
  <c r="R27" i="7"/>
  <c r="H27" i="7"/>
  <c r="L26" i="7"/>
  <c r="M26" i="7"/>
  <c r="K23" i="7"/>
  <c r="K24" i="7"/>
  <c r="K25" i="7"/>
  <c r="K26" i="7"/>
  <c r="H26" i="7"/>
  <c r="S49" i="7"/>
  <c r="J44" i="7"/>
  <c r="S42" i="7"/>
  <c r="S43" i="7" s="1"/>
  <c r="Q42" i="7"/>
  <c r="N41" i="7"/>
  <c r="N40" i="7"/>
  <c r="N39" i="7"/>
  <c r="N38" i="7"/>
  <c r="N37" i="7"/>
  <c r="J36" i="7"/>
  <c r="M25" i="7"/>
  <c r="S25" i="7" s="1"/>
  <c r="L25" i="7"/>
  <c r="H25" i="7"/>
  <c r="M24" i="7"/>
  <c r="L24" i="7"/>
  <c r="H24" i="7"/>
  <c r="M23" i="7"/>
  <c r="L23" i="7"/>
  <c r="H23" i="7"/>
  <c r="M22" i="7"/>
  <c r="L22" i="7"/>
  <c r="K22" i="7"/>
  <c r="H22" i="7"/>
  <c r="M21" i="7"/>
  <c r="L21" i="7"/>
  <c r="K21" i="7"/>
  <c r="H21" i="7"/>
  <c r="M20" i="7"/>
  <c r="K20" i="7"/>
  <c r="K10" i="7"/>
  <c r="N41" i="6"/>
  <c r="K22" i="6"/>
  <c r="S47" i="6"/>
  <c r="J42" i="6"/>
  <c r="S40" i="6"/>
  <c r="S41" i="6" s="1"/>
  <c r="Q40" i="6"/>
  <c r="N39" i="6"/>
  <c r="N38" i="6"/>
  <c r="N37" i="6"/>
  <c r="N36" i="6"/>
  <c r="N35" i="6"/>
  <c r="J34" i="6"/>
  <c r="M25" i="6"/>
  <c r="S25" i="6" s="1"/>
  <c r="L25" i="6"/>
  <c r="R25" i="6" s="1"/>
  <c r="H25" i="6"/>
  <c r="M24" i="6"/>
  <c r="S24" i="6" s="1"/>
  <c r="L24" i="6"/>
  <c r="R24" i="6" s="1"/>
  <c r="H24" i="6"/>
  <c r="R23" i="6"/>
  <c r="N23" i="6"/>
  <c r="O23" i="6" s="1"/>
  <c r="M23" i="6"/>
  <c r="S23" i="6" s="1"/>
  <c r="L23" i="6"/>
  <c r="H23" i="6"/>
  <c r="M22" i="6"/>
  <c r="L22" i="6"/>
  <c r="R22" i="6" s="1"/>
  <c r="H22" i="6"/>
  <c r="M21" i="6"/>
  <c r="L21" i="6"/>
  <c r="K21" i="6"/>
  <c r="S21" i="6" s="1"/>
  <c r="H21" i="6"/>
  <c r="M20" i="6"/>
  <c r="K20" i="6"/>
  <c r="K10" i="6"/>
  <c r="N41" i="5"/>
  <c r="S47" i="5"/>
  <c r="J42" i="5"/>
  <c r="S40" i="5"/>
  <c r="S41" i="5" s="1"/>
  <c r="Q40" i="5"/>
  <c r="N39" i="5"/>
  <c r="N38" i="5"/>
  <c r="N37" i="5"/>
  <c r="N36" i="5"/>
  <c r="N35" i="5"/>
  <c r="J34" i="5"/>
  <c r="M25" i="5"/>
  <c r="L25" i="5"/>
  <c r="N25" i="5" s="1"/>
  <c r="O25" i="5" s="1"/>
  <c r="S25" i="5"/>
  <c r="H25" i="5"/>
  <c r="R24" i="5"/>
  <c r="N24" i="5"/>
  <c r="O24" i="5" s="1"/>
  <c r="M24" i="5"/>
  <c r="L24" i="5"/>
  <c r="S24" i="5"/>
  <c r="H24" i="5"/>
  <c r="M23" i="5"/>
  <c r="L23" i="5"/>
  <c r="N23" i="5" s="1"/>
  <c r="O23" i="5" s="1"/>
  <c r="S23" i="5"/>
  <c r="H23" i="5"/>
  <c r="R22" i="5"/>
  <c r="N22" i="5"/>
  <c r="O22" i="5" s="1"/>
  <c r="M22" i="5"/>
  <c r="L22" i="5"/>
  <c r="S22" i="5"/>
  <c r="H22" i="5"/>
  <c r="M21" i="5"/>
  <c r="L21" i="5"/>
  <c r="L28" i="5" s="1"/>
  <c r="K21" i="5"/>
  <c r="H21" i="5"/>
  <c r="H28" i="5" s="1"/>
  <c r="M20" i="5"/>
  <c r="K20" i="5"/>
  <c r="K10" i="5"/>
  <c r="S47" i="4"/>
  <c r="J42" i="4"/>
  <c r="S40" i="4"/>
  <c r="S41" i="4" s="1"/>
  <c r="Q40" i="4"/>
  <c r="N39" i="4"/>
  <c r="N38" i="4"/>
  <c r="N37" i="4"/>
  <c r="N36" i="4"/>
  <c r="N35" i="4"/>
  <c r="J34" i="4"/>
  <c r="M25" i="4"/>
  <c r="L25" i="4"/>
  <c r="N25" i="4" s="1"/>
  <c r="K25" i="4"/>
  <c r="S25" i="4" s="1"/>
  <c r="H25" i="4"/>
  <c r="M24" i="4"/>
  <c r="L24" i="4"/>
  <c r="N24" i="4" s="1"/>
  <c r="K24" i="4"/>
  <c r="S24" i="4" s="1"/>
  <c r="H24" i="4"/>
  <c r="M23" i="4"/>
  <c r="L23" i="4"/>
  <c r="N23" i="4" s="1"/>
  <c r="K23" i="4"/>
  <c r="S23" i="4" s="1"/>
  <c r="H23" i="4"/>
  <c r="M22" i="4"/>
  <c r="L22" i="4"/>
  <c r="K22" i="4"/>
  <c r="S22" i="4" s="1"/>
  <c r="H22" i="4"/>
  <c r="M21" i="4"/>
  <c r="L21" i="4"/>
  <c r="N21" i="4" s="1"/>
  <c r="K21" i="4"/>
  <c r="S21" i="4" s="1"/>
  <c r="H21" i="4"/>
  <c r="M20" i="4"/>
  <c r="K20" i="4"/>
  <c r="K10" i="4"/>
  <c r="N41" i="1"/>
  <c r="R22" i="1"/>
  <c r="K22" i="1"/>
  <c r="L22" i="1"/>
  <c r="M22" i="1"/>
  <c r="S22" i="1" s="1"/>
  <c r="K23" i="1"/>
  <c r="L23" i="1"/>
  <c r="R23" i="1" s="1"/>
  <c r="M23" i="1"/>
  <c r="S23" i="1" s="1"/>
  <c r="K24" i="1"/>
  <c r="L24" i="1"/>
  <c r="M24" i="1"/>
  <c r="S24" i="1" s="1"/>
  <c r="K25" i="1"/>
  <c r="L25" i="1"/>
  <c r="M25" i="1"/>
  <c r="S25" i="1" s="1"/>
  <c r="H25" i="1"/>
  <c r="H24" i="1"/>
  <c r="H22" i="1"/>
  <c r="H23" i="1"/>
  <c r="K21" i="1"/>
  <c r="J34" i="1"/>
  <c r="K10" i="1"/>
  <c r="P27" i="7" l="1"/>
  <c r="Q27" i="7" s="1"/>
  <c r="S23" i="7"/>
  <c r="H30" i="7"/>
  <c r="H31" i="7" s="1"/>
  <c r="H32" i="7" s="1"/>
  <c r="R24" i="7"/>
  <c r="R23" i="7"/>
  <c r="S24" i="7"/>
  <c r="N26" i="7"/>
  <c r="O26" i="7"/>
  <c r="R26" i="7"/>
  <c r="R25" i="7"/>
  <c r="S22" i="7"/>
  <c r="N21" i="7"/>
  <c r="O21" i="7" s="1"/>
  <c r="S21" i="7"/>
  <c r="S29" i="7" s="1"/>
  <c r="R21" i="7"/>
  <c r="N24" i="7"/>
  <c r="O24" i="7" s="1"/>
  <c r="R22" i="7"/>
  <c r="L30" i="7"/>
  <c r="N25" i="7"/>
  <c r="O25" i="7" s="1"/>
  <c r="N22" i="7"/>
  <c r="O22" i="7" s="1"/>
  <c r="N23" i="7"/>
  <c r="O23" i="7" s="1"/>
  <c r="H28" i="6"/>
  <c r="H29" i="6" s="1"/>
  <c r="H30" i="6" s="1"/>
  <c r="S22" i="6"/>
  <c r="S27" i="6"/>
  <c r="L28" i="6"/>
  <c r="N24" i="6"/>
  <c r="O24" i="6" s="1"/>
  <c r="N21" i="6"/>
  <c r="O21" i="6" s="1"/>
  <c r="R21" i="6"/>
  <c r="R27" i="6" s="1"/>
  <c r="N25" i="6"/>
  <c r="O25" i="6" s="1"/>
  <c r="N22" i="6"/>
  <c r="O22" i="6" s="1"/>
  <c r="S21" i="5"/>
  <c r="H29" i="5"/>
  <c r="H30" i="5" s="1"/>
  <c r="S27" i="5"/>
  <c r="N21" i="5"/>
  <c r="O21" i="5" s="1"/>
  <c r="O29" i="5" s="1"/>
  <c r="O30" i="5" s="1"/>
  <c r="R21" i="5"/>
  <c r="R23" i="5"/>
  <c r="R25" i="5"/>
  <c r="O25" i="4"/>
  <c r="O23" i="4"/>
  <c r="R25" i="4"/>
  <c r="R23" i="4"/>
  <c r="O21" i="4"/>
  <c r="L28" i="4"/>
  <c r="O24" i="4"/>
  <c r="H28" i="4"/>
  <c r="H29" i="4" s="1"/>
  <c r="H30" i="4" s="1"/>
  <c r="R21" i="4"/>
  <c r="S27" i="4"/>
  <c r="N22" i="4"/>
  <c r="O22" i="4" s="1"/>
  <c r="R22" i="4"/>
  <c r="R24" i="4"/>
  <c r="N24" i="1"/>
  <c r="O24" i="1" s="1"/>
  <c r="N25" i="1"/>
  <c r="O25" i="1" s="1"/>
  <c r="N22" i="1"/>
  <c r="O22" i="1" s="1"/>
  <c r="R25" i="1"/>
  <c r="R24" i="1"/>
  <c r="N23" i="1"/>
  <c r="O23" i="1" s="1"/>
  <c r="J42" i="1"/>
  <c r="O31" i="7" l="1"/>
  <c r="O32" i="7" s="1"/>
  <c r="Q43" i="7" s="1"/>
  <c r="R29" i="7"/>
  <c r="R31" i="7" s="1"/>
  <c r="R32" i="7" s="1"/>
  <c r="R33" i="7" s="1"/>
  <c r="R29" i="6"/>
  <c r="O29" i="6"/>
  <c r="O30" i="6" s="1"/>
  <c r="R30" i="6"/>
  <c r="R31" i="6" s="1"/>
  <c r="Q41" i="5"/>
  <c r="O31" i="5"/>
  <c r="O32" i="5"/>
  <c r="R27" i="5"/>
  <c r="R29" i="5" s="1"/>
  <c r="O29" i="4"/>
  <c r="O30" i="4" s="1"/>
  <c r="Q41" i="4" s="1"/>
  <c r="R27" i="4"/>
  <c r="R29" i="4" s="1"/>
  <c r="R30" i="4" s="1"/>
  <c r="R31" i="4" s="1"/>
  <c r="L21" i="1"/>
  <c r="M21" i="1"/>
  <c r="S21" i="1" s="1"/>
  <c r="S27" i="1" s="1"/>
  <c r="O33" i="7" l="1"/>
  <c r="O34" i="7" s="1"/>
  <c r="L36" i="7" s="1"/>
  <c r="N36" i="7" s="1"/>
  <c r="N42" i="7" s="1"/>
  <c r="N43" i="7" s="1"/>
  <c r="Q41" i="6"/>
  <c r="O31" i="6"/>
  <c r="O32" i="6" s="1"/>
  <c r="R30" i="5"/>
  <c r="R31" i="5" s="1"/>
  <c r="S48" i="5"/>
  <c r="L34" i="5"/>
  <c r="N34" i="5" s="1"/>
  <c r="N40" i="5" s="1"/>
  <c r="O31" i="4"/>
  <c r="O32" i="4" s="1"/>
  <c r="S48" i="4" s="1"/>
  <c r="L28" i="1"/>
  <c r="R21" i="1"/>
  <c r="R27" i="1" s="1"/>
  <c r="R29" i="1" s="1"/>
  <c r="N21" i="1"/>
  <c r="O21" i="1" s="1"/>
  <c r="O29" i="1" s="1"/>
  <c r="N35" i="1"/>
  <c r="S50" i="7" l="1"/>
  <c r="N45" i="7"/>
  <c r="N44" i="7"/>
  <c r="P20" i="7" s="1"/>
  <c r="P26" i="7" s="1"/>
  <c r="Q26" i="7" s="1"/>
  <c r="L34" i="6"/>
  <c r="N34" i="6" s="1"/>
  <c r="N40" i="6" s="1"/>
  <c r="N43" i="6" s="1"/>
  <c r="S48" i="6"/>
  <c r="N43" i="5"/>
  <c r="N42" i="5"/>
  <c r="P20" i="5" s="1"/>
  <c r="L34" i="4"/>
  <c r="N34" i="4" s="1"/>
  <c r="N40" i="4" s="1"/>
  <c r="N41" i="4" s="1"/>
  <c r="N43" i="4" s="1"/>
  <c r="R30" i="1"/>
  <c r="R31" i="1" s="1"/>
  <c r="O30" i="1"/>
  <c r="S47" i="1"/>
  <c r="P25" i="7" l="1"/>
  <c r="Q25" i="7" s="1"/>
  <c r="P24" i="7"/>
  <c r="Q24" i="7" s="1"/>
  <c r="P21" i="7"/>
  <c r="Q21" i="7" s="1"/>
  <c r="P23" i="7"/>
  <c r="Q23" i="7" s="1"/>
  <c r="P22" i="7"/>
  <c r="Q22" i="7" s="1"/>
  <c r="N42" i="6"/>
  <c r="P20" i="6" s="1"/>
  <c r="P21" i="6" s="1"/>
  <c r="Q21" i="6" s="1"/>
  <c r="P24" i="5"/>
  <c r="Q24" i="5" s="1"/>
  <c r="P22" i="5"/>
  <c r="Q22" i="5" s="1"/>
  <c r="P25" i="5"/>
  <c r="Q25" i="5" s="1"/>
  <c r="P23" i="5"/>
  <c r="Q23" i="5" s="1"/>
  <c r="P21" i="5"/>
  <c r="Q21" i="5" s="1"/>
  <c r="N42" i="4"/>
  <c r="P20" i="4" s="1"/>
  <c r="P24" i="4" s="1"/>
  <c r="Q24" i="4" s="1"/>
  <c r="O31" i="1"/>
  <c r="M20" i="1"/>
  <c r="K20" i="1"/>
  <c r="P24" i="6" l="1"/>
  <c r="Q24" i="6" s="1"/>
  <c r="P22" i="6"/>
  <c r="Q22" i="6" s="1"/>
  <c r="P25" i="6"/>
  <c r="Q25" i="6" s="1"/>
  <c r="P23" i="6"/>
  <c r="Q23" i="6" s="1"/>
  <c r="P22" i="4"/>
  <c r="Q22" i="4" s="1"/>
  <c r="P23" i="4"/>
  <c r="Q23" i="4" s="1"/>
  <c r="P25" i="4"/>
  <c r="Q25" i="4" s="1"/>
  <c r="P21" i="4"/>
  <c r="Q21" i="4" s="1"/>
  <c r="N36" i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5" i="1" l="1"/>
  <c r="Q25" i="1" s="1"/>
  <c r="P24" i="1"/>
  <c r="Q24" i="1" s="1"/>
  <c r="P23" i="1"/>
  <c r="Q23" i="1" s="1"/>
  <c r="P22" i="1"/>
  <c r="Q22" i="1" s="1"/>
  <c r="P21" i="1"/>
  <c r="Q21" i="1" s="1"/>
  <c r="F15" i="3"/>
  <c r="H21" i="1" l="1"/>
  <c r="H28" i="1" l="1"/>
  <c r="H29" i="1" l="1"/>
  <c r="H3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<sst xmlns="http://schemas.openxmlformats.org/spreadsheetml/2006/main" count="596" uniqueCount="172">
  <si>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</si>
  <si>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</si>
  <si>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</si>
  <si>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</si>
  <si>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</si>
  <si>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</si>
  <si>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</si>
  <si>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</si>
  <si>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</si>
  <si>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</si>
  <si>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</si>
  <si>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</si>
  <si>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</si>
  <si>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</si>
  <si>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</si>
  <si>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</si>
  <si>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</si>
  <si>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</si>
  <si>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</si>
  <si>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</si>
  <si>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</si>
  <si>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</si>
  <si>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</si>
  <si>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</si>
  <si>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</si>
  <si>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</si>
  <si>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</si>
  <si>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</si>
  <si>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</si>
  <si>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</si>
  <si>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</si>
  <si>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</si>
  <si>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</si>
  <si>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</si>
  <si>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</si>
  <si>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</si>
  <si>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</si>
  <si>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</si>
  <si>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</si>
  <si>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</si>
  <si>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</si>
  <si>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</si>
  <si>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</si>
  <si>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</si>
  <si>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</si>
  <si>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</si>
  <si>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</si>
  <si>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</si>
  <si>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</si>
  <si>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</si>
  <si>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</si>
  <si>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</si>
  <si>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</si>
  <si>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</si>
  <si>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</si>
  <si>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</si>
  <si>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</si>
  <si>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</si>
  <si>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</si>
  <si>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</si>
  <si>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</si>
  <si>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</si>
  <si>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</si>
  <si>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</si>
  <si>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</si>
  <si>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</si>
  <si>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</si>
  <si>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</si>
  <si>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</si>
  <si>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</si>
  <si>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</si>
  <si>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</si>
  <si>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</si>
  <si>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</si>
  <si>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</si>
  <si>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</si>
  <si>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</si>
  <si>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</si>
  <si>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</si>
  <si>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</si>
  <si>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</si>
  <si>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</si>
  <si>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</si>
  <si>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</si>
  <si>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</si>
  <si>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</si>
  <si>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</si>
  <si>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</si>
  <si>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</si>
  <si>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</si>
  <si>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</si>
  <si>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</si>
  <si>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</si>
  <si>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</si>
  <si>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</si>
  <si>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</si>
  <si>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</si>
  <si>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</si>
  <si>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</si>
  <si>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</si>
  <si>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</si>
  <si>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</si>
  <si>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</si>
  <si>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</si>
  <si>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</si>
  <si>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</si>
  <si>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</si>
  <si>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</si>
  <si>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</si>
  <si>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</si>
  <si>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</si>
  <si>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</si>
  <si>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</si>
  <si>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</si>
  <si>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</si>
  <si>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</si>
  <si>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</si>
  <si>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</si>
  <si>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</si>
  <si>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</si>
  <si>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</si>
  <si>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</si>
  <si>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</si>
  <si>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</si>
  <si>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</si>
  <si>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</si>
  <si>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</si>
  <si>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</si>
  <si>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</si>
  <si>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</si>
  <si>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</si>
  <si>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</si>
  <si>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</si>
  <si>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</si>
  <si>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</si>
  <si>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</si>
  <si>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</si>
  <si>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</si>
  <si>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</si>
  <si>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</si>
  <si>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</si>
  <si>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</si>
  <si>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</si>
  <si>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</si>
  <si>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</si>
  <si>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</si>
  <si>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</si>
  <si>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</si>
  <si>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</si>
  <si>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</si>
  <si>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</si>
  <si>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</si>
  <si>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</si>
  <si>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</si>
  <si>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</si>
  <si>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</si>
  <si>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</si>
  <si>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+569 9744 8059</t>
  </si>
  <si>
    <t>N° 10935</t>
  </si>
  <si>
    <t>CONSTRUCTORA BAYO</t>
  </si>
  <si>
    <t>PAULO SALGADO</t>
  </si>
  <si>
    <t>PROYECTO: CONFUTURO</t>
  </si>
  <si>
    <t>LICITACION</t>
  </si>
  <si>
    <t>E/R 2 CARAS</t>
  </si>
  <si>
    <t>CARBON 2192 MT</t>
  </si>
  <si>
    <t>TAPACANTO PVC 2MM</t>
  </si>
  <si>
    <t>se</t>
  </si>
  <si>
    <t>COLOR X DEFINIR</t>
  </si>
  <si>
    <t>COLOR DEFENIR</t>
  </si>
  <si>
    <t>PLETINA DE ACERO</t>
  </si>
  <si>
    <t>PERNO SUJECION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</si>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</sst>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34</xdr:row>
      <xdr:rowOff>28575</xdr:rowOff>
    </xdr:from>
    <xdr:to>
      <xdr:col>8</xdr:col>
      <xdr:colOff>100890</xdr:colOff>
      <xdr:row>37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CB05BF4-0D39-4594-992F-35628C526258}"/>
            </a:ext>
          </a:extLst>
        </xdr:cNvPr>
        <xdr:cNvSpPr/>
      </xdr:nvSpPr>
      <xdr:spPr>
        <a:xfrm>
          <a:off x="6981825" y="665035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C6C87F0C-FB36-4E67-9447-FB2C2E4F4B49}"/>
            </a:ext>
          </a:extLst>
        </xdr:cNvPr>
        <xdr:cNvCxnSpPr/>
      </xdr:nvCxnSpPr>
      <xdr:spPr>
        <a:xfrm>
          <a:off x="7195185" y="72180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5AA7F69E-176A-4A85-B10A-B3BFED4A6FE3}"/>
            </a:ext>
          </a:extLst>
        </xdr:cNvPr>
        <xdr:cNvSpPr/>
      </xdr:nvSpPr>
      <xdr:spPr>
        <a:xfrm>
          <a:off x="390525" y="6631305"/>
          <a:ext cx="633793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28</xdr:row>
      <xdr:rowOff>169545</xdr:rowOff>
    </xdr:from>
    <xdr:to>
      <xdr:col>5</xdr:col>
      <xdr:colOff>1764030</xdr:colOff>
      <xdr:row>32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D59FD91-2668-4473-B808-334A1407ECAA}"/>
            </a:ext>
          </a:extLst>
        </xdr:cNvPr>
        <xdr:cNvSpPr/>
      </xdr:nvSpPr>
      <xdr:spPr>
        <a:xfrm>
          <a:off x="548640" y="5450205"/>
          <a:ext cx="622935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MELAMIL 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C45DAAC-8FAD-4C39-AB54-796C3599A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A6581A0-49A6-457E-9003-EE0F2B9E7E67}"/>
            </a:ext>
          </a:extLst>
        </xdr:cNvPr>
        <xdr:cNvSpPr/>
      </xdr:nvSpPr>
      <xdr:spPr>
        <a:xfrm>
          <a:off x="6981825" y="665035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24AE2A7-EA62-4796-94C2-B80149DEDD26}"/>
            </a:ext>
          </a:extLst>
        </xdr:cNvPr>
        <xdr:cNvCxnSpPr/>
      </xdr:nvCxnSpPr>
      <xdr:spPr>
        <a:xfrm>
          <a:off x="7195185" y="72180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B807BDE-8A54-4DB8-8DBD-D699A369DC0D}"/>
            </a:ext>
          </a:extLst>
        </xdr:cNvPr>
        <xdr:cNvSpPr/>
      </xdr:nvSpPr>
      <xdr:spPr>
        <a:xfrm>
          <a:off x="390525" y="6631305"/>
          <a:ext cx="633793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4D1E972-87ED-44C9-A3D5-0B4E4DB22C2E}"/>
            </a:ext>
          </a:extLst>
        </xdr:cNvPr>
        <xdr:cNvSpPr/>
      </xdr:nvSpPr>
      <xdr:spPr>
        <a:xfrm>
          <a:off x="548640" y="5450205"/>
          <a:ext cx="622935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MELAMIL 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7E9FB8A-A54A-451B-8298-D6569EEFA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80970EA-A3AE-4E56-B705-AEEDE665AFC4}"/>
            </a:ext>
          </a:extLst>
        </xdr:cNvPr>
        <xdr:cNvSpPr/>
      </xdr:nvSpPr>
      <xdr:spPr>
        <a:xfrm>
          <a:off x="6981825" y="665035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24B7A11-3378-44AC-BECF-7CDCE2E8FBA8}"/>
            </a:ext>
          </a:extLst>
        </xdr:cNvPr>
        <xdr:cNvCxnSpPr/>
      </xdr:nvCxnSpPr>
      <xdr:spPr>
        <a:xfrm>
          <a:off x="7195185" y="72180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D59F627-BDA9-4FD5-B8E5-43AEBB3341F9}"/>
            </a:ext>
          </a:extLst>
        </xdr:cNvPr>
        <xdr:cNvSpPr/>
      </xdr:nvSpPr>
      <xdr:spPr>
        <a:xfrm>
          <a:off x="390525" y="6631305"/>
          <a:ext cx="633793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F88B2D5-A8DC-4DA5-A136-0E65726C54EE}"/>
            </a:ext>
          </a:extLst>
        </xdr:cNvPr>
        <xdr:cNvSpPr/>
      </xdr:nvSpPr>
      <xdr:spPr>
        <a:xfrm>
          <a:off x="548640" y="5450205"/>
          <a:ext cx="622935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MELAMIL 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2563B13-DE60-4CA9-866D-0FBA0D0BF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C616C0A-A250-48B4-A02F-B02D839CF37D}"/>
            </a:ext>
          </a:extLst>
        </xdr:cNvPr>
        <xdr:cNvSpPr/>
      </xdr:nvSpPr>
      <xdr:spPr>
        <a:xfrm>
          <a:off x="6981825" y="665035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AC52F32-2AD1-4791-BA9E-338CD5225CBE}"/>
            </a:ext>
          </a:extLst>
        </xdr:cNvPr>
        <xdr:cNvCxnSpPr/>
      </xdr:nvCxnSpPr>
      <xdr:spPr>
        <a:xfrm>
          <a:off x="7195185" y="72180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CBD1F91-2CDE-4769-AC1C-A3DC815C06E4}"/>
            </a:ext>
          </a:extLst>
        </xdr:cNvPr>
        <xdr:cNvSpPr/>
      </xdr:nvSpPr>
      <xdr:spPr>
        <a:xfrm>
          <a:off x="390525" y="6631305"/>
          <a:ext cx="633793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F1306EB-14E2-481A-B468-9E8A10827105}"/>
            </a:ext>
          </a:extLst>
        </xdr:cNvPr>
        <xdr:cNvSpPr/>
      </xdr:nvSpPr>
      <xdr:spPr>
        <a:xfrm>
          <a:off x="548640" y="5450205"/>
          <a:ext cx="622935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MELAMIL 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76D9872-25CE-4E3A-BB4C-6CEF0409F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MELAMIL 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94ED-D5D6-44B2-90C8-5ECA9B4C0658}">
  <sheetPr>
    <pageSetUpPr fitToPage="1"/>
  </sheetPr>
  <dimension ref="B2:X587"/>
  <sheetViews>
    <sheetView tabSelected="1" topLeftCell="D20" zoomScale="98" zoomScaleNormal="98" workbookViewId="0">
      <selection activeCell="U36" sqref="U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1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45408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160</v>
      </c>
      <c r="D13" s="247"/>
      <c r="E13" s="247"/>
      <c r="F13" s="247" t="s">
        <v>161</v>
      </c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157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153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N44</f>
        <v>160665.66392479438</v>
      </c>
      <c r="Q20" s="258">
        <v>30000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2</v>
      </c>
      <c r="C21" s="312" t="s">
        <v>163</v>
      </c>
      <c r="D21" s="313">
        <v>2.2799999999999998</v>
      </c>
      <c r="E21" s="313">
        <v>0.88</v>
      </c>
      <c r="F21" s="312" t="s">
        <v>164</v>
      </c>
      <c r="G21" s="314">
        <v>362578</v>
      </c>
      <c r="H21" s="315">
        <f t="shared" ref="H21:H25" si="1">G21*B21</f>
        <v>725156</v>
      </c>
      <c r="I21" s="265"/>
      <c r="J21" s="47"/>
      <c r="K21" s="325">
        <f>B21</f>
        <v>2</v>
      </c>
      <c r="L21" s="326">
        <f t="shared" ref="L21:M25" si="2">D21+L$19</f>
        <v>2.2999999999999998</v>
      </c>
      <c r="M21" s="326">
        <f t="shared" si="2"/>
        <v>0.9</v>
      </c>
      <c r="N21" s="261">
        <f>L21*M21</f>
        <v>2.0699999999999998</v>
      </c>
      <c r="O21" s="259">
        <f>N21*K21</f>
        <v>4.1399999999999997</v>
      </c>
      <c r="P21" s="252">
        <f>P$20*N21</f>
        <v>332577.92432432435</v>
      </c>
      <c r="Q21" s="258">
        <f>P21+Q$20</f>
        <v>362577.92432432435</v>
      </c>
      <c r="R21" s="308">
        <f>K21*L21*2</f>
        <v>9.1999999999999993</v>
      </c>
      <c r="S21" s="46">
        <f>K21*M21*2</f>
        <v>3.6</v>
      </c>
      <c r="T21" s="9"/>
      <c r="W21" s="4"/>
    </row>
    <row r="22" spans="2:24" ht="17.399999999999999" x14ac:dyDescent="0.3">
      <c r="B22" s="323">
        <v>1</v>
      </c>
      <c r="C22" s="312" t="s">
        <v>163</v>
      </c>
      <c r="D22" s="313">
        <v>2.2799999999999998</v>
      </c>
      <c r="E22" s="313">
        <v>0.9</v>
      </c>
      <c r="F22" s="312" t="s">
        <v>164</v>
      </c>
      <c r="G22" s="314">
        <v>369969</v>
      </c>
      <c r="H22" s="315">
        <f t="shared" si="1"/>
        <v>369969</v>
      </c>
      <c r="I22" s="265"/>
      <c r="J22" s="47"/>
      <c r="K22" s="325">
        <f>B22</f>
        <v>1</v>
      </c>
      <c r="L22" s="326">
        <f t="shared" si="2"/>
        <v>2.2999999999999998</v>
      </c>
      <c r="M22" s="326">
        <f t="shared" si="2"/>
        <v>0.92</v>
      </c>
      <c r="N22" s="261">
        <f t="shared" ref="N22:N25" si="3">L22*M22</f>
        <v>2.1160000000000001</v>
      </c>
      <c r="O22" s="259">
        <f t="shared" ref="O22:O25" si="4">N22*K22</f>
        <v>2.1160000000000001</v>
      </c>
      <c r="P22" s="252">
        <f t="shared" ref="P22:P25" si="5">P$20*N22</f>
        <v>339968.5448648649</v>
      </c>
      <c r="Q22" s="258">
        <f t="shared" ref="Q22:Q25" si="6">P22+Q$20</f>
        <v>369968.5448648649</v>
      </c>
      <c r="R22" s="308">
        <f t="shared" ref="R22:R25" si="7">K22*L22*2</f>
        <v>4.5999999999999996</v>
      </c>
      <c r="S22" s="46">
        <f>K22*M22*2</f>
        <v>1.84</v>
      </c>
      <c r="T22" s="9"/>
      <c r="W22" s="4"/>
    </row>
    <row r="23" spans="2:24" ht="17.399999999999999" x14ac:dyDescent="0.3">
      <c r="B23" s="323">
        <v>2</v>
      </c>
      <c r="C23" s="312" t="s">
        <v>163</v>
      </c>
      <c r="D23" s="313">
        <v>2.2799999999999998</v>
      </c>
      <c r="E23" s="313">
        <v>0.66</v>
      </c>
      <c r="F23" s="312" t="s">
        <v>164</v>
      </c>
      <c r="G23" s="314">
        <v>281281</v>
      </c>
      <c r="H23" s="315">
        <f t="shared" si="1"/>
        <v>562562</v>
      </c>
      <c r="I23" s="265"/>
      <c r="J23" s="47"/>
      <c r="K23" s="325">
        <f t="shared" ref="K23:K26" si="8">B23</f>
        <v>2</v>
      </c>
      <c r="L23" s="326">
        <f t="shared" si="2"/>
        <v>2.2999999999999998</v>
      </c>
      <c r="M23" s="326">
        <f t="shared" si="2"/>
        <v>0.68</v>
      </c>
      <c r="N23" s="261">
        <f t="shared" si="3"/>
        <v>1.5640000000000001</v>
      </c>
      <c r="O23" s="259">
        <f t="shared" si="4"/>
        <v>3.1280000000000001</v>
      </c>
      <c r="P23" s="252">
        <f t="shared" si="5"/>
        <v>251281.09837837843</v>
      </c>
      <c r="Q23" s="258">
        <f t="shared" si="6"/>
        <v>281281.09837837843</v>
      </c>
      <c r="R23" s="308">
        <f t="shared" si="7"/>
        <v>9.1999999999999993</v>
      </c>
      <c r="S23" s="46">
        <f t="shared" ref="S23:S25" si="9">K23*M23*2</f>
        <v>2.72</v>
      </c>
      <c r="T23" s="9"/>
      <c r="W23" s="4"/>
    </row>
    <row r="24" spans="2:24" ht="17.399999999999999" x14ac:dyDescent="0.3">
      <c r="B24" s="323">
        <v>3</v>
      </c>
      <c r="C24" s="312" t="s">
        <v>163</v>
      </c>
      <c r="D24" s="313">
        <v>2.2799999999999998</v>
      </c>
      <c r="E24" s="313">
        <v>0.8</v>
      </c>
      <c r="F24" s="312" t="s">
        <v>164</v>
      </c>
      <c r="G24" s="314">
        <v>333015</v>
      </c>
      <c r="H24" s="315">
        <f t="shared" si="1"/>
        <v>999045</v>
      </c>
      <c r="I24" s="265"/>
      <c r="J24" s="47"/>
      <c r="K24" s="325">
        <f t="shared" si="8"/>
        <v>3</v>
      </c>
      <c r="L24" s="326">
        <f t="shared" si="2"/>
        <v>2.2999999999999998</v>
      </c>
      <c r="M24" s="326">
        <f t="shared" si="2"/>
        <v>0.82000000000000006</v>
      </c>
      <c r="N24" s="261">
        <f t="shared" si="3"/>
        <v>1.8859999999999999</v>
      </c>
      <c r="O24" s="259">
        <f t="shared" si="4"/>
        <v>5.6579999999999995</v>
      </c>
      <c r="P24" s="252">
        <f t="shared" si="5"/>
        <v>303015.44216216222</v>
      </c>
      <c r="Q24" s="258">
        <f t="shared" si="6"/>
        <v>333015.44216216222</v>
      </c>
      <c r="R24" s="308">
        <f t="shared" si="7"/>
        <v>13.799999999999999</v>
      </c>
      <c r="S24" s="46">
        <f t="shared" si="9"/>
        <v>4.92</v>
      </c>
      <c r="T24" s="9"/>
      <c r="W24" s="4"/>
    </row>
    <row r="25" spans="2:24" ht="17.399999999999999" x14ac:dyDescent="0.3">
      <c r="B25" s="323">
        <v>2</v>
      </c>
      <c r="C25" s="312" t="s">
        <v>163</v>
      </c>
      <c r="D25" s="313">
        <v>2.2799999999999998</v>
      </c>
      <c r="E25" s="313">
        <v>0.7</v>
      </c>
      <c r="F25" s="312" t="s">
        <v>164</v>
      </c>
      <c r="G25" s="314">
        <v>296062</v>
      </c>
      <c r="H25" s="315">
        <f t="shared" si="1"/>
        <v>592124</v>
      </c>
      <c r="I25" s="265"/>
      <c r="J25" s="47"/>
      <c r="K25" s="325">
        <f t="shared" si="8"/>
        <v>2</v>
      </c>
      <c r="L25" s="326">
        <f t="shared" si="2"/>
        <v>2.2999999999999998</v>
      </c>
      <c r="M25" s="326">
        <f t="shared" si="2"/>
        <v>0.72</v>
      </c>
      <c r="N25" s="261">
        <f t="shared" si="3"/>
        <v>1.6559999999999999</v>
      </c>
      <c r="O25" s="259">
        <f t="shared" si="4"/>
        <v>3.3119999999999998</v>
      </c>
      <c r="P25" s="252">
        <f t="shared" si="5"/>
        <v>266062.33945945947</v>
      </c>
      <c r="Q25" s="258">
        <f t="shared" si="6"/>
        <v>296062.33945945947</v>
      </c>
      <c r="R25" s="308">
        <f t="shared" si="7"/>
        <v>9.1999999999999993</v>
      </c>
      <c r="S25" s="46">
        <f t="shared" si="9"/>
        <v>2.88</v>
      </c>
      <c r="T25" s="9"/>
      <c r="W25" s="4"/>
    </row>
    <row r="26" spans="2:24" ht="17.399999999999999" x14ac:dyDescent="0.3">
      <c r="B26" s="323">
        <v>4</v>
      </c>
      <c r="C26" s="312" t="s">
        <v>163</v>
      </c>
      <c r="D26" s="313">
        <v>2.2799999999999998</v>
      </c>
      <c r="E26" s="313">
        <v>0.76</v>
      </c>
      <c r="F26" s="312" t="s">
        <v>164</v>
      </c>
      <c r="G26" s="314">
        <v>318234</v>
      </c>
      <c r="H26" s="315">
        <f t="shared" ref="H26" si="10">G26*B26</f>
        <v>1272936</v>
      </c>
      <c r="I26" s="265"/>
      <c r="J26" s="47"/>
      <c r="K26" s="325">
        <f t="shared" si="8"/>
        <v>4</v>
      </c>
      <c r="L26" s="326">
        <f t="shared" ref="L26" si="11">D26+L$19</f>
        <v>2.2999999999999998</v>
      </c>
      <c r="M26" s="326">
        <f t="shared" ref="M26" si="12">E26+M$19</f>
        <v>0.78</v>
      </c>
      <c r="N26" s="261">
        <f t="shared" ref="N26" si="13">L26*M26</f>
        <v>1.7939999999999998</v>
      </c>
      <c r="O26" s="259">
        <f t="shared" ref="O26" si="14">N26*K26</f>
        <v>7.1759999999999993</v>
      </c>
      <c r="P26" s="252">
        <f t="shared" ref="P26" si="15">P$20*N26</f>
        <v>288234.20108108112</v>
      </c>
      <c r="Q26" s="258">
        <f t="shared" ref="Q26" si="16">P26+Q$20</f>
        <v>318234.20108108112</v>
      </c>
      <c r="R26" s="308">
        <f t="shared" ref="R26" si="17">K26*L26*2</f>
        <v>18.399999999999999</v>
      </c>
      <c r="S26" s="46"/>
      <c r="T26" s="9"/>
      <c r="W26" s="4"/>
    </row>
    <row r="27" spans="2:24" ht="17.399999999999999" x14ac:dyDescent="0.3">
      <c r="B27" s="323">
        <v>6</v>
      </c>
      <c r="C27" s="312" t="s">
        <v>163</v>
      </c>
      <c r="D27" s="313">
        <v>1.52</v>
      </c>
      <c r="E27" s="313">
        <v>0.45</v>
      </c>
      <c r="F27" s="312" t="s">
        <v>164</v>
      </c>
      <c r="G27" s="314">
        <v>146290</v>
      </c>
      <c r="H27" s="315">
        <f t="shared" ref="H27" si="18">G27*B27</f>
        <v>877740</v>
      </c>
      <c r="I27" s="265"/>
      <c r="J27" s="47"/>
      <c r="K27" s="325">
        <f t="shared" ref="K27" si="19">B27</f>
        <v>6</v>
      </c>
      <c r="L27" s="326">
        <f t="shared" ref="L27" si="20">D27+L$19</f>
        <v>1.54</v>
      </c>
      <c r="M27" s="326">
        <f t="shared" ref="M27" si="21">E27+M$19</f>
        <v>0.47000000000000003</v>
      </c>
      <c r="N27" s="261">
        <f t="shared" ref="N27" si="22">L27*M27</f>
        <v>0.72380000000000011</v>
      </c>
      <c r="O27" s="259">
        <f t="shared" ref="O27" si="23">N27*K27</f>
        <v>4.3428000000000004</v>
      </c>
      <c r="P27" s="252">
        <f t="shared" ref="P27" si="24">P$20*N27</f>
        <v>116289.80754876618</v>
      </c>
      <c r="Q27" s="258">
        <f t="shared" ref="Q27" si="25">P27+Q$20</f>
        <v>146289.8075487662</v>
      </c>
      <c r="R27" s="308">
        <f t="shared" ref="R27" si="26">K27*L27*2</f>
        <v>18.48</v>
      </c>
      <c r="S27" s="46"/>
      <c r="T27" s="9"/>
      <c r="W27" s="4"/>
    </row>
    <row r="28" spans="2:24" ht="17.399999999999999" x14ac:dyDescent="0.3">
      <c r="B28" s="286"/>
      <c r="C28" s="286"/>
      <c r="D28" s="287"/>
      <c r="E28" s="287"/>
      <c r="F28" s="286" t="s">
        <v>166</v>
      </c>
      <c r="G28" s="318"/>
      <c r="H28" s="318"/>
      <c r="I28" s="265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8" thickBot="1" x14ac:dyDescent="0.35">
      <c r="B29" s="286"/>
      <c r="C29" s="286"/>
      <c r="D29" s="287"/>
      <c r="E29" s="287"/>
      <c r="F29" s="286"/>
      <c r="G29" s="265"/>
      <c r="H29" s="232"/>
      <c r="I29" s="232"/>
      <c r="J29" s="47"/>
      <c r="K29" s="47"/>
      <c r="L29" s="39"/>
      <c r="M29" s="39"/>
      <c r="N29" s="261"/>
      <c r="O29" s="259"/>
      <c r="P29" s="252"/>
      <c r="Q29" s="258"/>
      <c r="R29" s="308">
        <f>SUM(R21:R28)</f>
        <v>82.88000000000001</v>
      </c>
      <c r="S29" s="46">
        <f>SUM(S21:S28)</f>
        <v>15.96</v>
      </c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309" t="s">
        <v>30</v>
      </c>
      <c r="H30" s="310">
        <f>SUM(H21:H29)</f>
        <v>5399532</v>
      </c>
      <c r="I30" s="265"/>
      <c r="J30" s="47"/>
      <c r="K30" s="47"/>
      <c r="L30" s="39">
        <f>SUM(L21:L29)</f>
        <v>15.34</v>
      </c>
      <c r="M30" s="39"/>
      <c r="N30" s="261"/>
      <c r="O30" s="259"/>
      <c r="P30" s="252"/>
      <c r="Q30" s="258"/>
      <c r="R30" s="308"/>
      <c r="S30" s="14"/>
      <c r="T30" s="9"/>
      <c r="W30" s="4"/>
    </row>
    <row r="31" spans="2:24" ht="17.399999999999999" x14ac:dyDescent="0.3">
      <c r="B31" s="280"/>
      <c r="C31" s="283"/>
      <c r="D31" s="284"/>
      <c r="E31" s="284"/>
      <c r="F31" s="285"/>
      <c r="G31" s="307" t="s">
        <v>52</v>
      </c>
      <c r="H31" s="304">
        <f>H30*0.19</f>
        <v>1025911.08</v>
      </c>
      <c r="I31" s="265"/>
      <c r="J31" s="47"/>
      <c r="K31" s="47"/>
      <c r="L31" s="39"/>
      <c r="M31" s="12"/>
      <c r="N31" s="12"/>
      <c r="O31" s="253">
        <f>SUM(O21:O26)</f>
        <v>25.529999999999998</v>
      </c>
      <c r="P31" s="14"/>
      <c r="Q31" s="12"/>
      <c r="R31" s="238">
        <f>R29+S29</f>
        <v>98.84</v>
      </c>
      <c r="S31" s="14"/>
      <c r="T31" s="9"/>
      <c r="W31" s="4"/>
    </row>
    <row r="32" spans="2:24" ht="18" thickBot="1" x14ac:dyDescent="0.35">
      <c r="B32" s="276"/>
      <c r="C32" s="282"/>
      <c r="D32" s="272"/>
      <c r="E32" s="272"/>
      <c r="F32" s="273"/>
      <c r="G32" s="281" t="s">
        <v>6</v>
      </c>
      <c r="H32" s="305">
        <f>H30+H31</f>
        <v>6425443.0800000001</v>
      </c>
      <c r="I32" s="265"/>
      <c r="J32" s="47"/>
      <c r="K32" s="47"/>
      <c r="L32" s="39"/>
      <c r="M32" s="12"/>
      <c r="N32" s="12"/>
      <c r="O32" s="253">
        <f>O31</f>
        <v>25.529999999999998</v>
      </c>
      <c r="P32" s="14"/>
      <c r="Q32" s="12"/>
      <c r="R32" s="238">
        <f>R31*20%</f>
        <v>19.768000000000001</v>
      </c>
      <c r="S32" s="14"/>
      <c r="T32" s="9"/>
      <c r="W32" s="4"/>
    </row>
    <row r="33" spans="2:23" ht="17.399999999999999" x14ac:dyDescent="0.3">
      <c r="B33" s="276"/>
      <c r="C33" s="271"/>
      <c r="D33" s="272"/>
      <c r="E33" s="272"/>
      <c r="F33" s="273"/>
      <c r="I33" s="265"/>
      <c r="J33" s="47">
        <v>28</v>
      </c>
      <c r="K33" s="47"/>
      <c r="L33" s="14"/>
      <c r="M33" s="12"/>
      <c r="N33" s="12"/>
      <c r="O33" s="39">
        <f>O32*20%</f>
        <v>5.1059999999999999</v>
      </c>
      <c r="P33" s="39" t="s">
        <v>131</v>
      </c>
      <c r="Q33" s="42"/>
      <c r="R33" s="239">
        <f>R31+R32</f>
        <v>118.608</v>
      </c>
      <c r="S33" s="14"/>
      <c r="T33" s="9"/>
      <c r="W33" s="4"/>
    </row>
    <row r="34" spans="2:23" ht="17.399999999999999" x14ac:dyDescent="0.3">
      <c r="B34" s="271"/>
      <c r="C34" s="271"/>
      <c r="D34" s="272"/>
      <c r="E34" s="272"/>
      <c r="F34" s="273"/>
      <c r="G34" s="274"/>
      <c r="H34" s="275"/>
      <c r="I34" s="265"/>
      <c r="J34" s="320">
        <v>32</v>
      </c>
      <c r="K34" s="47"/>
      <c r="L34" s="14"/>
      <c r="M34" s="12"/>
      <c r="N34" s="12"/>
      <c r="O34" s="46">
        <f>O32+O33</f>
        <v>30.635999999999996</v>
      </c>
      <c r="P34" s="14"/>
      <c r="Q34" s="14"/>
      <c r="R34" s="237">
        <v>40</v>
      </c>
      <c r="S34" s="14"/>
      <c r="T34" s="9"/>
      <c r="W34" s="4"/>
    </row>
    <row r="35" spans="2:23" ht="17.399999999999999" x14ac:dyDescent="0.35">
      <c r="B35" s="269"/>
      <c r="C35" s="230"/>
      <c r="D35" s="230"/>
      <c r="E35" s="232"/>
      <c r="F35" s="233"/>
      <c r="G35" s="230"/>
      <c r="H35" s="275"/>
      <c r="I35" s="265"/>
      <c r="J35" s="320">
        <v>8</v>
      </c>
      <c r="K35" s="47"/>
      <c r="L35" s="14"/>
      <c r="M35" s="14"/>
      <c r="N35" s="14"/>
      <c r="O35" s="14"/>
      <c r="P35" s="14"/>
      <c r="Q35" s="14"/>
      <c r="R35" s="237"/>
      <c r="S35" s="14"/>
      <c r="T35" s="9"/>
      <c r="W35" s="4"/>
    </row>
    <row r="36" spans="2:23" ht="17.399999999999999" x14ac:dyDescent="0.35">
      <c r="B36" s="234"/>
      <c r="C36" s="235"/>
      <c r="D36" s="236"/>
      <c r="E36" s="234"/>
      <c r="F36" s="230"/>
      <c r="G36" s="230"/>
      <c r="I36" s="265"/>
      <c r="J36" s="47">
        <f>SUM(J33:J35)</f>
        <v>68</v>
      </c>
      <c r="K36" s="47"/>
      <c r="L36" s="39">
        <f>O34*2</f>
        <v>61.271999999999991</v>
      </c>
      <c r="M36" s="12">
        <v>3500</v>
      </c>
      <c r="N36" s="12">
        <f t="shared" ref="N36:N41" si="27">L36*M36</f>
        <v>214451.99999999997</v>
      </c>
      <c r="O36" s="14" t="s">
        <v>22</v>
      </c>
      <c r="P36" s="14" t="s">
        <v>23</v>
      </c>
      <c r="Q36" s="14"/>
      <c r="R36" s="240"/>
      <c r="S36" s="14"/>
      <c r="T36" s="9"/>
      <c r="W36" s="4"/>
    </row>
    <row r="37" spans="2:23" ht="17.399999999999999" x14ac:dyDescent="0.35">
      <c r="B37" s="230"/>
      <c r="C37" s="230"/>
      <c r="D37" s="230"/>
      <c r="E37" s="230"/>
      <c r="F37" s="230"/>
      <c r="G37" s="230"/>
      <c r="I37" s="265"/>
      <c r="J37" s="47"/>
      <c r="K37" s="47"/>
      <c r="L37" s="249">
        <v>10</v>
      </c>
      <c r="M37" s="12">
        <v>25000</v>
      </c>
      <c r="N37" s="12">
        <f t="shared" si="27"/>
        <v>250000</v>
      </c>
      <c r="O37" s="39" t="s">
        <v>155</v>
      </c>
      <c r="P37" s="42"/>
      <c r="Q37" s="14"/>
      <c r="R37" s="239"/>
      <c r="S37" s="14"/>
      <c r="T37" s="9"/>
      <c r="W37" s="4"/>
    </row>
    <row r="38" spans="2:23" s="230" customFormat="1" ht="17.399999999999999" x14ac:dyDescent="0.35">
      <c r="I38" s="262"/>
      <c r="J38" s="47"/>
      <c r="K38" s="250"/>
      <c r="L38" s="14"/>
      <c r="M38" s="250">
        <v>20000</v>
      </c>
      <c r="N38" s="12">
        <f t="shared" si="27"/>
        <v>0</v>
      </c>
      <c r="O38" s="39" t="s">
        <v>171</v>
      </c>
      <c r="P38" s="42"/>
      <c r="R38" s="239"/>
      <c r="S38" s="256"/>
      <c r="V38" s="231"/>
    </row>
    <row r="39" spans="2:23" s="230" customFormat="1" ht="17.399999999999999" x14ac:dyDescent="0.35">
      <c r="B39" s="24" t="s">
        <v>152</v>
      </c>
      <c r="I39" s="262"/>
      <c r="J39" s="319"/>
      <c r="K39" s="250"/>
      <c r="L39" s="14">
        <v>28</v>
      </c>
      <c r="M39" s="250">
        <v>50000</v>
      </c>
      <c r="N39" s="12">
        <f t="shared" si="27"/>
        <v>1400000</v>
      </c>
      <c r="O39" s="14" t="s">
        <v>142</v>
      </c>
      <c r="P39" s="17"/>
      <c r="R39" s="237"/>
      <c r="S39" s="256"/>
      <c r="V39" s="231"/>
    </row>
    <row r="40" spans="2:23" s="230" customFormat="1" ht="17.399999999999999" x14ac:dyDescent="0.35">
      <c r="B40" s="24" t="s">
        <v>145</v>
      </c>
      <c r="C40"/>
      <c r="D40"/>
      <c r="E40"/>
      <c r="F40"/>
      <c r="I40" s="262"/>
      <c r="J40" s="319"/>
      <c r="K40" s="250"/>
      <c r="L40" s="249"/>
      <c r="M40" s="250">
        <v>4000</v>
      </c>
      <c r="N40" s="12">
        <f t="shared" si="27"/>
        <v>0</v>
      </c>
      <c r="O40" s="14" t="s">
        <v>170</v>
      </c>
      <c r="P40" s="14"/>
      <c r="Q40" s="230">
        <v>1.52</v>
      </c>
      <c r="R40" s="237"/>
      <c r="S40" s="237"/>
    </row>
    <row r="41" spans="2:23" s="230" customFormat="1" ht="17.399999999999999" x14ac:dyDescent="0.35">
      <c r="B41" s="29" t="s">
        <v>126</v>
      </c>
      <c r="C41"/>
      <c r="D41"/>
      <c r="E41"/>
      <c r="F41" s="229" t="s">
        <v>16</v>
      </c>
      <c r="I41" s="303"/>
      <c r="J41" s="47"/>
      <c r="K41" s="250"/>
      <c r="L41" s="266"/>
      <c r="M41" s="12">
        <v>1500</v>
      </c>
      <c r="N41" s="12">
        <f t="shared" si="27"/>
        <v>0</v>
      </c>
      <c r="O41" s="14" t="s">
        <v>24</v>
      </c>
      <c r="P41" s="14"/>
      <c r="Q41">
        <v>2.44</v>
      </c>
      <c r="R41"/>
      <c r="S41" s="237">
        <v>1500</v>
      </c>
      <c r="W41" s="231"/>
    </row>
    <row r="42" spans="2:23" s="230" customFormat="1" ht="17.399999999999999" x14ac:dyDescent="0.35">
      <c r="J42" s="47"/>
      <c r="K42" s="250"/>
      <c r="L42" s="14"/>
      <c r="M42" s="12"/>
      <c r="N42" s="12">
        <f>SUM(N36:N41)</f>
        <v>1864452</v>
      </c>
      <c r="O42" s="39" t="s">
        <v>25</v>
      </c>
      <c r="P42" s="14"/>
      <c r="Q42">
        <f>Q40*Q41</f>
        <v>3.7088000000000001</v>
      </c>
      <c r="R42"/>
      <c r="S42" s="237">
        <f>R34*S41</f>
        <v>60000</v>
      </c>
      <c r="W42" s="231"/>
    </row>
    <row r="43" spans="2:23" s="230" customFormat="1" ht="17.399999999999999" x14ac:dyDescent="0.35">
      <c r="J43" s="47">
        <v>49780</v>
      </c>
      <c r="K43" s="250"/>
      <c r="L43" s="254" t="s">
        <v>34</v>
      </c>
      <c r="M43" s="12"/>
      <c r="N43" s="255">
        <f>N42*2.2</f>
        <v>4101794.4000000004</v>
      </c>
      <c r="O43" s="14" t="s">
        <v>141</v>
      </c>
      <c r="P43" s="14"/>
      <c r="Q43" s="46">
        <f>O32/Q42</f>
        <v>6.883628127696289</v>
      </c>
      <c r="R43"/>
      <c r="S43" s="257" t="e">
        <f>S42/#REF!</f>
        <v>#REF!</v>
      </c>
    </row>
    <row r="44" spans="2:23" s="230" customFormat="1" ht="17.399999999999999" x14ac:dyDescent="0.35">
      <c r="G44"/>
      <c r="H44" s="260"/>
      <c r="I44" s="260"/>
      <c r="J44" s="47">
        <f>J43/1.19</f>
        <v>41831.932773109249</v>
      </c>
      <c r="K44" s="250"/>
      <c r="L44" s="14"/>
      <c r="M44" s="12"/>
      <c r="N44" s="12">
        <f>N43/O32</f>
        <v>160665.66392479438</v>
      </c>
      <c r="O44" s="45" t="s">
        <v>26</v>
      </c>
      <c r="P44" s="14"/>
      <c r="Q44" s="14"/>
      <c r="R44"/>
      <c r="S44" s="237"/>
    </row>
    <row r="45" spans="2:23" s="230" customFormat="1" ht="17.399999999999999" x14ac:dyDescent="0.35">
      <c r="G45"/>
      <c r="J45" s="47"/>
      <c r="K45" s="250"/>
      <c r="L45" s="13"/>
      <c r="M45" s="14"/>
      <c r="N45" s="17">
        <f>N43/N42</f>
        <v>2.2000000000000002</v>
      </c>
      <c r="O45" s="15"/>
      <c r="P45"/>
      <c r="Q45"/>
      <c r="R45"/>
      <c r="S45" s="237"/>
    </row>
    <row r="46" spans="2:23" s="230" customFormat="1" ht="17.399999999999999" x14ac:dyDescent="0.35">
      <c r="G46" s="23"/>
      <c r="J46" s="47"/>
      <c r="K46" s="12"/>
      <c r="S46" s="237"/>
    </row>
    <row r="47" spans="2:23" s="230" customFormat="1" ht="17.399999999999999" x14ac:dyDescent="0.35">
      <c r="B47"/>
      <c r="C47" s="228"/>
      <c r="D47" s="22"/>
      <c r="E47" s="22"/>
      <c r="F47" s="21"/>
      <c r="G47" s="23"/>
      <c r="J47" s="47"/>
      <c r="K47" s="12"/>
      <c r="S47" s="237">
        <v>1.83</v>
      </c>
    </row>
    <row r="48" spans="2:23" ht="14.4" customHeight="1" x14ac:dyDescent="0.3">
      <c r="J48" s="47"/>
      <c r="K48" s="12"/>
      <c r="S48">
        <v>2.5</v>
      </c>
    </row>
    <row r="49" spans="10:19" x14ac:dyDescent="0.3">
      <c r="J49" s="47"/>
      <c r="K49" s="250"/>
      <c r="S49">
        <f>S47*S48</f>
        <v>4.5750000000000002</v>
      </c>
    </row>
    <row r="50" spans="10:19" x14ac:dyDescent="0.3">
      <c r="K50" s="250"/>
      <c r="S50" s="270">
        <f>O34/S49</f>
        <v>6.6963934426229494</v>
      </c>
    </row>
    <row r="51" spans="10:19" x14ac:dyDescent="0.3">
      <c r="K51" s="250"/>
    </row>
    <row r="52" spans="10:19" ht="15" customHeight="1" x14ac:dyDescent="0.3"/>
    <row r="54" spans="10:19" x14ac:dyDescent="0.3">
      <c r="N54">
        <v>40935</v>
      </c>
      <c r="O54" t="s">
        <v>17</v>
      </c>
      <c r="P54" t="s">
        <v>28</v>
      </c>
    </row>
    <row r="56" spans="10:19" x14ac:dyDescent="0.3">
      <c r="N56" s="54"/>
      <c r="O56" s="54"/>
    </row>
    <row r="57" spans="10:19" x14ac:dyDescent="0.3">
      <c r="R57" s="18"/>
      <c r="S57" s="18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149</v>
      </c>
    </row>
    <row r="80" spans="3:19" x14ac:dyDescent="0.3">
      <c r="C80" t="s">
        <v>148</v>
      </c>
    </row>
    <row r="83" spans="3:3" x14ac:dyDescent="0.3">
      <c r="C83" t="s">
        <v>148</v>
      </c>
    </row>
    <row r="160" spans="3:3" x14ac:dyDescent="0.3">
      <c r="C160" t="s">
        <v>148</v>
      </c>
    </row>
    <row r="161" spans="3:3" x14ac:dyDescent="0.3">
      <c r="C161" t="s">
        <v>150</v>
      </c>
    </row>
    <row r="162" spans="3:3" x14ac:dyDescent="0.3">
      <c r="C162" t="s">
        <v>151</v>
      </c>
    </row>
    <row r="587" spans="3:3" x14ac:dyDescent="0.3">
      <c r="C587" t="s">
        <v>148</v>
      </c>
    </row>
  </sheetData>
  <mergeCells count="2">
    <mergeCell ref="F17:H17"/>
    <mergeCell ref="B19:H19"/>
  </mergeCells>
  <hyperlinks>
    <hyperlink ref="F41" r:id="rId1" xr:uid="{8684C013-00D7-4156-8A76-CAD74938AC79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5889-132F-4AA9-A5E9-4E9D0AC4EA6B}">
  <sheetPr>
    <pageSetUpPr fitToPage="1"/>
  </sheetPr>
  <dimension ref="B2:X585"/>
  <sheetViews>
    <sheetView topLeftCell="B15" zoomScale="98" zoomScaleNormal="98" workbookViewId="0">
      <selection activeCell="D21" sqref="D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1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45408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160</v>
      </c>
      <c r="D13" s="247"/>
      <c r="E13" s="247"/>
      <c r="F13" s="247" t="s">
        <v>161</v>
      </c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157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153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163784.9516908213</v>
      </c>
      <c r="Q20" s="258">
        <v>20000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2</v>
      </c>
      <c r="C21" s="312" t="s">
        <v>163</v>
      </c>
      <c r="D21" s="313">
        <v>0.94</v>
      </c>
      <c r="E21" s="313">
        <v>0.65</v>
      </c>
      <c r="F21" s="312" t="s">
        <v>168</v>
      </c>
      <c r="G21" s="314">
        <v>125346</v>
      </c>
      <c r="H21" s="315">
        <f t="shared" ref="H21:H25" si="1">G21*B21</f>
        <v>250692</v>
      </c>
      <c r="I21" s="265"/>
      <c r="J21" s="47"/>
      <c r="K21" s="325">
        <f>B21</f>
        <v>2</v>
      </c>
      <c r="L21" s="326">
        <f t="shared" ref="L21:M25" si="2">D21+L$19</f>
        <v>0.96</v>
      </c>
      <c r="M21" s="326">
        <f t="shared" si="2"/>
        <v>0.67</v>
      </c>
      <c r="N21" s="261">
        <f>L21*M21</f>
        <v>0.64319999999999999</v>
      </c>
      <c r="O21" s="259">
        <f>N21*K21</f>
        <v>1.2864</v>
      </c>
      <c r="P21" s="252">
        <f>P$20*N21</f>
        <v>105346.48092753626</v>
      </c>
      <c r="Q21" s="258">
        <f>P21+Q$20</f>
        <v>125346.48092753626</v>
      </c>
      <c r="R21" s="308">
        <f>K21*L21*2</f>
        <v>3.84</v>
      </c>
      <c r="S21" s="46">
        <f>K21*M21*2</f>
        <v>2.68</v>
      </c>
      <c r="T21" s="9"/>
      <c r="W21" s="4"/>
    </row>
    <row r="22" spans="2:24" ht="17.399999999999999" x14ac:dyDescent="0.3">
      <c r="B22" s="323">
        <v>1</v>
      </c>
      <c r="C22" s="312" t="s">
        <v>163</v>
      </c>
      <c r="D22" s="313">
        <v>1.4</v>
      </c>
      <c r="E22" s="313">
        <v>0.94</v>
      </c>
      <c r="F22" s="312" t="s">
        <v>164</v>
      </c>
      <c r="G22" s="314">
        <v>243272</v>
      </c>
      <c r="H22" s="315">
        <f t="shared" si="1"/>
        <v>243272</v>
      </c>
      <c r="I22" s="265"/>
      <c r="J22" s="47"/>
      <c r="K22" s="325">
        <f>B22</f>
        <v>1</v>
      </c>
      <c r="L22" s="326">
        <f t="shared" si="2"/>
        <v>1.42</v>
      </c>
      <c r="M22" s="326">
        <f t="shared" si="2"/>
        <v>0.96</v>
      </c>
      <c r="N22" s="261">
        <f t="shared" ref="N22:N25" si="3">L22*M22</f>
        <v>1.3632</v>
      </c>
      <c r="O22" s="259">
        <f t="shared" ref="O22:O25" si="4">N22*K22</f>
        <v>1.3632</v>
      </c>
      <c r="P22" s="252">
        <f t="shared" ref="P22:P25" si="5">P$20*N22</f>
        <v>223271.6461449276</v>
      </c>
      <c r="Q22" s="258">
        <f t="shared" ref="Q22:Q25" si="6">P22+Q$20</f>
        <v>243271.6461449276</v>
      </c>
      <c r="R22" s="308">
        <f t="shared" ref="R22:R25" si="7">K22*L22*2</f>
        <v>2.84</v>
      </c>
      <c r="S22" s="46">
        <f>K22*M22*2</f>
        <v>1.92</v>
      </c>
      <c r="T22" s="9"/>
      <c r="W22" s="4"/>
    </row>
    <row r="23" spans="2:24" ht="17.399999999999999" x14ac:dyDescent="0.3">
      <c r="B23" s="323">
        <v>1</v>
      </c>
      <c r="C23" s="312" t="s">
        <v>163</v>
      </c>
      <c r="D23" s="313">
        <v>0.96</v>
      </c>
      <c r="E23" s="313">
        <v>0.35</v>
      </c>
      <c r="F23" s="312" t="s">
        <v>164</v>
      </c>
      <c r="G23" s="314"/>
      <c r="H23" s="315">
        <f t="shared" si="1"/>
        <v>0</v>
      </c>
      <c r="I23" s="265"/>
      <c r="J23" s="47"/>
      <c r="K23" s="325"/>
      <c r="L23" s="326">
        <f t="shared" si="2"/>
        <v>0.98</v>
      </c>
      <c r="M23" s="326">
        <f t="shared" si="2"/>
        <v>0.37</v>
      </c>
      <c r="N23" s="261">
        <f t="shared" si="3"/>
        <v>0.36259999999999998</v>
      </c>
      <c r="O23" s="259">
        <f t="shared" si="4"/>
        <v>0</v>
      </c>
      <c r="P23" s="252">
        <f t="shared" si="5"/>
        <v>59388.423483091799</v>
      </c>
      <c r="Q23" s="258">
        <f t="shared" si="6"/>
        <v>79388.423483091799</v>
      </c>
      <c r="R23" s="308">
        <f t="shared" si="7"/>
        <v>0</v>
      </c>
      <c r="S23" s="46">
        <f t="shared" ref="S23:S25" si="8">K23*M23*2</f>
        <v>0</v>
      </c>
      <c r="T23" s="9"/>
      <c r="W23" s="4"/>
    </row>
    <row r="24" spans="2:24" ht="17.399999999999999" x14ac:dyDescent="0.3">
      <c r="B24" s="323">
        <v>1</v>
      </c>
      <c r="C24" s="312" t="s">
        <v>163</v>
      </c>
      <c r="D24" s="313">
        <v>0.5</v>
      </c>
      <c r="E24" s="313">
        <v>0.35</v>
      </c>
      <c r="F24" s="312" t="s">
        <v>164</v>
      </c>
      <c r="G24" s="314"/>
      <c r="H24" s="315">
        <f t="shared" si="1"/>
        <v>0</v>
      </c>
      <c r="I24" s="265"/>
      <c r="J24" s="47"/>
      <c r="K24" s="325"/>
      <c r="L24" s="326">
        <f t="shared" si="2"/>
        <v>0.52</v>
      </c>
      <c r="M24" s="326">
        <f t="shared" si="2"/>
        <v>0.37</v>
      </c>
      <c r="N24" s="261">
        <f t="shared" si="3"/>
        <v>0.19240000000000002</v>
      </c>
      <c r="O24" s="259">
        <f t="shared" si="4"/>
        <v>0</v>
      </c>
      <c r="P24" s="252">
        <f t="shared" si="5"/>
        <v>31512.22470531402</v>
      </c>
      <c r="Q24" s="258">
        <f t="shared" si="6"/>
        <v>51512.224705314016</v>
      </c>
      <c r="R24" s="308">
        <f t="shared" si="7"/>
        <v>0</v>
      </c>
      <c r="S24" s="46">
        <f t="shared" si="8"/>
        <v>0</v>
      </c>
      <c r="T24" s="9"/>
      <c r="W24" s="4"/>
    </row>
    <row r="25" spans="2:24" ht="17.399999999999999" x14ac:dyDescent="0.3">
      <c r="B25" s="323">
        <v>2</v>
      </c>
      <c r="C25" s="312" t="s">
        <v>163</v>
      </c>
      <c r="D25" s="313">
        <v>1.44</v>
      </c>
      <c r="E25" s="313">
        <v>0.57999999999999996</v>
      </c>
      <c r="F25" s="312" t="s">
        <v>164</v>
      </c>
      <c r="G25" s="314"/>
      <c r="H25" s="315">
        <f t="shared" si="1"/>
        <v>0</v>
      </c>
      <c r="I25" s="265"/>
      <c r="J25" s="47"/>
      <c r="K25" s="327"/>
      <c r="L25" s="326">
        <f t="shared" si="2"/>
        <v>1.46</v>
      </c>
      <c r="M25" s="326">
        <f t="shared" si="2"/>
        <v>0.6</v>
      </c>
      <c r="N25" s="261">
        <f t="shared" si="3"/>
        <v>0.876</v>
      </c>
      <c r="O25" s="259">
        <f t="shared" si="4"/>
        <v>0</v>
      </c>
      <c r="P25" s="252">
        <f t="shared" si="5"/>
        <v>143475.61768115946</v>
      </c>
      <c r="Q25" s="258">
        <f t="shared" si="6"/>
        <v>163475.61768115946</v>
      </c>
      <c r="R25" s="308">
        <f t="shared" si="7"/>
        <v>0</v>
      </c>
      <c r="S25" s="46">
        <f t="shared" si="8"/>
        <v>0</v>
      </c>
      <c r="T25" s="9"/>
      <c r="W25" s="4"/>
    </row>
    <row r="26" spans="2:24" ht="17.399999999999999" x14ac:dyDescent="0.3">
      <c r="B26" s="286"/>
      <c r="C26" s="286"/>
      <c r="D26" s="287"/>
      <c r="E26" s="287"/>
      <c r="F26" s="286" t="s">
        <v>166</v>
      </c>
      <c r="G26" s="318"/>
      <c r="H26" s="318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>
        <f>SUM(R21:R26)</f>
        <v>6.68</v>
      </c>
      <c r="S27" s="46">
        <f>SUM(S21:S26)</f>
        <v>4.5999999999999996</v>
      </c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493964</v>
      </c>
      <c r="I28" s="265"/>
      <c r="J28" s="47"/>
      <c r="K28" s="47"/>
      <c r="L28" s="39">
        <f>SUM(L21:L27)</f>
        <v>5.34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>
        <f>H28*0.19</f>
        <v>93853.16</v>
      </c>
      <c r="I29" s="265"/>
      <c r="J29" s="47"/>
      <c r="K29" s="47"/>
      <c r="L29" s="39"/>
      <c r="M29" s="12"/>
      <c r="N29" s="12"/>
      <c r="O29" s="253">
        <f>SUM(O21:O25)</f>
        <v>2.6496</v>
      </c>
      <c r="P29" s="14"/>
      <c r="Q29" s="12"/>
      <c r="R29" s="238">
        <f>R27+S27</f>
        <v>11.28</v>
      </c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587817.16</v>
      </c>
      <c r="I30" s="265"/>
      <c r="J30" s="47"/>
      <c r="K30" s="47"/>
      <c r="L30" s="39"/>
      <c r="M30" s="12"/>
      <c r="N30" s="12"/>
      <c r="O30" s="253">
        <f>O29</f>
        <v>2.6496</v>
      </c>
      <c r="P30" s="14"/>
      <c r="Q30" s="12"/>
      <c r="R30" s="238">
        <f>R29*20%</f>
        <v>2.2559999999999998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>
        <v>28</v>
      </c>
      <c r="K31" s="47"/>
      <c r="L31" s="14"/>
      <c r="M31" s="12"/>
      <c r="N31" s="12"/>
      <c r="O31" s="39">
        <f>O30*20%</f>
        <v>0.52992000000000006</v>
      </c>
      <c r="P31" s="39" t="s">
        <v>131</v>
      </c>
      <c r="Q31" s="42"/>
      <c r="R31" s="239">
        <f>R29+R30</f>
        <v>13.536</v>
      </c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20">
        <v>32</v>
      </c>
      <c r="K32" s="47"/>
      <c r="L32" s="14"/>
      <c r="M32" s="12"/>
      <c r="N32" s="12"/>
      <c r="O32" s="46">
        <f>O30+O31</f>
        <v>3.1795200000000001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20">
        <v>8</v>
      </c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>
        <f>SUM(J31:J33)</f>
        <v>68</v>
      </c>
      <c r="K34" s="47"/>
      <c r="L34" s="39">
        <f>O32*2</f>
        <v>6.3590400000000002</v>
      </c>
      <c r="M34" s="12">
        <v>3500</v>
      </c>
      <c r="N34" s="12">
        <f t="shared" ref="N34:N39" si="9">L34*M34</f>
        <v>22256.639999999999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</v>
      </c>
      <c r="M35" s="12">
        <v>25000</v>
      </c>
      <c r="N35" s="12">
        <f t="shared" si="9"/>
        <v>25000</v>
      </c>
      <c r="O35" s="39" t="s">
        <v>155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20000</v>
      </c>
      <c r="N36" s="12">
        <f t="shared" si="9"/>
        <v>0</v>
      </c>
      <c r="O36" s="39" t="s">
        <v>171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152</v>
      </c>
      <c r="I37" s="262"/>
      <c r="J37" s="319"/>
      <c r="K37" s="250"/>
      <c r="L37" s="14">
        <v>3</v>
      </c>
      <c r="M37" s="250">
        <v>50000</v>
      </c>
      <c r="N37" s="12">
        <f t="shared" si="9"/>
        <v>150000</v>
      </c>
      <c r="O37" s="14" t="s">
        <v>142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J38" s="319"/>
      <c r="K38" s="250"/>
      <c r="L38" s="249"/>
      <c r="M38" s="250">
        <v>4000</v>
      </c>
      <c r="N38" s="12">
        <f t="shared" si="9"/>
        <v>0</v>
      </c>
      <c r="O38" s="14" t="s">
        <v>170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9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197256.64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49780</v>
      </c>
      <c r="K41" s="250"/>
      <c r="L41" s="254" t="s">
        <v>34</v>
      </c>
      <c r="M41" s="12"/>
      <c r="N41" s="255">
        <f>N40*2.2</f>
        <v>433964.60800000007</v>
      </c>
      <c r="O41" s="14" t="s">
        <v>141</v>
      </c>
      <c r="P41" s="14"/>
      <c r="Q41" s="46">
        <f>O30/Q40</f>
        <v>0.71440897325280406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41831.932773109249</v>
      </c>
      <c r="K42" s="250"/>
      <c r="L42" s="14"/>
      <c r="M42" s="12"/>
      <c r="N42" s="12">
        <f>N41/O30</f>
        <v>163784.9516908213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0.69497704918032788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hyperlinks>
    <hyperlink ref="F39" r:id="rId1" xr:uid="{19A77EF2-440D-4F44-B961-A35E4808ABAE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8E19-5BC6-4954-9C48-5340886FDF01}">
  <sheetPr>
    <pageSetUpPr fitToPage="1"/>
  </sheetPr>
  <dimension ref="B2:X585"/>
  <sheetViews>
    <sheetView topLeftCell="C7" zoomScale="98" zoomScaleNormal="98" workbookViewId="0">
      <selection activeCell="G26" sqref="G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1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45408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160</v>
      </c>
      <c r="D13" s="247"/>
      <c r="E13" s="247"/>
      <c r="F13" s="247" t="s">
        <v>161</v>
      </c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157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153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124305.78512396694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10</v>
      </c>
      <c r="C21" s="312" t="s">
        <v>163</v>
      </c>
      <c r="D21" s="313">
        <v>2.4</v>
      </c>
      <c r="E21" s="313">
        <v>0.2</v>
      </c>
      <c r="F21" s="312" t="s">
        <v>168</v>
      </c>
      <c r="G21" s="314">
        <v>71180</v>
      </c>
      <c r="H21" s="315">
        <f t="shared" ref="H21:H25" si="1">G21*B21</f>
        <v>711800</v>
      </c>
      <c r="I21" s="265"/>
      <c r="J21" s="47"/>
      <c r="K21" s="325">
        <f>B21</f>
        <v>10</v>
      </c>
      <c r="L21" s="326">
        <f t="shared" ref="L21:M25" si="2">D21+L$19</f>
        <v>2.42</v>
      </c>
      <c r="M21" s="326">
        <f t="shared" si="2"/>
        <v>0.22</v>
      </c>
      <c r="N21" s="261">
        <f>L21*M21</f>
        <v>0.53239999999999998</v>
      </c>
      <c r="O21" s="259">
        <f>N21*K21</f>
        <v>5.3239999999999998</v>
      </c>
      <c r="P21" s="252">
        <f>P$20*N21</f>
        <v>66180.399999999994</v>
      </c>
      <c r="Q21" s="258">
        <f>P21+Q$20</f>
        <v>71180.399999999994</v>
      </c>
      <c r="R21" s="308">
        <f>K21*L21*2</f>
        <v>48.4</v>
      </c>
      <c r="S21" s="46">
        <f>K21*M21*2</f>
        <v>4.4000000000000004</v>
      </c>
      <c r="T21" s="9"/>
      <c r="W21" s="4"/>
    </row>
    <row r="22" spans="2:24" ht="17.399999999999999" x14ac:dyDescent="0.3">
      <c r="B22" s="323">
        <v>6</v>
      </c>
      <c r="C22" s="312" t="s">
        <v>163</v>
      </c>
      <c r="D22" s="313">
        <v>0.48</v>
      </c>
      <c r="E22" s="313">
        <v>0.35</v>
      </c>
      <c r="F22" s="312" t="s">
        <v>164</v>
      </c>
      <c r="G22" s="314"/>
      <c r="H22" s="315">
        <f t="shared" si="1"/>
        <v>0</v>
      </c>
      <c r="I22" s="265"/>
      <c r="J22" s="47"/>
      <c r="K22" s="327"/>
      <c r="L22" s="326">
        <f t="shared" si="2"/>
        <v>0.5</v>
      </c>
      <c r="M22" s="326">
        <f t="shared" si="2"/>
        <v>0.37</v>
      </c>
      <c r="N22" s="261">
        <f t="shared" ref="N22:N25" si="3">L22*M22</f>
        <v>0.185</v>
      </c>
      <c r="O22" s="259">
        <f t="shared" ref="O22:O25" si="4">N22*K22</f>
        <v>0</v>
      </c>
      <c r="P22" s="252">
        <f t="shared" ref="P22:P25" si="5">P$20*N22</f>
        <v>22996.570247933883</v>
      </c>
      <c r="Q22" s="258">
        <f t="shared" ref="Q22:Q25" si="6">P22+Q$20</f>
        <v>27996.570247933883</v>
      </c>
      <c r="R22" s="308">
        <f t="shared" ref="R22:R25" si="7">K22*L22*2</f>
        <v>0</v>
      </c>
      <c r="S22" s="46">
        <f>K22*M22*2</f>
        <v>0</v>
      </c>
      <c r="T22" s="9"/>
      <c r="W22" s="4"/>
    </row>
    <row r="23" spans="2:24" ht="17.399999999999999" x14ac:dyDescent="0.3">
      <c r="B23" s="323">
        <v>1</v>
      </c>
      <c r="C23" s="312" t="s">
        <v>163</v>
      </c>
      <c r="D23" s="313">
        <v>0.96</v>
      </c>
      <c r="E23" s="313">
        <v>0.35</v>
      </c>
      <c r="F23" s="312" t="s">
        <v>164</v>
      </c>
      <c r="G23" s="314"/>
      <c r="H23" s="315">
        <f t="shared" si="1"/>
        <v>0</v>
      </c>
      <c r="I23" s="265"/>
      <c r="J23" s="47"/>
      <c r="K23" s="325"/>
      <c r="L23" s="326">
        <f t="shared" si="2"/>
        <v>0.98</v>
      </c>
      <c r="M23" s="326">
        <f t="shared" si="2"/>
        <v>0.37</v>
      </c>
      <c r="N23" s="261">
        <f t="shared" si="3"/>
        <v>0.36259999999999998</v>
      </c>
      <c r="O23" s="259">
        <f t="shared" si="4"/>
        <v>0</v>
      </c>
      <c r="P23" s="252">
        <f t="shared" si="5"/>
        <v>45073.277685950408</v>
      </c>
      <c r="Q23" s="258">
        <f t="shared" si="6"/>
        <v>50073.277685950408</v>
      </c>
      <c r="R23" s="308">
        <f t="shared" si="7"/>
        <v>0</v>
      </c>
      <c r="S23" s="46">
        <f t="shared" ref="S23:S25" si="8">K23*M23*2</f>
        <v>0</v>
      </c>
      <c r="T23" s="9"/>
      <c r="W23" s="4"/>
    </row>
    <row r="24" spans="2:24" ht="17.399999999999999" x14ac:dyDescent="0.3">
      <c r="B24" s="323">
        <v>1</v>
      </c>
      <c r="C24" s="312" t="s">
        <v>163</v>
      </c>
      <c r="D24" s="313">
        <v>0.5</v>
      </c>
      <c r="E24" s="313">
        <v>0.35</v>
      </c>
      <c r="F24" s="312" t="s">
        <v>164</v>
      </c>
      <c r="G24" s="314"/>
      <c r="H24" s="315">
        <f t="shared" si="1"/>
        <v>0</v>
      </c>
      <c r="I24" s="265"/>
      <c r="J24" s="47"/>
      <c r="K24" s="325"/>
      <c r="L24" s="326">
        <f t="shared" si="2"/>
        <v>0.52</v>
      </c>
      <c r="M24" s="326">
        <f t="shared" si="2"/>
        <v>0.37</v>
      </c>
      <c r="N24" s="261">
        <f t="shared" si="3"/>
        <v>0.19240000000000002</v>
      </c>
      <c r="O24" s="259">
        <f t="shared" si="4"/>
        <v>0</v>
      </c>
      <c r="P24" s="252">
        <f t="shared" si="5"/>
        <v>23916.433057851242</v>
      </c>
      <c r="Q24" s="258">
        <f t="shared" si="6"/>
        <v>28916.433057851242</v>
      </c>
      <c r="R24" s="308">
        <f t="shared" si="7"/>
        <v>0</v>
      </c>
      <c r="S24" s="46">
        <f t="shared" si="8"/>
        <v>0</v>
      </c>
      <c r="T24" s="9"/>
      <c r="W24" s="4"/>
    </row>
    <row r="25" spans="2:24" ht="17.399999999999999" x14ac:dyDescent="0.3">
      <c r="B25" s="323">
        <v>2</v>
      </c>
      <c r="C25" s="312" t="s">
        <v>163</v>
      </c>
      <c r="D25" s="313">
        <v>1.44</v>
      </c>
      <c r="E25" s="313">
        <v>0.57999999999999996</v>
      </c>
      <c r="F25" s="312" t="s">
        <v>164</v>
      </c>
      <c r="G25" s="314">
        <v>250000</v>
      </c>
      <c r="H25" s="315">
        <f t="shared" si="1"/>
        <v>500000</v>
      </c>
      <c r="I25" s="265"/>
      <c r="J25" s="47"/>
      <c r="K25" s="327"/>
      <c r="L25" s="326">
        <f t="shared" si="2"/>
        <v>1.46</v>
      </c>
      <c r="M25" s="326">
        <f t="shared" si="2"/>
        <v>0.6</v>
      </c>
      <c r="N25" s="261">
        <f t="shared" si="3"/>
        <v>0.876</v>
      </c>
      <c r="O25" s="259">
        <f t="shared" si="4"/>
        <v>0</v>
      </c>
      <c r="P25" s="252">
        <f t="shared" si="5"/>
        <v>108891.86776859504</v>
      </c>
      <c r="Q25" s="258">
        <f t="shared" si="6"/>
        <v>113891.86776859504</v>
      </c>
      <c r="R25" s="308">
        <f t="shared" si="7"/>
        <v>0</v>
      </c>
      <c r="S25" s="46">
        <f t="shared" si="8"/>
        <v>0</v>
      </c>
      <c r="T25" s="9"/>
      <c r="W25" s="4"/>
    </row>
    <row r="26" spans="2:24" ht="17.399999999999999" x14ac:dyDescent="0.3">
      <c r="B26" s="286"/>
      <c r="C26" s="286"/>
      <c r="D26" s="287"/>
      <c r="E26" s="287"/>
      <c r="F26" s="286" t="s">
        <v>166</v>
      </c>
      <c r="G26" s="318"/>
      <c r="H26" s="318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>
        <f>SUM(R21:R26)</f>
        <v>48.4</v>
      </c>
      <c r="S27" s="46">
        <f>SUM(S21:S26)</f>
        <v>4.4000000000000004</v>
      </c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1211800</v>
      </c>
      <c r="I28" s="265"/>
      <c r="J28" s="47"/>
      <c r="K28" s="47"/>
      <c r="L28" s="39">
        <f>SUM(L21:L27)</f>
        <v>5.88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>
        <f>H28*0.19</f>
        <v>230242</v>
      </c>
      <c r="I29" s="265"/>
      <c r="J29" s="47"/>
      <c r="K29" s="47"/>
      <c r="L29" s="39"/>
      <c r="M29" s="12"/>
      <c r="N29" s="12"/>
      <c r="O29" s="253">
        <f>SUM(O21:O25)</f>
        <v>5.3239999999999998</v>
      </c>
      <c r="P29" s="14"/>
      <c r="Q29" s="12"/>
      <c r="R29" s="238">
        <f>R27+S27</f>
        <v>52.8</v>
      </c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1442042</v>
      </c>
      <c r="I30" s="265"/>
      <c r="J30" s="47"/>
      <c r="K30" s="47"/>
      <c r="L30" s="39"/>
      <c r="M30" s="12"/>
      <c r="N30" s="12"/>
      <c r="O30" s="253">
        <f>O29</f>
        <v>5.3239999999999998</v>
      </c>
      <c r="P30" s="14"/>
      <c r="Q30" s="12"/>
      <c r="R30" s="238">
        <f>R29*20%</f>
        <v>10.56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>
        <v>28</v>
      </c>
      <c r="K31" s="47"/>
      <c r="L31" s="14"/>
      <c r="M31" s="12"/>
      <c r="N31" s="12"/>
      <c r="O31" s="39">
        <f>O30*20%</f>
        <v>1.0648</v>
      </c>
      <c r="P31" s="39" t="s">
        <v>131</v>
      </c>
      <c r="Q31" s="42"/>
      <c r="R31" s="239">
        <f>R29+R30</f>
        <v>63.36</v>
      </c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20">
        <v>32</v>
      </c>
      <c r="K32" s="47"/>
      <c r="L32" s="14"/>
      <c r="M32" s="12"/>
      <c r="N32" s="12"/>
      <c r="O32" s="46">
        <f>O30+O31</f>
        <v>6.3887999999999998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20">
        <v>8</v>
      </c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>
        <f>SUM(J31:J33)</f>
        <v>68</v>
      </c>
      <c r="K34" s="47"/>
      <c r="L34" s="39">
        <f>O32*2</f>
        <v>12.7776</v>
      </c>
      <c r="M34" s="12">
        <v>3500</v>
      </c>
      <c r="N34" s="12">
        <f t="shared" ref="N34:N39" si="9">L34*M34</f>
        <v>44721.599999999999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30000</v>
      </c>
      <c r="N35" s="12">
        <f t="shared" si="9"/>
        <v>60000</v>
      </c>
      <c r="O35" s="39" t="s">
        <v>155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>
        <v>1</v>
      </c>
      <c r="M36" s="250">
        <v>20000</v>
      </c>
      <c r="N36" s="12">
        <f t="shared" si="9"/>
        <v>20000</v>
      </c>
      <c r="O36" s="39" t="s">
        <v>169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152</v>
      </c>
      <c r="I37" s="262"/>
      <c r="J37" s="319"/>
      <c r="K37" s="250"/>
      <c r="L37" s="14">
        <v>2</v>
      </c>
      <c r="M37" s="250">
        <v>50000</v>
      </c>
      <c r="N37" s="12">
        <f t="shared" si="9"/>
        <v>100000</v>
      </c>
      <c r="O37" s="14" t="s">
        <v>142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J38" s="319"/>
      <c r="K38" s="250"/>
      <c r="L38" s="249">
        <v>10</v>
      </c>
      <c r="M38" s="250">
        <v>4000</v>
      </c>
      <c r="N38" s="12">
        <f t="shared" si="9"/>
        <v>40000</v>
      </c>
      <c r="O38" s="14" t="s">
        <v>170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9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264721.59999999998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49780</v>
      </c>
      <c r="K41" s="250"/>
      <c r="L41" s="254" t="s">
        <v>34</v>
      </c>
      <c r="M41" s="12"/>
      <c r="N41" s="255">
        <f>N40*2.5</f>
        <v>661804</v>
      </c>
      <c r="O41" s="14" t="s">
        <v>141</v>
      </c>
      <c r="P41" s="14"/>
      <c r="Q41" s="46">
        <f>O30/Q40</f>
        <v>1.435504745470233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41831.932773109249</v>
      </c>
      <c r="K42" s="250"/>
      <c r="L42" s="14"/>
      <c r="M42" s="12"/>
      <c r="N42" s="12">
        <f>N41/O30</f>
        <v>124305.78512396694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2.5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1.3964590163934425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hyperlinks>
    <hyperlink ref="F39" r:id="rId1" xr:uid="{ACAA0107-E13B-4D16-AE2C-079553F29778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391F-BFE9-47FE-9D05-1D68D400738F}">
  <sheetPr>
    <pageSetUpPr fitToPage="1"/>
  </sheetPr>
  <dimension ref="B2:X585"/>
  <sheetViews>
    <sheetView topLeftCell="D16" zoomScale="98" zoomScaleNormal="98" workbookViewId="0">
      <selection activeCell="G26" sqref="G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1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45408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160</v>
      </c>
      <c r="D13" s="247"/>
      <c r="E13" s="247"/>
      <c r="F13" s="247" t="s">
        <v>161</v>
      </c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157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153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108388.52784403805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6</v>
      </c>
      <c r="C21" s="312" t="s">
        <v>163</v>
      </c>
      <c r="D21" s="313">
        <v>1.5</v>
      </c>
      <c r="E21" s="313">
        <v>0.35</v>
      </c>
      <c r="F21" s="312" t="s">
        <v>164</v>
      </c>
      <c r="G21" s="314">
        <v>65958</v>
      </c>
      <c r="H21" s="315">
        <f t="shared" ref="H21:H25" si="1">G21*B21</f>
        <v>395748</v>
      </c>
      <c r="I21" s="265"/>
      <c r="J21" s="47"/>
      <c r="K21" s="325">
        <f>B21</f>
        <v>6</v>
      </c>
      <c r="L21" s="326">
        <f t="shared" ref="L21:M25" si="2">D21+L$19</f>
        <v>1.52</v>
      </c>
      <c r="M21" s="326">
        <f t="shared" si="2"/>
        <v>0.37</v>
      </c>
      <c r="N21" s="261">
        <f>L21*M21</f>
        <v>0.56240000000000001</v>
      </c>
      <c r="O21" s="259">
        <f>N21*K21</f>
        <v>3.3744000000000001</v>
      </c>
      <c r="P21" s="252">
        <f>P$20*N21</f>
        <v>60957.708059486999</v>
      </c>
      <c r="Q21" s="258">
        <f>P21+Q$20</f>
        <v>65957.708059486991</v>
      </c>
      <c r="R21" s="308">
        <f>K21*L21*2</f>
        <v>18.240000000000002</v>
      </c>
      <c r="S21" s="46">
        <f>K21*M21*2</f>
        <v>4.4399999999999995</v>
      </c>
      <c r="T21" s="9"/>
      <c r="W21" s="4"/>
    </row>
    <row r="22" spans="2:24" ht="17.399999999999999" x14ac:dyDescent="0.3">
      <c r="B22" s="323">
        <v>6</v>
      </c>
      <c r="C22" s="312" t="s">
        <v>163</v>
      </c>
      <c r="D22" s="313">
        <v>0.48</v>
      </c>
      <c r="E22" s="313">
        <v>0.35</v>
      </c>
      <c r="F22" s="312" t="s">
        <v>164</v>
      </c>
      <c r="G22" s="314">
        <v>25052</v>
      </c>
      <c r="H22" s="315">
        <f t="shared" si="1"/>
        <v>150312</v>
      </c>
      <c r="I22" s="265"/>
      <c r="J22" s="47"/>
      <c r="K22" s="327">
        <f t="shared" ref="K22:K25" si="3">B22</f>
        <v>6</v>
      </c>
      <c r="L22" s="326">
        <f t="shared" si="2"/>
        <v>0.5</v>
      </c>
      <c r="M22" s="326">
        <f t="shared" si="2"/>
        <v>0.37</v>
      </c>
      <c r="N22" s="261">
        <f t="shared" ref="N22:N25" si="4">L22*M22</f>
        <v>0.185</v>
      </c>
      <c r="O22" s="259">
        <f t="shared" ref="O22:O25" si="5">N22*K22</f>
        <v>1.1099999999999999</v>
      </c>
      <c r="P22" s="252">
        <f t="shared" ref="P22:P25" si="6">P$20*N22</f>
        <v>20051.877651147039</v>
      </c>
      <c r="Q22" s="258">
        <f t="shared" ref="Q22:Q25" si="7">P22+Q$20</f>
        <v>25051.877651147039</v>
      </c>
      <c r="R22" s="308">
        <f t="shared" ref="R22:R25" si="8">K22*L22*2</f>
        <v>6</v>
      </c>
      <c r="S22" s="46">
        <f>K22*M22*2</f>
        <v>4.4399999999999995</v>
      </c>
      <c r="T22" s="9"/>
      <c r="W22" s="4"/>
    </row>
    <row r="23" spans="2:24" ht="17.399999999999999" x14ac:dyDescent="0.3">
      <c r="B23" s="323">
        <v>1</v>
      </c>
      <c r="C23" s="312" t="s">
        <v>163</v>
      </c>
      <c r="D23" s="313">
        <v>0.96</v>
      </c>
      <c r="E23" s="313">
        <v>0.35</v>
      </c>
      <c r="F23" s="312" t="s">
        <v>164</v>
      </c>
      <c r="G23" s="314">
        <v>44302</v>
      </c>
      <c r="H23" s="315">
        <f t="shared" si="1"/>
        <v>44302</v>
      </c>
      <c r="I23" s="265"/>
      <c r="J23" s="47"/>
      <c r="K23" s="325">
        <f t="shared" si="3"/>
        <v>1</v>
      </c>
      <c r="L23" s="326">
        <f t="shared" si="2"/>
        <v>0.98</v>
      </c>
      <c r="M23" s="326">
        <f t="shared" si="2"/>
        <v>0.37</v>
      </c>
      <c r="N23" s="261">
        <f t="shared" si="4"/>
        <v>0.36259999999999998</v>
      </c>
      <c r="O23" s="259">
        <f t="shared" si="5"/>
        <v>0.36259999999999998</v>
      </c>
      <c r="P23" s="252">
        <f t="shared" si="6"/>
        <v>39301.680196248191</v>
      </c>
      <c r="Q23" s="258">
        <f t="shared" si="7"/>
        <v>44301.680196248191</v>
      </c>
      <c r="R23" s="308">
        <f t="shared" si="8"/>
        <v>1.96</v>
      </c>
      <c r="S23" s="46">
        <f t="shared" ref="S23:S25" si="9">K23*M23*2</f>
        <v>0.74</v>
      </c>
      <c r="T23" s="9"/>
      <c r="W23" s="4"/>
    </row>
    <row r="24" spans="2:24" ht="17.399999999999999" x14ac:dyDescent="0.3">
      <c r="B24" s="323">
        <v>1</v>
      </c>
      <c r="C24" s="312" t="s">
        <v>163</v>
      </c>
      <c r="D24" s="313">
        <v>0.5</v>
      </c>
      <c r="E24" s="313">
        <v>0.35</v>
      </c>
      <c r="F24" s="312" t="s">
        <v>164</v>
      </c>
      <c r="G24" s="314">
        <v>25854</v>
      </c>
      <c r="H24" s="315">
        <f t="shared" si="1"/>
        <v>25854</v>
      </c>
      <c r="I24" s="265"/>
      <c r="J24" s="47"/>
      <c r="K24" s="325">
        <f t="shared" si="3"/>
        <v>1</v>
      </c>
      <c r="L24" s="326">
        <f t="shared" si="2"/>
        <v>0.52</v>
      </c>
      <c r="M24" s="326">
        <f t="shared" si="2"/>
        <v>0.37</v>
      </c>
      <c r="N24" s="261">
        <f t="shared" si="4"/>
        <v>0.19240000000000002</v>
      </c>
      <c r="O24" s="259">
        <f t="shared" si="5"/>
        <v>0.19240000000000002</v>
      </c>
      <c r="P24" s="252">
        <f t="shared" si="6"/>
        <v>20853.952757192921</v>
      </c>
      <c r="Q24" s="258">
        <f t="shared" si="7"/>
        <v>25853.952757192921</v>
      </c>
      <c r="R24" s="308">
        <f t="shared" si="8"/>
        <v>1.04</v>
      </c>
      <c r="S24" s="46">
        <f t="shared" si="9"/>
        <v>0.74</v>
      </c>
      <c r="T24" s="9"/>
      <c r="W24" s="4"/>
    </row>
    <row r="25" spans="2:24" ht="17.399999999999999" x14ac:dyDescent="0.3">
      <c r="B25" s="323">
        <v>2</v>
      </c>
      <c r="C25" s="312" t="s">
        <v>163</v>
      </c>
      <c r="D25" s="313">
        <v>1.44</v>
      </c>
      <c r="E25" s="313">
        <v>0.57999999999999996</v>
      </c>
      <c r="F25" s="312" t="s">
        <v>164</v>
      </c>
      <c r="G25" s="314">
        <v>99948</v>
      </c>
      <c r="H25" s="315">
        <f t="shared" si="1"/>
        <v>199896</v>
      </c>
      <c r="I25" s="265"/>
      <c r="J25" s="47"/>
      <c r="K25" s="327">
        <f t="shared" si="3"/>
        <v>2</v>
      </c>
      <c r="L25" s="326">
        <f t="shared" si="2"/>
        <v>1.46</v>
      </c>
      <c r="M25" s="326">
        <f t="shared" si="2"/>
        <v>0.6</v>
      </c>
      <c r="N25" s="261">
        <f t="shared" si="4"/>
        <v>0.876</v>
      </c>
      <c r="O25" s="259">
        <f t="shared" si="5"/>
        <v>1.752</v>
      </c>
      <c r="P25" s="252">
        <f t="shared" si="6"/>
        <v>94948.350391377331</v>
      </c>
      <c r="Q25" s="258">
        <f t="shared" si="7"/>
        <v>99948.350391377331</v>
      </c>
      <c r="R25" s="308">
        <f t="shared" si="8"/>
        <v>5.84</v>
      </c>
      <c r="S25" s="46">
        <f t="shared" si="9"/>
        <v>2.4</v>
      </c>
      <c r="T25" s="9"/>
      <c r="W25" s="4"/>
    </row>
    <row r="26" spans="2:24" ht="17.399999999999999" x14ac:dyDescent="0.3">
      <c r="B26" s="286"/>
      <c r="C26" s="286"/>
      <c r="D26" s="287"/>
      <c r="E26" s="287"/>
      <c r="F26" s="286" t="s">
        <v>166</v>
      </c>
      <c r="G26" s="318"/>
      <c r="H26" s="318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>
        <f>SUM(R21:R26)</f>
        <v>33.08</v>
      </c>
      <c r="S27" s="46">
        <f>SUM(S21:S26)</f>
        <v>12.76</v>
      </c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816112</v>
      </c>
      <c r="I28" s="265"/>
      <c r="J28" s="47"/>
      <c r="K28" s="47"/>
      <c r="L28" s="39">
        <f>SUM(L21:L27)</f>
        <v>4.9800000000000004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>
        <f>H28*0.19</f>
        <v>155061.28</v>
      </c>
      <c r="I29" s="265"/>
      <c r="J29" s="47"/>
      <c r="K29" s="47"/>
      <c r="L29" s="39"/>
      <c r="M29" s="12"/>
      <c r="N29" s="12"/>
      <c r="O29" s="253">
        <f>SUM(O21:O25)</f>
        <v>6.7913999999999994</v>
      </c>
      <c r="P29" s="14"/>
      <c r="Q29" s="12"/>
      <c r="R29" s="238">
        <f>R27+S27</f>
        <v>45.839999999999996</v>
      </c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971173.28</v>
      </c>
      <c r="I30" s="265"/>
      <c r="J30" s="47"/>
      <c r="K30" s="47"/>
      <c r="L30" s="39"/>
      <c r="M30" s="12"/>
      <c r="N30" s="12"/>
      <c r="O30" s="253">
        <f>O29</f>
        <v>6.7913999999999994</v>
      </c>
      <c r="P30" s="14"/>
      <c r="Q30" s="12"/>
      <c r="R30" s="238">
        <f>R29*20%</f>
        <v>9.1679999999999993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>
        <v>28</v>
      </c>
      <c r="K31" s="47"/>
      <c r="L31" s="14"/>
      <c r="M31" s="12"/>
      <c r="N31" s="12"/>
      <c r="O31" s="39">
        <f>O30*20%</f>
        <v>1.3582799999999999</v>
      </c>
      <c r="P31" s="39" t="s">
        <v>131</v>
      </c>
      <c r="Q31" s="42"/>
      <c r="R31" s="239">
        <f>R29+R30</f>
        <v>55.007999999999996</v>
      </c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20">
        <v>32</v>
      </c>
      <c r="K32" s="47"/>
      <c r="L32" s="14"/>
      <c r="M32" s="12"/>
      <c r="N32" s="12"/>
      <c r="O32" s="46">
        <f>O30+O31</f>
        <v>8.14968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20">
        <v>8</v>
      </c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>
        <f>SUM(J31:J33)</f>
        <v>68</v>
      </c>
      <c r="K34" s="47"/>
      <c r="L34" s="39">
        <f>O32*2</f>
        <v>16.29936</v>
      </c>
      <c r="M34" s="12">
        <v>3500</v>
      </c>
      <c r="N34" s="12">
        <f t="shared" ref="N34:N39" si="10">L34*M34</f>
        <v>57047.76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25000</v>
      </c>
      <c r="N35" s="12">
        <f t="shared" si="10"/>
        <v>50000</v>
      </c>
      <c r="O35" s="39" t="s">
        <v>155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>
        <v>60</v>
      </c>
      <c r="M36" s="250">
        <v>750</v>
      </c>
      <c r="N36" s="12">
        <f t="shared" si="10"/>
        <v>45000</v>
      </c>
      <c r="O36" s="39" t="s">
        <v>165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152</v>
      </c>
      <c r="I37" s="262"/>
      <c r="J37" s="319"/>
      <c r="K37" s="250"/>
      <c r="L37" s="14">
        <v>4</v>
      </c>
      <c r="M37" s="250">
        <v>42000</v>
      </c>
      <c r="N37" s="12">
        <f t="shared" si="10"/>
        <v>168000</v>
      </c>
      <c r="O37" s="14" t="s">
        <v>142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J38" s="319"/>
      <c r="K38" s="250"/>
      <c r="L38" s="249"/>
      <c r="M38" s="250">
        <v>800</v>
      </c>
      <c r="N38" s="12">
        <f t="shared" si="10"/>
        <v>0</v>
      </c>
      <c r="O38" s="14" t="s">
        <v>33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10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320047.76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49780</v>
      </c>
      <c r="K41" s="250"/>
      <c r="L41" s="254" t="s">
        <v>34</v>
      </c>
      <c r="M41" s="12"/>
      <c r="N41" s="255">
        <f>N40*2.3</f>
        <v>736109.848</v>
      </c>
      <c r="O41" s="14" t="s">
        <v>141</v>
      </c>
      <c r="P41" s="14"/>
      <c r="Q41" s="46">
        <f>O30/Q40</f>
        <v>1.8311583261432267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41831.932773109249</v>
      </c>
      <c r="K42" s="250"/>
      <c r="L42" s="14"/>
      <c r="M42" s="12"/>
      <c r="N42" s="12">
        <f>N41/O30</f>
        <v>108388.52784403805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2.2999999999999998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1.781350819672131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hyperlinks>
    <hyperlink ref="F39" r:id="rId1" xr:uid="{652A1DD8-E6AD-4131-BDA0-BDA4DAEFBBC8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opLeftCell="D16" zoomScale="98" zoomScaleNormal="98" workbookViewId="0">
      <selection activeCell="F21" sqref="F21:F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1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45408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160</v>
      </c>
      <c r="D13" s="247"/>
      <c r="E13" s="247"/>
      <c r="F13" s="247" t="s">
        <v>161</v>
      </c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157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153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78727.786121318626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28</v>
      </c>
      <c r="C21" s="312" t="s">
        <v>163</v>
      </c>
      <c r="D21" s="313">
        <v>0.38</v>
      </c>
      <c r="E21" s="313">
        <v>0.35</v>
      </c>
      <c r="F21" s="312" t="s">
        <v>167</v>
      </c>
      <c r="G21" s="314">
        <v>16652</v>
      </c>
      <c r="H21" s="315">
        <f t="shared" ref="H21" si="1">G21*B21</f>
        <v>466256</v>
      </c>
      <c r="I21" s="265"/>
      <c r="J21" s="47"/>
      <c r="K21" s="325">
        <f>B21</f>
        <v>28</v>
      </c>
      <c r="L21" s="326">
        <f t="shared" ref="L21:M21" si="2">D21+L$19</f>
        <v>0.4</v>
      </c>
      <c r="M21" s="326">
        <f t="shared" si="2"/>
        <v>0.37</v>
      </c>
      <c r="N21" s="261">
        <f>L21*M21</f>
        <v>0.14799999999999999</v>
      </c>
      <c r="O21" s="259">
        <f>N21*K21</f>
        <v>4.1440000000000001</v>
      </c>
      <c r="P21" s="252">
        <f>P$20*N21</f>
        <v>11651.712345955157</v>
      </c>
      <c r="Q21" s="258">
        <f>P21+Q$20</f>
        <v>16651.712345955159</v>
      </c>
      <c r="R21" s="308">
        <f>K21*L21*2</f>
        <v>22.400000000000002</v>
      </c>
      <c r="S21" s="46">
        <f>K21*M21*2</f>
        <v>20.72</v>
      </c>
      <c r="T21" s="9"/>
      <c r="W21" s="4"/>
    </row>
    <row r="22" spans="2:24" ht="17.399999999999999" x14ac:dyDescent="0.3">
      <c r="B22" s="323">
        <v>7</v>
      </c>
      <c r="C22" s="312" t="s">
        <v>163</v>
      </c>
      <c r="D22" s="313">
        <v>0.76</v>
      </c>
      <c r="E22" s="313">
        <v>0.35</v>
      </c>
      <c r="F22" s="312" t="s">
        <v>167</v>
      </c>
      <c r="G22" s="314">
        <v>27721</v>
      </c>
      <c r="H22" s="315">
        <f t="shared" ref="H22:H23" si="3">G22*B22</f>
        <v>194047</v>
      </c>
      <c r="I22" s="265"/>
      <c r="J22" s="47"/>
      <c r="K22" s="327">
        <f t="shared" ref="K22:K25" si="4">B22</f>
        <v>7</v>
      </c>
      <c r="L22" s="326">
        <f t="shared" ref="L22:L25" si="5">D22+L$19</f>
        <v>0.78</v>
      </c>
      <c r="M22" s="326">
        <f t="shared" ref="M22:M25" si="6">E22+M$19</f>
        <v>0.37</v>
      </c>
      <c r="N22" s="261">
        <f t="shared" ref="N22:N25" si="7">L22*M22</f>
        <v>0.28860000000000002</v>
      </c>
      <c r="O22" s="259">
        <f t="shared" ref="O22:O25" si="8">N22*K22</f>
        <v>2.0202</v>
      </c>
      <c r="P22" s="252">
        <f t="shared" ref="P22:P25" si="9">P$20*N22</f>
        <v>22720.839074612559</v>
      </c>
      <c r="Q22" s="258">
        <f t="shared" ref="Q22:Q25" si="10">P22+Q$20</f>
        <v>27720.839074612559</v>
      </c>
      <c r="R22" s="308">
        <f t="shared" ref="R22:R25" si="11">K22*L22*2</f>
        <v>10.92</v>
      </c>
      <c r="S22" s="46">
        <f>K22*M22*2</f>
        <v>5.18</v>
      </c>
      <c r="T22" s="9"/>
      <c r="W22" s="4"/>
    </row>
    <row r="23" spans="2:24" ht="17.399999999999999" x14ac:dyDescent="0.3">
      <c r="B23" s="323">
        <v>32</v>
      </c>
      <c r="C23" s="312" t="s">
        <v>163</v>
      </c>
      <c r="D23" s="313">
        <v>0.38</v>
      </c>
      <c r="E23" s="313">
        <v>0.35</v>
      </c>
      <c r="F23" s="312" t="s">
        <v>167</v>
      </c>
      <c r="G23" s="314">
        <v>16652</v>
      </c>
      <c r="H23" s="315">
        <f t="shared" si="3"/>
        <v>532864</v>
      </c>
      <c r="I23" s="265"/>
      <c r="J23" s="47"/>
      <c r="K23" s="325">
        <f t="shared" si="4"/>
        <v>32</v>
      </c>
      <c r="L23" s="326">
        <f t="shared" si="5"/>
        <v>0.4</v>
      </c>
      <c r="M23" s="326">
        <f t="shared" si="6"/>
        <v>0.37</v>
      </c>
      <c r="N23" s="261">
        <f t="shared" si="7"/>
        <v>0.14799999999999999</v>
      </c>
      <c r="O23" s="259">
        <f t="shared" si="8"/>
        <v>4.7359999999999998</v>
      </c>
      <c r="P23" s="252">
        <f t="shared" si="9"/>
        <v>11651.712345955157</v>
      </c>
      <c r="Q23" s="258">
        <f t="shared" si="10"/>
        <v>16651.712345955159</v>
      </c>
      <c r="R23" s="308">
        <f t="shared" si="11"/>
        <v>25.6</v>
      </c>
      <c r="S23" s="46">
        <f t="shared" ref="S23:S25" si="12">K23*M23*2</f>
        <v>23.68</v>
      </c>
      <c r="T23" s="9"/>
      <c r="W23" s="4"/>
    </row>
    <row r="24" spans="2:24" ht="17.399999999999999" x14ac:dyDescent="0.3">
      <c r="B24" s="323">
        <v>8</v>
      </c>
      <c r="C24" s="312" t="s">
        <v>163</v>
      </c>
      <c r="D24" s="313">
        <v>0.76</v>
      </c>
      <c r="E24" s="313">
        <v>0.35</v>
      </c>
      <c r="F24" s="312" t="s">
        <v>167</v>
      </c>
      <c r="G24" s="314">
        <v>27721</v>
      </c>
      <c r="H24" s="315">
        <f t="shared" ref="H24:H25" si="13">G24*B24</f>
        <v>221768</v>
      </c>
      <c r="I24" s="265"/>
      <c r="J24" s="47"/>
      <c r="K24" s="325">
        <f t="shared" si="4"/>
        <v>8</v>
      </c>
      <c r="L24" s="326">
        <f t="shared" si="5"/>
        <v>0.78</v>
      </c>
      <c r="M24" s="326">
        <f t="shared" si="6"/>
        <v>0.37</v>
      </c>
      <c r="N24" s="261">
        <f t="shared" si="7"/>
        <v>0.28860000000000002</v>
      </c>
      <c r="O24" s="259">
        <f t="shared" si="8"/>
        <v>2.3088000000000002</v>
      </c>
      <c r="P24" s="252">
        <f t="shared" si="9"/>
        <v>22720.839074612559</v>
      </c>
      <c r="Q24" s="258">
        <f t="shared" si="10"/>
        <v>27720.839074612559</v>
      </c>
      <c r="R24" s="308">
        <f t="shared" si="11"/>
        <v>12.48</v>
      </c>
      <c r="S24" s="46">
        <f t="shared" si="12"/>
        <v>5.92</v>
      </c>
      <c r="T24" s="9"/>
      <c r="W24" s="4"/>
    </row>
    <row r="25" spans="2:24" ht="17.399999999999999" x14ac:dyDescent="0.3">
      <c r="B25" s="323">
        <v>4</v>
      </c>
      <c r="C25" s="312" t="s">
        <v>163</v>
      </c>
      <c r="D25" s="313">
        <v>2.2999999999999998</v>
      </c>
      <c r="E25" s="313">
        <v>0.57999999999999996</v>
      </c>
      <c r="F25" s="312" t="s">
        <v>167</v>
      </c>
      <c r="G25" s="314">
        <v>114589</v>
      </c>
      <c r="H25" s="315">
        <f t="shared" si="13"/>
        <v>458356</v>
      </c>
      <c r="I25" s="265"/>
      <c r="J25" s="47"/>
      <c r="K25" s="327">
        <f t="shared" si="4"/>
        <v>4</v>
      </c>
      <c r="L25" s="326">
        <f t="shared" si="5"/>
        <v>2.3199999999999998</v>
      </c>
      <c r="M25" s="326">
        <f t="shared" si="6"/>
        <v>0.6</v>
      </c>
      <c r="N25" s="261">
        <f t="shared" si="7"/>
        <v>1.3919999999999999</v>
      </c>
      <c r="O25" s="259">
        <f t="shared" si="8"/>
        <v>5.5679999999999996</v>
      </c>
      <c r="P25" s="252">
        <f t="shared" si="9"/>
        <v>109589.07828087552</v>
      </c>
      <c r="Q25" s="258">
        <f t="shared" si="10"/>
        <v>114589.07828087552</v>
      </c>
      <c r="R25" s="308">
        <f t="shared" si="11"/>
        <v>18.559999999999999</v>
      </c>
      <c r="S25" s="46">
        <f t="shared" si="12"/>
        <v>4.8</v>
      </c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8"/>
      <c r="H26" s="318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>
        <f>SUM(R21:R26)</f>
        <v>89.960000000000008</v>
      </c>
      <c r="S27" s="46">
        <f>SUM(S21:S26)</f>
        <v>60.3</v>
      </c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1873291</v>
      </c>
      <c r="I28" s="265"/>
      <c r="J28" s="47"/>
      <c r="K28" s="47"/>
      <c r="L28" s="39">
        <f>SUM(L21:L27)</f>
        <v>4.68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>
        <f>H28*0.19</f>
        <v>355925.29</v>
      </c>
      <c r="I29" s="265"/>
      <c r="J29" s="47"/>
      <c r="K29" s="47"/>
      <c r="L29" s="39"/>
      <c r="M29" s="12"/>
      <c r="N29" s="12"/>
      <c r="O29" s="253">
        <f>SUM(O21:O25)</f>
        <v>18.777000000000001</v>
      </c>
      <c r="P29" s="14"/>
      <c r="Q29" s="12"/>
      <c r="R29" s="238">
        <f>R27+S27</f>
        <v>150.26</v>
      </c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2229216.29</v>
      </c>
      <c r="I30" s="265"/>
      <c r="J30" s="47"/>
      <c r="K30" s="47"/>
      <c r="L30" s="39"/>
      <c r="M30" s="12"/>
      <c r="N30" s="12"/>
      <c r="O30" s="253">
        <f>O29</f>
        <v>18.777000000000001</v>
      </c>
      <c r="P30" s="14"/>
      <c r="Q30" s="12"/>
      <c r="R30" s="238">
        <f>R29*20%</f>
        <v>30.052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>
        <v>28</v>
      </c>
      <c r="K31" s="47"/>
      <c r="L31" s="14"/>
      <c r="M31" s="12"/>
      <c r="N31" s="12"/>
      <c r="O31" s="39">
        <f>O30*20%</f>
        <v>3.7554000000000003</v>
      </c>
      <c r="P31" s="39" t="s">
        <v>131</v>
      </c>
      <c r="Q31" s="42"/>
      <c r="R31" s="239">
        <f>R29+R30</f>
        <v>180.31199999999998</v>
      </c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20">
        <v>32</v>
      </c>
      <c r="K32" s="47"/>
      <c r="L32" s="14"/>
      <c r="M32" s="12"/>
      <c r="N32" s="12"/>
      <c r="O32" s="46">
        <f>O30+O31</f>
        <v>22.532400000000003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20">
        <v>8</v>
      </c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>
        <f>SUM(J31:J33)</f>
        <v>68</v>
      </c>
      <c r="K34" s="47"/>
      <c r="L34" s="39">
        <f>O32*2</f>
        <v>45.064800000000005</v>
      </c>
      <c r="M34" s="12">
        <v>3500</v>
      </c>
      <c r="N34" s="12">
        <f t="shared" ref="N34:N39" si="14">L34*M34</f>
        <v>157726.80000000002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5</v>
      </c>
      <c r="M35" s="12">
        <v>25000</v>
      </c>
      <c r="N35" s="12">
        <f t="shared" si="14"/>
        <v>125000</v>
      </c>
      <c r="O35" s="39" t="s">
        <v>155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>
        <v>200</v>
      </c>
      <c r="M36" s="250">
        <v>750</v>
      </c>
      <c r="N36" s="12">
        <f t="shared" si="14"/>
        <v>150000</v>
      </c>
      <c r="O36" s="39" t="s">
        <v>165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152</v>
      </c>
      <c r="I37" s="262"/>
      <c r="J37" s="319"/>
      <c r="K37" s="250"/>
      <c r="L37" s="14">
        <v>5</v>
      </c>
      <c r="M37" s="250">
        <v>42000</v>
      </c>
      <c r="N37" s="12">
        <f t="shared" si="14"/>
        <v>210000</v>
      </c>
      <c r="O37" s="14" t="s">
        <v>142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J38" s="319"/>
      <c r="K38" s="250"/>
      <c r="L38" s="249"/>
      <c r="M38" s="250">
        <v>800</v>
      </c>
      <c r="N38" s="12">
        <f t="shared" si="14"/>
        <v>0</v>
      </c>
      <c r="O38" s="14" t="s">
        <v>33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14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642726.80000000005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49780</v>
      </c>
      <c r="K41" s="250"/>
      <c r="L41" s="254" t="s">
        <v>34</v>
      </c>
      <c r="M41" s="12"/>
      <c r="N41" s="255">
        <f>N40*2.3</f>
        <v>1478271.64</v>
      </c>
      <c r="O41" s="14" t="s">
        <v>141</v>
      </c>
      <c r="P41" s="14"/>
      <c r="Q41" s="46">
        <f>O30/Q40</f>
        <v>5.0628235547886113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41831.932773109249</v>
      </c>
      <c r="K42" s="250"/>
      <c r="L42" s="14"/>
      <c r="M42" s="12"/>
      <c r="N42" s="12">
        <f>N41/O30</f>
        <v>78727.786121318626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2.2999999999999998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4.9251147540983613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LOCKERS!G10</f>
        <v>45408</v>
      </c>
    </row>
    <row r="6" spans="2:31" ht="16.2" thickBot="1" x14ac:dyDescent="0.35">
      <c r="B6" s="140" t="s">
        <v>2</v>
      </c>
      <c r="C6" s="139" t="str">
        <f>LOCKERS!C10</f>
        <v>CONSTRUCTORA BAYO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LOCKERS!#REF!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LOCKERS!D8</f>
        <v>N° 10935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-185010.92170012076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LOCKERS!H28</f>
        <v>1873291</v>
      </c>
      <c r="E11" s="132">
        <f>D11*0.19</f>
        <v>355925.29</v>
      </c>
      <c r="F11" s="131">
        <f>E11+D11</f>
        <v>2229216.29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-79020.921700120758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462560.89078743965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-97020.921700120758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1410730.1092125603</v>
      </c>
      <c r="E13" s="221">
        <f>(D11/D12)-1</f>
        <v>3.0498257360474348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-106020.92170012076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-145020.92170012076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763225.46979927539</v>
      </c>
      <c r="F15" s="216">
        <f>E15-D12</f>
        <v>300664.57901183574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-145020.92170012076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-105020.92170012076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LOCKERS!N36</f>
        <v>150000</v>
      </c>
      <c r="E18" s="123">
        <f>D18*0.19</f>
        <v>28500</v>
      </c>
      <c r="F18" s="120">
        <f>SUM(D18:E18)</f>
        <v>178500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LOCKERS!N35</f>
        <v>125000</v>
      </c>
      <c r="E19" s="123">
        <f>D19*0.19</f>
        <v>23750</v>
      </c>
      <c r="F19" s="120">
        <f>SUM(D19:E19)</f>
        <v>148750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LOCKERS!N34</f>
        <v>157726.80000000002</v>
      </c>
      <c r="E20" s="121">
        <f>D20*0.19</f>
        <v>29968.092000000004</v>
      </c>
      <c r="F20" s="120">
        <f>SUM(D20:E20)</f>
        <v>187694.89200000002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432726.80000000005</v>
      </c>
      <c r="E21" s="116">
        <f>SUM(E18:E20)</f>
        <v>82218.092000000004</v>
      </c>
      <c r="F21" s="115">
        <f>SUM(F18:F20)</f>
        <v>514944.89199999999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273707.19799999997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1873291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432726.80000000005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1410730.1092125603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1410730.1092125603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CLOSET</vt:lpstr>
      <vt:lpstr>M.RECEPCION PISO 2</vt:lpstr>
      <vt:lpstr>TABIQUE</vt:lpstr>
      <vt:lpstr>SEPARADORES</vt:lpstr>
      <vt:lpstr>LOCKERS</vt:lpstr>
      <vt:lpstr>COSTOS</vt:lpstr>
      <vt:lpstr>CLOSET!Área_de_impresión</vt:lpstr>
      <vt:lpstr>LOCKERS!Área_de_impresión</vt:lpstr>
      <vt:lpstr>'M.RECEPCION PISO 2'!Área_de_impresión</vt:lpstr>
      <vt:lpstr>SEPARADORES!Área_de_impresión</vt:lpstr>
      <vt:lpstr>TABIQUE!Área_de_impresión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2024-04-30T01:16:51Z</dcterms:modified>
</cp:coreProperties>
</file>