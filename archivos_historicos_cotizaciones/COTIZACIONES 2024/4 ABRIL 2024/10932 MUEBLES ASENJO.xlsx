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D6FAC45B-3239-4A8B-8558-3F792F0F2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K21" i="1"/>
  <c r="J40" i="1"/>
  <c r="L21" i="1"/>
  <c r="L25" i="1" s="1"/>
  <c r="L36" i="1" s="1"/>
  <c r="M21" i="1"/>
  <c r="N22" i="1" l="1"/>
  <c r="O22" i="1" s="1"/>
  <c r="S21" i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Q22" i="1" l="1"/>
  <c r="H22" i="1"/>
  <c r="P21" i="1"/>
  <c r="F15" i="3"/>
  <c r="Q21" i="1" l="1"/>
  <c r="H21" i="1" s="1"/>
  <c r="H25" i="1" s="1"/>
  <c r="H26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<sst xmlns="http://schemas.openxmlformats.org/spreadsheetml/2006/main" count="232" uniqueCount="174">
  <si>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</si>
  <si>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</si>
  <si>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</si>
  <si>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</si>
  <si>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</si>
  <si>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</si>
  <si>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</si>
  <si>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</si>
  <si>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</si>
  <si>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</si>
  <si>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</si>
  <si>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</si>
  <si>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</si>
  <si>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</si>
  <si>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</si>
  <si>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</si>
  <si>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</si>
  <si>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</si>
  <si>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</si>
  <si>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</si>
  <si>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</si>
  <si>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</si>
  <si>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</si>
  <si>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</si>
  <si>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</si>
  <si>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</si>
  <si>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</si>
  <si>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</si>
  <si>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</si>
  <si>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</si>
  <si>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</si>
  <si>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</si>
  <si>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</si>
  <si>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</si>
  <si>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</si>
  <si>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</si>
  <si>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</si>
  <si>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</si>
  <si>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</si>
  <si>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</si>
  <si>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</si>
  <si>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</si>
  <si>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</si>
  <si>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</si>
  <si>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</si>
  <si>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</si>
  <si>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</si>
  <si>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</si>
  <si>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</si>
  <si>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</si>
  <si>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</si>
  <si>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</si>
  <si>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</si>
  <si>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</si>
  <si>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</si>
  <si>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</si>
  <si>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</si>
  <si>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</si>
  <si>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</si>
  <si>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</si>
  <si>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</si>
  <si>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</si>
  <si>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</si>
  <si>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</si>
  <si>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</si>
  <si>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</si>
  <si>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</si>
  <si>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</si>
  <si>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</si>
  <si>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</si>
  <si>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</si>
  <si>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</si>
  <si>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</si>
  <si>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</si>
  <si>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</si>
  <si>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</si>
  <si>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</si>
  <si>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</si>
  <si>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</si>
  <si>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</si>
  <si>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</si>
  <si>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</si>
  <si>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</si>
  <si>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</si>
  <si>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</si>
  <si>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</si>
  <si>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</si>
  <si>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</si>
  <si>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</si>
  <si>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</si>
  <si>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</si>
  <si>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</si>
  <si>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</si>
  <si>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</si>
  <si>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</si>
  <si>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</si>
  <si>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</si>
  <si>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</si>
  <si>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</si>
  <si>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</si>
  <si>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</si>
  <si>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</si>
  <si>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</si>
  <si>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</si>
  <si>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</si>
  <si>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</si>
  <si>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</si>
  <si>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</si>
  <si>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</si>
  <si>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</si>
  <si>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</si>
  <si>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</si>
  <si>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</si>
  <si>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</si>
  <si>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</si>
  <si>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</si>
  <si>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</si>
  <si>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</si>
  <si>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</si>
  <si>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</si>
  <si>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</si>
  <si>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</si>
  <si>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</si>
  <si>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</si>
  <si>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</si>
  <si>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</si>
  <si>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</si>
  <si>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</si>
  <si>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</si>
  <si>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</si>
  <si>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</si>
  <si>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</si>
  <si>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</si>
  <si>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</si>
  <si>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</si>
  <si>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</si>
  <si>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</si>
  <si>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</si>
  <si>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</si>
  <si>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</si>
  <si>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</si>
  <si>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</si>
  <si>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</si>
  <si>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</si>
  <si>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</si>
  <si>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</si>
  <si>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</si>
  <si>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</si>
  <si>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</si>
  <si>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</si>
  <si>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</si>
  <si>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</si>
  <si>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</si>
  <si>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</si>
  <si>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</si>
  <si>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</si>
  <si>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</si>
  <si>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</si>
  <si>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</si>
  <si>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</si>
  <si>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</si>
  <si>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</si>
  <si>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</si>
  <si>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</si>
  <si>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</si>
  <si>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</si>
  <si>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</si>
  <si>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</si>
  <si>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MUEBLES ASENJO</t>
  </si>
  <si>
    <t>MIGUEL ASENJO</t>
  </si>
  <si>
    <t>56-227843030</t>
  </si>
  <si>
    <t>CUBIERTA CON RESPALDO FRENTE 90° R8</t>
  </si>
  <si>
    <t>SEA WHITE 1502 MT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</si>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</sst>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10932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45405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169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8" x14ac:dyDescent="0.35">
      <c r="B15" s="288" t="s">
        <v>4</v>
      </c>
      <c r="C15" s="330" t="s">
        <v>170</v>
      </c>
      <c r="D15" s="321"/>
      <c r="F15" t="s">
        <v>135</v>
      </c>
      <c r="G15" s="320" t="s">
        <v>136</v>
      </c>
      <c r="H15" s="290"/>
    </row>
    <row r="16" spans="2:23" ht="16.8" x14ac:dyDescent="0.4">
      <c r="B16" s="327" t="s">
        <v>3</v>
      </c>
      <c r="C16" s="318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77572.647058823539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171</v>
      </c>
      <c r="D21" s="315">
        <v>2.1</v>
      </c>
      <c r="E21" s="315">
        <v>0.6</v>
      </c>
      <c r="F21" s="314" t="s">
        <v>172</v>
      </c>
      <c r="G21" s="316">
        <v>100069</v>
      </c>
      <c r="H21" s="317">
        <f>G21*B21</f>
        <v>100069</v>
      </c>
      <c r="I21" s="265"/>
      <c r="J21" s="47"/>
      <c r="K21" s="47">
        <f>B21</f>
        <v>1</v>
      </c>
      <c r="L21" s="39">
        <f t="shared" ref="L21" si="1">D21+L$19</f>
        <v>2.15</v>
      </c>
      <c r="M21" s="39">
        <f t="shared" ref="M21" si="2">E21+M$19</f>
        <v>0.6</v>
      </c>
      <c r="N21" s="261">
        <f t="shared" ref="N21" si="3">L21*M21</f>
        <v>1.2899999999999998</v>
      </c>
      <c r="O21" s="259">
        <f t="shared" ref="O21" si="4">N21*K21</f>
        <v>1.2899999999999998</v>
      </c>
      <c r="P21" s="252">
        <f t="shared" ref="P21" si="5">P$20*N21</f>
        <v>100068.71470588235</v>
      </c>
      <c r="Q21" s="258">
        <f t="shared" ref="Q21" si="6">P21+Q$20</f>
        <v>103068.71470588235</v>
      </c>
      <c r="R21" s="299">
        <f>L21*K21*2</f>
        <v>4.3</v>
      </c>
      <c r="S21" s="46">
        <f>M21*K21*2</f>
        <v>1.2</v>
      </c>
      <c r="T21" s="9"/>
      <c r="W21" s="4"/>
    </row>
    <row r="22" spans="2:24" ht="17.399999999999999" x14ac:dyDescent="0.3">
      <c r="B22" s="313">
        <v>1</v>
      </c>
      <c r="C22" s="314" t="s">
        <v>171</v>
      </c>
      <c r="D22" s="315">
        <v>1.2</v>
      </c>
      <c r="E22" s="315">
        <v>0.6</v>
      </c>
      <c r="F22" s="314" t="s">
        <v>172</v>
      </c>
      <c r="G22" s="316">
        <v>58179</v>
      </c>
      <c r="H22" s="317">
        <f>G22*B22</f>
        <v>58179</v>
      </c>
      <c r="I22" s="265"/>
      <c r="J22" s="47"/>
      <c r="K22" s="47">
        <f>B22</f>
        <v>1</v>
      </c>
      <c r="L22" s="39">
        <f t="shared" ref="L22" si="7">D22+L$19</f>
        <v>1.25</v>
      </c>
      <c r="M22" s="39">
        <f t="shared" ref="M22" si="8">E22+M$19</f>
        <v>0.6</v>
      </c>
      <c r="N22" s="261">
        <f t="shared" ref="N22" si="9">L22*M22</f>
        <v>0.75</v>
      </c>
      <c r="O22" s="259">
        <f t="shared" ref="O22" si="10">N22*K22</f>
        <v>0.75</v>
      </c>
      <c r="P22" s="252">
        <f t="shared" ref="P22" si="11">P$20*N22</f>
        <v>58179.48529411765</v>
      </c>
      <c r="Q22" s="258">
        <f t="shared" ref="Q22" si="12">P22+Q$20</f>
        <v>61179.48529411765</v>
      </c>
      <c r="R22" s="299">
        <f>L22*K22*2</f>
        <v>2.5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SUM(H21:H24)</f>
        <v>158248</v>
      </c>
      <c r="I25" s="265"/>
      <c r="J25" s="47"/>
      <c r="K25" s="47"/>
      <c r="L25" s="39">
        <f>SUM(L21:L24)</f>
        <v>3.4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30067.119999999999</v>
      </c>
      <c r="I26" s="265"/>
      <c r="J26" s="47"/>
      <c r="K26" s="47"/>
      <c r="L26" s="39"/>
      <c r="M26" s="12"/>
      <c r="N26" s="12"/>
      <c r="O26" s="253">
        <f>SUM(O21:O22)</f>
        <v>2.04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188315.12</v>
      </c>
      <c r="I27" s="265"/>
      <c r="J27" s="47"/>
      <c r="K27" s="47"/>
      <c r="L27" s="39"/>
      <c r="M27" s="12"/>
      <c r="N27" s="12"/>
      <c r="O27" s="253">
        <f>O26</f>
        <v>2.04</v>
      </c>
      <c r="P27" s="14"/>
      <c r="Q27" s="12"/>
      <c r="R27" s="239">
        <f>SUM(R21:R26)</f>
        <v>6.8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0.40800000000000003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2.448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2.448</v>
      </c>
      <c r="M31" s="12">
        <v>2500</v>
      </c>
      <c r="N31" s="12">
        <f t="shared" ref="N31:N36" si="13">L31*M31</f>
        <v>6120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23500</v>
      </c>
      <c r="N32" s="12">
        <f t="shared" si="13"/>
        <v>16450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33500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44261</v>
      </c>
      <c r="N34" s="12">
        <f t="shared" si="13"/>
        <v>44261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f>L25</f>
        <v>3.4</v>
      </c>
      <c r="M36" s="12">
        <v>1500</v>
      </c>
      <c r="N36" s="12">
        <f t="shared" si="13"/>
        <v>5100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71931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158248.20000000001</v>
      </c>
      <c r="O38" s="14" t="s">
        <v>141</v>
      </c>
      <c r="P38" s="14"/>
      <c r="Q38" s="40">
        <f>O29/Q37</f>
        <v>0.66005176876617766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57540</v>
      </c>
      <c r="K39" s="250"/>
      <c r="L39" s="14"/>
      <c r="M39" s="12"/>
      <c r="N39" s="12">
        <f>N38/O27</f>
        <v>77572.647058823539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48352.941176470587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10932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-11963.541700120773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158248</v>
      </c>
      <c r="E11" s="132">
        <f>D11*0.19</f>
        <v>30067.119999999999</v>
      </c>
      <c r="F11" s="131">
        <f>E11+D11</f>
        <v>188315.12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94026.458299879232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52404.090787439614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76026.458299879232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105843.90921256039</v>
      </c>
      <c r="E13" s="221">
        <f>(D11/D12)-1</f>
        <v>2.0197642516474956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67026.458299879232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28026.458299879225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86466.749799275363</v>
      </c>
      <c r="F15" s="216">
        <f>E15-D12</f>
        <v>34062.659011835749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28026.458299879225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68026.458299879232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6120</v>
      </c>
      <c r="E20" s="121">
        <f>D20*0.19</f>
        <v>1162.8</v>
      </c>
      <c r="F20" s="120">
        <f>SUM(D20:E20)</f>
        <v>7282.8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22570</v>
      </c>
      <c r="E21" s="116">
        <f>SUM(E18:E20)</f>
        <v>4288.3</v>
      </c>
      <c r="F21" s="115">
        <f>SUM(F18:F20)</f>
        <v>26858.3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25778.82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158248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22570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105843.90921256039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105843.90921256039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2024-02-02T18:53:41Z</cp:lastPrinted>
  <dcterms:created xsi:type="dcterms:W3CDTF">2013-03-18T13:35:42Z</dcterms:created>
  <dcterms:modified xsi:type="dcterms:W3CDTF">2024-04-24T19:04:18Z</dcterms:modified>
</cp:coreProperties>
</file>