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19854BD3-D017-4B25-A77D-C19BF1DAF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3" i="1"/>
  <c r="O27" i="1"/>
  <c r="L23" i="1"/>
  <c r="M23" i="1"/>
  <c r="N23" i="1"/>
  <c r="O23" i="1"/>
  <c r="R23" i="1"/>
  <c r="K22" i="1"/>
  <c r="K23" i="1"/>
  <c r="K21" i="1"/>
  <c r="L22" i="1"/>
  <c r="M22" i="1"/>
  <c r="H22" i="1"/>
  <c r="J32" i="1"/>
  <c r="K10" i="1"/>
  <c r="N22" i="1" l="1"/>
  <c r="O22" i="1" s="1"/>
  <c r="R22" i="1"/>
  <c r="J40" i="1"/>
  <c r="L21" i="1" l="1"/>
  <c r="L26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3" i="1"/>
  <c r="Q23" i="1" s="1"/>
  <c r="P21" i="1"/>
  <c r="F15" i="3"/>
  <c r="Q21" i="1" l="1"/>
  <c r="H21" i="1" s="1"/>
  <c r="R28" i="1"/>
  <c r="H28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<sst xmlns="http://schemas.openxmlformats.org/spreadsheetml/2006/main" count="222" uniqueCount="164">
  <si>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</si>
  <si>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</si>
  <si>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</si>
  <si>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</si>
  <si>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</si>
  <si>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</si>
  <si>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</si>
  <si>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</si>
  <si>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</si>
  <si>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</si>
  <si>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</si>
  <si>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</si>
  <si>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</si>
  <si>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</si>
  <si>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</si>
  <si>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</si>
  <si>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</si>
  <si>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</si>
  <si>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</si>
  <si>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</si>
  <si>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</si>
  <si>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</si>
  <si>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</si>
  <si>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</si>
  <si>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</si>
  <si>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</si>
  <si>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</si>
  <si>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</si>
  <si>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</si>
  <si>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</si>
  <si>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</si>
  <si>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</si>
  <si>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</si>
  <si>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</si>
  <si>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</si>
  <si>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</si>
  <si>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</si>
  <si>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</si>
  <si>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</si>
  <si>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</si>
  <si>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</si>
  <si>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</si>
  <si>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</si>
  <si>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</si>
  <si>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</si>
  <si>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</si>
  <si>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</si>
  <si>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</si>
  <si>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</si>
  <si>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</si>
  <si>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</si>
  <si>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</si>
  <si>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</si>
  <si>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</si>
  <si>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</si>
  <si>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</si>
  <si>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</si>
  <si>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</si>
  <si>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</si>
  <si>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</si>
  <si>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</si>
  <si>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</si>
  <si>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</si>
  <si>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</si>
  <si>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</si>
  <si>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</si>
  <si>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</si>
  <si>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</si>
  <si>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</si>
  <si>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</si>
  <si>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</si>
  <si>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</si>
  <si>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</si>
  <si>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</si>
  <si>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</si>
  <si>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</si>
  <si>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</si>
  <si>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</si>
  <si>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</si>
  <si>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</si>
  <si>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</si>
  <si>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</si>
  <si>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</si>
  <si>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</si>
  <si>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</si>
  <si>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</si>
  <si>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</si>
  <si>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</si>
  <si>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</si>
  <si>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</si>
  <si>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</si>
  <si>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</si>
  <si>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</si>
  <si>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</si>
  <si>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</si>
  <si>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</si>
  <si>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</si>
  <si>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</si>
  <si>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</si>
  <si>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</si>
  <si>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</si>
  <si>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</si>
  <si>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</si>
  <si>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</si>
  <si>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</si>
  <si>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</si>
  <si>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</si>
  <si>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</si>
  <si>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</si>
  <si>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</si>
  <si>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</si>
  <si>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</si>
  <si>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</si>
  <si>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</si>
  <si>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</si>
  <si>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</si>
  <si>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</si>
  <si>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</si>
  <si>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</si>
  <si>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</si>
  <si>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</si>
  <si>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</si>
  <si>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</si>
  <si>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</si>
  <si>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</si>
  <si>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</si>
  <si>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</si>
  <si>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</si>
  <si>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</si>
  <si>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</si>
  <si>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</si>
  <si>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</si>
  <si>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</si>
  <si>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</si>
  <si>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</si>
  <si>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</si>
  <si>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</si>
  <si>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</si>
  <si>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</si>
  <si>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</si>
  <si>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</si>
  <si>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</si>
  <si>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</si>
  <si>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</si>
  <si>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</si>
  <si>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</si>
  <si>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</si>
  <si>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</si>
  <si>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</si>
  <si>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</si>
  <si>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</si>
  <si>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</si>
  <si>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</si>
  <si>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</si>
  <si>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</si>
  <si>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</si>
  <si>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</si>
  <si>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</si>
  <si>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</si>
  <si>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</si>
  <si>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</si>
  <si>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CUB CON RESPALDO FRENTE 90° R12</t>
  </si>
  <si>
    <t>NERO MARCHINA PP-5974 BR</t>
  </si>
  <si>
    <t>N° 10923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</si>
</sst>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45392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6" t="s">
        <v>155</v>
      </c>
      <c r="G17" s="326"/>
      <c r="H17" s="32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8" t="s">
        <v>149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38" t="s">
        <v>10</v>
      </c>
      <c r="E20" s="338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92985.461494362695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161</v>
      </c>
      <c r="D21" s="339">
        <v>1.5</v>
      </c>
      <c r="E21" s="339">
        <v>0.55000000000000004</v>
      </c>
      <c r="F21" s="312" t="s">
        <v>162</v>
      </c>
      <c r="G21" s="313">
        <v>82270</v>
      </c>
      <c r="H21" s="314">
        <f t="shared" ref="H21" si="1">G21*B21</f>
        <v>82270</v>
      </c>
      <c r="I21" s="265"/>
      <c r="J21" s="47"/>
      <c r="K21" s="324">
        <f>B21</f>
        <v>1</v>
      </c>
      <c r="L21" s="325">
        <f t="shared" ref="L21:M21" si="2">D21+L$19</f>
        <v>1.55</v>
      </c>
      <c r="M21" s="325">
        <f t="shared" si="2"/>
        <v>0.55000000000000004</v>
      </c>
      <c r="N21" s="261">
        <f>L21*M21</f>
        <v>0.85250000000000015</v>
      </c>
      <c r="O21" s="259">
        <f>N21*K21</f>
        <v>0.85250000000000015</v>
      </c>
      <c r="P21" s="252">
        <f>P$20*N21</f>
        <v>79270.105923944211</v>
      </c>
      <c r="Q21" s="258">
        <f>P21+Q$20</f>
        <v>82270.105923944211</v>
      </c>
      <c r="R21" s="308">
        <f>K21*L21</f>
        <v>1.55</v>
      </c>
      <c r="S21" s="14"/>
      <c r="T21" s="9"/>
      <c r="W21" s="4"/>
    </row>
    <row r="22" spans="2:24" ht="17.399999999999999" x14ac:dyDescent="0.3">
      <c r="B22" s="322">
        <v>1</v>
      </c>
      <c r="C22" s="312" t="s">
        <v>161</v>
      </c>
      <c r="D22" s="339">
        <v>1.45</v>
      </c>
      <c r="E22" s="339">
        <v>0.5</v>
      </c>
      <c r="F22" s="312" t="s">
        <v>162</v>
      </c>
      <c r="G22" s="313">
        <v>72739</v>
      </c>
      <c r="H22" s="314">
        <f t="shared" ref="H22:H23" si="3">G22*B22</f>
        <v>72739</v>
      </c>
      <c r="I22" s="265"/>
      <c r="J22" s="47"/>
      <c r="K22" s="324">
        <f t="shared" ref="K22:K23" si="4">B22</f>
        <v>1</v>
      </c>
      <c r="L22" s="325">
        <f t="shared" ref="L22" si="5">D22+L$19</f>
        <v>1.5</v>
      </c>
      <c r="M22" s="325">
        <f t="shared" ref="M22" si="6">E22+M$19</f>
        <v>0.5</v>
      </c>
      <c r="N22" s="261">
        <f>L22*M22</f>
        <v>0.75</v>
      </c>
      <c r="O22" s="259">
        <f>N22*K22</f>
        <v>0.75</v>
      </c>
      <c r="P22" s="252">
        <f>P$20*N22</f>
        <v>69739.096120772025</v>
      </c>
      <c r="Q22" s="258">
        <f>P22+Q$20</f>
        <v>72739.096120772025</v>
      </c>
      <c r="R22" s="308">
        <f>K22*L22</f>
        <v>1.5</v>
      </c>
      <c r="S22" s="14"/>
      <c r="T22" s="9"/>
      <c r="W22" s="4"/>
    </row>
    <row r="23" spans="2:24" ht="17.399999999999999" x14ac:dyDescent="0.3">
      <c r="B23" s="322">
        <v>1</v>
      </c>
      <c r="C23" s="312" t="s">
        <v>161</v>
      </c>
      <c r="D23" s="339">
        <v>1.64</v>
      </c>
      <c r="E23" s="339">
        <v>0.6</v>
      </c>
      <c r="F23" s="312" t="s">
        <v>162</v>
      </c>
      <c r="G23" s="340">
        <v>97287</v>
      </c>
      <c r="H23" s="340">
        <f t="shared" si="3"/>
        <v>97287</v>
      </c>
      <c r="I23" s="265"/>
      <c r="J23" s="47"/>
      <c r="K23" s="324">
        <f t="shared" si="4"/>
        <v>1</v>
      </c>
      <c r="L23" s="325">
        <f t="shared" ref="L23" si="7">D23+L$19</f>
        <v>1.69</v>
      </c>
      <c r="M23" s="325">
        <f t="shared" ref="M23" si="8">E23+M$19</f>
        <v>0.6</v>
      </c>
      <c r="N23" s="261">
        <f>L23*M23</f>
        <v>1.014</v>
      </c>
      <c r="O23" s="259">
        <f>N23*K23</f>
        <v>1.014</v>
      </c>
      <c r="P23" s="252">
        <f>P$20*N23</f>
        <v>94287.257955283771</v>
      </c>
      <c r="Q23" s="258">
        <f>P23+Q$20</f>
        <v>97287.257955283771</v>
      </c>
      <c r="R23" s="308">
        <f>K23*L23</f>
        <v>1.69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7"/>
      <c r="H24" s="31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252296</v>
      </c>
      <c r="I26" s="265"/>
      <c r="J26" s="47"/>
      <c r="K26" s="47"/>
      <c r="L26" s="39">
        <f>SUM(L21:L25)</f>
        <v>4.74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/>
      <c r="I27" s="265"/>
      <c r="J27" s="47"/>
      <c r="K27" s="47"/>
      <c r="L27" s="39"/>
      <c r="M27" s="12"/>
      <c r="N27" s="12"/>
      <c r="O27" s="253">
        <f>SUM(O21:O23)</f>
        <v>2.6165000000000003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252296</v>
      </c>
      <c r="I28" s="265"/>
      <c r="J28" s="47"/>
      <c r="K28" s="47"/>
      <c r="L28" s="39"/>
      <c r="M28" s="12"/>
      <c r="N28" s="12"/>
      <c r="O28" s="253">
        <f>O27</f>
        <v>2.6165000000000003</v>
      </c>
      <c r="P28" s="14"/>
      <c r="Q28" s="12"/>
      <c r="R28" s="238">
        <f>SUM(R21:R27)</f>
        <v>4.74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32</v>
      </c>
      <c r="K29" s="47"/>
      <c r="L29" s="14"/>
      <c r="M29" s="12"/>
      <c r="N29" s="12"/>
      <c r="O29" s="39">
        <f>O28*20%</f>
        <v>0.5233000000000001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9">
        <v>32</v>
      </c>
      <c r="K30" s="47"/>
      <c r="L30" s="14"/>
      <c r="M30" s="12"/>
      <c r="N30" s="12"/>
      <c r="O30" s="46">
        <f>O28+O29</f>
        <v>3.1398000000000001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9">
        <v>55</v>
      </c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>
        <f>SUM(J29:J31)</f>
        <v>119</v>
      </c>
      <c r="K32" s="47"/>
      <c r="L32" s="39">
        <f>O30</f>
        <v>3.1398000000000001</v>
      </c>
      <c r="M32" s="12">
        <v>3500</v>
      </c>
      <c r="N32" s="12">
        <f t="shared" ref="N32:N37" si="9">L32*M32</f>
        <v>10989.300000000001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0.8</v>
      </c>
      <c r="M33" s="12">
        <v>25000</v>
      </c>
      <c r="N33" s="12">
        <f t="shared" si="9"/>
        <v>20000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9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8"/>
      <c r="K35" s="250"/>
      <c r="L35" s="14">
        <v>2</v>
      </c>
      <c r="M35" s="250">
        <v>36200</v>
      </c>
      <c r="N35" s="12">
        <f t="shared" si="9"/>
        <v>72400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8"/>
      <c r="K36" s="250"/>
      <c r="L36" s="249"/>
      <c r="M36" s="250">
        <v>800</v>
      </c>
      <c r="N36" s="12">
        <f t="shared" si="9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4.8</v>
      </c>
      <c r="M37" s="12">
        <v>1500</v>
      </c>
      <c r="N37" s="12">
        <f t="shared" si="9"/>
        <v>7200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110589.3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43000</v>
      </c>
      <c r="K39" s="250"/>
      <c r="L39" s="254" t="s">
        <v>35</v>
      </c>
      <c r="M39" s="12"/>
      <c r="N39" s="255">
        <f>N38*2.2</f>
        <v>243296.46000000002</v>
      </c>
      <c r="O39" s="14" t="s">
        <v>142</v>
      </c>
      <c r="P39" s="14"/>
      <c r="Q39" s="46">
        <f>O28/Q38</f>
        <v>0.70548425366695433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36134.45378151261</v>
      </c>
      <c r="K40" s="250"/>
      <c r="L40" s="14"/>
      <c r="M40" s="12"/>
      <c r="N40" s="12">
        <f>N39/O28</f>
        <v>92985.461494362695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0.68629508196721312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45392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10923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-25322.90086678744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252296</v>
      </c>
      <c r="E11" s="132">
        <f>D11*0.19</f>
        <v>47936.24</v>
      </c>
      <c r="F11" s="131">
        <f>E11+D11</f>
        <v>300232.24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80667.099133212556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60823.390787439617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62667.099133212556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191472.60921256038</v>
      </c>
      <c r="E13" s="221">
        <f>(D11/D12)-1</f>
        <v>3.1480094538251322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53667.099133212556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14667.09913321256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100358.59479927536</v>
      </c>
      <c r="F15" s="216">
        <f>E15-D12</f>
        <v>39535.204011835747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14667.09913321256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54667.099133212556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10989.300000000001</v>
      </c>
      <c r="E20" s="121">
        <f>D20*0.19</f>
        <v>2087.9670000000001</v>
      </c>
      <c r="F20" s="120">
        <f>SUM(D20:E20)</f>
        <v>13077.267000000002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30989.300000000003</v>
      </c>
      <c r="E21" s="116">
        <f>SUM(E18:E20)</f>
        <v>5887.9670000000006</v>
      </c>
      <c r="F21" s="115">
        <f>SUM(F18:F20)</f>
        <v>36877.267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42048.273000000001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252296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30989.300000000003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191472.60921256038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191472.60921256038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2024-04-16T18:38:27Z</dcterms:modified>
</cp:coreProperties>
</file>