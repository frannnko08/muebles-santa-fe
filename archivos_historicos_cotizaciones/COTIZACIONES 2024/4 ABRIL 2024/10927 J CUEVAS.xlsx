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264B69FC-4E05-4669-B36C-73410C1F0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M22" i="1"/>
  <c r="J39" i="1"/>
  <c r="R22" i="1" l="1"/>
  <c r="N22" i="1"/>
  <c r="L24" i="1"/>
  <c r="S21" i="1"/>
  <c r="R21" i="1"/>
  <c r="N21" i="1"/>
  <c r="O21" i="1" s="1"/>
  <c r="U32" i="1"/>
  <c r="U33" i="1" s="1"/>
  <c r="O22" i="1" l="1"/>
  <c r="O25" i="1" s="1"/>
  <c r="R26" i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8" i="1" l="1"/>
  <c r="P20" i="1" s="1"/>
  <c r="D21" i="3"/>
  <c r="M43" i="3" s="1"/>
  <c r="D12" i="3" s="1"/>
  <c r="F20" i="3"/>
  <c r="F21" i="3" s="1"/>
  <c r="P21" i="1" l="1"/>
  <c r="P22" i="1"/>
  <c r="Q22" i="1" s="1"/>
  <c r="N39" i="1"/>
  <c r="E15" i="3"/>
  <c r="F15" i="3" l="1"/>
  <c r="H22" i="1" l="1"/>
  <c r="Q21" i="1"/>
  <c r="H21" i="1" l="1"/>
  <c r="H24" i="1" s="1"/>
  <c r="H25" i="1" l="1"/>
  <c r="H26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<sst xmlns="http://schemas.openxmlformats.org/spreadsheetml/2006/main" count="232" uniqueCount="175">
  <si>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</si>
  <si>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</si>
  <si>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</si>
  <si>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</si>
  <si>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</si>
  <si>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</si>
  <si>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</si>
  <si>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</si>
  <si>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</si>
  <si>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</si>
  <si>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</si>
  <si>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</si>
  <si>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</si>
  <si>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</si>
  <si>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</si>
  <si>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</si>
  <si>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</si>
  <si>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</si>
  <si>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</si>
  <si>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</si>
  <si>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</si>
  <si>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</si>
  <si>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</si>
  <si>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</si>
  <si>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</si>
  <si>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</si>
  <si>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</si>
  <si>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</si>
  <si>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</si>
  <si>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</si>
  <si>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</si>
  <si>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</si>
  <si>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</si>
  <si>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</si>
  <si>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</si>
  <si>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</si>
  <si>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</si>
  <si>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</si>
  <si>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</si>
  <si>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</si>
  <si>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</si>
  <si>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</si>
  <si>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</si>
  <si>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</si>
  <si>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</si>
  <si>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</si>
  <si>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</si>
  <si>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</si>
  <si>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</si>
  <si>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</si>
  <si>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</si>
  <si>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</si>
  <si>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</si>
  <si>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</si>
  <si>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</si>
  <si>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</si>
  <si>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</si>
  <si>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</si>
  <si>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</si>
  <si>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</si>
  <si>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</si>
  <si>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</si>
  <si>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</si>
  <si>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</si>
  <si>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</si>
  <si>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</si>
  <si>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</si>
  <si>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</si>
  <si>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</si>
  <si>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</si>
  <si>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</si>
  <si>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</si>
  <si>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</si>
  <si>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</si>
  <si>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</si>
  <si>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</si>
  <si>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</si>
  <si>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</si>
  <si>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</si>
  <si>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</si>
  <si>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</si>
  <si>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</si>
  <si>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</si>
  <si>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</si>
  <si>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</si>
  <si>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</si>
  <si>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</si>
  <si>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</si>
  <si>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</si>
  <si>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</si>
  <si>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</si>
  <si>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</si>
  <si>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</si>
  <si>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</si>
  <si>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</si>
  <si>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</si>
  <si>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</si>
  <si>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</si>
  <si>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</si>
  <si>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</si>
  <si>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</si>
  <si>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</si>
  <si>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</si>
  <si>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</si>
  <si>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</si>
  <si>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</si>
  <si>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</si>
  <si>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</si>
  <si>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</si>
  <si>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</si>
  <si>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</si>
  <si>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</si>
  <si>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</si>
  <si>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</si>
  <si>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</si>
  <si>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</si>
  <si>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</si>
  <si>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</si>
  <si>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</si>
  <si>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</si>
  <si>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</si>
  <si>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</si>
  <si>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</si>
  <si>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</si>
  <si>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</si>
  <si>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</si>
  <si>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</si>
  <si>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</si>
  <si>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</si>
  <si>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</si>
  <si>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</si>
  <si>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</si>
  <si>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</si>
  <si>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</si>
  <si>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</si>
  <si>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</si>
  <si>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</si>
  <si>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</si>
  <si>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</si>
  <si>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</si>
  <si>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</si>
  <si>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</si>
  <si>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</si>
  <si>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</si>
  <si>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</si>
  <si>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</si>
  <si>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</si>
  <si>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</si>
  <si>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</si>
  <si>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</si>
  <si>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</si>
  <si>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</si>
  <si>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</si>
  <si>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</si>
  <si>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</si>
  <si>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</si>
  <si>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</si>
  <si>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</si>
  <si>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</si>
  <si>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</si>
  <si>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</si>
  <si>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</si>
  <si>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</si>
  <si>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</si>
  <si>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</si>
  <si>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</si>
  <si>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</si>
  <si>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</si>
  <si>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SI</t>
  </si>
  <si>
    <t>10 DIAS HABILES</t>
  </si>
  <si>
    <t>J. CUEVAS</t>
  </si>
  <si>
    <t xml:space="preserve">+569 </t>
  </si>
  <si>
    <t>jcuevasflores@gmail.com</t>
  </si>
  <si>
    <t>CUBIERTA CON RESPALDO FRENTE 90° R8</t>
  </si>
  <si>
    <t xml:space="preserve">MARINA DI CARRARA 3151 PL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</si>
</sst>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ESPESOR DEL MDF 18MM 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cuevasflores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2" zoomScale="93" zoomScaleNormal="93" workbookViewId="0">
      <selection activeCell="J30" sqref="J30"/>
    </sheetView>
  </sheetViews>
  <sheetFormatPr baseColWidth="10" defaultRowHeight="14.4" x14ac:dyDescent="0.3"/>
  <cols>
    <col min="1" max="1" width="6" customWidth="1"/>
    <col min="2" max="2" width="10.5546875" customWidth="1"/>
    <col min="3" max="3" width="55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10927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170</v>
      </c>
      <c r="D10" s="243"/>
      <c r="E10" s="243"/>
      <c r="F10" s="244" t="s">
        <v>0</v>
      </c>
      <c r="G10" s="277">
        <v>45400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 t="s">
        <v>172</v>
      </c>
      <c r="D14" s="247"/>
      <c r="E14" s="247"/>
      <c r="F14" s="327" t="s">
        <v>137</v>
      </c>
      <c r="G14" s="291" t="s">
        <v>168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171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5" t="s">
        <v>166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7" t="s">
        <v>148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134062.94728591028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173</v>
      </c>
      <c r="D21" s="315">
        <v>2.5</v>
      </c>
      <c r="E21" s="315">
        <v>1</v>
      </c>
      <c r="F21" s="314" t="s">
        <v>174</v>
      </c>
      <c r="G21" s="316">
        <v>245279</v>
      </c>
      <c r="H21" s="317">
        <f>G21*B21</f>
        <v>245279</v>
      </c>
      <c r="I21" s="265"/>
      <c r="J21" s="47"/>
      <c r="K21" s="47">
        <v>1</v>
      </c>
      <c r="L21" s="39">
        <v>3.012</v>
      </c>
      <c r="M21" s="39">
        <v>0.6</v>
      </c>
      <c r="N21" s="261">
        <f t="shared" ref="N21" si="1">L21*M21</f>
        <v>1.8071999999999999</v>
      </c>
      <c r="O21" s="259">
        <f t="shared" ref="O21" si="2">N21*K21</f>
        <v>1.8071999999999999</v>
      </c>
      <c r="P21" s="252">
        <f>N21*P$20</f>
        <v>242278.55833509704</v>
      </c>
      <c r="Q21" s="258">
        <f t="shared" ref="Q21:Q22" si="3">P21+Q$20</f>
        <v>245278.55833509704</v>
      </c>
      <c r="R21" s="299">
        <f>L21*K21*2</f>
        <v>6.024</v>
      </c>
      <c r="S21" s="46">
        <f>M21*K21*2</f>
        <v>1.2</v>
      </c>
      <c r="T21" s="9"/>
      <c r="W21" s="4"/>
    </row>
    <row r="22" spans="2:24" ht="18" thickBot="1" x14ac:dyDescent="0.35">
      <c r="B22" s="331">
        <v>1</v>
      </c>
      <c r="C22" s="314" t="s">
        <v>173</v>
      </c>
      <c r="D22" s="332">
        <v>0.63</v>
      </c>
      <c r="E22" s="332">
        <v>0.34</v>
      </c>
      <c r="F22" s="314" t="s">
        <v>174</v>
      </c>
      <c r="G22" s="333">
        <v>34371</v>
      </c>
      <c r="H22" s="334">
        <f>G22*B22</f>
        <v>34371</v>
      </c>
      <c r="I22" s="265"/>
      <c r="J22" s="47"/>
      <c r="K22" s="47">
        <f>B22</f>
        <v>1</v>
      </c>
      <c r="L22" s="39">
        <f t="shared" ref="L22" si="4">D22+L$19</f>
        <v>0.65</v>
      </c>
      <c r="M22" s="39">
        <f t="shared" ref="M22" si="5">E22+M$19</f>
        <v>0.36000000000000004</v>
      </c>
      <c r="N22" s="261">
        <f t="shared" ref="N22" si="6">L22*M22</f>
        <v>0.23400000000000004</v>
      </c>
      <c r="O22" s="259">
        <f t="shared" ref="O22" si="7">N22*K22</f>
        <v>0.23400000000000004</v>
      </c>
      <c r="P22" s="252">
        <f t="shared" ref="P22" si="8">N22*P$20</f>
        <v>31370.72966490301</v>
      </c>
      <c r="Q22" s="258">
        <f t="shared" si="3"/>
        <v>34370.72966490301</v>
      </c>
      <c r="R22" s="299">
        <f>L22*K22*2</f>
        <v>1.3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0" t="s">
        <v>29</v>
      </c>
      <c r="H24" s="301">
        <f>SUM(H21:H22)</f>
        <v>279650</v>
      </c>
      <c r="I24" s="265"/>
      <c r="J24" s="47"/>
      <c r="K24" s="47"/>
      <c r="L24" s="39">
        <f>SUM(L21:L23)</f>
        <v>3.6619999999999999</v>
      </c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8" t="s">
        <v>52</v>
      </c>
      <c r="H25" s="296">
        <f>H24*19%</f>
        <v>53133.5</v>
      </c>
      <c r="I25" s="265"/>
      <c r="J25" s="47"/>
      <c r="K25" s="47"/>
      <c r="L25" s="39"/>
      <c r="M25" s="12"/>
      <c r="N25" s="12"/>
      <c r="O25" s="253">
        <f>SUM(O21:O22)</f>
        <v>2.0411999999999999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7">
        <f>H24+H25</f>
        <v>332783.5</v>
      </c>
      <c r="I26" s="265"/>
      <c r="J26" s="47"/>
      <c r="K26" s="47"/>
      <c r="L26" s="39"/>
      <c r="M26" s="12"/>
      <c r="N26" s="12"/>
      <c r="O26" s="253">
        <f>O25</f>
        <v>2.0411999999999999</v>
      </c>
      <c r="P26" s="14"/>
      <c r="Q26" s="12"/>
      <c r="R26" s="239">
        <f>SUM(R21:R25)</f>
        <v>7.3239999999999998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0.40823999999999999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2.4494400000000001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6" t="s">
        <v>22</v>
      </c>
      <c r="U29" s="303" t="s">
        <v>153</v>
      </c>
      <c r="V29" s="307">
        <v>44971</v>
      </c>
      <c r="W29" s="30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2.4494400000000001</v>
      </c>
      <c r="M30" s="12">
        <v>3500</v>
      </c>
      <c r="N30" s="12">
        <f t="shared" ref="N30:N35" si="9">L30*M30</f>
        <v>8573.0400000000009</v>
      </c>
      <c r="O30" s="14" t="s">
        <v>22</v>
      </c>
      <c r="P30" s="14"/>
      <c r="Q30" s="14"/>
      <c r="R30" s="241"/>
      <c r="S30" s="14"/>
      <c r="T30" s="306" t="s">
        <v>154</v>
      </c>
      <c r="U30" s="303">
        <v>3625</v>
      </c>
      <c r="V30" s="59" t="s">
        <v>155</v>
      </c>
      <c r="W30" s="30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25000</v>
      </c>
      <c r="N31" s="12">
        <f t="shared" si="9"/>
        <v>25000</v>
      </c>
      <c r="O31" s="39" t="s">
        <v>32</v>
      </c>
      <c r="P31" s="42"/>
      <c r="Q31" s="14"/>
      <c r="R31" s="240"/>
      <c r="S31" s="14"/>
      <c r="T31" s="306"/>
      <c r="U31" s="59">
        <v>906.25</v>
      </c>
      <c r="V31" s="59" t="s">
        <v>156</v>
      </c>
      <c r="W31" s="308"/>
    </row>
    <row r="32" spans="2:24" s="230" customFormat="1" ht="17.399999999999999" x14ac:dyDescent="0.35">
      <c r="I32" s="262"/>
      <c r="J32" s="232"/>
      <c r="K32" s="250"/>
      <c r="L32" s="14">
        <v>1</v>
      </c>
      <c r="M32" s="250">
        <v>85320</v>
      </c>
      <c r="N32" s="12">
        <f t="shared" si="9"/>
        <v>85320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/>
      <c r="M33" s="250">
        <v>38500</v>
      </c>
      <c r="N33" s="12">
        <f t="shared" si="9"/>
        <v>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9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5"/>
      <c r="K35" s="250"/>
      <c r="L35" s="266">
        <v>3.6619999999999999</v>
      </c>
      <c r="M35" s="12">
        <v>1500</v>
      </c>
      <c r="N35" s="12">
        <f t="shared" si="9"/>
        <v>5493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124386.04000000001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273649.28800000006</v>
      </c>
      <c r="O37" s="14" t="s">
        <v>141</v>
      </c>
      <c r="P37" s="14"/>
      <c r="Q37" s="40">
        <f>O28/Q36</f>
        <v>0.66044003451251077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101530</v>
      </c>
      <c r="K38" s="250"/>
      <c r="L38" s="14"/>
      <c r="M38" s="12"/>
      <c r="N38" s="12">
        <f>N37/O26</f>
        <v>134062.94728591028</v>
      </c>
      <c r="O38" s="45" t="s">
        <v>25</v>
      </c>
      <c r="P38" s="14"/>
      <c r="Q38" s="14"/>
      <c r="R38"/>
      <c r="S38" s="238"/>
      <c r="T38" s="59" t="s">
        <v>159</v>
      </c>
      <c r="U38" s="303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85319.327731092446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  <hyperlink ref="C14" r:id="rId2" xr:uid="{7C388BB1-1F89-4143-BA1E-AE3D43EF23A7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45400</v>
      </c>
    </row>
    <row r="6" spans="2:31" ht="16.2" thickBot="1" x14ac:dyDescent="0.35">
      <c r="B6" s="140" t="s">
        <v>2</v>
      </c>
      <c r="C6" s="139" t="str">
        <f>'2229'!C10</f>
        <v>J. CUEVAS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99</v>
      </c>
      <c r="I7" s="342"/>
      <c r="J7" s="342"/>
      <c r="K7" s="343"/>
      <c r="N7" s="75"/>
      <c r="O7" s="340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10927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0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-5708.3723667874438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279650</v>
      </c>
      <c r="E11" s="132">
        <f>D11*0.19</f>
        <v>53133.5</v>
      </c>
      <c r="F11" s="131">
        <f>E11+D11</f>
        <v>332783.5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100281.62763321256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148727.13078743962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82281.627633212556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130922.86921256038</v>
      </c>
      <c r="E13" s="221">
        <f>(D11/D12)-1</f>
        <v>0.88028908054223787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73281.627633212556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34281.627633212556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245399.76579927534</v>
      </c>
      <c r="F15" s="216">
        <f>E15-D12</f>
        <v>96672.635011835722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34281.627633212556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74281.627633212556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85320</v>
      </c>
      <c r="E18" s="123">
        <f>D18*0.19</f>
        <v>16210.800000000001</v>
      </c>
      <c r="F18" s="120">
        <f>SUM(D18:E18)</f>
        <v>101530.8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8573.0400000000009</v>
      </c>
      <c r="E20" s="121">
        <f>D20*0.19</f>
        <v>1628.8776000000003</v>
      </c>
      <c r="F20" s="120">
        <f>SUM(D20:E20)</f>
        <v>10201.917600000001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118893.04000000001</v>
      </c>
      <c r="E21" s="116">
        <f>SUM(E18:E20)</f>
        <v>22589.677600000003</v>
      </c>
      <c r="F21" s="115">
        <f>SUM(F18:F20)</f>
        <v>141482.71759999997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30543.822399999997</v>
      </c>
    </row>
    <row r="41" spans="2:16" ht="15" thickBot="1" x14ac:dyDescent="0.35">
      <c r="H41" s="344" t="s">
        <v>61</v>
      </c>
      <c r="I41" s="345"/>
      <c r="J41" s="345"/>
      <c r="K41" s="345"/>
      <c r="L41" s="345"/>
      <c r="M41" s="346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279650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118893.04000000001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130922.86921256038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130922.86921256038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2024-04-19T19:58:27Z</dcterms:modified>
</cp:coreProperties>
</file>