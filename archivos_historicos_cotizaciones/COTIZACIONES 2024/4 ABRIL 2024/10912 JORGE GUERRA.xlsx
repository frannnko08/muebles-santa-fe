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02008E08-FE0C-41F9-BC17-2C7BA09950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" l="1"/>
  <c r="O25" i="1" s="1"/>
  <c r="R25" i="1"/>
  <c r="R24" i="1"/>
  <c r="N24" i="1"/>
  <c r="O24" i="1" s="1"/>
  <c r="R23" i="1"/>
  <c r="O23" i="1"/>
  <c r="N23" i="1"/>
  <c r="T24" i="1"/>
  <c r="N22" i="1"/>
  <c r="O22" i="1" s="1"/>
  <c r="R22" i="1"/>
  <c r="H27" i="1"/>
  <c r="H26" i="1"/>
  <c r="H25" i="1"/>
  <c r="H24" i="1"/>
  <c r="H23" i="1"/>
  <c r="H22" i="1"/>
  <c r="H21" i="1"/>
  <c r="J44" i="1" l="1"/>
  <c r="L30" i="1" l="1"/>
  <c r="N21" i="1" l="1"/>
  <c r="O21" i="1" s="1"/>
  <c r="R21" i="1"/>
  <c r="N37" i="1"/>
  <c r="O31" i="1" l="1"/>
  <c r="O32" i="1" s="1"/>
  <c r="O33" i="1" s="1"/>
  <c r="O34" i="1" s="1"/>
  <c r="L36" i="1" s="1"/>
  <c r="S49" i="1"/>
  <c r="M20" i="1" l="1"/>
  <c r="K20" i="1"/>
  <c r="N38" i="1" l="1"/>
  <c r="Q42" i="1"/>
  <c r="Q43" i="1" s="1"/>
  <c r="N39" i="1" l="1"/>
  <c r="S42" i="1" l="1"/>
  <c r="S4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1" i="1"/>
  <c r="N40" i="1"/>
  <c r="F18" i="3" l="1"/>
  <c r="N36" i="1" l="1"/>
  <c r="N42" i="1" s="1"/>
  <c r="N43" i="1" s="1"/>
  <c r="S50" i="1"/>
  <c r="D20" i="3" l="1"/>
  <c r="E20" i="3" s="1"/>
  <c r="E21" i="3" s="1"/>
  <c r="N45" i="1" l="1"/>
  <c r="D21" i="3"/>
  <c r="M43" i="3" s="1"/>
  <c r="D12" i="3" s="1"/>
  <c r="F20" i="3"/>
  <c r="F21" i="3" s="1"/>
  <c r="N44" i="1" l="1"/>
  <c r="P20" i="1" s="1"/>
  <c r="E15" i="3"/>
  <c r="P24" i="1" l="1"/>
  <c r="Q24" i="1" s="1"/>
  <c r="P25" i="1"/>
  <c r="Q25" i="1" s="1"/>
  <c r="P22" i="1"/>
  <c r="Q22" i="1" s="1"/>
  <c r="P23" i="1"/>
  <c r="Q23" i="1" s="1"/>
  <c r="P21" i="1"/>
  <c r="F15" i="3"/>
  <c r="Q21" i="1" l="1"/>
  <c r="R32" i="1"/>
  <c r="H30" i="1" l="1"/>
  <c r="K15" i="1" s="1"/>
  <c r="H31" i="1" l="1"/>
  <c r="H32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<sst xmlns="http://schemas.openxmlformats.org/spreadsheetml/2006/main" count="242" uniqueCount="183">
  <si>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</si>
  <si>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</si>
  <si>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</si>
  <si>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</si>
  <si>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</si>
  <si>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</si>
  <si>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</si>
  <si>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</si>
  <si>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</si>
  <si>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</si>
  <si>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</si>
  <si>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</si>
  <si>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</si>
  <si>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</si>
  <si>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</si>
  <si>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</si>
  <si>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</si>
  <si>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</si>
  <si>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</si>
  <si>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</si>
  <si>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</si>
  <si>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</si>
  <si>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</si>
  <si>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</si>
  <si>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</si>
  <si>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</si>
  <si>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</si>
  <si>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</si>
  <si>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</si>
  <si>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</si>
  <si>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</si>
  <si>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</si>
  <si>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</si>
  <si>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</si>
  <si>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</si>
  <si>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</si>
  <si>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</si>
  <si>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</si>
  <si>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</si>
  <si>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</si>
  <si>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</si>
  <si>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</si>
  <si>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</si>
  <si>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</si>
  <si>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</si>
  <si>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</si>
  <si>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</si>
  <si>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</si>
  <si>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</si>
  <si>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</si>
  <si>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</si>
  <si>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</si>
  <si>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</si>
  <si>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</si>
  <si>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</si>
  <si>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</si>
  <si>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</si>
  <si>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</si>
  <si>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</si>
  <si>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</si>
  <si>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</si>
  <si>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</si>
  <si>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</si>
  <si>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</si>
  <si>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</si>
  <si>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</si>
  <si>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</si>
  <si>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</si>
  <si>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</si>
  <si>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</si>
  <si>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</si>
  <si>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</si>
  <si>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</si>
  <si>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</si>
  <si>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</si>
  <si>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</si>
  <si>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</si>
  <si>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</si>
  <si>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</si>
  <si>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</si>
  <si>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</si>
  <si>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</si>
  <si>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</si>
  <si>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</si>
  <si>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</si>
  <si>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</si>
  <si>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</si>
  <si>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</si>
  <si>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</si>
  <si>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</si>
  <si>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</si>
  <si>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</si>
  <si>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</si>
  <si>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</si>
  <si>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</si>
  <si>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</si>
  <si>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</si>
  <si>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</si>
  <si>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</si>
  <si>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</si>
  <si>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</si>
  <si>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</si>
  <si>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</si>
  <si>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</si>
  <si>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</si>
  <si>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</si>
  <si>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</si>
  <si>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</si>
  <si>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</si>
  <si>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</si>
  <si>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</si>
  <si>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</si>
  <si>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</si>
  <si>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</si>
  <si>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</si>
  <si>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</si>
  <si>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</si>
  <si>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</si>
  <si>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</si>
  <si>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</si>
  <si>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</si>
  <si>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</si>
  <si>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</si>
  <si>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</si>
  <si>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</si>
  <si>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</si>
  <si>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</si>
  <si>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</si>
  <si>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</si>
  <si>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</si>
  <si>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</si>
  <si>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</si>
  <si>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</si>
  <si>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</si>
  <si>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</si>
  <si>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</si>
  <si>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</si>
  <si>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</si>
  <si>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</si>
  <si>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</si>
  <si>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</si>
  <si>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</si>
  <si>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</si>
  <si>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</si>
  <si>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</si>
  <si>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</si>
  <si>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</si>
  <si>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</si>
  <si>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</si>
  <si>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</si>
  <si>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</si>
  <si>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</si>
  <si>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</si>
  <si>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</si>
  <si>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</si>
  <si>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ABONO 50%, SALDO C/E</t>
  </si>
  <si>
    <t>SANTIAGO</t>
  </si>
  <si>
    <t>DURACION COTIZACION: 5 DIAS                   FRANCO DONOSO</t>
  </si>
  <si>
    <t>MUEBLE</t>
  </si>
  <si>
    <t>ESTRUCTURA</t>
  </si>
  <si>
    <t>OBSERVACIONES</t>
  </si>
  <si>
    <t>M1</t>
  </si>
  <si>
    <t>SEGÚN EETT</t>
  </si>
  <si>
    <t>M2</t>
  </si>
  <si>
    <t>M3</t>
  </si>
  <si>
    <t>NO INCLUYE LAVAPLATOS NI QUINCALLERIA</t>
  </si>
  <si>
    <t>M5</t>
  </si>
  <si>
    <t>M8</t>
  </si>
  <si>
    <t>M6</t>
  </si>
  <si>
    <t>M7</t>
  </si>
  <si>
    <t>N° 10912</t>
  </si>
  <si>
    <t>JORGE GUERRA</t>
  </si>
  <si>
    <t>569 7227 4462</t>
  </si>
  <si>
    <t>MESA OVALADA</t>
  </si>
  <si>
    <t>MESA CASINO</t>
  </si>
  <si>
    <t>MESON MICROONDA</t>
  </si>
  <si>
    <t>NO INCLUYE SILLAS</t>
  </si>
  <si>
    <t>NO INCLUYE SOFA</t>
  </si>
  <si>
    <t>MUEBLE ATENCION</t>
  </si>
  <si>
    <t>MESA LATERAL</t>
  </si>
  <si>
    <t>MUEBLE CAJA Y VITRINA</t>
  </si>
  <si>
    <t>ARMARIO ALTO</t>
  </si>
  <si>
    <t>POR ACORDAR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</si>
</sst>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11" xfId="0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3" borderId="6" xfId="0" applyNumberFormat="1" applyFont="1" applyFill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166" fontId="32" fillId="3" borderId="4" xfId="0" applyNumberFormat="1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167" fontId="11" fillId="0" borderId="32" xfId="2" applyNumberFormat="1" applyFont="1" applyFill="1" applyBorder="1" applyAlignment="1">
      <alignment horizontal="center" vertical="center"/>
    </xf>
    <xf numFmtId="166" fontId="32" fillId="3" borderId="1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33</xdr:row>
      <xdr:rowOff>5249</xdr:rowOff>
    </xdr:from>
    <xdr:to>
      <xdr:col>8</xdr:col>
      <xdr:colOff>7776</xdr:colOff>
      <xdr:row>36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33</xdr:row>
      <xdr:rowOff>9525</xdr:rowOff>
    </xdr:from>
    <xdr:to>
      <xdr:col>5</xdr:col>
      <xdr:colOff>1749491</xdr:colOff>
      <xdr:row>36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28</xdr:row>
      <xdr:rowOff>223973</xdr:rowOff>
    </xdr:from>
    <xdr:to>
      <xdr:col>5</xdr:col>
      <xdr:colOff>1749490</xdr:colOff>
      <xdr:row>32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7"/>
  <sheetViews>
    <sheetView tabSelected="1" topLeftCell="A7" zoomScale="98" zoomScaleNormal="98" workbookViewId="0">
      <selection activeCell="G26" sqref="G26"/>
    </sheetView>
  </sheetViews>
  <sheetFormatPr baseColWidth="10" defaultRowHeight="14.4" x14ac:dyDescent="0.3"/>
  <cols>
    <col min="1" max="1" width="6" customWidth="1"/>
    <col min="2" max="2" width="10.5546875" customWidth="1"/>
    <col min="3" max="3" width="35.88671875" customWidth="1"/>
    <col min="4" max="4" width="11.109375" customWidth="1"/>
    <col min="5" max="5" width="20.3320312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170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171</v>
      </c>
      <c r="D10" s="243"/>
      <c r="E10" s="243"/>
      <c r="F10" s="244" t="s">
        <v>0</v>
      </c>
      <c r="G10" s="276">
        <v>45390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182</v>
      </c>
      <c r="H11" s="289"/>
      <c r="P11" s="19"/>
      <c r="Q11" s="25" t="s">
        <v>19</v>
      </c>
      <c r="R11" s="19"/>
    </row>
    <row r="12" spans="2:23" ht="16.8" x14ac:dyDescent="0.4">
      <c r="B12" s="246" t="s">
        <v>147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172</v>
      </c>
      <c r="D15" s="294"/>
      <c r="E15" s="247"/>
      <c r="F15" s="247" t="s">
        <v>136</v>
      </c>
      <c r="G15" s="295" t="s">
        <v>137</v>
      </c>
      <c r="H15" s="248"/>
      <c r="K15" s="18">
        <f>H30/L13</f>
        <v>425966.85870224383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155</v>
      </c>
      <c r="H16" s="289"/>
    </row>
    <row r="17" spans="2:24" ht="15" thickBot="1" x14ac:dyDescent="0.35">
      <c r="B17" s="296" t="s">
        <v>13</v>
      </c>
      <c r="C17" s="297" t="s">
        <v>156</v>
      </c>
      <c r="D17" s="298"/>
      <c r="E17" s="299"/>
      <c r="F17" s="335" t="s">
        <v>157</v>
      </c>
      <c r="G17" s="335"/>
      <c r="H17" s="33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7" t="s">
        <v>149</v>
      </c>
      <c r="C19" s="338"/>
      <c r="D19" s="338"/>
      <c r="E19" s="338"/>
      <c r="F19" s="338"/>
      <c r="G19" s="338"/>
      <c r="H19" s="33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7" t="s">
        <v>7</v>
      </c>
      <c r="C20" s="318" t="s">
        <v>1</v>
      </c>
      <c r="D20" s="318" t="s">
        <v>158</v>
      </c>
      <c r="E20" s="318" t="s">
        <v>159</v>
      </c>
      <c r="F20" s="318" t="s">
        <v>160</v>
      </c>
      <c r="G20" s="318" t="s">
        <v>5</v>
      </c>
      <c r="H20" s="319" t="s">
        <v>6</v>
      </c>
      <c r="I20" s="265"/>
      <c r="J20" s="47"/>
      <c r="K20" s="268" t="e">
        <f>#REF!</f>
        <v>#REF!</v>
      </c>
      <c r="L20" s="267" t="s">
        <v>133</v>
      </c>
      <c r="M20" s="39" t="e">
        <f>#REF!</f>
        <v>#REF!</v>
      </c>
      <c r="N20" s="261" t="s">
        <v>134</v>
      </c>
      <c r="O20" s="259" t="s">
        <v>17</v>
      </c>
      <c r="P20" s="252">
        <f>N44</f>
        <v>139031.02040816328</v>
      </c>
      <c r="Q20" s="258">
        <v>30000</v>
      </c>
      <c r="R20" s="38"/>
      <c r="S20" s="14" t="s">
        <v>130</v>
      </c>
      <c r="T20" s="9"/>
      <c r="W20" s="4"/>
    </row>
    <row r="21" spans="2:24" ht="17.399999999999999" x14ac:dyDescent="0.3">
      <c r="B21" s="320">
        <v>20</v>
      </c>
      <c r="C21" s="321" t="s">
        <v>174</v>
      </c>
      <c r="D21" s="322" t="s">
        <v>161</v>
      </c>
      <c r="E21" s="321" t="s">
        <v>162</v>
      </c>
      <c r="F21" s="323" t="s">
        <v>176</v>
      </c>
      <c r="G21" s="324">
        <v>167204</v>
      </c>
      <c r="H21" s="325">
        <f t="shared" ref="H21:H27" si="0">G21*B21</f>
        <v>3344080</v>
      </c>
      <c r="I21" s="265"/>
      <c r="J21" s="47"/>
      <c r="K21" s="315"/>
      <c r="L21" s="316">
        <v>0.76</v>
      </c>
      <c r="M21" s="316">
        <v>0.76</v>
      </c>
      <c r="N21" s="261">
        <f>L21*M21</f>
        <v>0.5776</v>
      </c>
      <c r="O21" s="259">
        <f>N21*K21</f>
        <v>0</v>
      </c>
      <c r="P21" s="252">
        <f>P$20*N21</f>
        <v>80304.317387755116</v>
      </c>
      <c r="Q21" s="258">
        <f>P21+Q$20</f>
        <v>110304.31738775512</v>
      </c>
      <c r="R21" s="307">
        <f>K21*L21</f>
        <v>0</v>
      </c>
      <c r="S21" s="14"/>
      <c r="T21" s="9"/>
      <c r="W21" s="4"/>
    </row>
    <row r="22" spans="2:24" ht="17.399999999999999" x14ac:dyDescent="0.3">
      <c r="B22" s="320">
        <v>8</v>
      </c>
      <c r="C22" s="321" t="s">
        <v>173</v>
      </c>
      <c r="D22" s="322" t="s">
        <v>163</v>
      </c>
      <c r="E22" s="321" t="s">
        <v>162</v>
      </c>
      <c r="F22" s="323" t="s">
        <v>176</v>
      </c>
      <c r="G22" s="324">
        <v>276644</v>
      </c>
      <c r="H22" s="325">
        <f t="shared" si="0"/>
        <v>2213152</v>
      </c>
      <c r="I22" s="265"/>
      <c r="J22" s="47"/>
      <c r="K22" s="315"/>
      <c r="L22" s="316">
        <v>1.5</v>
      </c>
      <c r="M22" s="316">
        <v>0.7</v>
      </c>
      <c r="N22" s="261">
        <f>L22*M22</f>
        <v>1.0499999999999998</v>
      </c>
      <c r="O22" s="259">
        <f>N22*K22</f>
        <v>0</v>
      </c>
      <c r="P22" s="252">
        <f>P$20*N22</f>
        <v>145982.57142857142</v>
      </c>
      <c r="Q22" s="258">
        <f>P22+Q$20</f>
        <v>175982.57142857142</v>
      </c>
      <c r="R22" s="307">
        <f>K22*L22</f>
        <v>0</v>
      </c>
      <c r="S22" s="14"/>
      <c r="T22" s="9">
        <v>150</v>
      </c>
      <c r="W22" s="4"/>
    </row>
    <row r="23" spans="2:24" ht="17.399999999999999" x14ac:dyDescent="0.3">
      <c r="B23" s="320">
        <v>1</v>
      </c>
      <c r="C23" s="321" t="s">
        <v>175</v>
      </c>
      <c r="D23" s="322" t="s">
        <v>164</v>
      </c>
      <c r="E23" s="321" t="s">
        <v>162</v>
      </c>
      <c r="F23" s="323"/>
      <c r="G23" s="324">
        <v>596772</v>
      </c>
      <c r="H23" s="325">
        <f t="shared" si="0"/>
        <v>596772</v>
      </c>
      <c r="I23" s="265"/>
      <c r="J23" s="47"/>
      <c r="K23" s="315"/>
      <c r="L23" s="316">
        <v>3.3</v>
      </c>
      <c r="M23" s="316">
        <v>0.5</v>
      </c>
      <c r="N23" s="261">
        <f t="shared" ref="N23" si="1">L23*M23</f>
        <v>1.65</v>
      </c>
      <c r="O23" s="259">
        <f t="shared" ref="O23" si="2">N23*K23</f>
        <v>0</v>
      </c>
      <c r="P23" s="252">
        <f t="shared" ref="P23" si="3">P$20*N23</f>
        <v>229401.18367346941</v>
      </c>
      <c r="Q23" s="258">
        <f t="shared" ref="Q23:Q25" si="4">P23+Q$20</f>
        <v>259401.18367346941</v>
      </c>
      <c r="R23" s="307">
        <f t="shared" ref="R23" si="5">K23*L23</f>
        <v>0</v>
      </c>
      <c r="S23" s="14"/>
      <c r="T23" s="9">
        <v>126</v>
      </c>
      <c r="W23" s="4"/>
    </row>
    <row r="24" spans="2:24" ht="17.399999999999999" x14ac:dyDescent="0.3">
      <c r="B24" s="320">
        <v>3</v>
      </c>
      <c r="C24" s="320" t="s">
        <v>179</v>
      </c>
      <c r="D24" s="322" t="s">
        <v>166</v>
      </c>
      <c r="E24" s="321" t="s">
        <v>162</v>
      </c>
      <c r="F24" s="326" t="s">
        <v>177</v>
      </c>
      <c r="G24" s="327">
        <v>96849</v>
      </c>
      <c r="H24" s="325">
        <f t="shared" si="0"/>
        <v>290547</v>
      </c>
      <c r="I24" s="265"/>
      <c r="J24" s="47"/>
      <c r="K24" s="315"/>
      <c r="L24" s="316">
        <v>0.6</v>
      </c>
      <c r="M24" s="316">
        <v>0.4</v>
      </c>
      <c r="N24" s="261">
        <f t="shared" ref="N24:N25" si="6">L24*M24</f>
        <v>0.24</v>
      </c>
      <c r="O24" s="259">
        <f t="shared" ref="O24:O25" si="7">N24*K24</f>
        <v>0</v>
      </c>
      <c r="P24" s="252">
        <f t="shared" ref="P24:P25" si="8">P$20*N24</f>
        <v>33367.444897959183</v>
      </c>
      <c r="Q24" s="258">
        <f t="shared" si="4"/>
        <v>63367.444897959183</v>
      </c>
      <c r="R24" s="307">
        <f t="shared" ref="R24:R25" si="9">K24*L24</f>
        <v>0</v>
      </c>
      <c r="S24" s="14"/>
      <c r="T24" s="9">
        <f>SUM(T22:T23)</f>
        <v>276</v>
      </c>
      <c r="W24" s="4"/>
    </row>
    <row r="25" spans="2:24" ht="17.399999999999999" x14ac:dyDescent="0.3">
      <c r="B25" s="328">
        <v>1</v>
      </c>
      <c r="C25" s="328" t="s">
        <v>178</v>
      </c>
      <c r="D25" s="329" t="s">
        <v>168</v>
      </c>
      <c r="E25" s="330" t="s">
        <v>162</v>
      </c>
      <c r="F25" s="326"/>
      <c r="G25" s="331">
        <v>666250</v>
      </c>
      <c r="H25" s="332">
        <f t="shared" si="0"/>
        <v>666250</v>
      </c>
      <c r="I25" s="265"/>
      <c r="J25" s="47"/>
      <c r="K25" s="315">
        <v>2</v>
      </c>
      <c r="L25" s="316">
        <v>2.4500000000000002</v>
      </c>
      <c r="M25" s="316">
        <v>0.4</v>
      </c>
      <c r="N25" s="261">
        <f t="shared" si="6"/>
        <v>0.98000000000000009</v>
      </c>
      <c r="O25" s="259">
        <f t="shared" si="7"/>
        <v>1.9600000000000002</v>
      </c>
      <c r="P25" s="252">
        <f t="shared" si="8"/>
        <v>136250.40000000002</v>
      </c>
      <c r="Q25" s="258">
        <f t="shared" si="4"/>
        <v>166250.40000000002</v>
      </c>
      <c r="R25" s="307">
        <f t="shared" si="9"/>
        <v>4.9000000000000004</v>
      </c>
      <c r="S25" s="14"/>
      <c r="T25" s="9"/>
      <c r="W25" s="4"/>
    </row>
    <row r="26" spans="2:24" ht="17.399999999999999" x14ac:dyDescent="0.3">
      <c r="B26" s="320">
        <v>1</v>
      </c>
      <c r="C26" s="320" t="s">
        <v>180</v>
      </c>
      <c r="D26" s="333" t="s">
        <v>169</v>
      </c>
      <c r="E26" s="320" t="s">
        <v>162</v>
      </c>
      <c r="F26" s="334" t="s">
        <v>165</v>
      </c>
      <c r="G26" s="327">
        <v>4950000</v>
      </c>
      <c r="H26" s="327">
        <f t="shared" si="0"/>
        <v>4950000</v>
      </c>
      <c r="I26" s="265"/>
      <c r="J26" s="47"/>
      <c r="K26" s="315"/>
      <c r="L26" s="316"/>
      <c r="M26" s="316"/>
      <c r="N26" s="261"/>
      <c r="O26" s="259"/>
      <c r="P26" s="252"/>
      <c r="Q26" s="258"/>
      <c r="R26" s="307"/>
      <c r="S26" s="14"/>
      <c r="T26" s="9"/>
      <c r="W26" s="4"/>
    </row>
    <row r="27" spans="2:24" ht="17.399999999999999" x14ac:dyDescent="0.3">
      <c r="B27" s="320">
        <v>1</v>
      </c>
      <c r="C27" s="320" t="s">
        <v>181</v>
      </c>
      <c r="D27" s="333" t="s">
        <v>167</v>
      </c>
      <c r="E27" s="320" t="s">
        <v>162</v>
      </c>
      <c r="F27" s="334"/>
      <c r="G27" s="327">
        <v>1987586</v>
      </c>
      <c r="H27" s="327">
        <f t="shared" si="0"/>
        <v>1987586</v>
      </c>
      <c r="I27" s="265"/>
      <c r="J27" s="47"/>
      <c r="K27" s="315"/>
      <c r="L27" s="316"/>
      <c r="M27" s="316"/>
      <c r="N27" s="261"/>
      <c r="O27" s="259"/>
      <c r="P27" s="252"/>
      <c r="Q27" s="258"/>
      <c r="R27" s="307"/>
      <c r="S27" s="14"/>
      <c r="T27" s="9"/>
      <c r="W27" s="4"/>
    </row>
    <row r="28" spans="2:24" ht="17.399999999999999" x14ac:dyDescent="0.3">
      <c r="I28" s="265"/>
      <c r="J28" s="47"/>
      <c r="K28" s="315"/>
      <c r="L28" s="316"/>
      <c r="M28" s="316"/>
      <c r="N28" s="261"/>
      <c r="O28" s="259"/>
      <c r="P28" s="252"/>
      <c r="Q28" s="258"/>
      <c r="R28" s="307"/>
      <c r="S28" s="14"/>
      <c r="T28" s="9"/>
      <c r="W28" s="4"/>
    </row>
    <row r="29" spans="2:24" ht="18" thickBot="1" x14ac:dyDescent="0.35">
      <c r="B29" s="285"/>
      <c r="C29" s="285"/>
      <c r="D29" s="286"/>
      <c r="E29" s="286"/>
      <c r="F29" s="285"/>
      <c r="G29" s="265"/>
      <c r="H29" s="232"/>
      <c r="I29" s="232"/>
      <c r="J29" s="47"/>
      <c r="K29" s="47"/>
      <c r="L29" s="39"/>
      <c r="M29" s="39"/>
      <c r="N29" s="261"/>
      <c r="O29" s="259"/>
      <c r="P29" s="252"/>
      <c r="Q29" s="258"/>
      <c r="R29" s="307"/>
      <c r="S29" s="14"/>
      <c r="T29" s="9"/>
      <c r="W29" s="4"/>
    </row>
    <row r="30" spans="2:24" ht="17.399999999999999" x14ac:dyDescent="0.3">
      <c r="B30" s="285"/>
      <c r="C30" s="285"/>
      <c r="D30" s="286"/>
      <c r="E30" s="286"/>
      <c r="F30" s="285"/>
      <c r="G30" s="308" t="s">
        <v>30</v>
      </c>
      <c r="H30" s="309">
        <f>SUM(H20:H29)</f>
        <v>14048387</v>
      </c>
      <c r="I30" s="265"/>
      <c r="J30" s="47"/>
      <c r="K30" s="47"/>
      <c r="L30" s="39">
        <f>SUM(L21:L29)</f>
        <v>8.61</v>
      </c>
      <c r="M30" s="39"/>
      <c r="N30" s="261"/>
      <c r="O30" s="259"/>
      <c r="P30" s="252"/>
      <c r="Q30" s="258"/>
      <c r="R30" s="307"/>
      <c r="S30" s="14"/>
      <c r="T30" s="9"/>
      <c r="W30" s="4"/>
    </row>
    <row r="31" spans="2:24" ht="17.399999999999999" x14ac:dyDescent="0.3">
      <c r="B31" s="279"/>
      <c r="C31" s="282"/>
      <c r="D31" s="283"/>
      <c r="E31" s="283"/>
      <c r="F31" s="284"/>
      <c r="G31" s="306" t="s">
        <v>53</v>
      </c>
      <c r="H31" s="303">
        <f>H30*0.19</f>
        <v>2669193.5300000003</v>
      </c>
      <c r="I31" s="265"/>
      <c r="J31" s="47"/>
      <c r="K31" s="47"/>
      <c r="L31" s="39"/>
      <c r="M31" s="12"/>
      <c r="N31" s="12"/>
      <c r="O31" s="253">
        <f>SUM(O21:O27)</f>
        <v>1.9600000000000002</v>
      </c>
      <c r="P31" s="14"/>
      <c r="Q31" s="12"/>
      <c r="R31" s="238"/>
      <c r="S31" s="14"/>
      <c r="T31" s="9"/>
      <c r="W31" s="4"/>
    </row>
    <row r="32" spans="2:24" ht="18" thickBot="1" x14ac:dyDescent="0.35">
      <c r="B32" s="275"/>
      <c r="C32" s="281"/>
      <c r="D32" s="272"/>
      <c r="E32" s="272"/>
      <c r="F32" s="273"/>
      <c r="G32" s="280" t="s">
        <v>6</v>
      </c>
      <c r="H32" s="304">
        <f>H30+H31</f>
        <v>16717580.530000001</v>
      </c>
      <c r="I32" s="265"/>
      <c r="J32" s="47"/>
      <c r="K32" s="47"/>
      <c r="L32" s="39"/>
      <c r="M32" s="12"/>
      <c r="N32" s="12"/>
      <c r="O32" s="253">
        <f>O31</f>
        <v>1.9600000000000002</v>
      </c>
      <c r="P32" s="14"/>
      <c r="Q32" s="12"/>
      <c r="R32" s="238">
        <f>SUM(R21:R31)</f>
        <v>4.9000000000000004</v>
      </c>
      <c r="S32" s="14"/>
      <c r="T32" s="9"/>
      <c r="W32" s="4"/>
    </row>
    <row r="33" spans="1:23" ht="17.399999999999999" x14ac:dyDescent="0.3">
      <c r="B33" s="275"/>
      <c r="C33" s="271"/>
      <c r="D33" s="272"/>
      <c r="E33" s="272"/>
      <c r="F33" s="273"/>
      <c r="I33" s="265"/>
      <c r="J33" s="47"/>
      <c r="K33" s="47"/>
      <c r="L33" s="14"/>
      <c r="M33" s="12"/>
      <c r="N33" s="12"/>
      <c r="O33" s="39">
        <f>O32*0.2</f>
        <v>0.39200000000000007</v>
      </c>
      <c r="P33" s="39" t="s">
        <v>132</v>
      </c>
      <c r="Q33" s="42"/>
      <c r="R33" s="239"/>
      <c r="S33" s="14"/>
      <c r="T33" s="9"/>
      <c r="W33" s="4"/>
    </row>
    <row r="34" spans="1:23" ht="17.399999999999999" x14ac:dyDescent="0.35">
      <c r="B34" s="269"/>
      <c r="C34" s="230"/>
      <c r="D34" s="230"/>
      <c r="E34" s="232"/>
      <c r="F34" s="233"/>
      <c r="G34" s="230"/>
      <c r="H34" s="274"/>
      <c r="I34" s="265"/>
      <c r="J34" s="312"/>
      <c r="K34" s="47"/>
      <c r="L34" s="14"/>
      <c r="M34" s="12"/>
      <c r="N34" s="12"/>
      <c r="O34" s="46">
        <f>O32+O33</f>
        <v>2.3520000000000003</v>
      </c>
      <c r="P34" s="14"/>
      <c r="Q34" s="14"/>
      <c r="R34" s="237">
        <v>40</v>
      </c>
      <c r="S34" s="14"/>
      <c r="T34" s="9"/>
      <c r="W34" s="4"/>
    </row>
    <row r="35" spans="1:23" ht="17.399999999999999" x14ac:dyDescent="0.35">
      <c r="B35" s="234"/>
      <c r="C35" s="235"/>
      <c r="D35" s="236"/>
      <c r="E35" s="234"/>
      <c r="F35" s="230"/>
      <c r="G35" s="230"/>
      <c r="J35" s="312"/>
      <c r="K35" s="47"/>
      <c r="L35" s="14"/>
      <c r="M35" s="14"/>
      <c r="N35" s="14"/>
      <c r="O35" s="14"/>
      <c r="P35" s="14"/>
      <c r="Q35" s="14"/>
      <c r="R35" s="237"/>
      <c r="S35" s="14"/>
      <c r="T35" s="9"/>
      <c r="W35" s="4"/>
    </row>
    <row r="36" spans="1:23" ht="17.399999999999999" x14ac:dyDescent="0.35">
      <c r="B36" s="230"/>
      <c r="C36" s="230"/>
      <c r="D36" s="230"/>
      <c r="E36" s="230"/>
      <c r="F36" s="230"/>
      <c r="G36" s="230"/>
      <c r="I36" s="265"/>
      <c r="J36" s="47"/>
      <c r="K36" s="47"/>
      <c r="L36" s="39">
        <f>O34*2</f>
        <v>4.7040000000000006</v>
      </c>
      <c r="M36" s="12">
        <v>3500</v>
      </c>
      <c r="N36" s="12">
        <f t="shared" ref="N36:N41" si="10">L36*M36</f>
        <v>16464.000000000004</v>
      </c>
      <c r="O36" s="14" t="s">
        <v>22</v>
      </c>
      <c r="P36" s="14" t="s">
        <v>23</v>
      </c>
      <c r="Q36" s="14"/>
      <c r="R36" s="240"/>
      <c r="S36" s="14"/>
      <c r="T36" s="9"/>
      <c r="W36" s="4"/>
    </row>
    <row r="37" spans="1:23" ht="17.399999999999999" x14ac:dyDescent="0.35">
      <c r="A37" s="230"/>
      <c r="B37" s="230"/>
      <c r="C37" s="230"/>
      <c r="D37" s="230"/>
      <c r="E37" s="230"/>
      <c r="F37" s="230"/>
      <c r="G37" s="230"/>
      <c r="H37" s="230"/>
      <c r="I37" s="265"/>
      <c r="J37" s="47"/>
      <c r="K37" s="47"/>
      <c r="L37" s="249">
        <v>1</v>
      </c>
      <c r="M37" s="12">
        <v>38000</v>
      </c>
      <c r="N37" s="12">
        <f t="shared" si="10"/>
        <v>38000</v>
      </c>
      <c r="O37" s="39" t="s">
        <v>154</v>
      </c>
      <c r="P37" s="42"/>
      <c r="Q37" s="14"/>
      <c r="R37" s="239"/>
      <c r="S37" s="14"/>
      <c r="T37" s="9"/>
      <c r="W37" s="4"/>
    </row>
    <row r="38" spans="1:23" s="230" customFormat="1" ht="17.399999999999999" x14ac:dyDescent="0.35">
      <c r="B38" s="24" t="s">
        <v>153</v>
      </c>
      <c r="I38" s="262"/>
      <c r="J38" s="47"/>
      <c r="K38" s="250"/>
      <c r="L38" s="14">
        <v>1</v>
      </c>
      <c r="M38" s="250">
        <v>19400</v>
      </c>
      <c r="N38" s="12">
        <f t="shared" si="10"/>
        <v>19400</v>
      </c>
      <c r="O38" s="39" t="s">
        <v>32</v>
      </c>
      <c r="P38" s="42"/>
      <c r="R38" s="239"/>
      <c r="S38" s="256"/>
      <c r="V38" s="231"/>
    </row>
    <row r="39" spans="1:23" s="230" customFormat="1" ht="17.399999999999999" x14ac:dyDescent="0.35">
      <c r="B39" s="24" t="s">
        <v>146</v>
      </c>
      <c r="C39"/>
      <c r="D39"/>
      <c r="E39"/>
      <c r="F39"/>
      <c r="I39" s="262"/>
      <c r="J39" s="311"/>
      <c r="K39" s="250"/>
      <c r="L39" s="14">
        <v>1</v>
      </c>
      <c r="M39" s="250">
        <v>50000</v>
      </c>
      <c r="N39" s="12">
        <f t="shared" si="10"/>
        <v>50000</v>
      </c>
      <c r="O39" s="14" t="s">
        <v>143</v>
      </c>
      <c r="P39" s="17"/>
      <c r="R39" s="237"/>
      <c r="S39" s="256"/>
      <c r="V39" s="231"/>
    </row>
    <row r="40" spans="1:23" s="230" customFormat="1" ht="17.399999999999999" x14ac:dyDescent="0.35">
      <c r="B40" s="29" t="s">
        <v>127</v>
      </c>
      <c r="C40"/>
      <c r="D40"/>
      <c r="E40"/>
      <c r="F40" s="229" t="s">
        <v>16</v>
      </c>
      <c r="I40" s="262"/>
      <c r="J40" s="311"/>
      <c r="K40" s="250"/>
      <c r="L40" s="249"/>
      <c r="M40" s="250">
        <v>800</v>
      </c>
      <c r="N40" s="12">
        <f t="shared" si="10"/>
        <v>0</v>
      </c>
      <c r="O40" s="14" t="s">
        <v>34</v>
      </c>
      <c r="P40" s="14"/>
      <c r="Q40" s="230">
        <v>1.83</v>
      </c>
      <c r="R40" s="237"/>
      <c r="S40" s="237"/>
    </row>
    <row r="41" spans="1:23" s="230" customFormat="1" ht="17.399999999999999" x14ac:dyDescent="0.35">
      <c r="I41" s="302"/>
      <c r="J41" s="47"/>
      <c r="K41" s="250"/>
      <c r="L41" s="266"/>
      <c r="M41" s="12">
        <v>1500</v>
      </c>
      <c r="N41" s="12">
        <f t="shared" si="10"/>
        <v>0</v>
      </c>
      <c r="O41" s="14" t="s">
        <v>24</v>
      </c>
      <c r="P41" s="14"/>
      <c r="Q41">
        <v>3.66</v>
      </c>
      <c r="R41"/>
      <c r="S41" s="237">
        <v>1500</v>
      </c>
      <c r="W41" s="231"/>
    </row>
    <row r="42" spans="1:23" s="230" customFormat="1" ht="17.399999999999999" x14ac:dyDescent="0.35">
      <c r="I42" s="265"/>
      <c r="J42" s="47"/>
      <c r="K42" s="250"/>
      <c r="L42" s="14"/>
      <c r="M42" s="12"/>
      <c r="N42" s="12">
        <f>SUM(N36:N41)</f>
        <v>123864</v>
      </c>
      <c r="O42" s="39" t="s">
        <v>25</v>
      </c>
      <c r="P42" s="14"/>
      <c r="Q42">
        <f>Q40*Q41</f>
        <v>6.6978000000000009</v>
      </c>
      <c r="R42"/>
      <c r="S42" s="237">
        <f>R34*S41</f>
        <v>60000</v>
      </c>
      <c r="W42" s="231"/>
    </row>
    <row r="43" spans="1:23" s="230" customFormat="1" ht="17.399999999999999" x14ac:dyDescent="0.35">
      <c r="J43" s="47">
        <v>22990</v>
      </c>
      <c r="K43" s="250"/>
      <c r="L43" s="254" t="s">
        <v>35</v>
      </c>
      <c r="M43" s="12"/>
      <c r="N43" s="255">
        <f>N42*2.2</f>
        <v>272500.80000000005</v>
      </c>
      <c r="O43" s="14" t="s">
        <v>142</v>
      </c>
      <c r="P43" s="14"/>
      <c r="Q43" s="46">
        <f>O34/Q42</f>
        <v>0.35116008241512137</v>
      </c>
      <c r="R43"/>
      <c r="S43" s="257" t="e">
        <f>S42/#REF!</f>
        <v>#REF!</v>
      </c>
    </row>
    <row r="44" spans="1:23" s="230" customFormat="1" ht="17.399999999999999" x14ac:dyDescent="0.35">
      <c r="G44"/>
      <c r="H44" s="260"/>
      <c r="I44" s="260"/>
      <c r="J44" s="47">
        <f>J43/1.19</f>
        <v>19319.327731092439</v>
      </c>
      <c r="K44" s="250"/>
      <c r="L44" s="14"/>
      <c r="M44" s="12"/>
      <c r="N44" s="12">
        <f>N43/O32</f>
        <v>139031.02040816328</v>
      </c>
      <c r="O44" s="45" t="s">
        <v>26</v>
      </c>
      <c r="P44" s="14"/>
      <c r="Q44" s="14"/>
      <c r="R44"/>
      <c r="S44" s="237"/>
    </row>
    <row r="45" spans="1:23" s="230" customFormat="1" ht="17.399999999999999" x14ac:dyDescent="0.35">
      <c r="G45"/>
      <c r="J45" s="47"/>
      <c r="K45" s="250"/>
      <c r="L45" s="13"/>
      <c r="M45" s="14"/>
      <c r="N45" s="17">
        <f>N43/N42</f>
        <v>2.2000000000000002</v>
      </c>
      <c r="O45" s="15"/>
      <c r="P45"/>
      <c r="Q45"/>
      <c r="R45"/>
      <c r="S45" s="237"/>
    </row>
    <row r="46" spans="1:23" s="230" customFormat="1" ht="17.399999999999999" x14ac:dyDescent="0.35">
      <c r="G46" s="23"/>
      <c r="J46" s="47"/>
      <c r="K46" s="12"/>
      <c r="S46" s="237"/>
    </row>
    <row r="47" spans="1:23" s="230" customFormat="1" ht="17.399999999999999" x14ac:dyDescent="0.35">
      <c r="B47"/>
      <c r="C47" s="228"/>
      <c r="D47" s="22"/>
      <c r="E47" s="22"/>
      <c r="F47" s="21"/>
      <c r="G47" s="23"/>
      <c r="J47" s="47"/>
      <c r="K47" s="12"/>
      <c r="S47" s="237">
        <v>1.83</v>
      </c>
    </row>
    <row r="48" spans="1:23" ht="14.4" customHeight="1" x14ac:dyDescent="0.3">
      <c r="J48" s="47"/>
      <c r="K48" s="12"/>
      <c r="S48">
        <v>2.5</v>
      </c>
    </row>
    <row r="49" spans="10:19" x14ac:dyDescent="0.3">
      <c r="J49" s="47"/>
      <c r="K49" s="250"/>
      <c r="S49">
        <f>S47*S48</f>
        <v>4.5750000000000002</v>
      </c>
    </row>
    <row r="50" spans="10:19" x14ac:dyDescent="0.3">
      <c r="K50" s="250"/>
      <c r="S50" s="270">
        <f>O34/S49</f>
        <v>0.51409836065573777</v>
      </c>
    </row>
    <row r="51" spans="10:19" x14ac:dyDescent="0.3">
      <c r="K51" s="250"/>
    </row>
    <row r="52" spans="10:19" ht="15" customHeight="1" x14ac:dyDescent="0.3"/>
    <row r="54" spans="10:19" x14ac:dyDescent="0.3">
      <c r="N54">
        <v>40935</v>
      </c>
      <c r="O54" t="s">
        <v>17</v>
      </c>
      <c r="P54" t="s">
        <v>28</v>
      </c>
    </row>
    <row r="56" spans="10:19" x14ac:dyDescent="0.3">
      <c r="N56" s="54"/>
      <c r="O56" s="54"/>
    </row>
    <row r="57" spans="10:19" x14ac:dyDescent="0.3">
      <c r="R57" s="18"/>
      <c r="S57" s="18"/>
    </row>
    <row r="58" spans="10:19" x14ac:dyDescent="0.3">
      <c r="R58" s="18"/>
      <c r="S58" s="18"/>
    </row>
    <row r="59" spans="10:19" x14ac:dyDescent="0.3">
      <c r="R59" s="18"/>
      <c r="S59" s="18"/>
    </row>
    <row r="60" spans="10:19" x14ac:dyDescent="0.3">
      <c r="R60" s="18"/>
      <c r="S60" s="18"/>
    </row>
    <row r="61" spans="10:19" x14ac:dyDescent="0.3">
      <c r="R61" s="18"/>
      <c r="S61" s="18"/>
    </row>
    <row r="62" spans="10:19" x14ac:dyDescent="0.3">
      <c r="R62" s="18"/>
      <c r="S62" s="18"/>
    </row>
    <row r="63" spans="10:19" x14ac:dyDescent="0.3">
      <c r="R63" s="18"/>
      <c r="S63" s="18"/>
    </row>
    <row r="64" spans="10:19" x14ac:dyDescent="0.3">
      <c r="R64" s="18"/>
      <c r="S64" s="18"/>
    </row>
    <row r="65" spans="3:19" x14ac:dyDescent="0.3">
      <c r="R65" s="18"/>
      <c r="S65" s="18"/>
    </row>
    <row r="68" spans="3:19" x14ac:dyDescent="0.3">
      <c r="N68" s="43"/>
    </row>
    <row r="69" spans="3:19" x14ac:dyDescent="0.3">
      <c r="N69" s="43"/>
    </row>
    <row r="70" spans="3:19" x14ac:dyDescent="0.3">
      <c r="N70" s="6"/>
    </row>
    <row r="71" spans="3:19" x14ac:dyDescent="0.3">
      <c r="N71" s="6"/>
    </row>
    <row r="79" spans="3:19" x14ac:dyDescent="0.3">
      <c r="C79" t="s">
        <v>150</v>
      </c>
    </row>
    <row r="80" spans="3:19" x14ac:dyDescent="0.3">
      <c r="C80" t="s">
        <v>149</v>
      </c>
    </row>
    <row r="83" spans="3:3" x14ac:dyDescent="0.3">
      <c r="C83" t="s">
        <v>149</v>
      </c>
    </row>
    <row r="160" spans="3:3" x14ac:dyDescent="0.3">
      <c r="C160" t="s">
        <v>149</v>
      </c>
    </row>
    <row r="161" spans="3:3" x14ac:dyDescent="0.3">
      <c r="C161" t="s">
        <v>151</v>
      </c>
    </row>
    <row r="162" spans="3:3" x14ac:dyDescent="0.3">
      <c r="C162" t="s">
        <v>152</v>
      </c>
    </row>
    <row r="587" spans="3:3" x14ac:dyDescent="0.3">
      <c r="C587" t="s">
        <v>149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45390</v>
      </c>
    </row>
    <row r="6" spans="2:31" ht="16.2" thickBot="1" x14ac:dyDescent="0.35">
      <c r="B6" s="140" t="s">
        <v>2</v>
      </c>
      <c r="C6" s="139" t="str">
        <f>'2229'!C10</f>
        <v>JORGE GUERRA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100</v>
      </c>
      <c r="I7" s="342"/>
      <c r="J7" s="342"/>
      <c r="K7" s="343"/>
      <c r="N7" s="75"/>
      <c r="O7" s="34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10912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4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-2312880.8583667874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'2229'!H30</f>
        <v>14048387</v>
      </c>
      <c r="E11" s="132">
        <f>D11*0.19</f>
        <v>2669193.5300000003</v>
      </c>
      <c r="F11" s="131">
        <f>E11+D11</f>
        <v>16717580.530000001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-2206890.8583667874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103698.09078743961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-2224890.8583667874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13944688.909212559</v>
      </c>
      <c r="E13" s="221">
        <f>(D11/D12)-1</f>
        <v>134.47392139356154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-2233890.8583667874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-2272890.8583667874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171101.84979927534</v>
      </c>
      <c r="F15" s="216">
        <f>E15-D12</f>
        <v>67403.759011835733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-2272890.8583667874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-2232890.8583667874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'2229'!N38</f>
        <v>19400</v>
      </c>
      <c r="E18" s="123">
        <f>D18*0.19</f>
        <v>3686</v>
      </c>
      <c r="F18" s="120">
        <f>SUM(D18:E18)</f>
        <v>23086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'2229'!N37</f>
        <v>38000</v>
      </c>
      <c r="E19" s="123">
        <f>D19*0.19</f>
        <v>7220</v>
      </c>
      <c r="F19" s="120">
        <f>SUM(D19:E19)</f>
        <v>45220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'2229'!N36</f>
        <v>16464.000000000004</v>
      </c>
      <c r="E20" s="121">
        <f>D20*0.19</f>
        <v>3128.1600000000008</v>
      </c>
      <c r="F20" s="120">
        <f>SUM(D20:E20)</f>
        <v>19592.160000000003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73864</v>
      </c>
      <c r="E21" s="116">
        <f>SUM(E18:E20)</f>
        <v>14034.16</v>
      </c>
      <c r="F21" s="115">
        <f>SUM(F18:F20)</f>
        <v>87898.16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2655159.37</v>
      </c>
    </row>
    <row r="41" spans="2:16" ht="15" thickBot="1" x14ac:dyDescent="0.35">
      <c r="H41" s="344" t="s">
        <v>62</v>
      </c>
      <c r="I41" s="345"/>
      <c r="J41" s="345"/>
      <c r="K41" s="345"/>
      <c r="L41" s="345"/>
      <c r="M41" s="34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14048387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73864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13944688.909212559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13944688.909212559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2024-04-01T14:43:24Z</cp:lastPrinted>
  <dcterms:created xsi:type="dcterms:W3CDTF">2013-03-18T13:35:42Z</dcterms:created>
  <dcterms:modified xsi:type="dcterms:W3CDTF">2024-04-08T22:13:59Z</dcterms:modified>
</cp:coreProperties>
</file>