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61228CD8-CCEF-4A60-9148-F74D3CBB2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6" i="1" l="1"/>
  <c r="N26" i="1" s="1"/>
  <c r="O26" i="1" s="1"/>
  <c r="K26" i="1"/>
  <c r="M26" i="1"/>
  <c r="H25" i="1"/>
  <c r="L29" i="1"/>
  <c r="L24" i="1"/>
  <c r="M24" i="1"/>
  <c r="N24" i="1"/>
  <c r="O24" i="1" s="1"/>
  <c r="L25" i="1"/>
  <c r="N25" i="1" s="1"/>
  <c r="M25" i="1"/>
  <c r="M22" i="1"/>
  <c r="M23" i="1"/>
  <c r="O25" i="1" l="1"/>
  <c r="O30" i="1" s="1"/>
  <c r="J43" i="1"/>
  <c r="L22" i="1" l="1"/>
  <c r="L23" i="1"/>
  <c r="N22" i="1" l="1"/>
  <c r="O22" i="1" s="1"/>
  <c r="N23" i="1"/>
  <c r="O23" i="1" s="1"/>
  <c r="L21" i="1" l="1"/>
  <c r="M21" i="1"/>
  <c r="N21" i="1" l="1"/>
  <c r="O21" i="1" s="1"/>
  <c r="R21" i="1"/>
  <c r="N36" i="1"/>
  <c r="O31" i="1" l="1"/>
  <c r="S48" i="1"/>
  <c r="O32" i="1" l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P26" i="1" s="1"/>
  <c r="Q26" i="1" s="1"/>
  <c r="E15" i="3"/>
  <c r="P25" i="1" l="1"/>
  <c r="Q25" i="1" s="1"/>
  <c r="P24" i="1"/>
  <c r="Q24" i="1" s="1"/>
  <c r="G24" i="1" s="1"/>
  <c r="H24" i="1" s="1"/>
  <c r="P23" i="1"/>
  <c r="P22" i="1"/>
  <c r="P21" i="1"/>
  <c r="F15" i="3"/>
  <c r="Q22" i="1" l="1"/>
  <c r="G22" i="1" s="1"/>
  <c r="Q21" i="1"/>
  <c r="G21" i="1" s="1"/>
  <c r="H21" i="1" s="1"/>
  <c r="Q23" i="1"/>
  <c r="G23" i="1" s="1"/>
  <c r="H23" i="1" s="1"/>
  <c r="R31" i="1"/>
  <c r="H22" i="1" l="1"/>
  <c r="H29" i="1" s="1"/>
  <c r="H30" i="1" l="1"/>
  <c r="H3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<sst xmlns="http://schemas.openxmlformats.org/spreadsheetml/2006/main" count="229" uniqueCount="171">
  <si>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</si>
  <si>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</si>
  <si>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</si>
  <si>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</si>
  <si>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</si>
  <si>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</si>
  <si>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</si>
  <si>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</si>
  <si>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</si>
  <si>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</si>
  <si>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</si>
  <si>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</si>
  <si>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</si>
  <si>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</si>
  <si>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</si>
  <si>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</si>
  <si>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</si>
  <si>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</si>
  <si>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</si>
  <si>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</si>
  <si>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</si>
  <si>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</si>
  <si>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</si>
  <si>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</si>
  <si>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</si>
  <si>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</si>
  <si>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</si>
  <si>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</si>
  <si>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</si>
  <si>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</si>
  <si>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</si>
  <si>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</si>
  <si>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</si>
  <si>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</si>
  <si>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</si>
  <si>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</si>
  <si>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</si>
  <si>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</si>
  <si>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</si>
  <si>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</si>
  <si>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</si>
  <si>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</si>
  <si>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</si>
  <si>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</si>
  <si>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</si>
  <si>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</si>
  <si>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</si>
  <si>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</si>
  <si>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</si>
  <si>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</si>
  <si>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</si>
  <si>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</si>
  <si>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</si>
  <si>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</si>
  <si>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</si>
  <si>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</si>
  <si>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</si>
  <si>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</si>
  <si>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</si>
  <si>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</si>
  <si>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</si>
  <si>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</si>
  <si>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</si>
  <si>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</si>
  <si>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</si>
  <si>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</si>
  <si>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</si>
  <si>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</si>
  <si>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</si>
  <si>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</si>
  <si>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</si>
  <si>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</si>
  <si>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</si>
  <si>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</si>
  <si>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</si>
  <si>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</si>
  <si>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</si>
  <si>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</si>
  <si>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</si>
  <si>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</si>
  <si>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</si>
  <si>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</si>
  <si>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</si>
  <si>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</si>
  <si>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</si>
  <si>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</si>
  <si>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</si>
  <si>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</si>
  <si>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</si>
  <si>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</si>
  <si>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</si>
  <si>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</si>
  <si>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</si>
  <si>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</si>
  <si>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</si>
  <si>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</si>
  <si>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</si>
  <si>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</si>
  <si>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</si>
  <si>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</si>
  <si>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</si>
  <si>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</si>
  <si>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</si>
  <si>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</si>
  <si>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</si>
  <si>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</si>
  <si>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</si>
  <si>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</si>
  <si>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</si>
  <si>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</si>
  <si>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</si>
  <si>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</si>
  <si>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</si>
  <si>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</si>
  <si>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</si>
  <si>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</si>
  <si>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</si>
  <si>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</si>
  <si>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</si>
  <si>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</si>
  <si>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</si>
  <si>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</si>
  <si>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</si>
  <si>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</si>
  <si>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</si>
  <si>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</si>
  <si>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</si>
  <si>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</si>
  <si>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</si>
  <si>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</si>
  <si>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</si>
  <si>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</si>
  <si>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</si>
  <si>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</si>
  <si>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</si>
  <si>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</si>
  <si>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</si>
  <si>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</si>
  <si>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</si>
  <si>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</si>
  <si>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</si>
  <si>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</si>
  <si>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</si>
  <si>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</si>
  <si>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</si>
  <si>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</si>
  <si>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</si>
  <si>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</si>
  <si>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</si>
  <si>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</si>
  <si>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</si>
  <si>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</si>
  <si>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</si>
  <si>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</si>
  <si>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</si>
  <si>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</si>
  <si>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</si>
  <si>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</si>
  <si>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</si>
  <si>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N° 10896</t>
  </si>
  <si>
    <t>COMERCIALIZADORA MDM SPA</t>
  </si>
  <si>
    <t>DANIELA</t>
  </si>
  <si>
    <t>+56997448059</t>
  </si>
  <si>
    <t>CUB S/R 180°</t>
  </si>
  <si>
    <t>BLUE SKY A-5215 TX</t>
  </si>
  <si>
    <t>CUB S/R 180° ***</t>
  </si>
  <si>
    <t>5 DIAS HABILES</t>
  </si>
  <si>
    <t>CUB MESA 180° 2 LADOS</t>
  </si>
  <si>
    <t>PR6</t>
  </si>
  <si>
    <t>GRIS NUBE 2189 MT</t>
  </si>
  <si>
    <t>CUB CON RESPALDO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</si>
</sst>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27</xdr:row>
      <xdr:rowOff>169545</xdr:rowOff>
    </xdr:from>
    <xdr:to>
      <xdr:col>5</xdr:col>
      <xdr:colOff>1764030</xdr:colOff>
      <xdr:row>31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OBSERVACIONES:LAS CUBIERTAS SE ENTREGAN CON SOBRE MEDIDA</a:t>
          </a:r>
          <a:r>
            <a:rPr lang="es-CL" sz="1200" b="1" baseline="0"/>
            <a:t> EN EL LARGO </a:t>
          </a:r>
        </a:p>
        <a:p>
          <a:pPr algn="l"/>
          <a:r>
            <a:rPr lang="es-CL" sz="1200" b="1" baseline="0"/>
            <a:t>*** DEBE LLEVAR UNION DE LAMINADO</a:t>
          </a:r>
        </a:p>
        <a:p>
          <a:pPr algn="l"/>
          <a:r>
            <a:rPr lang="es-CL" sz="1200" b="1" baseline="0"/>
            <a:t>PUERTAS CORTADAS A LA MEDIDA Y ENCHAPADAS CON TAPACANTO DE PVC 0,4MM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6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6.88671875" customWidth="1"/>
    <col min="4" max="4" width="11.109375" customWidth="1"/>
    <col min="5" max="5" width="10.5546875" customWidth="1"/>
    <col min="6" max="6" width="32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45392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1" t="s">
        <v>155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3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87059.971870604786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163</v>
      </c>
      <c r="D21" s="313">
        <v>1.88</v>
      </c>
      <c r="E21" s="313">
        <v>0.6</v>
      </c>
      <c r="F21" s="312" t="s">
        <v>164</v>
      </c>
      <c r="G21" s="314">
        <f>Q21</f>
        <v>105815.44742616033</v>
      </c>
      <c r="H21" s="315">
        <f t="shared" ref="H21:H23" si="1">G21*B21</f>
        <v>105815.44742616033</v>
      </c>
      <c r="I21" s="265"/>
      <c r="J21" s="47"/>
      <c r="K21" s="325"/>
      <c r="L21" s="326">
        <f t="shared" ref="L21:M23" si="2">D21+L$19</f>
        <v>1.93</v>
      </c>
      <c r="M21" s="326">
        <f t="shared" si="2"/>
        <v>0.6</v>
      </c>
      <c r="N21" s="261">
        <f>L21*M21</f>
        <v>1.1579999999999999</v>
      </c>
      <c r="O21" s="259">
        <f>N21*K21</f>
        <v>0</v>
      </c>
      <c r="P21" s="252">
        <f>P$20*N21</f>
        <v>100815.44742616033</v>
      </c>
      <c r="Q21" s="258">
        <f>P21+Q$20</f>
        <v>105815.44742616033</v>
      </c>
      <c r="R21" s="308">
        <f>K21*L21</f>
        <v>0</v>
      </c>
      <c r="S21" s="14"/>
      <c r="T21" s="9"/>
      <c r="W21" s="4"/>
    </row>
    <row r="22" spans="2:24" ht="17.399999999999999" x14ac:dyDescent="0.3">
      <c r="B22" s="323">
        <v>1</v>
      </c>
      <c r="C22" s="312" t="s">
        <v>163</v>
      </c>
      <c r="D22" s="313">
        <v>2.1</v>
      </c>
      <c r="E22" s="313">
        <v>0.6</v>
      </c>
      <c r="F22" s="312" t="s">
        <v>164</v>
      </c>
      <c r="G22" s="314">
        <f t="shared" ref="G22:G23" si="3">Q22</f>
        <v>117307.36371308015</v>
      </c>
      <c r="H22" s="315">
        <f t="shared" si="1"/>
        <v>117307.36371308015</v>
      </c>
      <c r="I22" s="265"/>
      <c r="K22" s="329"/>
      <c r="L22" s="330">
        <f t="shared" si="2"/>
        <v>2.15</v>
      </c>
      <c r="M22" s="330">
        <f t="shared" si="2"/>
        <v>0.6</v>
      </c>
      <c r="N22" s="261">
        <f t="shared" ref="N22:N23" si="4">L22*M22</f>
        <v>1.2899999999999998</v>
      </c>
      <c r="O22" s="259">
        <f t="shared" ref="O22:O23" si="5">N22*K22</f>
        <v>0</v>
      </c>
      <c r="P22" s="252">
        <f t="shared" ref="P22:P23" si="6">P$20*N22</f>
        <v>112307.36371308015</v>
      </c>
      <c r="Q22" s="258">
        <f t="shared" ref="Q22:Q23" si="7">P22+Q$20</f>
        <v>117307.36371308015</v>
      </c>
      <c r="R22" s="308"/>
      <c r="S22" s="14"/>
      <c r="T22" s="9"/>
      <c r="W22" s="4"/>
    </row>
    <row r="23" spans="2:24" ht="17.399999999999999" x14ac:dyDescent="0.3">
      <c r="B23" s="323">
        <v>1</v>
      </c>
      <c r="C23" s="312" t="s">
        <v>165</v>
      </c>
      <c r="D23" s="313">
        <v>3.19</v>
      </c>
      <c r="E23" s="313">
        <v>0.6</v>
      </c>
      <c r="F23" s="312" t="s">
        <v>164</v>
      </c>
      <c r="G23" s="314">
        <f t="shared" si="3"/>
        <v>174244.58531645569</v>
      </c>
      <c r="H23" s="315">
        <f t="shared" si="1"/>
        <v>174244.58531645569</v>
      </c>
      <c r="I23" s="265"/>
      <c r="K23" s="327"/>
      <c r="L23" s="328">
        <f t="shared" si="2"/>
        <v>3.2399999999999998</v>
      </c>
      <c r="M23" s="328">
        <f t="shared" si="2"/>
        <v>0.6</v>
      </c>
      <c r="N23" s="261">
        <f t="shared" si="4"/>
        <v>1.9439999999999997</v>
      </c>
      <c r="O23" s="259">
        <f t="shared" si="5"/>
        <v>0</v>
      </c>
      <c r="P23" s="252">
        <f t="shared" si="6"/>
        <v>169244.58531645569</v>
      </c>
      <c r="Q23" s="258">
        <f t="shared" si="7"/>
        <v>174244.58531645569</v>
      </c>
      <c r="R23" s="308"/>
      <c r="S23" s="14"/>
      <c r="T23" s="9"/>
      <c r="W23" s="4"/>
    </row>
    <row r="24" spans="2:24" ht="17.399999999999999" x14ac:dyDescent="0.3">
      <c r="B24" s="323">
        <v>3</v>
      </c>
      <c r="C24" s="312" t="s">
        <v>170</v>
      </c>
      <c r="D24" s="313">
        <v>1.6</v>
      </c>
      <c r="E24" s="313">
        <v>0.6</v>
      </c>
      <c r="F24" s="312" t="s">
        <v>164</v>
      </c>
      <c r="G24" s="314">
        <f t="shared" ref="G24" si="8">Q24</f>
        <v>91189.372151898744</v>
      </c>
      <c r="H24" s="315">
        <f t="shared" ref="H24:H26" si="9">G24*B24</f>
        <v>273568.11645569623</v>
      </c>
      <c r="I24" s="265"/>
      <c r="K24" s="327"/>
      <c r="L24" s="328">
        <f t="shared" ref="L24:L26" si="10">D24+L$19</f>
        <v>1.6500000000000001</v>
      </c>
      <c r="M24" s="328">
        <f t="shared" ref="M24:M25" si="11">E24+M$19</f>
        <v>0.6</v>
      </c>
      <c r="N24" s="261">
        <f t="shared" ref="N24:N25" si="12">L24*M24</f>
        <v>0.99</v>
      </c>
      <c r="O24" s="259">
        <f t="shared" ref="O24:O25" si="13">N24*K24</f>
        <v>0</v>
      </c>
      <c r="P24" s="252">
        <f t="shared" ref="P24:P25" si="14">P$20*N24</f>
        <v>86189.372151898744</v>
      </c>
      <c r="Q24" s="258">
        <f t="shared" ref="Q24:Q25" si="15">P24+Q$20</f>
        <v>91189.372151898744</v>
      </c>
      <c r="R24" s="308"/>
      <c r="S24" s="14"/>
      <c r="T24" s="9"/>
      <c r="W24" s="4"/>
    </row>
    <row r="25" spans="2:24" ht="17.399999999999999" x14ac:dyDescent="0.3">
      <c r="B25" s="323">
        <v>5</v>
      </c>
      <c r="C25" s="323" t="s">
        <v>167</v>
      </c>
      <c r="D25" s="343">
        <v>0.8</v>
      </c>
      <c r="E25" s="343">
        <v>0.4</v>
      </c>
      <c r="F25" s="323" t="s">
        <v>164</v>
      </c>
      <c r="G25" s="344">
        <v>27270</v>
      </c>
      <c r="H25" s="315">
        <f t="shared" si="9"/>
        <v>136350</v>
      </c>
      <c r="I25" s="265"/>
      <c r="K25" s="327"/>
      <c r="L25" s="328">
        <f t="shared" si="10"/>
        <v>0.85000000000000009</v>
      </c>
      <c r="M25" s="328">
        <f t="shared" si="11"/>
        <v>0.4</v>
      </c>
      <c r="N25" s="261">
        <f t="shared" si="12"/>
        <v>0.34000000000000008</v>
      </c>
      <c r="O25" s="259">
        <f t="shared" si="13"/>
        <v>0</v>
      </c>
      <c r="P25" s="252">
        <f t="shared" si="14"/>
        <v>29600.390436005633</v>
      </c>
      <c r="Q25" s="258">
        <f t="shared" si="15"/>
        <v>34600.390436005633</v>
      </c>
      <c r="R25" s="308"/>
      <c r="S25" s="14"/>
      <c r="T25" s="9"/>
      <c r="W25" s="4"/>
    </row>
    <row r="26" spans="2:24" ht="17.399999999999999" x14ac:dyDescent="0.3">
      <c r="B26" s="323">
        <v>12</v>
      </c>
      <c r="C26" s="323" t="s">
        <v>168</v>
      </c>
      <c r="D26" s="343">
        <v>0.55000000000000004</v>
      </c>
      <c r="E26" s="343">
        <v>0.39500000000000002</v>
      </c>
      <c r="F26" s="323" t="s">
        <v>169</v>
      </c>
      <c r="G26" s="344">
        <v>25633</v>
      </c>
      <c r="H26" s="315">
        <f t="shared" si="9"/>
        <v>307596</v>
      </c>
      <c r="I26" s="265"/>
      <c r="K26" s="327">
        <f t="shared" ref="K26" si="16">B26</f>
        <v>12</v>
      </c>
      <c r="L26" s="328">
        <f t="shared" si="10"/>
        <v>0.60000000000000009</v>
      </c>
      <c r="M26" s="328">
        <f t="shared" ref="M26" si="17">E26+M$19</f>
        <v>0.39500000000000002</v>
      </c>
      <c r="N26" s="261">
        <f t="shared" ref="N26" si="18">L26*M26</f>
        <v>0.23700000000000004</v>
      </c>
      <c r="O26" s="259">
        <f t="shared" ref="O26" si="19">N26*K26</f>
        <v>2.8440000000000003</v>
      </c>
      <c r="P26" s="252">
        <f t="shared" ref="P26" si="20">P$20*N26</f>
        <v>20633.213333333337</v>
      </c>
      <c r="Q26" s="258">
        <f t="shared" ref="Q26" si="21">P26+Q$20</f>
        <v>25633.213333333337</v>
      </c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8"/>
      <c r="H27" s="318"/>
      <c r="I27" s="265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>
        <f>SUM(H21:H28)</f>
        <v>1114881.5129113924</v>
      </c>
      <c r="I29" s="265"/>
      <c r="J29" s="47"/>
      <c r="K29" s="47"/>
      <c r="L29" s="39">
        <f>K24*L24</f>
        <v>0</v>
      </c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53</v>
      </c>
      <c r="H30" s="304">
        <f>H29*0.19</f>
        <v>211827.48745316456</v>
      </c>
      <c r="I30" s="265"/>
      <c r="J30" s="47"/>
      <c r="K30" s="47"/>
      <c r="L30" s="39"/>
      <c r="M30" s="12"/>
      <c r="N30" s="12"/>
      <c r="O30" s="253">
        <f>SUM(O21:O26)</f>
        <v>2.8440000000000003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1326709.0003645569</v>
      </c>
      <c r="I31" s="265"/>
      <c r="J31" s="47"/>
      <c r="K31" s="47"/>
      <c r="L31" s="39"/>
      <c r="M31" s="12"/>
      <c r="N31" s="12"/>
      <c r="O31" s="253">
        <f>O30</f>
        <v>2.8440000000000003</v>
      </c>
      <c r="P31" s="14"/>
      <c r="Q31" s="12"/>
      <c r="R31" s="238">
        <f>SUM(R21:R30)</f>
        <v>0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0.56880000000000008</v>
      </c>
      <c r="P32" s="39" t="s">
        <v>132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20"/>
      <c r="K33" s="47"/>
      <c r="L33" s="14"/>
      <c r="M33" s="12"/>
      <c r="N33" s="12"/>
      <c r="O33" s="46">
        <f>O31+O32</f>
        <v>3.4128000000000003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20"/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/>
      <c r="L35" s="39">
        <f>O33</f>
        <v>3.4128000000000003</v>
      </c>
      <c r="M35" s="12">
        <v>3500</v>
      </c>
      <c r="N35" s="12">
        <f t="shared" ref="N35:N40" si="22">L35*M35</f>
        <v>11944.800000000001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0.8</v>
      </c>
      <c r="M36" s="12">
        <v>45000</v>
      </c>
      <c r="N36" s="12">
        <f t="shared" si="22"/>
        <v>36000</v>
      </c>
      <c r="O36" s="39" t="s">
        <v>156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/>
      <c r="M37" s="250">
        <v>40754</v>
      </c>
      <c r="N37" s="12">
        <f t="shared" si="22"/>
        <v>0</v>
      </c>
      <c r="O37" s="39" t="s">
        <v>32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153</v>
      </c>
      <c r="I38" s="262"/>
      <c r="J38" s="319"/>
      <c r="K38" s="250"/>
      <c r="L38" s="14">
        <v>2</v>
      </c>
      <c r="M38" s="250">
        <v>32300</v>
      </c>
      <c r="N38" s="12">
        <f t="shared" si="22"/>
        <v>64600</v>
      </c>
      <c r="O38" s="14" t="s">
        <v>143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146</v>
      </c>
      <c r="C39"/>
      <c r="D39"/>
      <c r="E39"/>
      <c r="F39"/>
      <c r="I39" s="262"/>
      <c r="J39" s="319"/>
      <c r="K39" s="250"/>
      <c r="L39" s="249"/>
      <c r="M39" s="250">
        <v>800</v>
      </c>
      <c r="N39" s="12">
        <f t="shared" si="22"/>
        <v>0</v>
      </c>
      <c r="O39" s="14" t="s">
        <v>34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127</v>
      </c>
      <c r="C40"/>
      <c r="D40"/>
      <c r="E40"/>
      <c r="F40" s="229" t="s">
        <v>16</v>
      </c>
      <c r="I40" s="303"/>
      <c r="J40" s="47"/>
      <c r="K40" s="250"/>
      <c r="L40" s="266"/>
      <c r="M40" s="12">
        <v>1500</v>
      </c>
      <c r="N40" s="12">
        <f t="shared" si="22"/>
        <v>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J41" s="47"/>
      <c r="K41" s="250"/>
      <c r="L41" s="14"/>
      <c r="M41" s="12"/>
      <c r="N41" s="12">
        <f>SUM(N35:N40)</f>
        <v>112544.8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31300</v>
      </c>
      <c r="K42" s="250"/>
      <c r="L42" s="254" t="s">
        <v>35</v>
      </c>
      <c r="M42" s="12"/>
      <c r="N42" s="255">
        <f>N41*2.2</f>
        <v>247598.56000000003</v>
      </c>
      <c r="O42" s="14" t="s">
        <v>142</v>
      </c>
      <c r="P42" s="14"/>
      <c r="Q42" s="46">
        <f>O31/Q41</f>
        <v>0.76682484900776537</v>
      </c>
      <c r="R42"/>
      <c r="S42" s="257" t="e">
        <f>S41/#REF!</f>
        <v>#REF!</v>
      </c>
    </row>
    <row r="43" spans="2:23" s="230" customFormat="1" ht="17.399999999999999" x14ac:dyDescent="0.35">
      <c r="G43"/>
      <c r="H43" s="260"/>
      <c r="I43" s="260"/>
      <c r="J43" s="47">
        <f>J42/1.19</f>
        <v>26302.521008403364</v>
      </c>
      <c r="K43" s="250"/>
      <c r="L43" s="14"/>
      <c r="M43" s="12"/>
      <c r="N43" s="12">
        <f>N42/O31</f>
        <v>87059.971870604786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0.74596721311475411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45392</v>
      </c>
    </row>
    <row r="6" spans="2:31" ht="16.2" thickBot="1" x14ac:dyDescent="0.35">
      <c r="B6" s="140" t="s">
        <v>2</v>
      </c>
      <c r="C6" s="139" t="str">
        <f>'2229'!C10</f>
        <v>COMERCIALIZADORA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-164424.39051868618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1114881.5129113924</v>
      </c>
      <c r="E11" s="132">
        <f>D11*0.19</f>
        <v>211827.48745316456</v>
      </c>
      <c r="F11" s="131">
        <f>E11+D11</f>
        <v>1326709.0003645569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-58434.390518686181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77778.890787439625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-76434.390518686181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1037102.6221239527</v>
      </c>
      <c r="E13" s="221">
        <f>(D11/D12)-1</f>
        <v>13.333985759172496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-85434.390518686181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-124434.39051868618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128335.16979927538</v>
      </c>
      <c r="F15" s="216">
        <f>E15-D12</f>
        <v>50556.279011835752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-124434.39051868618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-84434.390518686181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11944.800000000001</v>
      </c>
      <c r="E20" s="121">
        <f>D20*0.19</f>
        <v>2269.5120000000002</v>
      </c>
      <c r="F20" s="120">
        <f>SUM(D20:E20)</f>
        <v>14214.312000000002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47944.800000000003</v>
      </c>
      <c r="E21" s="116">
        <f>SUM(E18:E20)</f>
        <v>9109.5120000000006</v>
      </c>
      <c r="F21" s="115">
        <f>SUM(F18:F20)</f>
        <v>57054.312000000005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202717.97545316457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1114881.5129113924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47944.800000000003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1037102.6221239527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1037102.6221239527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2024-04-10T14:12:54Z</cp:lastPrinted>
  <dcterms:created xsi:type="dcterms:W3CDTF">2013-03-18T13:35:42Z</dcterms:created>
  <dcterms:modified xsi:type="dcterms:W3CDTF">2024-04-10T14:22:22Z</dcterms:modified>
</cp:coreProperties>
</file>