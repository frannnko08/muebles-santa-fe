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9CF903DD-533A-482C-8141-CA5DC2156F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K22" i="1"/>
  <c r="L22" i="1"/>
  <c r="M22" i="1"/>
  <c r="N22" i="1"/>
  <c r="O22" i="1" s="1"/>
  <c r="R22" i="1"/>
  <c r="K23" i="1"/>
  <c r="L23" i="1"/>
  <c r="M23" i="1"/>
  <c r="N23" i="1"/>
  <c r="O23" i="1" s="1"/>
  <c r="R23" i="1"/>
  <c r="K24" i="1"/>
  <c r="L24" i="1"/>
  <c r="M24" i="1"/>
  <c r="N24" i="1"/>
  <c r="O24" i="1" s="1"/>
  <c r="R24" i="1"/>
  <c r="K21" i="1"/>
  <c r="H22" i="1"/>
  <c r="H23" i="1"/>
  <c r="H24" i="1"/>
  <c r="H25" i="1"/>
  <c r="J34" i="1"/>
  <c r="K10" i="1"/>
  <c r="J42" i="1" l="1"/>
  <c r="L21" i="1" l="1"/>
  <c r="M21" i="1"/>
  <c r="N21" i="1" l="1"/>
  <c r="O21" i="1" s="1"/>
  <c r="R21" i="1"/>
  <c r="N35" i="1"/>
  <c r="O30" i="1" l="1"/>
  <c r="S47" i="1"/>
  <c r="O31" i="1" l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2" i="1" l="1"/>
  <c r="L34" i="1" s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2" i="1" l="1"/>
  <c r="Q22" i="1" s="1"/>
  <c r="P23" i="1"/>
  <c r="Q23" i="1" s="1"/>
  <c r="P24" i="1"/>
  <c r="Q24" i="1" s="1"/>
  <c r="P21" i="1"/>
  <c r="F15" i="3"/>
  <c r="Q21" i="1" l="1"/>
  <c r="H21" i="1" s="1"/>
  <c r="H28" i="1" s="1"/>
  <c r="R30" i="1"/>
  <c r="H30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  <c r="L27" i="1"/>
</calcChain>
</file>

<file path=xl/sharedStrings.xml><?xml version="1.0" encoding="utf-8"?>
<sst xmlns="http://schemas.openxmlformats.org/spreadsheetml/2006/main" count="225" uniqueCount="166">
  <si>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</si>
  <si>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</si>
  <si>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</si>
  <si>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</si>
  <si>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</si>
  <si>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</si>
  <si>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</si>
  <si>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</si>
  <si>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</si>
  <si>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</si>
  <si>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</si>
  <si>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</si>
  <si>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</si>
  <si>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</si>
  <si>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</si>
  <si>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</si>
  <si>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</si>
  <si>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</si>
  <si>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</si>
  <si>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</si>
  <si>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</si>
  <si>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</si>
  <si>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</si>
  <si>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</si>
  <si>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</si>
  <si>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</si>
  <si>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</si>
  <si>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</si>
  <si>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</si>
  <si>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</si>
  <si>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</si>
  <si>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</si>
  <si>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</si>
  <si>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</si>
  <si>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</si>
  <si>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</si>
  <si>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</si>
  <si>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</si>
  <si>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</si>
  <si>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</si>
  <si>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</si>
  <si>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</si>
  <si>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</si>
  <si>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</si>
  <si>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</si>
  <si>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</si>
  <si>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</si>
  <si>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</si>
  <si>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</si>
  <si>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</si>
  <si>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</si>
  <si>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</si>
  <si>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</si>
  <si>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</si>
  <si>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</si>
  <si>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</si>
  <si>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</si>
  <si>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</si>
  <si>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</si>
  <si>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</si>
  <si>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</si>
  <si>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</si>
  <si>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</si>
  <si>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</si>
  <si>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</si>
  <si>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</si>
  <si>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</si>
  <si>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</si>
  <si>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</si>
  <si>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</si>
  <si>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</si>
  <si>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</si>
  <si>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</si>
  <si>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</si>
  <si>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</si>
  <si>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</si>
  <si>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</si>
  <si>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</si>
  <si>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</si>
  <si>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</si>
  <si>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</si>
  <si>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</si>
  <si>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</si>
  <si>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</si>
  <si>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</si>
  <si>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</si>
  <si>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</si>
  <si>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</si>
  <si>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</si>
  <si>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</si>
  <si>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</si>
  <si>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</si>
  <si>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</si>
  <si>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</si>
  <si>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</si>
  <si>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</si>
  <si>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</si>
  <si>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</si>
  <si>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</si>
  <si>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</si>
  <si>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</si>
  <si>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</si>
  <si>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</si>
  <si>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</si>
  <si>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</si>
  <si>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</si>
  <si>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</si>
  <si>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</si>
  <si>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</si>
  <si>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</si>
  <si>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</si>
  <si>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</si>
  <si>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</si>
  <si>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</si>
  <si>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</si>
  <si>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</si>
  <si>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</si>
  <si>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</si>
  <si>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</si>
  <si>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</si>
  <si>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</si>
  <si>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</si>
  <si>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</si>
  <si>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</si>
  <si>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</si>
  <si>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</si>
  <si>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</si>
  <si>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</si>
  <si>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</si>
  <si>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</si>
  <si>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</si>
  <si>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</si>
  <si>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</si>
  <si>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</si>
  <si>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</si>
  <si>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</si>
  <si>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</si>
  <si>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</si>
  <si>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</si>
  <si>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</si>
  <si>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</si>
  <si>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</si>
  <si>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</si>
  <si>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</si>
  <si>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</si>
  <si>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</si>
  <si>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</si>
  <si>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</si>
  <si>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</si>
  <si>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</si>
  <si>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</si>
  <si>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</si>
  <si>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</si>
  <si>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</si>
  <si>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</si>
  <si>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</si>
  <si>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</si>
  <si>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</si>
  <si>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</si>
  <si>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CUB CON RESPALDO FRENTE 90° R8</t>
  </si>
  <si>
    <t>N° 10942</t>
  </si>
  <si>
    <t xml:space="preserve">RONI DIAZ </t>
  </si>
  <si>
    <t>+569 7214 5217</t>
  </si>
  <si>
    <t>CUB SIN RESPALDO FRENTE 90° R8</t>
  </si>
  <si>
    <t>CORTE DE 45°</t>
  </si>
  <si>
    <t>TIPO GRANITO DE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</si>
</sst>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26</xdr:row>
      <xdr:rowOff>169545</xdr:rowOff>
    </xdr:from>
    <xdr:to>
      <xdr:col>5</xdr:col>
      <xdr:colOff>1764030</xdr:colOff>
      <xdr:row>30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5" zoomScale="98" zoomScaleNormal="98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45411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6" t="s">
        <v>10</v>
      </c>
      <c r="E20" s="326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64136.364118895981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12" t="s">
        <v>159</v>
      </c>
      <c r="D21" s="327">
        <v>2.8</v>
      </c>
      <c r="E21" s="327">
        <v>0.56000000000000005</v>
      </c>
      <c r="F21" s="312" t="s">
        <v>165</v>
      </c>
      <c r="G21" s="313">
        <v>105362</v>
      </c>
      <c r="H21" s="314">
        <f t="shared" ref="H21" si="1">G21*B21</f>
        <v>105362</v>
      </c>
      <c r="I21" s="265"/>
      <c r="J21" s="47"/>
      <c r="K21" s="324">
        <f>B21</f>
        <v>1</v>
      </c>
      <c r="L21" s="325">
        <f t="shared" ref="L21:M21" si="2">D21+L$19</f>
        <v>2.8499999999999996</v>
      </c>
      <c r="M21" s="325">
        <f t="shared" si="2"/>
        <v>0.56000000000000005</v>
      </c>
      <c r="N21" s="261">
        <f>L21*M21</f>
        <v>1.5959999999999999</v>
      </c>
      <c r="O21" s="259">
        <f>N21*K21</f>
        <v>1.5959999999999999</v>
      </c>
      <c r="P21" s="252">
        <f>P$20*N21</f>
        <v>102361.63713375798</v>
      </c>
      <c r="Q21" s="258">
        <f>P21+Q$20</f>
        <v>105361.63713375798</v>
      </c>
      <c r="R21" s="308">
        <f>K21*L21</f>
        <v>2.8499999999999996</v>
      </c>
      <c r="S21" s="14"/>
      <c r="T21" s="9"/>
      <c r="W21" s="4"/>
    </row>
    <row r="22" spans="2:24" ht="17.399999999999999" x14ac:dyDescent="0.3">
      <c r="B22" s="322">
        <v>1</v>
      </c>
      <c r="C22" s="312" t="s">
        <v>159</v>
      </c>
      <c r="D22" s="327">
        <v>1.3</v>
      </c>
      <c r="E22" s="327">
        <v>0.56000000000000005</v>
      </c>
      <c r="F22" s="312" t="s">
        <v>165</v>
      </c>
      <c r="G22" s="313">
        <v>51487</v>
      </c>
      <c r="H22" s="314">
        <f t="shared" ref="H22:H25" si="3">G22*B22</f>
        <v>51487</v>
      </c>
      <c r="I22" s="265"/>
      <c r="J22" s="47"/>
      <c r="K22" s="324">
        <f t="shared" ref="K22:K24" si="4">B22</f>
        <v>1</v>
      </c>
      <c r="L22" s="325">
        <f t="shared" ref="L22:L24" si="5">D22+L$19</f>
        <v>1.35</v>
      </c>
      <c r="M22" s="325">
        <f t="shared" ref="M22:M24" si="6">E22+M$19</f>
        <v>0.56000000000000005</v>
      </c>
      <c r="N22" s="261">
        <f t="shared" ref="N22:N24" si="7">L22*M22</f>
        <v>0.75600000000000012</v>
      </c>
      <c r="O22" s="259">
        <f t="shared" ref="O22:O24" si="8">N22*K22</f>
        <v>0.75600000000000012</v>
      </c>
      <c r="P22" s="252">
        <f t="shared" ref="P22:P24" si="9">P$20*N22</f>
        <v>48487.091273885366</v>
      </c>
      <c r="Q22" s="258">
        <f t="shared" ref="Q22:Q24" si="10">P22+Q$20</f>
        <v>51487.091273885366</v>
      </c>
      <c r="R22" s="308">
        <f t="shared" ref="R22:R24" si="11">K22*L22</f>
        <v>1.35</v>
      </c>
      <c r="S22" s="14"/>
      <c r="T22" s="9"/>
      <c r="W22" s="4"/>
    </row>
    <row r="23" spans="2:24" ht="17.399999999999999" x14ac:dyDescent="0.3">
      <c r="B23" s="322">
        <v>1</v>
      </c>
      <c r="C23" s="312" t="s">
        <v>159</v>
      </c>
      <c r="D23" s="327">
        <v>1.8</v>
      </c>
      <c r="E23" s="327">
        <v>0.56000000000000005</v>
      </c>
      <c r="F23" s="312" t="s">
        <v>165</v>
      </c>
      <c r="G23" s="313">
        <v>69445</v>
      </c>
      <c r="H23" s="314">
        <f t="shared" si="3"/>
        <v>69445</v>
      </c>
      <c r="I23" s="265"/>
      <c r="J23" s="47"/>
      <c r="K23" s="324">
        <f t="shared" si="4"/>
        <v>1</v>
      </c>
      <c r="L23" s="325">
        <f t="shared" si="5"/>
        <v>1.85</v>
      </c>
      <c r="M23" s="325">
        <f t="shared" si="6"/>
        <v>0.56000000000000005</v>
      </c>
      <c r="N23" s="261">
        <f t="shared" si="7"/>
        <v>1.0360000000000003</v>
      </c>
      <c r="O23" s="259">
        <f t="shared" si="8"/>
        <v>1.0360000000000003</v>
      </c>
      <c r="P23" s="252">
        <f t="shared" si="9"/>
        <v>66445.273227176251</v>
      </c>
      <c r="Q23" s="258">
        <f t="shared" si="10"/>
        <v>69445.273227176251</v>
      </c>
      <c r="R23" s="308">
        <f t="shared" si="11"/>
        <v>1.85</v>
      </c>
      <c r="S23" s="14"/>
      <c r="T23" s="9"/>
      <c r="W23" s="4"/>
    </row>
    <row r="24" spans="2:24" ht="17.399999999999999" x14ac:dyDescent="0.3">
      <c r="B24" s="322">
        <v>1</v>
      </c>
      <c r="C24" s="312" t="s">
        <v>163</v>
      </c>
      <c r="D24" s="327">
        <v>0.9</v>
      </c>
      <c r="E24" s="327">
        <v>0.4</v>
      </c>
      <c r="F24" s="312" t="s">
        <v>165</v>
      </c>
      <c r="G24" s="313">
        <v>27372</v>
      </c>
      <c r="H24" s="314">
        <f t="shared" si="3"/>
        <v>27372</v>
      </c>
      <c r="I24" s="265"/>
      <c r="J24" s="47"/>
      <c r="K24" s="324">
        <f t="shared" si="4"/>
        <v>1</v>
      </c>
      <c r="L24" s="325">
        <f t="shared" si="5"/>
        <v>0.95000000000000007</v>
      </c>
      <c r="M24" s="325">
        <f t="shared" si="6"/>
        <v>0.4</v>
      </c>
      <c r="N24" s="261">
        <f t="shared" si="7"/>
        <v>0.38000000000000006</v>
      </c>
      <c r="O24" s="259">
        <f t="shared" si="8"/>
        <v>0.38000000000000006</v>
      </c>
      <c r="P24" s="252">
        <f t="shared" si="9"/>
        <v>24371.818365180476</v>
      </c>
      <c r="Q24" s="258">
        <f t="shared" si="10"/>
        <v>27371.818365180476</v>
      </c>
      <c r="R24" s="308">
        <f t="shared" si="11"/>
        <v>0.95000000000000007</v>
      </c>
      <c r="S24" s="14"/>
      <c r="T24" s="9"/>
      <c r="W24" s="4"/>
    </row>
    <row r="25" spans="2:24" ht="17.399999999999999" x14ac:dyDescent="0.3">
      <c r="B25" s="322">
        <v>3</v>
      </c>
      <c r="C25" s="312" t="s">
        <v>164</v>
      </c>
      <c r="D25" s="327"/>
      <c r="E25" s="327"/>
      <c r="F25" s="312"/>
      <c r="G25" s="313">
        <v>7500</v>
      </c>
      <c r="H25" s="314">
        <f t="shared" si="3"/>
        <v>22500</v>
      </c>
      <c r="I25" s="265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340"/>
      <c r="C26" s="340"/>
      <c r="D26" s="341"/>
      <c r="E26" s="341"/>
      <c r="F26" s="340"/>
      <c r="G26" s="317"/>
      <c r="H26" s="317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>
        <f ca="1">SUM(L21:L27)</f>
        <v>6.9999999999999991</v>
      </c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30</v>
      </c>
      <c r="H28" s="310">
        <f>SUM(H21:H27)</f>
        <v>276166</v>
      </c>
      <c r="I28" s="265"/>
      <c r="J28" s="47"/>
      <c r="K28" s="47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53</v>
      </c>
      <c r="H29" s="304"/>
      <c r="I29" s="265"/>
      <c r="J29" s="47"/>
      <c r="K29" s="47"/>
      <c r="L29" s="39"/>
      <c r="M29" s="12"/>
      <c r="N29" s="12"/>
      <c r="O29" s="253">
        <f>SUM(O21:O24)</f>
        <v>3.7679999999999998</v>
      </c>
      <c r="P29" s="14"/>
      <c r="Q29" s="12"/>
      <c r="R29" s="238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276166</v>
      </c>
      <c r="I30" s="265"/>
      <c r="J30" s="47"/>
      <c r="K30" s="47"/>
      <c r="L30" s="39"/>
      <c r="M30" s="12"/>
      <c r="N30" s="12"/>
      <c r="O30" s="253">
        <f>O29</f>
        <v>3.7679999999999998</v>
      </c>
      <c r="P30" s="14"/>
      <c r="Q30" s="12"/>
      <c r="R30" s="238">
        <f>SUM(R21:R29)</f>
        <v>6.9999999999999991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>
        <v>32</v>
      </c>
      <c r="K31" s="47"/>
      <c r="L31" s="14"/>
      <c r="M31" s="12"/>
      <c r="N31" s="12"/>
      <c r="O31" s="39">
        <f>O30*20%</f>
        <v>0.75360000000000005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19">
        <v>32</v>
      </c>
      <c r="K32" s="47"/>
      <c r="L32" s="14"/>
      <c r="M32" s="12"/>
      <c r="N32" s="12"/>
      <c r="O32" s="46">
        <f>O30+O31</f>
        <v>4.5215999999999994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19">
        <v>55</v>
      </c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>
        <f>SUM(J31:J33)</f>
        <v>119</v>
      </c>
      <c r="K34" s="47"/>
      <c r="L34" s="39">
        <f>O32</f>
        <v>4.5215999999999994</v>
      </c>
      <c r="M34" s="12">
        <v>3500</v>
      </c>
      <c r="N34" s="12">
        <f t="shared" ref="N34:N39" si="12">L34*M34</f>
        <v>15825.599999999999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</v>
      </c>
      <c r="M35" s="12">
        <v>25000</v>
      </c>
      <c r="N35" s="12">
        <f t="shared" si="12"/>
        <v>25000</v>
      </c>
      <c r="O35" s="39" t="s">
        <v>156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/>
      <c r="M36" s="250">
        <v>43000</v>
      </c>
      <c r="N36" s="12">
        <f t="shared" si="12"/>
        <v>0</v>
      </c>
      <c r="O36" s="39" t="s">
        <v>32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153</v>
      </c>
      <c r="I37" s="262"/>
      <c r="J37" s="318"/>
      <c r="K37" s="250"/>
      <c r="L37" s="14">
        <v>3</v>
      </c>
      <c r="M37" s="250">
        <v>20000</v>
      </c>
      <c r="N37" s="12">
        <f t="shared" si="12"/>
        <v>60000</v>
      </c>
      <c r="O37" s="14" t="s">
        <v>143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146</v>
      </c>
      <c r="C38"/>
      <c r="D38"/>
      <c r="E38"/>
      <c r="F38"/>
      <c r="I38" s="262"/>
      <c r="J38" s="318"/>
      <c r="K38" s="250"/>
      <c r="L38" s="249"/>
      <c r="M38" s="250">
        <v>800</v>
      </c>
      <c r="N38" s="12">
        <f t="shared" si="12"/>
        <v>0</v>
      </c>
      <c r="O38" s="14" t="s">
        <v>34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127</v>
      </c>
      <c r="C39"/>
      <c r="D39"/>
      <c r="E39"/>
      <c r="F39" s="229" t="s">
        <v>16</v>
      </c>
      <c r="I39" s="303"/>
      <c r="J39" s="47"/>
      <c r="K39" s="250"/>
      <c r="L39" s="266">
        <v>6.0149999999999997</v>
      </c>
      <c r="M39" s="12">
        <v>1500</v>
      </c>
      <c r="N39" s="12">
        <f t="shared" si="12"/>
        <v>9022.5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109848.1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36110</v>
      </c>
      <c r="K41" s="250"/>
      <c r="L41" s="254" t="s">
        <v>35</v>
      </c>
      <c r="M41" s="12"/>
      <c r="N41" s="255">
        <f>N40*2.2</f>
        <v>241665.82000000004</v>
      </c>
      <c r="O41" s="14" t="s">
        <v>142</v>
      </c>
      <c r="P41" s="14"/>
      <c r="Q41" s="46">
        <f>O30/Q40</f>
        <v>1.0159620362381363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30344.537815126052</v>
      </c>
      <c r="K42" s="250"/>
      <c r="L42" s="14"/>
      <c r="M42" s="12"/>
      <c r="N42" s="12">
        <f>N41/O30</f>
        <v>64136.364118895981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0.98832786885245882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45411</v>
      </c>
    </row>
    <row r="6" spans="2:31" ht="16.2" thickBot="1" x14ac:dyDescent="0.35">
      <c r="B6" s="140" t="s">
        <v>2</v>
      </c>
      <c r="C6" s="139" t="str">
        <f>'2229'!C10</f>
        <v xml:space="preserve">RONI DIAZ 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10942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-26596.251700120774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'2229'!H28</f>
        <v>276166</v>
      </c>
      <c r="E11" s="132">
        <f>D11*0.19</f>
        <v>52471.54</v>
      </c>
      <c r="F11" s="131">
        <f>E11+D11</f>
        <v>328637.53999999998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79393.748299879226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70659.690787439613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61393.748299879226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205506.30921256039</v>
      </c>
      <c r="E13" s="221">
        <f>(D11/D12)-1</f>
        <v>2.908395252262991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52393.748299879226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13393.748299879226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116588.48979927535</v>
      </c>
      <c r="F15" s="216">
        <f>E15-D12</f>
        <v>45928.799011835741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13393.748299879226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53393.748299879226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15825.599999999999</v>
      </c>
      <c r="E20" s="121">
        <f>D20*0.19</f>
        <v>3006.8639999999996</v>
      </c>
      <c r="F20" s="120">
        <f>SUM(D20:E20)</f>
        <v>18832.464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40825.599999999999</v>
      </c>
      <c r="E21" s="116">
        <f>SUM(E18:E20)</f>
        <v>7756.8639999999996</v>
      </c>
      <c r="F21" s="115">
        <f>SUM(F18:F20)</f>
        <v>48582.464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44714.675999999999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276166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40825.599999999999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205506.30921256039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205506.30921256039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2024-04-30T01:38:17Z</dcterms:modified>
</cp:coreProperties>
</file>