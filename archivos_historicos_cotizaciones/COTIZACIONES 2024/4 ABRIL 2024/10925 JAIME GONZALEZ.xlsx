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E91E6A9E-C7C8-43F9-A121-5D5346BBB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O29" i="1" l="1"/>
  <c r="K23" i="1"/>
  <c r="L23" i="1"/>
  <c r="M23" i="1"/>
  <c r="N23" i="1"/>
  <c r="O23" i="1" s="1"/>
  <c r="R23" i="1"/>
  <c r="K24" i="1"/>
  <c r="L24" i="1"/>
  <c r="M24" i="1"/>
  <c r="N24" i="1"/>
  <c r="O24" i="1" s="1"/>
  <c r="R24" i="1"/>
  <c r="K25" i="1"/>
  <c r="L25" i="1"/>
  <c r="M25" i="1"/>
  <c r="N25" i="1"/>
  <c r="O25" i="1" s="1"/>
  <c r="R25" i="1"/>
  <c r="H26" i="1"/>
  <c r="K22" i="1"/>
  <c r="L22" i="1"/>
  <c r="M22" i="1"/>
  <c r="J43" i="1"/>
  <c r="R22" i="1" l="1"/>
  <c r="N22" i="1"/>
  <c r="O22" i="1" s="1"/>
  <c r="L28" i="1"/>
  <c r="S21" i="1"/>
  <c r="R21" i="1"/>
  <c r="R30" i="1" s="1"/>
  <c r="N21" i="1"/>
  <c r="O21" i="1" s="1"/>
  <c r="U36" i="1"/>
  <c r="U37" i="1" s="1"/>
  <c r="N35" i="1" l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Q41" i="1"/>
  <c r="N40" i="1" l="1"/>
  <c r="D20" i="3"/>
  <c r="E20" i="3" s="1"/>
  <c r="E21" i="3" s="1"/>
  <c r="N41" i="1" l="1"/>
  <c r="N42" i="1" s="1"/>
  <c r="P20" i="1" s="1"/>
  <c r="D21" i="3"/>
  <c r="M43" i="3" s="1"/>
  <c r="D12" i="3" s="1"/>
  <c r="F20" i="3"/>
  <c r="F21" i="3" s="1"/>
  <c r="P23" i="1" l="1"/>
  <c r="Q23" i="1" s="1"/>
  <c r="P25" i="1"/>
  <c r="Q25" i="1" s="1"/>
  <c r="P24" i="1"/>
  <c r="Q24" i="1" s="1"/>
  <c r="P22" i="1"/>
  <c r="P21" i="1"/>
  <c r="N43" i="1"/>
  <c r="E15" i="3"/>
  <c r="Q22" i="1" l="1"/>
  <c r="F15" i="3"/>
  <c r="H22" i="1" l="1"/>
  <c r="Q21" i="1"/>
  <c r="H21" i="1" l="1"/>
  <c r="H28" i="1" s="1"/>
  <c r="H29" i="1" l="1"/>
  <c r="H30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<sst xmlns="http://schemas.openxmlformats.org/spreadsheetml/2006/main" count="238" uniqueCount="177">
  <si>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</si>
  <si>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</si>
  <si>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</si>
  <si>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</si>
  <si>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</si>
  <si>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</si>
  <si>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</si>
  <si>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</si>
  <si>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</si>
  <si>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</si>
  <si>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</si>
  <si>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</si>
  <si>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</si>
  <si>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</si>
  <si>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</si>
  <si>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</si>
  <si>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</si>
  <si>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</si>
  <si>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</si>
  <si>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</si>
  <si>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</si>
  <si>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</si>
  <si>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</si>
  <si>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</si>
  <si>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</si>
  <si>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</si>
  <si>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</si>
  <si>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</si>
  <si>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</si>
  <si>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</si>
  <si>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</si>
  <si>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</si>
  <si>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</si>
  <si>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</si>
  <si>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</si>
  <si>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</si>
  <si>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</si>
  <si>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</si>
  <si>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</si>
  <si>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</si>
  <si>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</si>
  <si>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</si>
  <si>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</si>
  <si>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</si>
  <si>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</si>
  <si>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</si>
  <si>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</si>
  <si>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</si>
  <si>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</si>
  <si>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</si>
  <si>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</si>
  <si>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</si>
  <si>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</si>
  <si>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</si>
  <si>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</si>
  <si>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</si>
  <si>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</si>
  <si>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</si>
  <si>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</si>
  <si>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</si>
  <si>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</si>
  <si>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</si>
  <si>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</si>
  <si>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</si>
  <si>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</si>
  <si>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</si>
  <si>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</si>
  <si>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</si>
  <si>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</si>
  <si>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</si>
  <si>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</si>
  <si>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</si>
  <si>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</si>
  <si>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</si>
  <si>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</si>
  <si>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</si>
  <si>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</si>
  <si>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</si>
  <si>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</si>
  <si>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</si>
  <si>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</si>
  <si>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</si>
  <si>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</si>
  <si>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</si>
  <si>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</si>
  <si>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</si>
  <si>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</si>
  <si>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</si>
  <si>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</si>
  <si>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</si>
  <si>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</si>
  <si>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</si>
  <si>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</si>
  <si>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</si>
  <si>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</si>
  <si>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</si>
  <si>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</si>
  <si>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</si>
  <si>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</si>
  <si>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</si>
  <si>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</si>
  <si>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</si>
  <si>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</si>
  <si>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</si>
  <si>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</si>
  <si>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</si>
  <si>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</si>
  <si>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</si>
  <si>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</si>
  <si>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</si>
  <si>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</si>
  <si>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</si>
  <si>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</si>
  <si>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</si>
  <si>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</si>
  <si>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</si>
  <si>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</si>
  <si>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</si>
  <si>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</si>
  <si>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</si>
  <si>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</si>
  <si>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</si>
  <si>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</si>
  <si>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</si>
  <si>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</si>
  <si>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</si>
  <si>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</si>
  <si>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</si>
  <si>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</si>
  <si>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</si>
  <si>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</si>
  <si>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</si>
  <si>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</si>
  <si>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</si>
  <si>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</si>
  <si>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</si>
  <si>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</si>
  <si>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</si>
  <si>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</si>
  <si>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</si>
  <si>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</si>
  <si>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</si>
  <si>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</si>
  <si>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</si>
  <si>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</si>
  <si>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</si>
  <si>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</si>
  <si>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</si>
  <si>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</si>
  <si>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</si>
  <si>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</si>
  <si>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</si>
  <si>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</si>
  <si>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</si>
  <si>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</si>
  <si>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</si>
  <si>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</si>
  <si>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</si>
  <si>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</si>
  <si>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</si>
  <si>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</si>
  <si>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</si>
  <si>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</si>
  <si>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</si>
  <si>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</si>
  <si>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</si>
  <si>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</si>
  <si>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</si>
  <si>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</si>
  <si>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JAIME GONZALEZ</t>
  </si>
  <si>
    <t>+569 7884 9484</t>
  </si>
  <si>
    <t>HUMO 2108 MT</t>
  </si>
  <si>
    <t>E/R 1 CARA 18MM</t>
  </si>
  <si>
    <t>SERVICIO DE ENCHAPE</t>
  </si>
  <si>
    <t>10 DIAS HABILES</t>
  </si>
  <si>
    <t>CUB CON RESPALDO FRENTE 180° MAS LADO IZQUIERDO</t>
  </si>
  <si>
    <t>CUB CON RESPALDO FRENTE 180°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</si>
</sst>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27</xdr:row>
      <xdr:rowOff>9525</xdr:rowOff>
    </xdr:from>
    <xdr:to>
      <xdr:col>5</xdr:col>
      <xdr:colOff>1594096</xdr:colOff>
      <xdr:row>30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CORTADAS A LA MEDIDA Y ENCHAPADAS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ESPESOR DEL MDF 18MM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 DEBE LLEVAR UNION DE LAMINADO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8" zoomScale="93" zoomScaleNormal="93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55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10925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45399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174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170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5" t="s">
        <v>166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148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78472.650447042644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176</v>
      </c>
      <c r="D21" s="315">
        <v>3.2</v>
      </c>
      <c r="E21" s="315">
        <v>0.6</v>
      </c>
      <c r="F21" s="314" t="s">
        <v>171</v>
      </c>
      <c r="G21" s="316">
        <v>144816</v>
      </c>
      <c r="H21" s="317">
        <f>G21*B21</f>
        <v>144816</v>
      </c>
      <c r="I21" s="265"/>
      <c r="J21" s="47"/>
      <c r="K21" s="47">
        <v>1</v>
      </c>
      <c r="L21" s="39">
        <v>3.012</v>
      </c>
      <c r="M21" s="39">
        <v>0.6</v>
      </c>
      <c r="N21" s="261">
        <f t="shared" ref="N21" si="1">L21*M21</f>
        <v>1.8071999999999999</v>
      </c>
      <c r="O21" s="259">
        <f t="shared" ref="O21" si="2">N21*K21</f>
        <v>1.8071999999999999</v>
      </c>
      <c r="P21" s="252">
        <f>O21*P$20</f>
        <v>141815.77388789546</v>
      </c>
      <c r="Q21" s="258">
        <f t="shared" ref="Q21" si="3">P21+Q$20</f>
        <v>144815.77388789546</v>
      </c>
      <c r="R21" s="299">
        <f>L21*K21*2</f>
        <v>6.024</v>
      </c>
      <c r="S21" s="46">
        <f>M21*K21*2</f>
        <v>1.2</v>
      </c>
      <c r="T21" s="9"/>
      <c r="W21" s="4"/>
    </row>
    <row r="22" spans="2:24" ht="18" thickBot="1" x14ac:dyDescent="0.35">
      <c r="B22" s="331">
        <v>1</v>
      </c>
      <c r="C22" s="314" t="s">
        <v>172</v>
      </c>
      <c r="D22" s="332">
        <v>3.2</v>
      </c>
      <c r="E22" s="332">
        <v>0.3</v>
      </c>
      <c r="F22" s="314" t="s">
        <v>171</v>
      </c>
      <c r="G22" s="333">
        <v>83858</v>
      </c>
      <c r="H22" s="334">
        <f>G22*B22</f>
        <v>83858</v>
      </c>
      <c r="I22" s="265"/>
      <c r="J22" s="47"/>
      <c r="K22" s="47">
        <f>B22</f>
        <v>1</v>
      </c>
      <c r="L22" s="39">
        <f t="shared" ref="L22" si="4">D22+L$19</f>
        <v>3.22</v>
      </c>
      <c r="M22" s="39">
        <f t="shared" ref="M22" si="5">E22+M$19</f>
        <v>0.32</v>
      </c>
      <c r="N22" s="261">
        <f t="shared" ref="N22" si="6">L22*M22</f>
        <v>1.0304</v>
      </c>
      <c r="O22" s="259">
        <f t="shared" ref="O22" si="7">N22*K22</f>
        <v>1.0304</v>
      </c>
      <c r="P22" s="252">
        <f t="shared" ref="P22" si="8">O22*P$20</f>
        <v>80858.219020632736</v>
      </c>
      <c r="Q22" s="258">
        <f t="shared" ref="Q22" si="9">P22+Q$20</f>
        <v>83858.219020632736</v>
      </c>
      <c r="R22" s="299">
        <f>L22*K22*2</f>
        <v>6.44</v>
      </c>
      <c r="S22" s="46"/>
      <c r="T22" s="9"/>
      <c r="W22" s="4"/>
    </row>
    <row r="23" spans="2:24" ht="18" thickBot="1" x14ac:dyDescent="0.35">
      <c r="B23" s="331">
        <v>1</v>
      </c>
      <c r="C23" s="314" t="s">
        <v>172</v>
      </c>
      <c r="D23" s="332">
        <v>0.6</v>
      </c>
      <c r="E23" s="332">
        <v>0.3</v>
      </c>
      <c r="F23" s="314" t="s">
        <v>171</v>
      </c>
      <c r="G23" s="333">
        <v>18569</v>
      </c>
      <c r="H23" s="334">
        <f t="shared" ref="H23:H25" si="10">G23*B23</f>
        <v>18569</v>
      </c>
      <c r="I23" s="265"/>
      <c r="J23" s="47"/>
      <c r="K23" s="47">
        <f t="shared" ref="K23:K25" si="11">B23</f>
        <v>1</v>
      </c>
      <c r="L23" s="39">
        <f t="shared" ref="L23:L25" si="12">D23+L$19</f>
        <v>0.62</v>
      </c>
      <c r="M23" s="39">
        <f t="shared" ref="M23:M25" si="13">E23+M$19</f>
        <v>0.32</v>
      </c>
      <c r="N23" s="261">
        <f t="shared" ref="N23:N25" si="14">L23*M23</f>
        <v>0.19839999999999999</v>
      </c>
      <c r="O23" s="259">
        <f t="shared" ref="O23:O25" si="15">N23*K23</f>
        <v>0.19839999999999999</v>
      </c>
      <c r="P23" s="252">
        <f t="shared" ref="P23:P25" si="16">O23*P$20</f>
        <v>15568.97384869326</v>
      </c>
      <c r="Q23" s="258">
        <f t="shared" ref="Q23:Q25" si="17">P23+Q$20</f>
        <v>18568.973848693262</v>
      </c>
      <c r="R23" s="299">
        <f t="shared" ref="R23:R25" si="18">L23*K23*2</f>
        <v>1.24</v>
      </c>
      <c r="S23" s="46"/>
      <c r="T23" s="9"/>
      <c r="W23" s="4"/>
    </row>
    <row r="24" spans="2:24" ht="18" thickBot="1" x14ac:dyDescent="0.35">
      <c r="B24" s="313">
        <v>1</v>
      </c>
      <c r="C24" s="314" t="s">
        <v>175</v>
      </c>
      <c r="D24" s="315">
        <v>1.7</v>
      </c>
      <c r="E24" s="315">
        <v>0.6</v>
      </c>
      <c r="F24" s="314" t="s">
        <v>171</v>
      </c>
      <c r="G24" s="333">
        <v>96683</v>
      </c>
      <c r="H24" s="334">
        <f t="shared" si="10"/>
        <v>96683</v>
      </c>
      <c r="I24" s="265"/>
      <c r="J24" s="47"/>
      <c r="K24" s="47">
        <f t="shared" si="11"/>
        <v>1</v>
      </c>
      <c r="L24" s="39">
        <f t="shared" si="12"/>
        <v>1.72</v>
      </c>
      <c r="M24" s="39">
        <f t="shared" si="13"/>
        <v>0.62</v>
      </c>
      <c r="N24" s="261">
        <f t="shared" si="14"/>
        <v>1.0664</v>
      </c>
      <c r="O24" s="259">
        <f t="shared" si="15"/>
        <v>1.0664</v>
      </c>
      <c r="P24" s="252">
        <f t="shared" si="16"/>
        <v>83683.23443672627</v>
      </c>
      <c r="Q24" s="258">
        <f t="shared" si="17"/>
        <v>86683.23443672627</v>
      </c>
      <c r="R24" s="299">
        <f t="shared" si="18"/>
        <v>3.44</v>
      </c>
      <c r="S24" s="46"/>
      <c r="T24" s="9"/>
      <c r="W24" s="4"/>
    </row>
    <row r="25" spans="2:24" ht="18" thickBot="1" x14ac:dyDescent="0.35">
      <c r="B25" s="331">
        <v>1</v>
      </c>
      <c r="C25" s="314" t="s">
        <v>172</v>
      </c>
      <c r="D25" s="332">
        <v>1.7</v>
      </c>
      <c r="E25" s="332">
        <v>0.3</v>
      </c>
      <c r="F25" s="314" t="s">
        <v>171</v>
      </c>
      <c r="G25" s="333">
        <v>46191</v>
      </c>
      <c r="H25" s="334">
        <f t="shared" si="10"/>
        <v>46191</v>
      </c>
      <c r="I25" s="265"/>
      <c r="J25" s="47"/>
      <c r="K25" s="47">
        <f t="shared" si="11"/>
        <v>1</v>
      </c>
      <c r="L25" s="39">
        <f t="shared" si="12"/>
        <v>1.72</v>
      </c>
      <c r="M25" s="39">
        <f t="shared" si="13"/>
        <v>0.32</v>
      </c>
      <c r="N25" s="261">
        <f t="shared" si="14"/>
        <v>0.5504</v>
      </c>
      <c r="O25" s="259">
        <f t="shared" si="15"/>
        <v>0.5504</v>
      </c>
      <c r="P25" s="252">
        <f t="shared" si="16"/>
        <v>43191.346806052272</v>
      </c>
      <c r="Q25" s="258">
        <f t="shared" si="17"/>
        <v>46191.346806052272</v>
      </c>
      <c r="R25" s="299">
        <f t="shared" si="18"/>
        <v>3.44</v>
      </c>
      <c r="S25" s="46"/>
      <c r="T25" s="9"/>
      <c r="W25" s="4"/>
    </row>
    <row r="26" spans="2:24" ht="18" thickBot="1" x14ac:dyDescent="0.35">
      <c r="B26" s="331">
        <v>1</v>
      </c>
      <c r="C26" s="314" t="s">
        <v>173</v>
      </c>
      <c r="D26" s="332"/>
      <c r="E26" s="332"/>
      <c r="F26" s="314"/>
      <c r="G26" s="333">
        <v>20000</v>
      </c>
      <c r="H26" s="334">
        <f>G26*B26</f>
        <v>20000</v>
      </c>
      <c r="I26" s="265"/>
      <c r="J26" s="47"/>
      <c r="K26" s="47"/>
      <c r="L26" s="39"/>
      <c r="M26" s="39"/>
      <c r="N26" s="261"/>
      <c r="O26" s="259"/>
      <c r="P26" s="252"/>
      <c r="Q26" s="258"/>
      <c r="R26" s="299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299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0" t="s">
        <v>29</v>
      </c>
      <c r="H28" s="301">
        <f>SUM(H21:H26)</f>
        <v>410117</v>
      </c>
      <c r="I28" s="265"/>
      <c r="J28" s="47"/>
      <c r="K28" s="47"/>
      <c r="L28" s="39">
        <f>SUM(L21:L27)</f>
        <v>10.292000000000002</v>
      </c>
      <c r="M28" s="39"/>
      <c r="N28" s="261"/>
      <c r="O28" s="259"/>
      <c r="P28" s="252"/>
      <c r="Q28" s="258"/>
      <c r="R28" s="299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8" t="s">
        <v>52</v>
      </c>
      <c r="H29" s="296">
        <f>H28*19%</f>
        <v>77922.23</v>
      </c>
      <c r="I29" s="265"/>
      <c r="J29" s="47"/>
      <c r="K29" s="47"/>
      <c r="L29" s="39"/>
      <c r="M29" s="12"/>
      <c r="N29" s="12"/>
      <c r="O29" s="253">
        <f>SUM(O21:O25)</f>
        <v>4.6528</v>
      </c>
      <c r="P29" s="14"/>
      <c r="Q29" s="12"/>
      <c r="R29" s="239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7">
        <f>H28+H29</f>
        <v>488039.23</v>
      </c>
      <c r="I30" s="265"/>
      <c r="J30" s="47"/>
      <c r="K30" s="47"/>
      <c r="L30" s="39"/>
      <c r="M30" s="12"/>
      <c r="N30" s="12"/>
      <c r="O30" s="253">
        <f>O29</f>
        <v>4.6528</v>
      </c>
      <c r="P30" s="14"/>
      <c r="Q30" s="12"/>
      <c r="R30" s="239">
        <f>SUM(R21:R29)</f>
        <v>20.584000000000003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0.93056000000000005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5.5833599999999999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6" t="s">
        <v>22</v>
      </c>
      <c r="U33" s="303" t="s">
        <v>153</v>
      </c>
      <c r="V33" s="307">
        <v>44971</v>
      </c>
      <c r="W33" s="308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5.5833599999999999</v>
      </c>
      <c r="M34" s="12">
        <v>3500</v>
      </c>
      <c r="N34" s="12">
        <f t="shared" ref="N34:N39" si="19">L34*M34</f>
        <v>19541.759999999998</v>
      </c>
      <c r="O34" s="14" t="s">
        <v>22</v>
      </c>
      <c r="P34" s="14"/>
      <c r="Q34" s="14"/>
      <c r="R34" s="241"/>
      <c r="S34" s="14"/>
      <c r="T34" s="306" t="s">
        <v>154</v>
      </c>
      <c r="U34" s="303">
        <v>3625</v>
      </c>
      <c r="V34" s="59" t="s">
        <v>155</v>
      </c>
      <c r="W34" s="308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2</v>
      </c>
      <c r="M35" s="12">
        <v>23850</v>
      </c>
      <c r="N35" s="12">
        <f t="shared" si="19"/>
        <v>47700</v>
      </c>
      <c r="O35" s="39" t="s">
        <v>32</v>
      </c>
      <c r="P35" s="42"/>
      <c r="Q35" s="14"/>
      <c r="R35" s="240"/>
      <c r="S35" s="14"/>
      <c r="T35" s="306"/>
      <c r="U35" s="59">
        <v>906.25</v>
      </c>
      <c r="V35" s="59" t="s">
        <v>156</v>
      </c>
      <c r="W35" s="308"/>
    </row>
    <row r="36" spans="2:23" s="230" customFormat="1" ht="17.399999999999999" x14ac:dyDescent="0.35">
      <c r="I36" s="262"/>
      <c r="J36" s="232"/>
      <c r="K36" s="250"/>
      <c r="L36" s="14"/>
      <c r="M36" s="250">
        <v>55750</v>
      </c>
      <c r="N36" s="12">
        <f t="shared" si="19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8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>
        <v>2</v>
      </c>
      <c r="M37" s="250">
        <v>42115</v>
      </c>
      <c r="N37" s="12">
        <f t="shared" si="19"/>
        <v>84230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08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19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5"/>
      <c r="K39" s="250"/>
      <c r="L39" s="266">
        <v>4.8499999999999996</v>
      </c>
      <c r="M39" s="12">
        <v>1500</v>
      </c>
      <c r="N39" s="12">
        <f t="shared" si="19"/>
        <v>7274.9999999999991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158746.76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N40*2.3</f>
        <v>365117.54800000001</v>
      </c>
      <c r="O41" s="14" t="s">
        <v>141</v>
      </c>
      <c r="P41" s="14"/>
      <c r="Q41" s="40">
        <f>O32/Q40</f>
        <v>1.5054357204486626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66340</v>
      </c>
      <c r="K42" s="250"/>
      <c r="L42" s="14"/>
      <c r="M42" s="12"/>
      <c r="N42" s="12">
        <f>N41/O30</f>
        <v>78472.650447042644</v>
      </c>
      <c r="O42" s="45" t="s">
        <v>25</v>
      </c>
      <c r="P42" s="14"/>
      <c r="Q42" s="14"/>
      <c r="R42"/>
      <c r="S42" s="238"/>
      <c r="T42" s="59" t="s">
        <v>159</v>
      </c>
      <c r="U42" s="303">
        <v>43650</v>
      </c>
    </row>
    <row r="43" spans="2:23" s="230" customFormat="1" ht="17.399999999999999" x14ac:dyDescent="0.35">
      <c r="G43"/>
      <c r="H43" s="230" t="s">
        <v>165</v>
      </c>
      <c r="J43" s="230">
        <f>J42/1.19</f>
        <v>55747.899159663866</v>
      </c>
      <c r="K43" s="250"/>
      <c r="L43" s="13"/>
      <c r="M43" s="14"/>
      <c r="N43" s="17">
        <f>N41/N40</f>
        <v>2.2999999999999998</v>
      </c>
      <c r="O43" s="15"/>
      <c r="P43"/>
      <c r="Q43"/>
      <c r="R43"/>
      <c r="S43" s="238"/>
      <c r="T43" s="59" t="s">
        <v>161</v>
      </c>
      <c r="U43" s="304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05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45399</v>
      </c>
    </row>
    <row r="6" spans="2:31" ht="16.2" thickBot="1" x14ac:dyDescent="0.35">
      <c r="B6" s="140" t="s">
        <v>2</v>
      </c>
      <c r="C6" s="139" t="str">
        <f>'2229'!C10</f>
        <v>JAIME GONZALEZ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99</v>
      </c>
      <c r="I7" s="342"/>
      <c r="J7" s="342"/>
      <c r="K7" s="343"/>
      <c r="N7" s="75"/>
      <c r="O7" s="340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10925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0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-41656.974366787435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410117</v>
      </c>
      <c r="E11" s="132">
        <f>D11*0.19</f>
        <v>77922.23</v>
      </c>
      <c r="F11" s="131">
        <f>E11+D11</f>
        <v>488039.23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64333.025633212565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97075.850787439616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46333.025633212565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313041.14921256038</v>
      </c>
      <c r="E13" s="221">
        <f>(D11/D12)-1</f>
        <v>3.2247067285354554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37333.025633212565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-1666.9743667874354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160175.15379927537</v>
      </c>
      <c r="F15" s="216">
        <f>E15-D12</f>
        <v>63099.303011835756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-1666.9743667874354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38333.025633212565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47700</v>
      </c>
      <c r="E19" s="123">
        <f>D19*0.19</f>
        <v>9063</v>
      </c>
      <c r="F19" s="120">
        <f>SUM(D19:E19)</f>
        <v>56763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19541.759999999998</v>
      </c>
      <c r="E20" s="121">
        <f>D20*0.19</f>
        <v>3712.9343999999996</v>
      </c>
      <c r="F20" s="120">
        <f>SUM(D20:E20)</f>
        <v>23254.694399999997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67241.759999999995</v>
      </c>
      <c r="E21" s="116">
        <f>SUM(E18:E20)</f>
        <v>12775.9344</v>
      </c>
      <c r="F21" s="115">
        <f>SUM(F18:F20)</f>
        <v>80017.694399999993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65146.295599999998</v>
      </c>
    </row>
    <row r="41" spans="2:16" ht="15" thickBot="1" x14ac:dyDescent="0.35">
      <c r="H41" s="344" t="s">
        <v>61</v>
      </c>
      <c r="I41" s="345"/>
      <c r="J41" s="345"/>
      <c r="K41" s="345"/>
      <c r="L41" s="345"/>
      <c r="M41" s="346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410117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67241.759999999995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313041.14921256038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313041.14921256038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2024-04-17T18:56:25Z</dcterms:modified>
</cp:coreProperties>
</file>