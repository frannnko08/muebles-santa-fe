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58D0695A-A786-4CA9-A747-670BCDD1FB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6" i="1" l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K25" i="1"/>
  <c r="L25" i="1"/>
  <c r="K26" i="1"/>
  <c r="L26" i="1"/>
  <c r="K27" i="1"/>
  <c r="L27" i="1"/>
  <c r="N27" i="1" s="1"/>
  <c r="K28" i="1"/>
  <c r="L28" i="1"/>
  <c r="K29" i="1"/>
  <c r="L29" i="1"/>
  <c r="K30" i="1"/>
  <c r="L30" i="1"/>
  <c r="K31" i="1"/>
  <c r="L31" i="1"/>
  <c r="N31" i="1" s="1"/>
  <c r="K32" i="1"/>
  <c r="L32" i="1"/>
  <c r="K33" i="1"/>
  <c r="L33" i="1"/>
  <c r="K34" i="1"/>
  <c r="L34" i="1"/>
  <c r="K35" i="1"/>
  <c r="L35" i="1"/>
  <c r="N35" i="1" s="1"/>
  <c r="K36" i="1"/>
  <c r="L36" i="1"/>
  <c r="K37" i="1"/>
  <c r="L37" i="1"/>
  <c r="K38" i="1"/>
  <c r="L38" i="1"/>
  <c r="K39" i="1"/>
  <c r="L39" i="1"/>
  <c r="N39" i="1" s="1"/>
  <c r="K40" i="1"/>
  <c r="L40" i="1"/>
  <c r="K41" i="1"/>
  <c r="L41" i="1"/>
  <c r="K42" i="1"/>
  <c r="L42" i="1"/>
  <c r="K22" i="1"/>
  <c r="K21" i="1"/>
  <c r="N40" i="1" l="1"/>
  <c r="N36" i="1"/>
  <c r="N32" i="1"/>
  <c r="N28" i="1"/>
  <c r="O28" i="1" s="1"/>
  <c r="N42" i="1"/>
  <c r="N38" i="1"/>
  <c r="N34" i="1"/>
  <c r="O34" i="1" s="1"/>
  <c r="N30" i="1"/>
  <c r="N26" i="1"/>
  <c r="N41" i="1"/>
  <c r="O41" i="1" s="1"/>
  <c r="N37" i="1"/>
  <c r="O37" i="1" s="1"/>
  <c r="N33" i="1"/>
  <c r="O33" i="1" s="1"/>
  <c r="N29" i="1"/>
  <c r="N25" i="1"/>
  <c r="O25" i="1" s="1"/>
  <c r="O40" i="1"/>
  <c r="O38" i="1"/>
  <c r="O36" i="1"/>
  <c r="O32" i="1"/>
  <c r="O30" i="1"/>
  <c r="O26" i="1"/>
  <c r="O39" i="1"/>
  <c r="O27" i="1"/>
  <c r="O42" i="1"/>
  <c r="O35" i="1"/>
  <c r="O31" i="1"/>
  <c r="O29" i="1"/>
  <c r="J59" i="1" l="1"/>
  <c r="L22" i="1" l="1"/>
  <c r="K23" i="1"/>
  <c r="L23" i="1"/>
  <c r="K24" i="1"/>
  <c r="L24" i="1"/>
  <c r="N22" i="1" l="1"/>
  <c r="O22" i="1" s="1"/>
  <c r="N23" i="1"/>
  <c r="O23" i="1" s="1"/>
  <c r="N24" i="1"/>
  <c r="O24" i="1" s="1"/>
  <c r="L21" i="1" l="1"/>
  <c r="L45" i="1" s="1"/>
  <c r="M21" i="1"/>
  <c r="N21" i="1" l="1"/>
  <c r="O21" i="1" s="1"/>
  <c r="R21" i="1"/>
  <c r="N52" i="1"/>
  <c r="O47" i="1" l="1"/>
  <c r="S64" i="1"/>
  <c r="O48" i="1" l="1"/>
  <c r="M20" i="1"/>
  <c r="K20" i="1"/>
  <c r="N53" i="1" l="1"/>
  <c r="Q57" i="1"/>
  <c r="Q58" i="1" s="1"/>
  <c r="N54" i="1" l="1"/>
  <c r="S57" i="1" l="1"/>
  <c r="S5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56" i="1"/>
  <c r="N55" i="1"/>
  <c r="F18" i="3" l="1"/>
  <c r="O49" i="1" l="1"/>
  <c r="L51" i="1" s="1"/>
  <c r="N51" i="1" l="1"/>
  <c r="S65" i="1"/>
  <c r="N57" i="1" l="1"/>
  <c r="N58" i="1" s="1"/>
  <c r="D20" i="3"/>
  <c r="E20" i="3" s="1"/>
  <c r="E21" i="3" s="1"/>
  <c r="N60" i="1" l="1"/>
  <c r="D21" i="3"/>
  <c r="M43" i="3" s="1"/>
  <c r="D12" i="3" s="1"/>
  <c r="F20" i="3"/>
  <c r="F21" i="3" s="1"/>
  <c r="N59" i="1" l="1"/>
  <c r="P20" i="1" s="1"/>
  <c r="E15" i="3"/>
  <c r="P38" i="1" l="1"/>
  <c r="Q38" i="1" s="1"/>
  <c r="G38" i="1" s="1"/>
  <c r="H38" i="1" s="1"/>
  <c r="P34" i="1"/>
  <c r="Q34" i="1" s="1"/>
  <c r="G34" i="1" s="1"/>
  <c r="H34" i="1" s="1"/>
  <c r="P30" i="1"/>
  <c r="Q30" i="1" s="1"/>
  <c r="G30" i="1" s="1"/>
  <c r="H30" i="1" s="1"/>
  <c r="P26" i="1"/>
  <c r="Q26" i="1" s="1"/>
  <c r="G26" i="1" s="1"/>
  <c r="H26" i="1" s="1"/>
  <c r="P40" i="1"/>
  <c r="Q40" i="1" s="1"/>
  <c r="G40" i="1" s="1"/>
  <c r="H40" i="1" s="1"/>
  <c r="P28" i="1"/>
  <c r="Q28" i="1" s="1"/>
  <c r="G28" i="1" s="1"/>
  <c r="H28" i="1" s="1"/>
  <c r="P42" i="1"/>
  <c r="Q42" i="1" s="1"/>
  <c r="G42" i="1" s="1"/>
  <c r="H42" i="1" s="1"/>
  <c r="P35" i="1"/>
  <c r="Q35" i="1" s="1"/>
  <c r="G35" i="1" s="1"/>
  <c r="H35" i="1" s="1"/>
  <c r="P25" i="1"/>
  <c r="Q25" i="1" s="1"/>
  <c r="G25" i="1" s="1"/>
  <c r="H25" i="1" s="1"/>
  <c r="P39" i="1"/>
  <c r="Q39" i="1" s="1"/>
  <c r="G39" i="1" s="1"/>
  <c r="H39" i="1" s="1"/>
  <c r="P37" i="1"/>
  <c r="Q37" i="1" s="1"/>
  <c r="G37" i="1" s="1"/>
  <c r="H37" i="1" s="1"/>
  <c r="P33" i="1"/>
  <c r="Q33" i="1" s="1"/>
  <c r="G33" i="1" s="1"/>
  <c r="H33" i="1" s="1"/>
  <c r="P29" i="1"/>
  <c r="Q29" i="1" s="1"/>
  <c r="G29" i="1" s="1"/>
  <c r="H29" i="1" s="1"/>
  <c r="P36" i="1"/>
  <c r="Q36" i="1" s="1"/>
  <c r="G36" i="1" s="1"/>
  <c r="H36" i="1" s="1"/>
  <c r="P32" i="1"/>
  <c r="Q32" i="1" s="1"/>
  <c r="G32" i="1" s="1"/>
  <c r="H32" i="1" s="1"/>
  <c r="P27" i="1"/>
  <c r="Q27" i="1" s="1"/>
  <c r="G27" i="1" s="1"/>
  <c r="H27" i="1" s="1"/>
  <c r="P41" i="1"/>
  <c r="Q41" i="1" s="1"/>
  <c r="G41" i="1" s="1"/>
  <c r="H41" i="1" s="1"/>
  <c r="P31" i="1"/>
  <c r="Q31" i="1" s="1"/>
  <c r="G31" i="1" s="1"/>
  <c r="H31" i="1" s="1"/>
  <c r="P23" i="1"/>
  <c r="P24" i="1"/>
  <c r="P22" i="1"/>
  <c r="P21" i="1"/>
  <c r="F15" i="3"/>
  <c r="Q22" i="1" l="1"/>
  <c r="G22" i="1" s="1"/>
  <c r="Q24" i="1"/>
  <c r="G24" i="1" s="1"/>
  <c r="H24" i="1" s="1"/>
  <c r="Q21" i="1"/>
  <c r="G21" i="1" s="1"/>
  <c r="H21" i="1"/>
  <c r="Q23" i="1"/>
  <c r="G23" i="1" s="1"/>
  <c r="H23" i="1" s="1"/>
  <c r="R47" i="1"/>
  <c r="H22" i="1" l="1"/>
  <c r="H45" i="1" s="1"/>
  <c r="H46" i="1" l="1"/>
  <c r="H4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<sst xmlns="http://schemas.openxmlformats.org/spreadsheetml/2006/main" count="260" uniqueCount="165">
  <si>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</si>
  <si>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</si>
  <si>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</si>
  <si>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</si>
  <si>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</si>
  <si>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</si>
  <si>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</si>
  <si>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</si>
  <si>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</si>
  <si>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</si>
  <si>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</si>
  <si>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</si>
  <si>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</si>
  <si>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</si>
  <si>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</si>
  <si>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</si>
  <si>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</si>
  <si>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</si>
  <si>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</si>
  <si>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</si>
  <si>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</si>
  <si>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</si>
  <si>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</si>
  <si>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</si>
  <si>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</si>
  <si>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</si>
  <si>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</si>
  <si>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</si>
  <si>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</si>
  <si>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</si>
  <si>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</si>
  <si>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</si>
  <si>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</si>
  <si>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</si>
  <si>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</si>
  <si>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</si>
  <si>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</si>
  <si>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</si>
  <si>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</si>
  <si>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</si>
  <si>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</si>
  <si>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</si>
  <si>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</si>
  <si>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</si>
  <si>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</si>
  <si>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</si>
  <si>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</si>
  <si>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</si>
  <si>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</si>
  <si>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</si>
  <si>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</si>
  <si>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</si>
  <si>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</si>
  <si>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</si>
  <si>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</si>
  <si>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</si>
  <si>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</si>
  <si>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</si>
  <si>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</si>
  <si>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</si>
  <si>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</si>
  <si>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</si>
  <si>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</si>
  <si>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</si>
  <si>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</si>
  <si>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</si>
  <si>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</si>
  <si>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</si>
  <si>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</si>
  <si>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</si>
  <si>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</si>
  <si>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</si>
  <si>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</si>
  <si>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</si>
  <si>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</si>
  <si>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</si>
  <si>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</si>
  <si>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</si>
  <si>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</si>
  <si>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</si>
  <si>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</si>
  <si>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</si>
  <si>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</si>
  <si>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</si>
  <si>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</si>
  <si>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</si>
  <si>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</si>
  <si>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</si>
  <si>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</si>
  <si>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</si>
  <si>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</si>
  <si>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</si>
  <si>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</si>
  <si>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</si>
  <si>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</si>
  <si>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</si>
  <si>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</si>
  <si>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</si>
  <si>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</si>
  <si>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</si>
  <si>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</si>
  <si>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</si>
  <si>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</si>
  <si>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</si>
  <si>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</si>
  <si>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</si>
  <si>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</si>
  <si>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</si>
  <si>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</si>
  <si>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</si>
  <si>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</si>
  <si>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</si>
  <si>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</si>
  <si>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</si>
  <si>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</si>
  <si>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</si>
  <si>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</si>
  <si>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</si>
  <si>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</si>
  <si>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</si>
  <si>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</si>
  <si>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</si>
  <si>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</si>
  <si>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</si>
  <si>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</si>
  <si>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</si>
  <si>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</si>
  <si>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</si>
  <si>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</si>
  <si>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</si>
  <si>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</si>
  <si>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</si>
  <si>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</si>
  <si>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</si>
  <si>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</si>
  <si>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</si>
  <si>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</si>
  <si>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</si>
  <si>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</si>
  <si>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</si>
  <si>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</si>
  <si>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</si>
  <si>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</si>
  <si>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</si>
  <si>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</si>
  <si>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</si>
  <si>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</si>
  <si>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</si>
  <si>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</si>
  <si>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</si>
  <si>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</si>
  <si>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</si>
  <si>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</si>
  <si>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</si>
  <si>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</si>
  <si>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</si>
  <si>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</si>
  <si>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</si>
  <si>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ABONO 50%, SALDO C/E</t>
  </si>
  <si>
    <t>10 DIAS HABILES</t>
  </si>
  <si>
    <t>VICTOR RIVERO</t>
  </si>
  <si>
    <t>+56958788293</t>
  </si>
  <si>
    <t>PR6</t>
  </si>
  <si>
    <t>THAI SAMOA TEAK 10845 MT</t>
  </si>
  <si>
    <t>N° 10901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</si>
</sst>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4" borderId="0" xfId="0" applyNumberFormat="1" applyFill="1"/>
    <xf numFmtId="166" fontId="3" fillId="4" borderId="0" xfId="0" applyNumberFormat="1" applyFont="1" applyFill="1"/>
    <xf numFmtId="167" fontId="0" fillId="2" borderId="0" xfId="0" applyNumberFormat="1" applyFill="1"/>
    <xf numFmtId="166" fontId="3" fillId="2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167" fontId="0" fillId="16" borderId="0" xfId="0" applyNumberFormat="1" applyFill="1"/>
    <xf numFmtId="166" fontId="3" fillId="16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Fill="1" applyBorder="1" applyAlignment="1">
      <alignment horizontal="center" vertical="center"/>
    </xf>
    <xf numFmtId="0" fontId="32" fillId="0" borderId="6" xfId="0" applyFont="1" applyFill="1" applyBorder="1" applyAlignment="1">
      <alignment horizontal="center" vertical="center"/>
    </xf>
    <xf numFmtId="166" fontId="32" fillId="0" borderId="6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48</xdr:row>
      <xdr:rowOff>5249</xdr:rowOff>
    </xdr:from>
    <xdr:to>
      <xdr:col>7</xdr:col>
      <xdr:colOff>1041919</xdr:colOff>
      <xdr:row>51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113301" y="10082310"/>
          <a:ext cx="1988781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50</xdr:row>
      <xdr:rowOff>154305</xdr:rowOff>
    </xdr:from>
    <xdr:to>
      <xdr:col>7</xdr:col>
      <xdr:colOff>853440</xdr:colOff>
      <xdr:row>50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48</xdr:row>
      <xdr:rowOff>9525</xdr:rowOff>
    </xdr:from>
    <xdr:to>
      <xdr:col>5</xdr:col>
      <xdr:colOff>1714500</xdr:colOff>
      <xdr:row>51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44</xdr:row>
      <xdr:rowOff>0</xdr:rowOff>
    </xdr:from>
    <xdr:to>
      <xdr:col>5</xdr:col>
      <xdr:colOff>1764030</xdr:colOff>
      <xdr:row>46</xdr:row>
      <xdr:rowOff>217714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2102" y="9198429"/>
          <a:ext cx="5496275" cy="65314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OBSERVACIONES:CORTADAS A LA MEDIDA Y ENCHAPADO  CON TAPACANTO PVC 0,4MM LO MAS PARECIDO AL TONO</a:t>
          </a:r>
          <a:r>
            <a:rPr lang="es-CL" sz="1200" b="1" baseline="0"/>
            <a:t> DE LA LAMINA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602"/>
  <sheetViews>
    <sheetView tabSelected="1" zoomScale="98" zoomScaleNormal="98" workbookViewId="0">
      <selection activeCell="I38" sqref="I38"/>
    </sheetView>
  </sheetViews>
  <sheetFormatPr baseColWidth="10" defaultRowHeight="14.4" x14ac:dyDescent="0.3"/>
  <cols>
    <col min="1" max="1" width="6" customWidth="1"/>
    <col min="2" max="2" width="10.5546875" customWidth="1"/>
    <col min="3" max="3" width="22.2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45373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158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35" t="s">
        <v>155</v>
      </c>
      <c r="G17" s="335"/>
      <c r="H17" s="33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7" t="s">
        <v>149</v>
      </c>
      <c r="C19" s="338"/>
      <c r="D19" s="338"/>
      <c r="E19" s="338"/>
      <c r="F19" s="338"/>
      <c r="G19" s="338"/>
      <c r="H19" s="33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:K24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N59</f>
        <v>75967.732970030513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12" t="s">
        <v>162</v>
      </c>
      <c r="D21" s="313">
        <v>0.34</v>
      </c>
      <c r="E21" s="313">
        <v>0.54500000000000004</v>
      </c>
      <c r="F21" s="312" t="s">
        <v>163</v>
      </c>
      <c r="G21" s="314">
        <f>Q21</f>
        <v>19146.941642779988</v>
      </c>
      <c r="H21" s="315">
        <f t="shared" ref="H21:H24" si="1">G21*B21</f>
        <v>19146.941642779988</v>
      </c>
      <c r="I21" s="265"/>
      <c r="J21" s="47"/>
      <c r="K21" s="325">
        <f t="shared" si="0"/>
        <v>1</v>
      </c>
      <c r="L21" s="326">
        <f t="shared" ref="L21:M36" si="2">D21+L$19</f>
        <v>0.39</v>
      </c>
      <c r="M21" s="326">
        <f t="shared" si="2"/>
        <v>0.54500000000000004</v>
      </c>
      <c r="N21" s="261">
        <f>L21*M21</f>
        <v>0.21255000000000002</v>
      </c>
      <c r="O21" s="259">
        <f>N21*K21</f>
        <v>0.21255000000000002</v>
      </c>
      <c r="P21" s="252">
        <f>P$20*N21</f>
        <v>16146.941642779986</v>
      </c>
      <c r="Q21" s="258">
        <f>P21+Q$20</f>
        <v>19146.941642779988</v>
      </c>
      <c r="R21" s="308">
        <f>K21*L21</f>
        <v>0.39</v>
      </c>
      <c r="S21" s="14"/>
      <c r="T21" s="9"/>
      <c r="W21" s="4"/>
    </row>
    <row r="22" spans="2:24" ht="17.399999999999999" x14ac:dyDescent="0.3">
      <c r="B22" s="347">
        <v>2</v>
      </c>
      <c r="C22" s="348" t="s">
        <v>162</v>
      </c>
      <c r="D22" s="349">
        <v>0.69499999999999995</v>
      </c>
      <c r="E22" s="349">
        <v>0.27</v>
      </c>
      <c r="F22" s="312" t="s">
        <v>163</v>
      </c>
      <c r="G22" s="314">
        <f t="shared" ref="G22:G42" si="3">Q22</f>
        <v>18280.909486921639</v>
      </c>
      <c r="H22" s="315">
        <f t="shared" si="1"/>
        <v>36561.818973843277</v>
      </c>
      <c r="I22" s="265"/>
      <c r="K22" s="331">
        <f t="shared" si="0"/>
        <v>2</v>
      </c>
      <c r="L22" s="332">
        <f t="shared" si="2"/>
        <v>0.745</v>
      </c>
      <c r="M22" s="332">
        <f t="shared" si="2"/>
        <v>0.27</v>
      </c>
      <c r="N22" s="261">
        <f t="shared" ref="N22:N24" si="4">L22*M22</f>
        <v>0.20115000000000002</v>
      </c>
      <c r="O22" s="259">
        <f t="shared" ref="O22:O24" si="5">N22*K22</f>
        <v>0.40230000000000005</v>
      </c>
      <c r="P22" s="252">
        <f t="shared" ref="P22:P24" si="6">P$20*N22</f>
        <v>15280.909486921639</v>
      </c>
      <c r="Q22" s="258">
        <f t="shared" ref="Q22:Q24" si="7">P22+Q$20</f>
        <v>18280.909486921639</v>
      </c>
      <c r="R22" s="308"/>
      <c r="S22" s="14"/>
      <c r="T22" s="9"/>
      <c r="W22" s="4"/>
    </row>
    <row r="23" spans="2:24" ht="17.399999999999999" x14ac:dyDescent="0.3">
      <c r="B23" s="347">
        <v>2</v>
      </c>
      <c r="C23" s="348" t="s">
        <v>162</v>
      </c>
      <c r="D23" s="349">
        <v>0.69499999999999995</v>
      </c>
      <c r="E23" s="349">
        <v>0.34499999999999997</v>
      </c>
      <c r="F23" s="312" t="s">
        <v>163</v>
      </c>
      <c r="G23" s="314">
        <f t="shared" si="3"/>
        <v>22525.606566622093</v>
      </c>
      <c r="H23" s="315">
        <f t="shared" si="1"/>
        <v>45051.213133244186</v>
      </c>
      <c r="I23" s="265"/>
      <c r="K23" s="327">
        <f t="shared" si="0"/>
        <v>2</v>
      </c>
      <c r="L23" s="328">
        <f t="shared" si="2"/>
        <v>0.745</v>
      </c>
      <c r="M23" s="328">
        <f t="shared" si="2"/>
        <v>0.34499999999999997</v>
      </c>
      <c r="N23" s="261">
        <f t="shared" si="4"/>
        <v>0.257025</v>
      </c>
      <c r="O23" s="259">
        <f t="shared" si="5"/>
        <v>0.51405000000000001</v>
      </c>
      <c r="P23" s="252">
        <f t="shared" si="6"/>
        <v>19525.606566622093</v>
      </c>
      <c r="Q23" s="258">
        <f t="shared" si="7"/>
        <v>22525.606566622093</v>
      </c>
      <c r="R23" s="308"/>
      <c r="S23" s="14"/>
      <c r="T23" s="9"/>
      <c r="W23" s="4"/>
    </row>
    <row r="24" spans="2:24" ht="17.399999999999999" x14ac:dyDescent="0.3">
      <c r="B24" s="347">
        <v>1</v>
      </c>
      <c r="C24" s="348" t="s">
        <v>162</v>
      </c>
      <c r="D24" s="349">
        <v>0.69499999999999995</v>
      </c>
      <c r="E24" s="349">
        <v>0.34399999999999997</v>
      </c>
      <c r="F24" s="312" t="s">
        <v>163</v>
      </c>
      <c r="G24" s="314">
        <f t="shared" si="3"/>
        <v>22469.010605559415</v>
      </c>
      <c r="H24" s="315">
        <f t="shared" si="1"/>
        <v>22469.010605559415</v>
      </c>
      <c r="I24" s="265"/>
      <c r="K24" s="329">
        <f t="shared" si="0"/>
        <v>1</v>
      </c>
      <c r="L24" s="330">
        <f t="shared" si="2"/>
        <v>0.745</v>
      </c>
      <c r="M24" s="330">
        <f t="shared" si="2"/>
        <v>0.34399999999999997</v>
      </c>
      <c r="N24" s="261">
        <f t="shared" si="4"/>
        <v>0.25627999999999995</v>
      </c>
      <c r="O24" s="259">
        <f t="shared" si="5"/>
        <v>0.25627999999999995</v>
      </c>
      <c r="P24" s="252">
        <f t="shared" si="6"/>
        <v>19469.010605559415</v>
      </c>
      <c r="Q24" s="258">
        <f t="shared" si="7"/>
        <v>22469.010605559415</v>
      </c>
      <c r="R24" s="308"/>
      <c r="S24" s="14"/>
      <c r="T24" s="9"/>
      <c r="W24" s="4"/>
    </row>
    <row r="25" spans="2:24" ht="17.399999999999999" x14ac:dyDescent="0.3">
      <c r="B25" s="347">
        <v>2</v>
      </c>
      <c r="C25" s="348" t="s">
        <v>162</v>
      </c>
      <c r="D25" s="349">
        <v>0.45500000000000002</v>
      </c>
      <c r="E25" s="349">
        <v>0.29799999999999999</v>
      </c>
      <c r="F25" s="312" t="s">
        <v>163</v>
      </c>
      <c r="G25" s="314">
        <f t="shared" si="3"/>
        <v>14432.384134659891</v>
      </c>
      <c r="H25" s="315">
        <f t="shared" ref="H25:H32" si="8">G25*B25</f>
        <v>28864.768269319782</v>
      </c>
      <c r="I25" s="265"/>
      <c r="K25" s="47">
        <f t="shared" ref="K25:K42" si="9">B25</f>
        <v>2</v>
      </c>
      <c r="L25" s="39">
        <f t="shared" ref="L25:M42" si="10">D25+L$19</f>
        <v>0.505</v>
      </c>
      <c r="M25" s="39">
        <f t="shared" si="2"/>
        <v>0.29799999999999999</v>
      </c>
      <c r="N25" s="261">
        <f t="shared" ref="N25:N42" si="11">L25*M25</f>
        <v>0.15048999999999998</v>
      </c>
      <c r="O25" s="259">
        <f t="shared" ref="O25:O42" si="12">N25*K25</f>
        <v>0.30097999999999997</v>
      </c>
      <c r="P25" s="252">
        <f t="shared" ref="P25:P42" si="13">P$20*N25</f>
        <v>11432.384134659891</v>
      </c>
      <c r="Q25" s="258">
        <f t="shared" ref="Q25:Q42" si="14">P25+Q$20</f>
        <v>14432.384134659891</v>
      </c>
      <c r="R25" s="308"/>
      <c r="S25" s="14"/>
      <c r="T25" s="9"/>
      <c r="W25" s="4"/>
    </row>
    <row r="26" spans="2:24" ht="17.399999999999999" x14ac:dyDescent="0.3">
      <c r="B26" s="347">
        <v>1</v>
      </c>
      <c r="C26" s="348" t="s">
        <v>162</v>
      </c>
      <c r="D26" s="349">
        <v>0.34</v>
      </c>
      <c r="E26" s="349">
        <v>0.54500000000000004</v>
      </c>
      <c r="F26" s="312" t="s">
        <v>163</v>
      </c>
      <c r="G26" s="314">
        <f t="shared" si="3"/>
        <v>19146.941642779988</v>
      </c>
      <c r="H26" s="315">
        <f t="shared" si="8"/>
        <v>19146.941642779988</v>
      </c>
      <c r="I26" s="265"/>
      <c r="K26" s="325">
        <f t="shared" si="9"/>
        <v>1</v>
      </c>
      <c r="L26" s="326">
        <f t="shared" si="10"/>
        <v>0.39</v>
      </c>
      <c r="M26" s="326">
        <f t="shared" si="2"/>
        <v>0.54500000000000004</v>
      </c>
      <c r="N26" s="261">
        <f t="shared" si="11"/>
        <v>0.21255000000000002</v>
      </c>
      <c r="O26" s="259">
        <f t="shared" si="12"/>
        <v>0.21255000000000002</v>
      </c>
      <c r="P26" s="252">
        <f t="shared" si="13"/>
        <v>16146.941642779986</v>
      </c>
      <c r="Q26" s="258">
        <f t="shared" si="14"/>
        <v>19146.941642779988</v>
      </c>
      <c r="R26" s="308"/>
      <c r="S26" s="14"/>
      <c r="T26" s="9"/>
      <c r="W26" s="4"/>
    </row>
    <row r="27" spans="2:24" ht="17.399999999999999" x14ac:dyDescent="0.3">
      <c r="B27" s="347">
        <v>2</v>
      </c>
      <c r="C27" s="348" t="s">
        <v>162</v>
      </c>
      <c r="D27" s="349">
        <v>0.52500000000000002</v>
      </c>
      <c r="E27" s="349">
        <v>0.29799999999999999</v>
      </c>
      <c r="F27" s="312" t="s">
        <v>163</v>
      </c>
      <c r="G27" s="314">
        <f t="shared" si="3"/>
        <v>16017.071044414728</v>
      </c>
      <c r="H27" s="315">
        <f t="shared" si="8"/>
        <v>32034.142088829456</v>
      </c>
      <c r="I27" s="265"/>
      <c r="K27" s="333">
        <f t="shared" si="9"/>
        <v>2</v>
      </c>
      <c r="L27" s="334">
        <f t="shared" si="10"/>
        <v>0.57500000000000007</v>
      </c>
      <c r="M27" s="334">
        <f t="shared" si="2"/>
        <v>0.29799999999999999</v>
      </c>
      <c r="N27" s="261">
        <f t="shared" si="11"/>
        <v>0.17135</v>
      </c>
      <c r="O27" s="259">
        <f t="shared" si="12"/>
        <v>0.3427</v>
      </c>
      <c r="P27" s="252">
        <f t="shared" si="13"/>
        <v>13017.071044414728</v>
      </c>
      <c r="Q27" s="258">
        <f t="shared" si="14"/>
        <v>16017.071044414728</v>
      </c>
      <c r="R27" s="308"/>
      <c r="S27" s="14"/>
      <c r="T27" s="9"/>
      <c r="W27" s="4"/>
    </row>
    <row r="28" spans="2:24" ht="17.399999999999999" x14ac:dyDescent="0.3">
      <c r="B28" s="347">
        <v>2</v>
      </c>
      <c r="C28" s="348" t="s">
        <v>162</v>
      </c>
      <c r="D28" s="349">
        <v>0.44500000000000001</v>
      </c>
      <c r="E28" s="349">
        <v>0.188</v>
      </c>
      <c r="F28" s="312" t="s">
        <v>163</v>
      </c>
      <c r="G28" s="314">
        <f t="shared" si="3"/>
        <v>10069.55723019104</v>
      </c>
      <c r="H28" s="315">
        <f t="shared" si="8"/>
        <v>20139.114460382079</v>
      </c>
      <c r="I28" s="265"/>
      <c r="K28" s="333">
        <f t="shared" si="9"/>
        <v>2</v>
      </c>
      <c r="L28" s="334">
        <f t="shared" si="10"/>
        <v>0.495</v>
      </c>
      <c r="M28" s="334">
        <f t="shared" si="2"/>
        <v>0.188</v>
      </c>
      <c r="N28" s="261">
        <f t="shared" si="11"/>
        <v>9.3060000000000004E-2</v>
      </c>
      <c r="O28" s="259">
        <f t="shared" si="12"/>
        <v>0.18612000000000001</v>
      </c>
      <c r="P28" s="252">
        <f t="shared" si="13"/>
        <v>7069.5572301910397</v>
      </c>
      <c r="Q28" s="258">
        <f t="shared" si="14"/>
        <v>10069.55723019104</v>
      </c>
      <c r="R28" s="308"/>
      <c r="S28" s="14"/>
      <c r="T28" s="9"/>
      <c r="W28" s="4"/>
    </row>
    <row r="29" spans="2:24" ht="17.399999999999999" x14ac:dyDescent="0.3">
      <c r="B29" s="347">
        <v>1</v>
      </c>
      <c r="C29" s="348" t="s">
        <v>162</v>
      </c>
      <c r="D29" s="349">
        <v>0.44500000000000001</v>
      </c>
      <c r="E29" s="349">
        <v>0.182</v>
      </c>
      <c r="F29" s="312" t="s">
        <v>163</v>
      </c>
      <c r="G29" s="314">
        <f t="shared" si="3"/>
        <v>9843.9330632700494</v>
      </c>
      <c r="H29" s="315">
        <f t="shared" si="8"/>
        <v>9843.9330632700494</v>
      </c>
      <c r="I29" s="265"/>
      <c r="K29" s="47">
        <f t="shared" si="9"/>
        <v>1</v>
      </c>
      <c r="L29" s="39">
        <f t="shared" si="10"/>
        <v>0.495</v>
      </c>
      <c r="M29" s="39">
        <f t="shared" si="2"/>
        <v>0.182</v>
      </c>
      <c r="N29" s="261">
        <f t="shared" si="11"/>
        <v>9.0090000000000003E-2</v>
      </c>
      <c r="O29" s="259">
        <f t="shared" si="12"/>
        <v>9.0090000000000003E-2</v>
      </c>
      <c r="P29" s="252">
        <f t="shared" si="13"/>
        <v>6843.9330632700494</v>
      </c>
      <c r="Q29" s="258">
        <f t="shared" si="14"/>
        <v>9843.9330632700494</v>
      </c>
      <c r="R29" s="308"/>
      <c r="S29" s="14"/>
      <c r="T29" s="9"/>
      <c r="W29" s="4"/>
    </row>
    <row r="30" spans="2:24" ht="17.399999999999999" x14ac:dyDescent="0.3">
      <c r="B30" s="347">
        <v>1</v>
      </c>
      <c r="C30" s="348" t="s">
        <v>162</v>
      </c>
      <c r="D30" s="349">
        <v>0.61</v>
      </c>
      <c r="E30" s="349">
        <v>0.14599999999999999</v>
      </c>
      <c r="F30" s="312" t="s">
        <v>163</v>
      </c>
      <c r="G30" s="314">
        <f t="shared" si="3"/>
        <v>10320.250748992141</v>
      </c>
      <c r="H30" s="315">
        <f t="shared" si="8"/>
        <v>10320.250748992141</v>
      </c>
      <c r="I30" s="265"/>
      <c r="K30" s="333">
        <f t="shared" si="9"/>
        <v>1</v>
      </c>
      <c r="L30" s="334">
        <f t="shared" si="10"/>
        <v>0.66</v>
      </c>
      <c r="M30" s="334">
        <f t="shared" si="2"/>
        <v>0.14599999999999999</v>
      </c>
      <c r="N30" s="261">
        <f t="shared" si="11"/>
        <v>9.6360000000000001E-2</v>
      </c>
      <c r="O30" s="259">
        <f t="shared" si="12"/>
        <v>9.6360000000000001E-2</v>
      </c>
      <c r="P30" s="252">
        <f t="shared" si="13"/>
        <v>7320.25074899214</v>
      </c>
      <c r="Q30" s="258">
        <f t="shared" si="14"/>
        <v>10320.250748992141</v>
      </c>
      <c r="R30" s="308"/>
      <c r="S30" s="14"/>
      <c r="T30" s="9"/>
      <c r="W30" s="4"/>
    </row>
    <row r="31" spans="2:24" ht="17.399999999999999" x14ac:dyDescent="0.3">
      <c r="B31" s="347">
        <v>3</v>
      </c>
      <c r="C31" s="348" t="s">
        <v>162</v>
      </c>
      <c r="D31" s="349">
        <v>0.68500000000000005</v>
      </c>
      <c r="E31" s="349">
        <v>0.44500000000000001</v>
      </c>
      <c r="F31" s="312" t="s">
        <v>163</v>
      </c>
      <c r="G31" s="314">
        <f t="shared" si="3"/>
        <v>27847.146261172733</v>
      </c>
      <c r="H31" s="315">
        <f t="shared" si="8"/>
        <v>83541.438783518199</v>
      </c>
      <c r="I31" s="265"/>
      <c r="J31">
        <v>1</v>
      </c>
      <c r="K31" s="331">
        <f t="shared" si="9"/>
        <v>3</v>
      </c>
      <c r="L31" s="332">
        <f t="shared" si="10"/>
        <v>0.7350000000000001</v>
      </c>
      <c r="M31" s="332">
        <f t="shared" si="2"/>
        <v>0.44500000000000001</v>
      </c>
      <c r="N31" s="261">
        <f t="shared" si="11"/>
        <v>0.32707500000000006</v>
      </c>
      <c r="O31" s="259">
        <f t="shared" si="12"/>
        <v>0.98122500000000024</v>
      </c>
      <c r="P31" s="252">
        <f t="shared" si="13"/>
        <v>24847.146261172733</v>
      </c>
      <c r="Q31" s="258">
        <f t="shared" si="14"/>
        <v>27847.146261172733</v>
      </c>
      <c r="R31" s="308"/>
      <c r="S31" s="14"/>
      <c r="T31" s="9"/>
      <c r="W31" s="4"/>
    </row>
    <row r="32" spans="2:24" ht="17.399999999999999" x14ac:dyDescent="0.3">
      <c r="B32" s="347">
        <v>2</v>
      </c>
      <c r="C32" s="348" t="s">
        <v>162</v>
      </c>
      <c r="D32" s="349">
        <v>0.16500000000000001</v>
      </c>
      <c r="E32" s="349">
        <v>0.44500000000000001</v>
      </c>
      <c r="F32" s="312" t="s">
        <v>163</v>
      </c>
      <c r="G32" s="314">
        <f t="shared" si="3"/>
        <v>10268.21285190767</v>
      </c>
      <c r="H32" s="315">
        <f t="shared" si="8"/>
        <v>20536.425703815341</v>
      </c>
      <c r="I32" s="265"/>
      <c r="J32" s="47"/>
      <c r="K32" s="47">
        <f t="shared" si="9"/>
        <v>2</v>
      </c>
      <c r="L32" s="39">
        <f t="shared" si="10"/>
        <v>0.21500000000000002</v>
      </c>
      <c r="M32" s="39">
        <f t="shared" si="2"/>
        <v>0.44500000000000001</v>
      </c>
      <c r="N32" s="261">
        <f t="shared" si="11"/>
        <v>9.567500000000001E-2</v>
      </c>
      <c r="O32" s="259">
        <f t="shared" si="12"/>
        <v>0.19135000000000002</v>
      </c>
      <c r="P32" s="252">
        <f t="shared" si="13"/>
        <v>7268.2128519076705</v>
      </c>
      <c r="Q32" s="258">
        <f t="shared" si="14"/>
        <v>10268.21285190767</v>
      </c>
      <c r="R32" s="308"/>
      <c r="S32" s="14"/>
      <c r="T32" s="9"/>
      <c r="W32" s="4"/>
    </row>
    <row r="33" spans="2:23" ht="17.399999999999999" x14ac:dyDescent="0.3">
      <c r="B33" s="347">
        <v>1</v>
      </c>
      <c r="C33" s="348" t="s">
        <v>162</v>
      </c>
      <c r="D33" s="349">
        <v>0.30499999999999999</v>
      </c>
      <c r="E33" s="349">
        <v>0.44500000000000001</v>
      </c>
      <c r="F33" s="312" t="s">
        <v>163</v>
      </c>
      <c r="G33" s="314">
        <f t="shared" si="3"/>
        <v>15001.00261594057</v>
      </c>
      <c r="H33" s="315">
        <f t="shared" ref="H33:H42" si="15">G33*B33</f>
        <v>15001.00261594057</v>
      </c>
      <c r="I33" s="265"/>
      <c r="J33" s="47"/>
      <c r="K33" s="47">
        <f t="shared" si="9"/>
        <v>1</v>
      </c>
      <c r="L33" s="39">
        <f t="shared" si="10"/>
        <v>0.35499999999999998</v>
      </c>
      <c r="M33" s="39">
        <f t="shared" si="2"/>
        <v>0.44500000000000001</v>
      </c>
      <c r="N33" s="261">
        <f t="shared" si="11"/>
        <v>0.157975</v>
      </c>
      <c r="O33" s="259">
        <f t="shared" si="12"/>
        <v>0.157975</v>
      </c>
      <c r="P33" s="252">
        <f t="shared" si="13"/>
        <v>12001.00261594057</v>
      </c>
      <c r="Q33" s="258">
        <f t="shared" si="14"/>
        <v>15001.00261594057</v>
      </c>
      <c r="R33" s="308"/>
      <c r="S33" s="14"/>
      <c r="T33" s="9"/>
      <c r="W33" s="4"/>
    </row>
    <row r="34" spans="2:23" ht="17.399999999999999" x14ac:dyDescent="0.3">
      <c r="B34" s="347">
        <v>2</v>
      </c>
      <c r="C34" s="348" t="s">
        <v>162</v>
      </c>
      <c r="D34" s="349">
        <v>0.68500000000000005</v>
      </c>
      <c r="E34" s="349">
        <v>0.47</v>
      </c>
      <c r="F34" s="312" t="s">
        <v>163</v>
      </c>
      <c r="G34" s="314">
        <f t="shared" si="3"/>
        <v>29243.053354497042</v>
      </c>
      <c r="H34" s="315">
        <f t="shared" si="15"/>
        <v>58486.106708994084</v>
      </c>
      <c r="I34" s="265"/>
      <c r="J34" s="47"/>
      <c r="K34" s="327">
        <f t="shared" si="9"/>
        <v>2</v>
      </c>
      <c r="L34" s="328">
        <f t="shared" si="10"/>
        <v>0.7350000000000001</v>
      </c>
      <c r="M34" s="328">
        <f t="shared" si="2"/>
        <v>0.47</v>
      </c>
      <c r="N34" s="261">
        <f t="shared" si="11"/>
        <v>0.34545000000000003</v>
      </c>
      <c r="O34" s="259">
        <f t="shared" si="12"/>
        <v>0.69090000000000007</v>
      </c>
      <c r="P34" s="252">
        <f t="shared" si="13"/>
        <v>26243.053354497042</v>
      </c>
      <c r="Q34" s="258">
        <f t="shared" si="14"/>
        <v>29243.053354497042</v>
      </c>
      <c r="R34" s="308"/>
      <c r="S34" s="14"/>
      <c r="T34" s="9"/>
      <c r="W34" s="4"/>
    </row>
    <row r="35" spans="2:23" ht="17.399999999999999" x14ac:dyDescent="0.3">
      <c r="B35" s="347">
        <v>1</v>
      </c>
      <c r="C35" s="348" t="s">
        <v>162</v>
      </c>
      <c r="D35" s="349">
        <v>0.68500000000000005</v>
      </c>
      <c r="E35" s="349">
        <v>0.54500000000000004</v>
      </c>
      <c r="F35" s="312" t="s">
        <v>163</v>
      </c>
      <c r="G35" s="314">
        <f t="shared" si="3"/>
        <v>33430.774634469977</v>
      </c>
      <c r="H35" s="315">
        <f t="shared" si="15"/>
        <v>33430.774634469977</v>
      </c>
      <c r="I35" s="265"/>
      <c r="J35" s="47"/>
      <c r="K35" s="329">
        <f t="shared" si="9"/>
        <v>1</v>
      </c>
      <c r="L35" s="330">
        <f t="shared" si="10"/>
        <v>0.7350000000000001</v>
      </c>
      <c r="M35" s="330">
        <f t="shared" si="2"/>
        <v>0.54500000000000004</v>
      </c>
      <c r="N35" s="261">
        <f t="shared" si="11"/>
        <v>0.40057500000000007</v>
      </c>
      <c r="O35" s="259">
        <f t="shared" si="12"/>
        <v>0.40057500000000007</v>
      </c>
      <c r="P35" s="252">
        <f t="shared" si="13"/>
        <v>30430.774634469977</v>
      </c>
      <c r="Q35" s="258">
        <f t="shared" si="14"/>
        <v>33430.774634469977</v>
      </c>
      <c r="R35" s="308"/>
      <c r="S35" s="14"/>
      <c r="T35" s="9"/>
      <c r="W35" s="4"/>
    </row>
    <row r="36" spans="2:23" ht="17.399999999999999" x14ac:dyDescent="0.3">
      <c r="B36" s="347">
        <v>2</v>
      </c>
      <c r="C36" s="348" t="s">
        <v>162</v>
      </c>
      <c r="D36" s="349">
        <v>0.75</v>
      </c>
      <c r="E36" s="349">
        <v>0.42299999999999999</v>
      </c>
      <c r="F36" s="312" t="s">
        <v>163</v>
      </c>
      <c r="G36" s="314">
        <f t="shared" si="3"/>
        <v>28707.480837058327</v>
      </c>
      <c r="H36" s="315">
        <f t="shared" si="15"/>
        <v>57414.961674116654</v>
      </c>
      <c r="I36" s="265"/>
      <c r="J36" s="47"/>
      <c r="K36" s="331">
        <f t="shared" si="9"/>
        <v>2</v>
      </c>
      <c r="L36" s="332">
        <f t="shared" si="10"/>
        <v>0.8</v>
      </c>
      <c r="M36" s="332">
        <f t="shared" si="2"/>
        <v>0.42299999999999999</v>
      </c>
      <c r="N36" s="261">
        <f t="shared" si="11"/>
        <v>0.33840000000000003</v>
      </c>
      <c r="O36" s="259">
        <f t="shared" si="12"/>
        <v>0.67680000000000007</v>
      </c>
      <c r="P36" s="252">
        <f t="shared" si="13"/>
        <v>25707.480837058327</v>
      </c>
      <c r="Q36" s="258">
        <f t="shared" si="14"/>
        <v>28707.480837058327</v>
      </c>
      <c r="R36" s="308"/>
      <c r="S36" s="14"/>
      <c r="T36" s="9"/>
      <c r="W36" s="4"/>
    </row>
    <row r="37" spans="2:23" ht="17.399999999999999" x14ac:dyDescent="0.3">
      <c r="B37" s="347">
        <v>1</v>
      </c>
      <c r="C37" s="348" t="s">
        <v>162</v>
      </c>
      <c r="D37" s="349">
        <v>0.75</v>
      </c>
      <c r="E37" s="349">
        <v>0.42499999999999999</v>
      </c>
      <c r="F37" s="312" t="s">
        <v>163</v>
      </c>
      <c r="G37" s="314">
        <f t="shared" si="3"/>
        <v>28829.029209810375</v>
      </c>
      <c r="H37" s="315">
        <f t="shared" si="15"/>
        <v>28829.029209810375</v>
      </c>
      <c r="I37" s="265"/>
      <c r="J37" s="47"/>
      <c r="K37" s="331">
        <f t="shared" si="9"/>
        <v>1</v>
      </c>
      <c r="L37" s="332">
        <f t="shared" si="10"/>
        <v>0.8</v>
      </c>
      <c r="M37" s="332">
        <f t="shared" si="10"/>
        <v>0.42499999999999999</v>
      </c>
      <c r="N37" s="261">
        <f t="shared" si="11"/>
        <v>0.34</v>
      </c>
      <c r="O37" s="259">
        <f t="shared" si="12"/>
        <v>0.34</v>
      </c>
      <c r="P37" s="252">
        <f t="shared" si="13"/>
        <v>25829.029209810375</v>
      </c>
      <c r="Q37" s="258">
        <f t="shared" si="14"/>
        <v>28829.029209810375</v>
      </c>
      <c r="R37" s="308"/>
      <c r="S37" s="14"/>
      <c r="T37" s="9"/>
      <c r="W37" s="4"/>
    </row>
    <row r="38" spans="2:23" ht="17.399999999999999" x14ac:dyDescent="0.3">
      <c r="B38" s="347">
        <v>2</v>
      </c>
      <c r="C38" s="348" t="s">
        <v>162</v>
      </c>
      <c r="D38" s="349">
        <v>0.75</v>
      </c>
      <c r="E38" s="349">
        <v>0.432</v>
      </c>
      <c r="F38" s="312" t="s">
        <v>163</v>
      </c>
      <c r="G38" s="314">
        <f t="shared" si="3"/>
        <v>29254.448514442545</v>
      </c>
      <c r="H38" s="315">
        <f t="shared" si="15"/>
        <v>58508.897028885091</v>
      </c>
      <c r="I38" s="265"/>
      <c r="J38" s="47">
        <v>1</v>
      </c>
      <c r="K38" s="333">
        <f t="shared" si="9"/>
        <v>2</v>
      </c>
      <c r="L38" s="334">
        <f t="shared" si="10"/>
        <v>0.8</v>
      </c>
      <c r="M38" s="334">
        <f t="shared" si="10"/>
        <v>0.432</v>
      </c>
      <c r="N38" s="261">
        <f t="shared" si="11"/>
        <v>0.34560000000000002</v>
      </c>
      <c r="O38" s="259">
        <f t="shared" si="12"/>
        <v>0.69120000000000004</v>
      </c>
      <c r="P38" s="252">
        <f t="shared" si="13"/>
        <v>26254.448514442545</v>
      </c>
      <c r="Q38" s="258">
        <f t="shared" si="14"/>
        <v>29254.448514442545</v>
      </c>
      <c r="R38" s="308"/>
      <c r="S38" s="14"/>
      <c r="T38" s="9"/>
      <c r="W38" s="4"/>
    </row>
    <row r="39" spans="2:23" ht="17.399999999999999" x14ac:dyDescent="0.3">
      <c r="B39" s="347">
        <v>1</v>
      </c>
      <c r="C39" s="348" t="s">
        <v>162</v>
      </c>
      <c r="D39" s="349">
        <v>0.75</v>
      </c>
      <c r="E39" s="349">
        <v>0.43</v>
      </c>
      <c r="F39" s="312" t="s">
        <v>163</v>
      </c>
      <c r="G39" s="314">
        <f t="shared" si="3"/>
        <v>29132.900141690498</v>
      </c>
      <c r="H39" s="315">
        <f t="shared" si="15"/>
        <v>29132.900141690498</v>
      </c>
      <c r="I39" s="265"/>
      <c r="J39" s="47"/>
      <c r="K39" s="333">
        <f t="shared" si="9"/>
        <v>1</v>
      </c>
      <c r="L39" s="334">
        <f t="shared" si="10"/>
        <v>0.8</v>
      </c>
      <c r="M39" s="334">
        <f t="shared" si="10"/>
        <v>0.43</v>
      </c>
      <c r="N39" s="261">
        <f t="shared" si="11"/>
        <v>0.34400000000000003</v>
      </c>
      <c r="O39" s="259">
        <f t="shared" si="12"/>
        <v>0.34400000000000003</v>
      </c>
      <c r="P39" s="252">
        <f t="shared" si="13"/>
        <v>26132.900141690498</v>
      </c>
      <c r="Q39" s="258">
        <f t="shared" si="14"/>
        <v>29132.900141690498</v>
      </c>
      <c r="R39" s="308"/>
      <c r="S39" s="14"/>
      <c r="T39" s="9"/>
      <c r="W39" s="4"/>
    </row>
    <row r="40" spans="2:23" ht="17.399999999999999" x14ac:dyDescent="0.3">
      <c r="B40" s="347">
        <v>1</v>
      </c>
      <c r="C40" s="348" t="s">
        <v>162</v>
      </c>
      <c r="D40" s="349">
        <v>0.32500000000000001</v>
      </c>
      <c r="E40" s="349">
        <v>0.6</v>
      </c>
      <c r="F40" s="312" t="s">
        <v>163</v>
      </c>
      <c r="G40" s="314">
        <f t="shared" si="3"/>
        <v>20092.739918256862</v>
      </c>
      <c r="H40" s="315">
        <f t="shared" si="15"/>
        <v>20092.739918256862</v>
      </c>
      <c r="I40" s="265"/>
      <c r="J40" s="47"/>
      <c r="K40" s="333">
        <f t="shared" si="9"/>
        <v>1</v>
      </c>
      <c r="L40" s="334">
        <f t="shared" si="10"/>
        <v>0.375</v>
      </c>
      <c r="M40" s="334">
        <f t="shared" si="10"/>
        <v>0.6</v>
      </c>
      <c r="N40" s="261">
        <f t="shared" si="11"/>
        <v>0.22499999999999998</v>
      </c>
      <c r="O40" s="259">
        <f t="shared" si="12"/>
        <v>0.22499999999999998</v>
      </c>
      <c r="P40" s="252">
        <f t="shared" si="13"/>
        <v>17092.739918256862</v>
      </c>
      <c r="Q40" s="258">
        <f t="shared" si="14"/>
        <v>20092.739918256862</v>
      </c>
      <c r="R40" s="308"/>
      <c r="S40" s="14"/>
      <c r="T40" s="9"/>
      <c r="W40" s="4"/>
    </row>
    <row r="41" spans="2:23" ht="17.399999999999999" x14ac:dyDescent="0.3">
      <c r="B41" s="347">
        <v>2</v>
      </c>
      <c r="C41" s="348" t="s">
        <v>162</v>
      </c>
      <c r="D41" s="349">
        <v>0.52</v>
      </c>
      <c r="E41" s="349">
        <v>0.29799999999999999</v>
      </c>
      <c r="F41" s="312" t="s">
        <v>163</v>
      </c>
      <c r="G41" s="314">
        <f t="shared" si="3"/>
        <v>15903.879122289383</v>
      </c>
      <c r="H41" s="315">
        <f t="shared" si="15"/>
        <v>31807.758244578767</v>
      </c>
      <c r="I41" s="265"/>
      <c r="J41" s="47"/>
      <c r="K41" s="333">
        <f t="shared" si="9"/>
        <v>2</v>
      </c>
      <c r="L41" s="334">
        <f t="shared" si="10"/>
        <v>0.57000000000000006</v>
      </c>
      <c r="M41" s="334">
        <f t="shared" si="10"/>
        <v>0.29799999999999999</v>
      </c>
      <c r="N41" s="261">
        <f t="shared" si="11"/>
        <v>0.16986000000000001</v>
      </c>
      <c r="O41" s="259">
        <f t="shared" si="12"/>
        <v>0.33972000000000002</v>
      </c>
      <c r="P41" s="252">
        <f t="shared" si="13"/>
        <v>12903.879122289383</v>
      </c>
      <c r="Q41" s="258">
        <f t="shared" si="14"/>
        <v>15903.879122289383</v>
      </c>
      <c r="R41" s="308"/>
      <c r="S41" s="14"/>
      <c r="T41" s="9"/>
      <c r="W41" s="4"/>
    </row>
    <row r="42" spans="2:23" ht="17.399999999999999" x14ac:dyDescent="0.3">
      <c r="B42" s="347">
        <v>2</v>
      </c>
      <c r="C42" s="348" t="s">
        <v>162</v>
      </c>
      <c r="D42" s="349">
        <v>1.2050000000000001</v>
      </c>
      <c r="E42" s="349">
        <v>0.29799999999999999</v>
      </c>
      <c r="F42" s="312" t="s">
        <v>163</v>
      </c>
      <c r="G42" s="314">
        <f t="shared" si="3"/>
        <v>31411.172453461713</v>
      </c>
      <c r="H42" s="315">
        <f t="shared" si="15"/>
        <v>62822.344906923427</v>
      </c>
      <c r="I42" s="265"/>
      <c r="J42" s="47">
        <v>1</v>
      </c>
      <c r="K42" s="329">
        <f t="shared" si="9"/>
        <v>2</v>
      </c>
      <c r="L42" s="330">
        <f t="shared" si="10"/>
        <v>1.2550000000000001</v>
      </c>
      <c r="M42" s="330">
        <f t="shared" si="10"/>
        <v>0.29799999999999999</v>
      </c>
      <c r="N42" s="261">
        <f t="shared" si="11"/>
        <v>0.37399000000000004</v>
      </c>
      <c r="O42" s="259">
        <f t="shared" si="12"/>
        <v>0.74798000000000009</v>
      </c>
      <c r="P42" s="252">
        <f t="shared" si="13"/>
        <v>28411.172453461713</v>
      </c>
      <c r="Q42" s="258">
        <f t="shared" si="14"/>
        <v>31411.172453461713</v>
      </c>
      <c r="R42" s="308"/>
      <c r="S42" s="14"/>
      <c r="T42" s="9"/>
      <c r="W42" s="4"/>
    </row>
    <row r="43" spans="2:23" ht="17.399999999999999" x14ac:dyDescent="0.3">
      <c r="B43" s="286"/>
      <c r="C43" s="286"/>
      <c r="D43" s="287"/>
      <c r="E43" s="287"/>
      <c r="F43" s="286"/>
      <c r="G43" s="318"/>
      <c r="H43" s="318"/>
      <c r="I43" s="265"/>
      <c r="J43" s="47"/>
      <c r="K43" s="47"/>
      <c r="L43" s="39"/>
      <c r="M43" s="39"/>
      <c r="N43" s="261"/>
      <c r="O43" s="259"/>
      <c r="P43" s="252"/>
      <c r="Q43" s="258"/>
      <c r="R43" s="308"/>
      <c r="S43" s="14"/>
      <c r="T43" s="9"/>
      <c r="W43" s="4"/>
    </row>
    <row r="44" spans="2:23" ht="18" thickBot="1" x14ac:dyDescent="0.35">
      <c r="B44" s="286"/>
      <c r="C44" s="286"/>
      <c r="D44" s="287"/>
      <c r="E44" s="287"/>
      <c r="F44" s="286"/>
      <c r="G44" s="265"/>
      <c r="H44" s="232"/>
      <c r="I44" s="232"/>
      <c r="J44" s="47"/>
      <c r="K44" s="47"/>
      <c r="L44" s="39"/>
      <c r="M44" s="39"/>
      <c r="N44" s="261"/>
      <c r="O44" s="259"/>
      <c r="P44" s="252"/>
      <c r="Q44" s="258"/>
      <c r="R44" s="308"/>
      <c r="S44" s="14"/>
      <c r="T44" s="9"/>
      <c r="W44" s="4"/>
    </row>
    <row r="45" spans="2:23" ht="17.399999999999999" x14ac:dyDescent="0.3">
      <c r="B45" s="286"/>
      <c r="C45" s="286"/>
      <c r="D45" s="287"/>
      <c r="E45" s="287"/>
      <c r="F45" s="286"/>
      <c r="G45" s="309" t="s">
        <v>30</v>
      </c>
      <c r="H45" s="310">
        <f>SUM(H21:H44)</f>
        <v>743182.51420000033</v>
      </c>
      <c r="I45" s="265"/>
      <c r="J45" s="47"/>
      <c r="K45" s="47"/>
      <c r="L45" s="39">
        <f>SUM(L21:L44)</f>
        <v>13.920000000000005</v>
      </c>
      <c r="M45" s="39"/>
      <c r="N45" s="261"/>
      <c r="O45" s="259"/>
      <c r="P45" s="252"/>
      <c r="Q45" s="258"/>
      <c r="R45" s="308"/>
      <c r="S45" s="14"/>
      <c r="T45" s="9"/>
      <c r="W45" s="4"/>
    </row>
    <row r="46" spans="2:23" ht="17.399999999999999" x14ac:dyDescent="0.3">
      <c r="B46" s="280"/>
      <c r="C46" s="283"/>
      <c r="D46" s="284"/>
      <c r="E46" s="284"/>
      <c r="F46" s="285"/>
      <c r="G46" s="307" t="s">
        <v>53</v>
      </c>
      <c r="H46" s="304">
        <f>H45*0.19</f>
        <v>141204.67769800007</v>
      </c>
      <c r="I46" s="265"/>
      <c r="J46" s="47"/>
      <c r="K46" s="47"/>
      <c r="L46" s="39"/>
      <c r="M46" s="12"/>
      <c r="N46" s="12"/>
      <c r="O46" s="253">
        <f>SUM(O21:O42)</f>
        <v>8.4007049999999985</v>
      </c>
      <c r="P46" s="14"/>
      <c r="Q46" s="12"/>
      <c r="R46" s="238"/>
      <c r="S46" s="14"/>
      <c r="T46" s="9"/>
      <c r="W46" s="4"/>
    </row>
    <row r="47" spans="2:23" ht="18" thickBot="1" x14ac:dyDescent="0.35">
      <c r="B47" s="276"/>
      <c r="C47" s="282"/>
      <c r="D47" s="272"/>
      <c r="E47" s="272"/>
      <c r="F47" s="273"/>
      <c r="G47" s="281" t="s">
        <v>6</v>
      </c>
      <c r="H47" s="305">
        <f>H45+H46</f>
        <v>884387.19189800043</v>
      </c>
      <c r="I47" s="265"/>
      <c r="J47" s="47"/>
      <c r="K47" s="47"/>
      <c r="L47" s="39"/>
      <c r="M47" s="12"/>
      <c r="N47" s="12"/>
      <c r="O47" s="253">
        <f>O46</f>
        <v>8.4007049999999985</v>
      </c>
      <c r="P47" s="14"/>
      <c r="Q47" s="12"/>
      <c r="R47" s="238">
        <f>SUM(R21:R46)</f>
        <v>0.39</v>
      </c>
      <c r="S47" s="14"/>
      <c r="T47" s="9"/>
      <c r="W47" s="4"/>
    </row>
    <row r="48" spans="2:23" ht="17.399999999999999" x14ac:dyDescent="0.3">
      <c r="B48" s="271"/>
      <c r="C48" s="271"/>
      <c r="D48" s="272"/>
      <c r="E48" s="272"/>
      <c r="F48" s="273"/>
      <c r="G48" s="274"/>
      <c r="H48" s="275"/>
      <c r="I48" s="265"/>
      <c r="J48" s="47"/>
      <c r="K48" s="47"/>
      <c r="L48" s="14"/>
      <c r="M48" s="12"/>
      <c r="N48" s="12"/>
      <c r="O48" s="39">
        <f>O47*20%</f>
        <v>1.6801409999999999</v>
      </c>
      <c r="P48" s="39" t="s">
        <v>132</v>
      </c>
      <c r="Q48" s="42"/>
      <c r="R48" s="239"/>
      <c r="S48" s="14"/>
      <c r="T48" s="9"/>
      <c r="W48" s="4"/>
    </row>
    <row r="49" spans="1:23" ht="17.399999999999999" x14ac:dyDescent="0.35">
      <c r="B49" s="269"/>
      <c r="C49" s="230"/>
      <c r="D49" s="230"/>
      <c r="E49" s="232"/>
      <c r="F49" s="233"/>
      <c r="G49" s="230"/>
      <c r="H49" s="275"/>
      <c r="I49" s="265"/>
      <c r="J49" s="320"/>
      <c r="K49" s="47"/>
      <c r="L49" s="14"/>
      <c r="M49" s="12"/>
      <c r="N49" s="12"/>
      <c r="O49" s="46">
        <f>O47+O48</f>
        <v>10.080845999999998</v>
      </c>
      <c r="P49" s="14"/>
      <c r="Q49" s="14"/>
      <c r="R49" s="237">
        <v>40</v>
      </c>
      <c r="S49" s="14"/>
      <c r="T49" s="9"/>
      <c r="W49" s="4"/>
    </row>
    <row r="50" spans="1:23" ht="17.399999999999999" x14ac:dyDescent="0.35">
      <c r="B50" s="234"/>
      <c r="C50" s="235"/>
      <c r="D50" s="236"/>
      <c r="E50" s="234"/>
      <c r="F50" s="230"/>
      <c r="G50" s="230"/>
      <c r="I50" s="265"/>
      <c r="J50" s="320"/>
      <c r="K50" s="47"/>
      <c r="L50" s="14"/>
      <c r="M50" s="14"/>
      <c r="N50" s="14"/>
      <c r="O50" s="14"/>
      <c r="P50" s="14"/>
      <c r="Q50" s="14"/>
      <c r="R50" s="237"/>
      <c r="S50" s="14"/>
      <c r="T50" s="9"/>
      <c r="W50" s="4"/>
    </row>
    <row r="51" spans="1:23" ht="17.399999999999999" x14ac:dyDescent="0.35">
      <c r="B51" s="230"/>
      <c r="C51" s="230"/>
      <c r="D51" s="230"/>
      <c r="E51" s="230"/>
      <c r="F51" s="230"/>
      <c r="G51" s="230"/>
      <c r="I51" s="265"/>
      <c r="J51" s="47"/>
      <c r="K51" s="47"/>
      <c r="L51" s="39">
        <f>O49</f>
        <v>10.080845999999998</v>
      </c>
      <c r="M51" s="12">
        <v>3500</v>
      </c>
      <c r="N51" s="12">
        <f t="shared" ref="N51:N56" si="16">L51*M51</f>
        <v>35282.960999999988</v>
      </c>
      <c r="O51" s="14" t="s">
        <v>22</v>
      </c>
      <c r="P51" s="14" t="s">
        <v>23</v>
      </c>
      <c r="Q51" s="14"/>
      <c r="R51" s="240"/>
      <c r="S51" s="14"/>
      <c r="T51" s="9"/>
      <c r="W51" s="4"/>
    </row>
    <row r="52" spans="1:23" ht="17.399999999999999" x14ac:dyDescent="0.35">
      <c r="A52" s="230"/>
      <c r="B52" s="230"/>
      <c r="C52" s="230"/>
      <c r="D52" s="230"/>
      <c r="E52" s="230"/>
      <c r="F52" s="230"/>
      <c r="G52" s="230"/>
      <c r="H52" s="230"/>
      <c r="I52" s="265"/>
      <c r="J52" s="47"/>
      <c r="K52" s="47"/>
      <c r="L52" s="249">
        <v>3</v>
      </c>
      <c r="M52" s="12">
        <v>40000</v>
      </c>
      <c r="N52" s="12">
        <f t="shared" si="16"/>
        <v>120000</v>
      </c>
      <c r="O52" s="39" t="s">
        <v>156</v>
      </c>
      <c r="P52" s="42"/>
      <c r="Q52" s="14"/>
      <c r="R52" s="239"/>
      <c r="S52" s="14"/>
      <c r="T52" s="9"/>
      <c r="W52" s="4"/>
    </row>
    <row r="53" spans="1:23" s="230" customFormat="1" ht="17.399999999999999" x14ac:dyDescent="0.35">
      <c r="B53" s="24" t="s">
        <v>153</v>
      </c>
      <c r="I53" s="262"/>
      <c r="J53" s="47"/>
      <c r="K53" s="250"/>
      <c r="L53" s="14"/>
      <c r="M53" s="250">
        <v>40754</v>
      </c>
      <c r="N53" s="12">
        <f t="shared" si="16"/>
        <v>0</v>
      </c>
      <c r="O53" s="39" t="s">
        <v>32</v>
      </c>
      <c r="P53" s="42"/>
      <c r="R53" s="239"/>
      <c r="S53" s="256"/>
      <c r="V53" s="231"/>
    </row>
    <row r="54" spans="1:23" s="230" customFormat="1" ht="17.399999999999999" x14ac:dyDescent="0.35">
      <c r="B54" s="24" t="s">
        <v>146</v>
      </c>
      <c r="C54"/>
      <c r="D54"/>
      <c r="E54"/>
      <c r="F54"/>
      <c r="I54" s="262"/>
      <c r="J54" s="319"/>
      <c r="K54" s="250"/>
      <c r="L54" s="14">
        <v>4</v>
      </c>
      <c r="M54" s="250">
        <v>33700</v>
      </c>
      <c r="N54" s="12">
        <f t="shared" si="16"/>
        <v>134800</v>
      </c>
      <c r="O54" s="14" t="s">
        <v>143</v>
      </c>
      <c r="P54" s="17"/>
      <c r="R54" s="237"/>
      <c r="S54" s="256"/>
      <c r="V54" s="231"/>
    </row>
    <row r="55" spans="1:23" s="230" customFormat="1" ht="17.399999999999999" x14ac:dyDescent="0.35">
      <c r="B55" s="29" t="s">
        <v>127</v>
      </c>
      <c r="C55"/>
      <c r="D55"/>
      <c r="E55"/>
      <c r="F55" s="229" t="s">
        <v>16</v>
      </c>
      <c r="I55" s="262"/>
      <c r="J55" s="319"/>
      <c r="K55" s="250"/>
      <c r="L55" s="249"/>
      <c r="M55" s="250">
        <v>800</v>
      </c>
      <c r="N55" s="12">
        <f t="shared" si="16"/>
        <v>0</v>
      </c>
      <c r="O55" s="14" t="s">
        <v>34</v>
      </c>
      <c r="P55" s="14"/>
      <c r="Q55" s="230">
        <v>1.52</v>
      </c>
      <c r="R55" s="237"/>
      <c r="S55" s="237"/>
    </row>
    <row r="56" spans="1:23" s="230" customFormat="1" ht="17.399999999999999" x14ac:dyDescent="0.35">
      <c r="I56" s="303"/>
      <c r="J56" s="47"/>
      <c r="K56" s="250"/>
      <c r="L56" s="266"/>
      <c r="M56" s="12">
        <v>1500</v>
      </c>
      <c r="N56" s="12">
        <f t="shared" si="16"/>
        <v>0</v>
      </c>
      <c r="O56" s="14" t="s">
        <v>24</v>
      </c>
      <c r="P56" s="14"/>
      <c r="Q56">
        <v>2.44</v>
      </c>
      <c r="R56"/>
      <c r="S56" s="237">
        <v>1500</v>
      </c>
      <c r="W56" s="231"/>
    </row>
    <row r="57" spans="1:23" s="230" customFormat="1" ht="17.399999999999999" x14ac:dyDescent="0.35">
      <c r="J57" s="47"/>
      <c r="K57" s="250"/>
      <c r="L57" s="14"/>
      <c r="M57" s="12"/>
      <c r="N57" s="12">
        <f>SUM(N51:N56)</f>
        <v>290082.96100000001</v>
      </c>
      <c r="O57" s="39" t="s">
        <v>25</v>
      </c>
      <c r="P57" s="14"/>
      <c r="Q57">
        <f>Q55*Q56</f>
        <v>3.7088000000000001</v>
      </c>
      <c r="R57"/>
      <c r="S57" s="237">
        <f>R49*S56</f>
        <v>60000</v>
      </c>
      <c r="W57" s="231"/>
    </row>
    <row r="58" spans="1:23" s="230" customFormat="1" ht="17.399999999999999" x14ac:dyDescent="0.35">
      <c r="J58" s="47">
        <v>64280</v>
      </c>
      <c r="K58" s="250"/>
      <c r="L58" s="254" t="s">
        <v>35</v>
      </c>
      <c r="M58" s="12"/>
      <c r="N58" s="255">
        <f>N57*2.2</f>
        <v>638182.51420000009</v>
      </c>
      <c r="O58" s="14" t="s">
        <v>142</v>
      </c>
      <c r="P58" s="14"/>
      <c r="Q58" s="46">
        <f>O47/Q57</f>
        <v>2.2650736087144083</v>
      </c>
      <c r="R58"/>
      <c r="S58" s="257" t="e">
        <f>S57/#REF!</f>
        <v>#REF!</v>
      </c>
    </row>
    <row r="59" spans="1:23" s="230" customFormat="1" ht="17.399999999999999" x14ac:dyDescent="0.35">
      <c r="G59"/>
      <c r="H59" s="260"/>
      <c r="I59" s="260"/>
      <c r="J59" s="47">
        <f>J58/1.19</f>
        <v>54016.806722689078</v>
      </c>
      <c r="K59" s="250"/>
      <c r="L59" s="14"/>
      <c r="M59" s="12"/>
      <c r="N59" s="12">
        <f>N58/O47</f>
        <v>75967.732970030513</v>
      </c>
      <c r="O59" s="45" t="s">
        <v>26</v>
      </c>
      <c r="P59" s="14"/>
      <c r="Q59" s="14"/>
      <c r="R59"/>
      <c r="S59" s="237"/>
    </row>
    <row r="60" spans="1:23" s="230" customFormat="1" ht="17.399999999999999" x14ac:dyDescent="0.35">
      <c r="G60"/>
      <c r="J60" s="47"/>
      <c r="K60" s="250"/>
      <c r="L60" s="13"/>
      <c r="M60" s="14"/>
      <c r="N60" s="17">
        <f>N58/N57</f>
        <v>2.2000000000000002</v>
      </c>
      <c r="O60" s="15"/>
      <c r="P60"/>
      <c r="Q60"/>
      <c r="R60"/>
      <c r="S60" s="237"/>
    </row>
    <row r="61" spans="1:23" s="230" customFormat="1" ht="17.399999999999999" x14ac:dyDescent="0.35">
      <c r="G61" s="23"/>
      <c r="J61" s="47"/>
      <c r="K61" s="12"/>
      <c r="S61" s="237"/>
    </row>
    <row r="62" spans="1:23" s="230" customFormat="1" ht="17.399999999999999" x14ac:dyDescent="0.35">
      <c r="B62"/>
      <c r="C62" s="228"/>
      <c r="D62" s="22"/>
      <c r="E62" s="22"/>
      <c r="F62" s="21"/>
      <c r="G62" s="23"/>
      <c r="J62" s="47"/>
      <c r="K62" s="12"/>
      <c r="S62" s="237">
        <v>1.83</v>
      </c>
    </row>
    <row r="63" spans="1:23" ht="14.4" customHeight="1" x14ac:dyDescent="0.3">
      <c r="J63" s="47"/>
      <c r="K63" s="12"/>
      <c r="S63">
        <v>2.5</v>
      </c>
    </row>
    <row r="64" spans="1:23" x14ac:dyDescent="0.3">
      <c r="J64" s="47"/>
      <c r="K64" s="250"/>
      <c r="S64">
        <f>S62*S63</f>
        <v>4.5750000000000002</v>
      </c>
    </row>
    <row r="65" spans="11:19" x14ac:dyDescent="0.3">
      <c r="K65" s="250"/>
      <c r="S65" s="270">
        <f>O49/S64</f>
        <v>2.2034636065573765</v>
      </c>
    </row>
    <row r="66" spans="11:19" x14ac:dyDescent="0.3">
      <c r="K66" s="250"/>
    </row>
    <row r="67" spans="11:19" ht="15" customHeight="1" x14ac:dyDescent="0.3"/>
    <row r="69" spans="11:19" x14ac:dyDescent="0.3">
      <c r="N69">
        <v>40935</v>
      </c>
      <c r="O69" t="s">
        <v>17</v>
      </c>
      <c r="P69" t="s">
        <v>28</v>
      </c>
    </row>
    <row r="71" spans="11:19" x14ac:dyDescent="0.3">
      <c r="N71" s="54"/>
      <c r="O71" s="54"/>
    </row>
    <row r="72" spans="11:19" x14ac:dyDescent="0.3">
      <c r="R72" s="18"/>
      <c r="S72" s="18"/>
    </row>
    <row r="73" spans="11:19" x14ac:dyDescent="0.3">
      <c r="R73" s="18"/>
      <c r="S73" s="18"/>
    </row>
    <row r="74" spans="11:19" x14ac:dyDescent="0.3">
      <c r="R74" s="18"/>
      <c r="S74" s="18"/>
    </row>
    <row r="75" spans="11:19" x14ac:dyDescent="0.3">
      <c r="R75" s="18"/>
      <c r="S75" s="18"/>
    </row>
    <row r="76" spans="11:19" x14ac:dyDescent="0.3">
      <c r="R76" s="18"/>
      <c r="S76" s="18"/>
    </row>
    <row r="77" spans="11:19" x14ac:dyDescent="0.3">
      <c r="R77" s="18"/>
      <c r="S77" s="18"/>
    </row>
    <row r="78" spans="11:19" x14ac:dyDescent="0.3">
      <c r="R78" s="18"/>
      <c r="S78" s="18"/>
    </row>
    <row r="79" spans="11:19" x14ac:dyDescent="0.3">
      <c r="R79" s="18"/>
      <c r="S79" s="18"/>
    </row>
    <row r="80" spans="11:19" x14ac:dyDescent="0.3">
      <c r="R80" s="18"/>
      <c r="S80" s="18"/>
    </row>
    <row r="83" spans="3:14" x14ac:dyDescent="0.3">
      <c r="N83" s="43"/>
    </row>
    <row r="84" spans="3:14" x14ac:dyDescent="0.3">
      <c r="N84" s="43"/>
    </row>
    <row r="85" spans="3:14" x14ac:dyDescent="0.3">
      <c r="N85" s="6"/>
    </row>
    <row r="86" spans="3:14" x14ac:dyDescent="0.3">
      <c r="N86" s="6"/>
    </row>
    <row r="94" spans="3:14" x14ac:dyDescent="0.3">
      <c r="C94" t="s">
        <v>150</v>
      </c>
    </row>
    <row r="95" spans="3:14" x14ac:dyDescent="0.3">
      <c r="C95" t="s">
        <v>149</v>
      </c>
    </row>
    <row r="98" spans="3:3" x14ac:dyDescent="0.3">
      <c r="C98" t="s">
        <v>149</v>
      </c>
    </row>
    <row r="175" spans="3:3" x14ac:dyDescent="0.3">
      <c r="C175" t="s">
        <v>149</v>
      </c>
    </row>
    <row r="176" spans="3:3" x14ac:dyDescent="0.3">
      <c r="C176" t="s">
        <v>151</v>
      </c>
    </row>
    <row r="177" spans="3:3" x14ac:dyDescent="0.3">
      <c r="C177" t="s">
        <v>152</v>
      </c>
    </row>
    <row r="602" spans="3:3" x14ac:dyDescent="0.3">
      <c r="C602" t="s">
        <v>149</v>
      </c>
    </row>
  </sheetData>
  <mergeCells count="2">
    <mergeCell ref="F17:H17"/>
    <mergeCell ref="B19:H19"/>
  </mergeCells>
  <phoneticPr fontId="34" type="noConversion"/>
  <hyperlinks>
    <hyperlink ref="F5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45373</v>
      </c>
    </row>
    <row r="6" spans="2:31" ht="16.2" thickBot="1" x14ac:dyDescent="0.35">
      <c r="B6" s="140" t="s">
        <v>2</v>
      </c>
      <c r="C6" s="139" t="str">
        <f>'2229'!C10</f>
        <v>VICTOR RIVERO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100</v>
      </c>
      <c r="I7" s="342"/>
      <c r="J7" s="342"/>
      <c r="K7" s="343"/>
      <c r="N7" s="75"/>
      <c r="O7" s="34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10901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4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-72956.56312512084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'2229'!H45</f>
        <v>743182.51420000033</v>
      </c>
      <c r="E11" s="132">
        <f>D11*0.19</f>
        <v>141204.67769800007</v>
      </c>
      <c r="F11" s="131">
        <f>E11+D11</f>
        <v>884387.19189800043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33033.43687487916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185117.05178743959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15033.43687487916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558065.46241256071</v>
      </c>
      <c r="E13" s="221">
        <f>(D11/D12)-1</f>
        <v>3.0146626527596103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6033.4368748791603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-32966.56312512084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305443.13544927532</v>
      </c>
      <c r="F15" s="216">
        <f>E15-D12</f>
        <v>120326.08366183573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-32966.56312512084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7033.4368748791603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'2229'!N53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'2229'!N52</f>
        <v>120000</v>
      </c>
      <c r="E19" s="123">
        <f>D19*0.19</f>
        <v>22800</v>
      </c>
      <c r="F19" s="120">
        <f>SUM(D19:E19)</f>
        <v>142800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'2229'!N51</f>
        <v>35282.960999999988</v>
      </c>
      <c r="E20" s="121">
        <f>D20*0.19</f>
        <v>6703.7625899999975</v>
      </c>
      <c r="F20" s="120">
        <f>SUM(D20:E20)</f>
        <v>41986.723589999987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155282.96099999998</v>
      </c>
      <c r="E21" s="116">
        <f>SUM(E18:E20)</f>
        <v>29503.762589999998</v>
      </c>
      <c r="F21" s="115">
        <f>SUM(F18:F20)</f>
        <v>184786.72358999998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111700.91510800007</v>
      </c>
    </row>
    <row r="41" spans="2:16" ht="15" thickBot="1" x14ac:dyDescent="0.35">
      <c r="H41" s="344" t="s">
        <v>62</v>
      </c>
      <c r="I41" s="345"/>
      <c r="J41" s="345"/>
      <c r="K41" s="345"/>
      <c r="L41" s="345"/>
      <c r="M41" s="34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743182.51420000033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155282.96099999998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558065.46241256071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558065.46241256071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2024-03-22T16:00:07Z</cp:lastPrinted>
  <dcterms:created xsi:type="dcterms:W3CDTF">2013-03-18T13:35:42Z</dcterms:created>
  <dcterms:modified xsi:type="dcterms:W3CDTF">2024-04-04T17:50:24Z</dcterms:modified>
</cp:coreProperties>
</file>