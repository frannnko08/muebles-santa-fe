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C9BA824-AC49-466B-A90F-D43A0D638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<sst xmlns="http://schemas.openxmlformats.org/spreadsheetml/2006/main" count="219" uniqueCount="165">
  <si>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</si>
  <si>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</si>
  <si>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</si>
  <si>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</si>
  <si>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</si>
  <si>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</si>
  <si>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</si>
  <si>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</si>
  <si>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</si>
  <si>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</si>
  <si>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</si>
  <si>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</si>
  <si>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</si>
  <si>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</si>
  <si>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</si>
  <si>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</si>
  <si>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</si>
  <si>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</si>
  <si>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</si>
  <si>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</si>
  <si>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</si>
  <si>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</si>
  <si>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</si>
  <si>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</si>
  <si>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</si>
  <si>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</si>
  <si>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</si>
  <si>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</si>
  <si>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</si>
  <si>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</si>
  <si>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</si>
  <si>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</si>
  <si>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</si>
  <si>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</si>
  <si>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</si>
  <si>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</si>
  <si>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</si>
  <si>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</si>
  <si>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</si>
  <si>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</si>
  <si>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</si>
  <si>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</si>
  <si>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</si>
  <si>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</si>
  <si>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</si>
  <si>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</si>
  <si>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</si>
  <si>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</si>
  <si>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</si>
  <si>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</si>
  <si>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</si>
  <si>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</si>
  <si>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</si>
  <si>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</si>
  <si>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</si>
  <si>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</si>
  <si>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</si>
  <si>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</si>
  <si>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</si>
  <si>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</si>
  <si>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</si>
  <si>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</si>
  <si>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</si>
  <si>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</si>
  <si>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</si>
  <si>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</si>
  <si>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</si>
  <si>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</si>
  <si>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</si>
  <si>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</si>
  <si>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</si>
  <si>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</si>
  <si>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</si>
  <si>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</si>
  <si>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</si>
  <si>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</si>
  <si>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</si>
  <si>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</si>
  <si>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</si>
  <si>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</si>
  <si>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</si>
  <si>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</si>
  <si>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</si>
  <si>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</si>
  <si>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</si>
  <si>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</si>
  <si>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</si>
  <si>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</si>
  <si>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</si>
  <si>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</si>
  <si>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</si>
  <si>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</si>
  <si>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</si>
  <si>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</si>
  <si>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</si>
  <si>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</si>
  <si>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</si>
  <si>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</si>
  <si>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</si>
  <si>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</si>
  <si>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</si>
  <si>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</si>
  <si>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</si>
  <si>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</si>
  <si>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</si>
  <si>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</si>
  <si>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</si>
  <si>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</si>
  <si>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</si>
  <si>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</si>
  <si>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</si>
  <si>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</si>
  <si>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</si>
  <si>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</si>
  <si>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</si>
  <si>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</si>
  <si>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</si>
  <si>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</si>
  <si>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</si>
  <si>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</si>
  <si>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</si>
  <si>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</si>
  <si>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</si>
  <si>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</si>
  <si>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</si>
  <si>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</si>
  <si>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</si>
  <si>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</si>
  <si>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</si>
  <si>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</si>
  <si>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</si>
  <si>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</si>
  <si>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</si>
  <si>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</si>
  <si>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</si>
  <si>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</si>
  <si>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</si>
  <si>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</si>
  <si>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</si>
  <si>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</si>
  <si>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</si>
  <si>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</si>
  <si>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</si>
  <si>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</si>
  <si>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</si>
  <si>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</si>
  <si>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</si>
  <si>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</si>
  <si>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</si>
  <si>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</si>
  <si>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</si>
  <si>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</si>
  <si>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</si>
  <si>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</si>
  <si>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</si>
  <si>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</si>
  <si>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</si>
  <si>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</si>
  <si>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</si>
  <si>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COMERCIALIZADORA MDM</t>
  </si>
  <si>
    <t xml:space="preserve">DANIELA </t>
  </si>
  <si>
    <t>+569 9744 8059</t>
  </si>
  <si>
    <t>PR6</t>
  </si>
  <si>
    <t>EBANO 2110 DL</t>
  </si>
  <si>
    <t>N° 10934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</si>
</sst>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MELAMIL 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187928.52459016393</v>
      </c>
      <c r="Q20" s="258">
        <v>15000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162</v>
      </c>
      <c r="D21" s="313">
        <v>0.56000000000000005</v>
      </c>
      <c r="E21" s="313">
        <v>0.44</v>
      </c>
      <c r="F21" s="312" t="s">
        <v>163</v>
      </c>
      <c r="G21" s="314">
        <v>50440</v>
      </c>
      <c r="H21" s="315">
        <f t="shared" ref="H21" si="1">G21*B21</f>
        <v>100880</v>
      </c>
      <c r="I21" s="265"/>
      <c r="J21" s="47"/>
      <c r="K21" s="325">
        <f>B21</f>
        <v>2</v>
      </c>
      <c r="L21" s="326">
        <f t="shared" ref="L21:M21" si="2">D21+L$19</f>
        <v>0.6100000000000001</v>
      </c>
      <c r="M21" s="326">
        <f t="shared" si="2"/>
        <v>0.44</v>
      </c>
      <c r="N21" s="261">
        <f>L21*M21</f>
        <v>0.26840000000000003</v>
      </c>
      <c r="O21" s="259">
        <f>N21*K21</f>
        <v>0.53680000000000005</v>
      </c>
      <c r="P21" s="252">
        <f>P$20*N21</f>
        <v>50440.016000000003</v>
      </c>
      <c r="Q21" s="258">
        <f>P21+Q$20</f>
        <v>65440.016000000003</v>
      </c>
      <c r="R21" s="308">
        <f>K21*L21</f>
        <v>1.2200000000000002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100880</v>
      </c>
      <c r="I24" s="265"/>
      <c r="J24" s="47"/>
      <c r="K24" s="47"/>
      <c r="L24" s="39">
        <f>SUM(L21:L23)</f>
        <v>0.6100000000000001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19167.2</v>
      </c>
      <c r="I25" s="265"/>
      <c r="J25" s="47"/>
      <c r="K25" s="47"/>
      <c r="L25" s="39"/>
      <c r="M25" s="12"/>
      <c r="N25" s="12"/>
      <c r="O25" s="253">
        <f>SUM(O21:O21)</f>
        <v>0.53680000000000005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120047.2</v>
      </c>
      <c r="I26" s="265"/>
      <c r="J26" s="47"/>
      <c r="K26" s="47"/>
      <c r="L26" s="39"/>
      <c r="M26" s="12"/>
      <c r="N26" s="12"/>
      <c r="O26" s="253">
        <f>O25</f>
        <v>0.53680000000000005</v>
      </c>
      <c r="P26" s="14"/>
      <c r="Q26" s="12"/>
      <c r="R26" s="238">
        <f>SUM(R21:R25)</f>
        <v>1.2200000000000002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32</v>
      </c>
      <c r="K27" s="47"/>
      <c r="L27" s="14"/>
      <c r="M27" s="12"/>
      <c r="N27" s="12"/>
      <c r="O27" s="39">
        <f>O26*20%</f>
        <v>0.10736000000000001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>
        <v>32</v>
      </c>
      <c r="K28" s="47"/>
      <c r="L28" s="14"/>
      <c r="M28" s="12"/>
      <c r="N28" s="12"/>
      <c r="O28" s="46">
        <f>O26+O27</f>
        <v>0.64416000000000007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>
        <f>SUM(J27:J29)</f>
        <v>119</v>
      </c>
      <c r="K30" s="47"/>
      <c r="L30" s="39">
        <f>O28</f>
        <v>0.64416000000000007</v>
      </c>
      <c r="M30" s="12">
        <v>3500</v>
      </c>
      <c r="N30" s="12">
        <f t="shared" ref="N30:N35" si="3">L30*M30</f>
        <v>2254.5600000000004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</v>
      </c>
      <c r="M31" s="12">
        <v>43000</v>
      </c>
      <c r="N31" s="12">
        <f t="shared" si="3"/>
        <v>8600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35000</v>
      </c>
      <c r="N33" s="12">
        <f t="shared" si="3"/>
        <v>35000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45854.559999999998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54663</v>
      </c>
      <c r="K37" s="250"/>
      <c r="L37" s="254" t="s">
        <v>35</v>
      </c>
      <c r="M37" s="12"/>
      <c r="N37" s="255">
        <f>N36*2.2</f>
        <v>100880.03200000001</v>
      </c>
      <c r="O37" s="14" t="s">
        <v>142</v>
      </c>
      <c r="P37" s="14"/>
      <c r="Q37" s="46">
        <f>O26/Q36</f>
        <v>0.14473684210526316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45935.294117647063</v>
      </c>
      <c r="K38" s="250"/>
      <c r="L38" s="14"/>
      <c r="M38" s="12"/>
      <c r="N38" s="12">
        <f>N37/O26</f>
        <v>187928.52459016393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0.14080000000000001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45408</v>
      </c>
    </row>
    <row r="6" spans="2:31" ht="16.2" thickBot="1" x14ac:dyDescent="0.35">
      <c r="B6" s="140" t="s">
        <v>2</v>
      </c>
      <c r="C6" s="139" t="str">
        <f>'2229'!C10</f>
        <v>COMERCIALIZADORA MDM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10934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-5623.9543667874386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100880</v>
      </c>
      <c r="E11" s="132">
        <f>D11*0.19</f>
        <v>19167.2</v>
      </c>
      <c r="F11" s="131">
        <f>E11+D11</f>
        <v>120047.2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100366.04563321256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40688.650787439619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82366.045633212561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60191.349212560381</v>
      </c>
      <c r="E13" s="221">
        <f>(D11/D12)-1</f>
        <v>1.4793154368033541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73366.045633212561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34366.045633212561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67136.273799275368</v>
      </c>
      <c r="F15" s="216">
        <f>E15-D12</f>
        <v>26447.623011835749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34366.045633212561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74366.045633212561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8600</v>
      </c>
      <c r="E19" s="123">
        <f>D19*0.19</f>
        <v>1634</v>
      </c>
      <c r="F19" s="120">
        <f>SUM(D19:E19)</f>
        <v>10234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2254.5600000000004</v>
      </c>
      <c r="E20" s="121">
        <f>D20*0.19</f>
        <v>428.36640000000006</v>
      </c>
      <c r="F20" s="120">
        <f>SUM(D20:E20)</f>
        <v>2682.9264000000003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10854.560000000001</v>
      </c>
      <c r="E21" s="116">
        <f>SUM(E18:E20)</f>
        <v>2062.3663999999999</v>
      </c>
      <c r="F21" s="115">
        <f>SUM(F18:F20)</f>
        <v>12916.9264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17104.833600000002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100880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10854.560000000001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60191.349212560381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60191.349212560381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2024-04-26T13:40:53Z</dcterms:modified>
</cp:coreProperties>
</file>