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913B1A26-86DC-4429-9530-DA282DD0E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8" i="1"/>
  <c r="L22" i="1"/>
  <c r="N22" i="1" s="1"/>
  <c r="M22" i="1"/>
  <c r="H22" i="1"/>
  <c r="J31" i="1"/>
  <c r="K10" i="1"/>
  <c r="O22" i="1" l="1"/>
  <c r="R22" i="1"/>
  <c r="J39" i="1"/>
  <c r="L21" i="1" l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R27" i="1"/>
  <c r="H25" i="1" l="1"/>
  <c r="H27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<sst xmlns="http://schemas.openxmlformats.org/spreadsheetml/2006/main" count="221" uniqueCount="165">
  <si>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</si>
  <si>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</si>
  <si>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</si>
  <si>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</si>
  <si>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</si>
  <si>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</si>
  <si>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</si>
  <si>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</si>
  <si>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</si>
  <si>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</si>
  <si>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</si>
  <si>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</si>
  <si>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</si>
  <si>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</si>
  <si>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</si>
  <si>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</si>
  <si>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</si>
  <si>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</si>
  <si>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</si>
  <si>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</si>
  <si>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</si>
  <si>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</si>
  <si>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</si>
  <si>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</si>
  <si>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</si>
  <si>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</si>
  <si>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</si>
  <si>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</si>
  <si>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</si>
  <si>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</si>
  <si>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</si>
  <si>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</si>
  <si>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</si>
  <si>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</si>
  <si>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</si>
  <si>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</si>
  <si>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</si>
  <si>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</si>
  <si>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</si>
  <si>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</si>
  <si>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</si>
  <si>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</si>
  <si>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</si>
  <si>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</si>
  <si>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</si>
  <si>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</si>
  <si>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</si>
  <si>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</si>
  <si>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</si>
  <si>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</si>
  <si>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</si>
  <si>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</si>
  <si>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</si>
  <si>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</si>
  <si>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</si>
  <si>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</si>
  <si>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</si>
  <si>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</si>
  <si>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</si>
  <si>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</si>
  <si>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</si>
  <si>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</si>
  <si>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</si>
  <si>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</si>
  <si>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</si>
  <si>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</si>
  <si>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</si>
  <si>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</si>
  <si>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</si>
  <si>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</si>
  <si>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</si>
  <si>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</si>
  <si>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</si>
  <si>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</si>
  <si>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</si>
  <si>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</si>
  <si>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</si>
  <si>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</si>
  <si>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</si>
  <si>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</si>
  <si>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</si>
  <si>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</si>
  <si>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</si>
  <si>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</si>
  <si>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</si>
  <si>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</si>
  <si>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</si>
  <si>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</si>
  <si>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</si>
  <si>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</si>
  <si>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</si>
  <si>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</si>
  <si>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</si>
  <si>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</si>
  <si>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</si>
  <si>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</si>
  <si>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</si>
  <si>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</si>
  <si>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</si>
  <si>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</si>
  <si>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</si>
  <si>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</si>
  <si>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</si>
  <si>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</si>
  <si>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</si>
  <si>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</si>
  <si>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</si>
  <si>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</si>
  <si>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</si>
  <si>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</si>
  <si>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</si>
  <si>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</si>
  <si>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</si>
  <si>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</si>
  <si>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</si>
  <si>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</si>
  <si>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</si>
  <si>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</si>
  <si>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</si>
  <si>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</si>
  <si>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</si>
  <si>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</si>
  <si>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</si>
  <si>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</si>
  <si>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</si>
  <si>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</si>
  <si>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</si>
  <si>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</si>
  <si>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</si>
  <si>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</si>
  <si>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</si>
  <si>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</si>
  <si>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</si>
  <si>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</si>
  <si>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</si>
  <si>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</si>
  <si>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</si>
  <si>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</si>
  <si>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</si>
  <si>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</si>
  <si>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</si>
  <si>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</si>
  <si>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</si>
  <si>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</si>
  <si>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</si>
  <si>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</si>
  <si>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</si>
  <si>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</si>
  <si>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</si>
  <si>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</si>
  <si>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</si>
  <si>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</si>
  <si>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</si>
  <si>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</si>
  <si>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</si>
  <si>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</si>
  <si>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</si>
  <si>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</si>
  <si>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</si>
  <si>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10915</t>
  </si>
  <si>
    <t>FRANCISCO MELLA</t>
  </si>
  <si>
    <t>+569 8451 4974</t>
  </si>
  <si>
    <t>CUB CON RESPALDO FRENTE 180°</t>
  </si>
  <si>
    <t>TOP ROCK</t>
  </si>
  <si>
    <t>TOP ROCK  PP-5855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</si>
</sst>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8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45401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85614.42472057858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12" t="s">
        <v>162</v>
      </c>
      <c r="D21" s="313">
        <v>2</v>
      </c>
      <c r="E21" s="313">
        <v>0.6</v>
      </c>
      <c r="F21" s="312" t="s">
        <v>164</v>
      </c>
      <c r="G21" s="314">
        <v>105306</v>
      </c>
      <c r="H21" s="315">
        <f t="shared" ref="H21:H22" si="1">G21*B21</f>
        <v>210612</v>
      </c>
      <c r="I21" s="265" t="s">
        <v>163</v>
      </c>
      <c r="J21" s="47"/>
      <c r="K21" s="325">
        <v>2</v>
      </c>
      <c r="L21" s="326">
        <f t="shared" ref="L21:M21" si="2">D21+L$19</f>
        <v>2.0499999999999998</v>
      </c>
      <c r="M21" s="326">
        <f t="shared" si="2"/>
        <v>0.6</v>
      </c>
      <c r="N21" s="261">
        <f>L21*M21</f>
        <v>1.2299999999999998</v>
      </c>
      <c r="O21" s="259">
        <f>N21*K21</f>
        <v>2.4599999999999995</v>
      </c>
      <c r="P21" s="252">
        <f>P$20*N21</f>
        <v>105305.74240631163</v>
      </c>
      <c r="Q21" s="258">
        <f>P21+Q$20</f>
        <v>108305.74240631163</v>
      </c>
      <c r="R21" s="308">
        <f>K21*L21</f>
        <v>4.0999999999999996</v>
      </c>
      <c r="S21" s="14"/>
      <c r="T21" s="9"/>
      <c r="W21" s="4"/>
    </row>
    <row r="22" spans="2:24" ht="17.399999999999999" x14ac:dyDescent="0.3">
      <c r="B22" s="323">
        <v>1</v>
      </c>
      <c r="C22" s="312" t="s">
        <v>162</v>
      </c>
      <c r="D22" s="313">
        <v>0.92</v>
      </c>
      <c r="E22" s="313">
        <v>0.6</v>
      </c>
      <c r="F22" s="312" t="s">
        <v>164</v>
      </c>
      <c r="G22" s="314">
        <v>49828</v>
      </c>
      <c r="H22" s="315">
        <f t="shared" si="1"/>
        <v>49828</v>
      </c>
      <c r="I22" s="265"/>
      <c r="J22" s="47"/>
      <c r="K22" s="325">
        <v>1</v>
      </c>
      <c r="L22" s="326">
        <f t="shared" ref="L22" si="3">D22+L$19</f>
        <v>0.97000000000000008</v>
      </c>
      <c r="M22" s="326">
        <f t="shared" ref="M22" si="4">E22+M$19</f>
        <v>0.6</v>
      </c>
      <c r="N22" s="261">
        <f>L22*M22</f>
        <v>0.58200000000000007</v>
      </c>
      <c r="O22" s="259">
        <f>N22*K22</f>
        <v>0.58200000000000007</v>
      </c>
      <c r="P22" s="252">
        <f>P$20*N22</f>
        <v>49827.595187376741</v>
      </c>
      <c r="Q22" s="258">
        <f>P22+Q$20</f>
        <v>52827.595187376741</v>
      </c>
      <c r="R22" s="308">
        <f>K22*L22</f>
        <v>0.97000000000000008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260440</v>
      </c>
      <c r="I25" s="265">
        <v>213517</v>
      </c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/>
      <c r="I26" s="265"/>
      <c r="J26" s="47"/>
      <c r="K26" s="47"/>
      <c r="L26" s="39">
        <v>4.0999999999999996</v>
      </c>
      <c r="M26" s="12"/>
      <c r="N26" s="12"/>
      <c r="O26" s="253">
        <f>SUM(O21:O22)</f>
        <v>3.0419999999999998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260440</v>
      </c>
      <c r="I27" s="265"/>
      <c r="J27" s="47"/>
      <c r="K27" s="47"/>
      <c r="L27" s="39">
        <v>0.97</v>
      </c>
      <c r="M27" s="12"/>
      <c r="N27" s="12"/>
      <c r="O27" s="253">
        <f>O26</f>
        <v>3.0419999999999998</v>
      </c>
      <c r="P27" s="14"/>
      <c r="Q27" s="12"/>
      <c r="R27" s="238">
        <f>SUM(R21:R26)</f>
        <v>5.0699999999999994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32</v>
      </c>
      <c r="K28" s="47"/>
      <c r="L28" s="39">
        <f>SUM(L26:L27)</f>
        <v>5.0699999999999994</v>
      </c>
      <c r="M28" s="12"/>
      <c r="N28" s="12"/>
      <c r="O28" s="39">
        <f>O27*20%</f>
        <v>0.60840000000000005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>
        <v>32</v>
      </c>
      <c r="K29" s="47"/>
      <c r="L29" s="14"/>
      <c r="M29" s="12"/>
      <c r="N29" s="12"/>
      <c r="O29" s="46">
        <f>O27+O28</f>
        <v>3.6503999999999999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>
        <v>55</v>
      </c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>
        <f>SUM(J28:J30)</f>
        <v>119</v>
      </c>
      <c r="K31" s="47"/>
      <c r="L31" s="39">
        <f>O29</f>
        <v>3.6503999999999999</v>
      </c>
      <c r="M31" s="12">
        <v>3500</v>
      </c>
      <c r="N31" s="12">
        <f t="shared" ref="N31:N36" si="5">L31*M31</f>
        <v>12776.4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5"/>
        <v>25000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5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2</v>
      </c>
      <c r="M34" s="250">
        <v>36500</v>
      </c>
      <c r="N34" s="12">
        <f t="shared" si="5"/>
        <v>73000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5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5.07</v>
      </c>
      <c r="M36" s="12">
        <v>1500</v>
      </c>
      <c r="N36" s="12">
        <f t="shared" si="5"/>
        <v>7605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118381.4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43000</v>
      </c>
      <c r="K38" s="250"/>
      <c r="L38" s="254" t="s">
        <v>35</v>
      </c>
      <c r="M38" s="12"/>
      <c r="N38" s="255">
        <f>N37*2.2</f>
        <v>260439.08000000002</v>
      </c>
      <c r="O38" s="14" t="s">
        <v>142</v>
      </c>
      <c r="P38" s="14"/>
      <c r="Q38" s="46">
        <f>O27/Q37</f>
        <v>0.82021138912855907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36134.45378151261</v>
      </c>
      <c r="K39" s="250"/>
      <c r="L39" s="14"/>
      <c r="M39" s="12"/>
      <c r="N39" s="12">
        <f>N38/O27</f>
        <v>85614.42472057858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0.79790163934426228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45401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10915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-24813.781700120773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260440</v>
      </c>
      <c r="E11" s="132">
        <f>D11*0.19</f>
        <v>49483.6</v>
      </c>
      <c r="F11" s="131">
        <f>E11+D11</f>
        <v>309923.59999999998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81176.218299879227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67610.490787439616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63176.218299879227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192829.50921256037</v>
      </c>
      <c r="E13" s="221">
        <f>(D11/D12)-1</f>
        <v>2.8520649231610578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54176.218299879227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15176.218299879227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111557.30979927536</v>
      </c>
      <c r="F15" s="216">
        <f>E15-D12</f>
        <v>43946.819011835745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15176.218299879227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55176.218299879227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12776.4</v>
      </c>
      <c r="E20" s="121">
        <f>D20*0.19</f>
        <v>2427.5160000000001</v>
      </c>
      <c r="F20" s="120">
        <f>SUM(D20:E20)</f>
        <v>15203.915999999999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37776.400000000001</v>
      </c>
      <c r="E21" s="116">
        <f>SUM(E18:E20)</f>
        <v>7177.5159999999996</v>
      </c>
      <c r="F21" s="115">
        <f>SUM(F18:F20)</f>
        <v>44953.915999999997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42306.084000000003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260440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37776.400000000001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192829.50921256037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192829.50921256037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2024-04-10T16:53:59Z</cp:lastPrinted>
  <dcterms:created xsi:type="dcterms:W3CDTF">2013-03-18T13:35:42Z</dcterms:created>
  <dcterms:modified xsi:type="dcterms:W3CDTF">2024-04-19T16:00:58Z</dcterms:modified>
</cp:coreProperties>
</file>