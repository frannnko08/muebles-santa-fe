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ECA399EA-654B-4BD6-B942-D57CEE34D7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JONERA" sheetId="4" r:id="rId1"/>
    <sheet name="2229" sheetId="1" r:id="rId2"/>
    <sheet name="COSTOS" sheetId="3" r:id="rId3"/>
  </sheets>
  <definedNames>
    <definedName name="_xlnm.Print_Area" localSheetId="1">'2229'!$B$1:$H$37</definedName>
    <definedName name="_xlnm.Print_Area" localSheetId="0">CAJONERA!$B$1:$I$34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4" l="1"/>
  <c r="L37" i="4"/>
  <c r="L42" i="4"/>
  <c r="G25" i="1"/>
  <c r="I26" i="1"/>
  <c r="T42" i="4"/>
  <c r="K37" i="4"/>
  <c r="T35" i="4"/>
  <c r="R35" i="4"/>
  <c r="O34" i="4"/>
  <c r="O33" i="4"/>
  <c r="O32" i="4"/>
  <c r="O31" i="4"/>
  <c r="O30" i="4"/>
  <c r="K29" i="4"/>
  <c r="N21" i="4"/>
  <c r="M21" i="4"/>
  <c r="M23" i="4" s="1"/>
  <c r="L21" i="4"/>
  <c r="I21" i="4"/>
  <c r="N20" i="4"/>
  <c r="L20" i="4"/>
  <c r="L17" i="4"/>
  <c r="L10" i="4"/>
  <c r="H41" i="1"/>
  <c r="S30" i="1"/>
  <c r="S29" i="1"/>
  <c r="R22" i="1"/>
  <c r="R23" i="1"/>
  <c r="R24" i="1"/>
  <c r="R21" i="1"/>
  <c r="H22" i="1"/>
  <c r="H23" i="1"/>
  <c r="H24" i="1"/>
  <c r="N39" i="1"/>
  <c r="S39" i="1"/>
  <c r="S38" i="1"/>
  <c r="O27" i="1"/>
  <c r="K22" i="1"/>
  <c r="L22" i="1"/>
  <c r="M22" i="1"/>
  <c r="N22" i="1"/>
  <c r="O22" i="1" s="1"/>
  <c r="K23" i="1"/>
  <c r="L23" i="1"/>
  <c r="M23" i="1"/>
  <c r="N23" i="1"/>
  <c r="O23" i="1" s="1"/>
  <c r="K24" i="1"/>
  <c r="L24" i="1"/>
  <c r="M24" i="1"/>
  <c r="N24" i="1"/>
  <c r="O24" i="1" s="1"/>
  <c r="K21" i="1"/>
  <c r="K17" i="1"/>
  <c r="J32" i="1"/>
  <c r="K10" i="1"/>
  <c r="S21" i="4" l="1"/>
  <c r="S25" i="4"/>
  <c r="T26" i="4" s="1"/>
  <c r="T27" i="4" s="1"/>
  <c r="I23" i="4"/>
  <c r="I24" i="4" s="1"/>
  <c r="I25" i="4" s="1"/>
  <c r="O21" i="4"/>
  <c r="P21" i="4"/>
  <c r="J40" i="1"/>
  <c r="P24" i="4" l="1"/>
  <c r="P25" i="4" s="1"/>
  <c r="R36" i="4" s="1"/>
  <c r="T36" i="4"/>
  <c r="L21" i="1"/>
  <c r="L26" i="1" s="1"/>
  <c r="M21" i="1"/>
  <c r="P26" i="4" l="1"/>
  <c r="P27" i="4" s="1"/>
  <c r="T43" i="4" s="1"/>
  <c r="N21" i="1"/>
  <c r="O21" i="1" s="1"/>
  <c r="N33" i="1"/>
  <c r="M29" i="4" l="1"/>
  <c r="O29" i="4" s="1"/>
  <c r="O35" i="4" s="1"/>
  <c r="O36" i="4" s="1"/>
  <c r="O37" i="4" s="1"/>
  <c r="Q20" i="4" s="1"/>
  <c r="O28" i="1"/>
  <c r="S45" i="1"/>
  <c r="O38" i="4" l="1"/>
  <c r="Q21" i="4"/>
  <c r="R21" i="4" s="1"/>
  <c r="O29" i="1"/>
  <c r="M20" i="1"/>
  <c r="K20" i="1"/>
  <c r="N34" i="1" l="1"/>
  <c r="Q38" i="1"/>
  <c r="Q39" i="1" s="1"/>
  <c r="N3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O30" i="1" l="1"/>
  <c r="L32" i="1" s="1"/>
  <c r="N32" i="1" l="1"/>
  <c r="S46" i="1"/>
  <c r="N38" i="1" l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4" i="1" l="1"/>
  <c r="Q24" i="1" s="1"/>
  <c r="P23" i="1"/>
  <c r="Q23" i="1" s="1"/>
  <c r="P22" i="1"/>
  <c r="Q22" i="1" s="1"/>
  <c r="P21" i="1"/>
  <c r="F15" i="3"/>
  <c r="Q21" i="1" l="1"/>
  <c r="H21" i="1" s="1"/>
  <c r="R28" i="1"/>
  <c r="H26" i="1" l="1"/>
  <c r="H27" i="1" l="1"/>
  <c r="H28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<sst xmlns="http://schemas.openxmlformats.org/spreadsheetml/2006/main" count="312" uniqueCount="178">
  <si>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</si>
  <si>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</si>
  <si>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</si>
  <si>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</si>
  <si>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</si>
  <si>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</si>
  <si>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</si>
  <si>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</si>
  <si>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</si>
  <si>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</si>
  <si>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</si>
  <si>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</si>
  <si>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</si>
  <si>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</si>
  <si>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</si>
  <si>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</si>
  <si>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</si>
  <si>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</si>
  <si>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</si>
  <si>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</si>
  <si>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</si>
  <si>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</si>
  <si>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</si>
  <si>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</si>
  <si>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</si>
  <si>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</si>
  <si>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</si>
  <si>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</si>
  <si>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</si>
  <si>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</si>
  <si>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</si>
  <si>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</si>
  <si>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</si>
  <si>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</si>
  <si>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</si>
  <si>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</si>
  <si>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</si>
  <si>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</si>
  <si>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</si>
  <si>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</si>
  <si>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</si>
  <si>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</si>
  <si>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</si>
  <si>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</si>
  <si>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</si>
  <si>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</si>
  <si>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</si>
  <si>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</si>
  <si>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</si>
  <si>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</si>
  <si>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</si>
  <si>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</si>
  <si>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</si>
  <si>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</si>
  <si>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</si>
  <si>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</si>
  <si>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</si>
  <si>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</si>
  <si>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</si>
  <si>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</si>
  <si>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</si>
  <si>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</si>
  <si>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</si>
  <si>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</si>
  <si>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</si>
  <si>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</si>
  <si>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</si>
  <si>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</si>
  <si>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</si>
  <si>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</si>
  <si>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</si>
  <si>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</si>
  <si>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</si>
  <si>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</si>
  <si>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</si>
  <si>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</si>
  <si>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</si>
  <si>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</si>
  <si>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</si>
  <si>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</si>
  <si>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</si>
  <si>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</si>
  <si>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</si>
  <si>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</si>
  <si>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</si>
  <si>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</si>
  <si>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</si>
  <si>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</si>
  <si>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</si>
  <si>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</si>
  <si>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</si>
  <si>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</si>
  <si>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</si>
  <si>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</si>
  <si>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</si>
  <si>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</si>
  <si>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</si>
  <si>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</si>
  <si>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</si>
  <si>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</si>
  <si>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</si>
  <si>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</si>
  <si>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</si>
  <si>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</si>
  <si>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</si>
  <si>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</si>
  <si>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</si>
  <si>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</si>
  <si>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</si>
  <si>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</si>
  <si>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</si>
  <si>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</si>
  <si>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</si>
  <si>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</si>
  <si>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</si>
  <si>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</si>
  <si>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</si>
  <si>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</si>
  <si>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</si>
  <si>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</si>
  <si>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</si>
  <si>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</si>
  <si>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</si>
  <si>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</si>
  <si>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</si>
  <si>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</si>
  <si>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</si>
  <si>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</si>
  <si>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</si>
  <si>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</si>
  <si>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</si>
  <si>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</si>
  <si>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</si>
  <si>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</si>
  <si>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</si>
  <si>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</si>
  <si>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</si>
  <si>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</si>
  <si>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</si>
  <si>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</si>
  <si>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</si>
  <si>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</si>
  <si>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</si>
  <si>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</si>
  <si>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</si>
  <si>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</si>
  <si>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</si>
  <si>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</si>
  <si>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</si>
  <si>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</si>
  <si>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</si>
  <si>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</si>
  <si>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</si>
  <si>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</si>
  <si>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</si>
  <si>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</si>
  <si>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</si>
  <si>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</si>
  <si>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</si>
  <si>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COMERCIALIZADORA MDM</t>
  </si>
  <si>
    <t xml:space="preserve">DANIELA </t>
  </si>
  <si>
    <t>+569 9744 8059</t>
  </si>
  <si>
    <t>BLANCO OPACO</t>
  </si>
  <si>
    <t>N° 10917</t>
  </si>
  <si>
    <t>PUERTAS</t>
  </si>
  <si>
    <t>TRASERA</t>
  </si>
  <si>
    <t>COSTADOS</t>
  </si>
  <si>
    <t>PISO + CIELO</t>
  </si>
  <si>
    <t>CAJONERA</t>
  </si>
  <si>
    <t>FRENTE</t>
  </si>
  <si>
    <t>FONDO</t>
  </si>
  <si>
    <t>RUEDAS C/FRENO</t>
  </si>
  <si>
    <t>RUEDEAS S(FRENO</t>
  </si>
  <si>
    <t>CIERRE KARDEX</t>
  </si>
  <si>
    <t>TAPACANTO</t>
  </si>
  <si>
    <t>MELAMINA BLANCA 15MM 183X250</t>
  </si>
  <si>
    <t>MELAMINA 15MM</t>
  </si>
  <si>
    <t>RIELES TELESCOPICOS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</si>
</sst>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167" fontId="21" fillId="0" borderId="0" xfId="0" applyNumberFormat="1" applyFont="1" applyAlignment="1">
      <alignment horizontal="center" vertical="center"/>
    </xf>
    <xf numFmtId="0" fontId="24" fillId="20" borderId="0" xfId="0" applyFont="1" applyFill="1" applyBorder="1" applyAlignment="1">
      <alignment horizontal="center"/>
    </xf>
    <xf numFmtId="42" fontId="21" fillId="0" borderId="0" xfId="0" applyNumberFormat="1" applyFont="1" applyAlignment="1">
      <alignment horizontal="center" vertical="center"/>
    </xf>
    <xf numFmtId="41" fontId="22" fillId="0" borderId="0" xfId="4" applyFont="1"/>
    <xf numFmtId="41" fontId="22" fillId="0" borderId="0" xfId="0" applyNumberFormat="1" applyFont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27</xdr:row>
      <xdr:rowOff>28575</xdr:rowOff>
    </xdr:from>
    <xdr:to>
      <xdr:col>9</xdr:col>
      <xdr:colOff>100890</xdr:colOff>
      <xdr:row>30</xdr:row>
      <xdr:rowOff>28576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E0C34238-0C98-47AC-AEFE-30EDF8848714}"/>
            </a:ext>
          </a:extLst>
        </xdr:cNvPr>
        <xdr:cNvSpPr/>
      </xdr:nvSpPr>
      <xdr:spPr>
        <a:xfrm>
          <a:off x="6981825" y="6208395"/>
          <a:ext cx="2110665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29</xdr:row>
      <xdr:rowOff>154305</xdr:rowOff>
    </xdr:from>
    <xdr:to>
      <xdr:col>8</xdr:col>
      <xdr:colOff>853440</xdr:colOff>
      <xdr:row>29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3D58C526-0F83-4074-B681-411C6B43253C}"/>
            </a:ext>
          </a:extLst>
        </xdr:cNvPr>
        <xdr:cNvCxnSpPr/>
      </xdr:nvCxnSpPr>
      <xdr:spPr>
        <a:xfrm>
          <a:off x="7195185" y="677608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6</xdr:col>
      <xdr:colOff>1714500</xdr:colOff>
      <xdr:row>30</xdr:row>
      <xdr:rowOff>19050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260A650D-D7AC-4199-9B87-4954C635D97B}"/>
            </a:ext>
          </a:extLst>
        </xdr:cNvPr>
        <xdr:cNvSpPr/>
      </xdr:nvSpPr>
      <xdr:spPr>
        <a:xfrm>
          <a:off x="390525" y="6189345"/>
          <a:ext cx="6337935" cy="67246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401528</xdr:colOff>
      <xdr:row>22</xdr:row>
      <xdr:rowOff>37361</xdr:rowOff>
    </xdr:from>
    <xdr:to>
      <xdr:col>6</xdr:col>
      <xdr:colOff>1616296</xdr:colOff>
      <xdr:row>25</xdr:row>
      <xdr:rowOff>196176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D1F5E2A-ED5F-4225-9BE1-0E40850E98AF}"/>
            </a:ext>
          </a:extLst>
        </xdr:cNvPr>
        <xdr:cNvSpPr/>
      </xdr:nvSpPr>
      <xdr:spPr>
        <a:xfrm>
          <a:off x="401528" y="4446075"/>
          <a:ext cx="6991972" cy="81973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100" b="1"/>
            <a:t>OBSERVACIONES: SUSTRATO MELAMIL</a:t>
          </a:r>
          <a:r>
            <a:rPr lang="es-CL" sz="1100" b="1" baseline="0"/>
            <a:t> 1 CARA BLANCO 18MM</a:t>
          </a:r>
        </a:p>
        <a:p>
          <a:pPr algn="l"/>
          <a:r>
            <a:rPr lang="es-CL" sz="1100" b="1"/>
            <a:t> ENCHAPADOS</a:t>
          </a:r>
          <a:r>
            <a:rPr lang="es-CL" sz="1100" b="1" baseline="0"/>
            <a:t> TODAS SUS CARAS CON LAMINA BLANCA, RIELES TELESCOPICOS C/SUAVE, RUEDAS POLITELENO BLANCAS, CON FRENO Y SIN FRENO, CERRADURA KARDEX, CAJONES SE CONFECCIONAN CON MELAMINA BLANCA 15MM, ENCHAPE DE CANTOS CON TAPACANTO, NO INCLUYE TIRADORES</a:t>
          </a:r>
          <a:endParaRPr lang="es-CL" sz="1100" b="1"/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79026-2044-4708-A94D-869801644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380" y="30480"/>
          <a:ext cx="1518044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30</xdr:row>
      <xdr:rowOff>28575</xdr:rowOff>
    </xdr:from>
    <xdr:to>
      <xdr:col>8</xdr:col>
      <xdr:colOff>100890</xdr:colOff>
      <xdr:row>33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24</xdr:row>
      <xdr:rowOff>169545</xdr:rowOff>
    </xdr:from>
    <xdr:to>
      <xdr:col>5</xdr:col>
      <xdr:colOff>1764030</xdr:colOff>
      <xdr:row>28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topmobilichile.c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1E06-8797-4EFD-924A-5CC7B3551B86}">
  <sheetPr>
    <pageSetUpPr fitToPage="1"/>
  </sheetPr>
  <dimension ref="B2:Y580"/>
  <sheetViews>
    <sheetView tabSelected="1" topLeftCell="A16" zoomScale="98" zoomScaleNormal="98" workbookViewId="0">
      <selection activeCell="H33" sqref="H33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5" width="11.109375" customWidth="1"/>
    <col min="6" max="6" width="10.5546875" customWidth="1"/>
    <col min="7" max="7" width="28.5546875" customWidth="1"/>
    <col min="8" max="8" width="14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8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G2" s="241" t="s">
        <v>144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G3" s="59" t="s">
        <v>140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G4" s="59" t="s">
        <v>145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G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G6" s="59" t="s">
        <v>15</v>
      </c>
      <c r="O6" s="33" t="s">
        <v>20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G7" s="59" t="s">
        <v>126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01" t="s">
        <v>128</v>
      </c>
      <c r="C8" s="302"/>
      <c r="D8" s="321" t="s">
        <v>163</v>
      </c>
      <c r="E8" s="342"/>
      <c r="G8" s="59"/>
      <c r="K8" s="52"/>
      <c r="R8" s="2"/>
      <c r="S8" s="3"/>
      <c r="T8" s="3"/>
      <c r="U8" s="2"/>
      <c r="V8" s="2"/>
      <c r="W8" s="3"/>
    </row>
    <row r="9" spans="2:24" ht="15" thickBot="1" x14ac:dyDescent="0.35">
      <c r="L9" s="18">
        <v>56950</v>
      </c>
      <c r="R9" s="2"/>
      <c r="S9" s="3"/>
      <c r="T9" s="3"/>
      <c r="U9" s="4"/>
      <c r="V9" s="2"/>
      <c r="W9" s="3"/>
    </row>
    <row r="10" spans="2:24" x14ac:dyDescent="0.3">
      <c r="B10" s="242" t="s">
        <v>2</v>
      </c>
      <c r="C10" s="279" t="s">
        <v>159</v>
      </c>
      <c r="D10" s="243"/>
      <c r="E10" s="243"/>
      <c r="F10" s="243"/>
      <c r="G10" s="244" t="s">
        <v>0</v>
      </c>
      <c r="H10" s="277">
        <v>45390</v>
      </c>
      <c r="I10" s="245"/>
      <c r="K10" s="1"/>
      <c r="L10" s="18">
        <f>L9/1.19</f>
        <v>47857.142857142862</v>
      </c>
      <c r="R10" s="2"/>
      <c r="S10" s="3"/>
      <c r="T10" s="3"/>
      <c r="U10" s="4"/>
      <c r="V10" s="2"/>
      <c r="W10" s="3"/>
    </row>
    <row r="11" spans="2:24" ht="16.8" x14ac:dyDescent="0.4">
      <c r="B11" s="288" t="s">
        <v>12</v>
      </c>
      <c r="C11" s="311"/>
      <c r="G11" t="s">
        <v>125</v>
      </c>
      <c r="H11" s="289" t="s">
        <v>158</v>
      </c>
      <c r="I11" s="290"/>
      <c r="Q11" s="19"/>
      <c r="R11" s="25" t="s">
        <v>19</v>
      </c>
      <c r="S11" s="19"/>
    </row>
    <row r="12" spans="2:24" ht="16.8" x14ac:dyDescent="0.4">
      <c r="B12" s="246" t="s">
        <v>147</v>
      </c>
      <c r="C12" s="311"/>
      <c r="D12" s="247"/>
      <c r="E12" s="247"/>
      <c r="F12" s="247"/>
      <c r="G12" s="247" t="s">
        <v>129</v>
      </c>
      <c r="H12" s="278" t="s">
        <v>137</v>
      </c>
      <c r="I12" s="248"/>
      <c r="Q12" s="19"/>
      <c r="R12" s="25"/>
      <c r="S12" s="19"/>
    </row>
    <row r="13" spans="2:24" x14ac:dyDescent="0.3">
      <c r="B13" s="246" t="s">
        <v>148</v>
      </c>
      <c r="C13" t="s">
        <v>160</v>
      </c>
      <c r="D13" s="247"/>
      <c r="E13" s="247"/>
      <c r="F13" s="247"/>
      <c r="G13" s="247"/>
      <c r="H13" s="278"/>
      <c r="I13" s="248"/>
      <c r="Q13" s="19"/>
      <c r="R13" s="25"/>
      <c r="S13" s="19"/>
    </row>
    <row r="14" spans="2:24" x14ac:dyDescent="0.3">
      <c r="B14" s="288" t="s">
        <v>141</v>
      </c>
      <c r="C14" s="306"/>
      <c r="G14" s="29" t="s">
        <v>138</v>
      </c>
      <c r="H14" s="291" t="s">
        <v>137</v>
      </c>
      <c r="I14" s="290"/>
      <c r="K14" s="29"/>
      <c r="Q14" s="20"/>
      <c r="R14" s="26" t="s">
        <v>18</v>
      </c>
      <c r="S14" s="20"/>
    </row>
    <row r="15" spans="2:24" ht="15.6" x14ac:dyDescent="0.3">
      <c r="B15" s="246" t="s">
        <v>4</v>
      </c>
      <c r="C15" s="324" t="s">
        <v>161</v>
      </c>
      <c r="D15" s="295"/>
      <c r="E15" s="295"/>
      <c r="F15" s="247"/>
      <c r="G15" s="247" t="s">
        <v>136</v>
      </c>
      <c r="H15" s="296" t="s">
        <v>137</v>
      </c>
      <c r="I15" s="248"/>
      <c r="L15" s="18">
        <v>600</v>
      </c>
    </row>
    <row r="16" spans="2:24" ht="16.8" x14ac:dyDescent="0.4">
      <c r="B16" s="292" t="s">
        <v>3</v>
      </c>
      <c r="C16" s="311"/>
      <c r="G16" s="293" t="s">
        <v>131</v>
      </c>
      <c r="H16" s="294" t="s">
        <v>157</v>
      </c>
      <c r="I16" s="290"/>
      <c r="L16" s="18">
        <v>36</v>
      </c>
    </row>
    <row r="17" spans="2:25" ht="15" thickBot="1" x14ac:dyDescent="0.35">
      <c r="B17" s="297" t="s">
        <v>13</v>
      </c>
      <c r="C17" s="298" t="s">
        <v>154</v>
      </c>
      <c r="D17" s="299"/>
      <c r="E17" s="299"/>
      <c r="F17" s="300"/>
      <c r="G17" s="327" t="s">
        <v>155</v>
      </c>
      <c r="H17" s="327"/>
      <c r="I17" s="328"/>
      <c r="J17" s="263"/>
      <c r="L17" s="18">
        <f>L15-L16</f>
        <v>564</v>
      </c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x14ac:dyDescent="0.3">
      <c r="B19" s="329" t="s">
        <v>149</v>
      </c>
      <c r="C19" s="330"/>
      <c r="D19" s="330"/>
      <c r="E19" s="330"/>
      <c r="F19" s="330"/>
      <c r="G19" s="330"/>
      <c r="H19" s="330"/>
      <c r="I19" s="331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21</v>
      </c>
      <c r="R19" s="37" t="s">
        <v>135</v>
      </c>
      <c r="S19" s="10" t="s">
        <v>139</v>
      </c>
      <c r="U19" s="9"/>
      <c r="V19" s="9"/>
      <c r="X19" s="6"/>
      <c r="Y19" s="6"/>
    </row>
    <row r="20" spans="2:25" ht="18" thickBot="1" x14ac:dyDescent="0.35">
      <c r="B20" s="322" t="s">
        <v>7</v>
      </c>
      <c r="C20" s="316" t="s">
        <v>1</v>
      </c>
      <c r="D20" s="316" t="s">
        <v>133</v>
      </c>
      <c r="E20" s="316" t="s">
        <v>169</v>
      </c>
      <c r="F20" s="316" t="s">
        <v>170</v>
      </c>
      <c r="G20" s="316" t="s">
        <v>8</v>
      </c>
      <c r="H20" s="316" t="s">
        <v>5</v>
      </c>
      <c r="I20" s="317" t="s">
        <v>6</v>
      </c>
      <c r="J20" s="265"/>
      <c r="K20" s="47"/>
      <c r="L20" s="268" t="str">
        <f t="shared" ref="L20" si="0">B20</f>
        <v>UNIDAD</v>
      </c>
      <c r="M20" s="267" t="s">
        <v>133</v>
      </c>
      <c r="N20" s="39" t="str">
        <f>F20</f>
        <v>FONDO</v>
      </c>
      <c r="O20" s="261" t="s">
        <v>134</v>
      </c>
      <c r="P20" s="259" t="s">
        <v>17</v>
      </c>
      <c r="Q20" s="252">
        <f>O37</f>
        <v>230768.50603941517</v>
      </c>
      <c r="R20" s="258">
        <v>15000</v>
      </c>
      <c r="S20" s="38"/>
      <c r="T20" s="14" t="s">
        <v>130</v>
      </c>
      <c r="U20" s="9"/>
      <c r="X20" s="4"/>
    </row>
    <row r="21" spans="2:25" ht="17.399999999999999" x14ac:dyDescent="0.3">
      <c r="B21" s="323">
        <v>22</v>
      </c>
      <c r="C21" s="312" t="s">
        <v>168</v>
      </c>
      <c r="D21" s="313">
        <v>0.64</v>
      </c>
      <c r="E21" s="313">
        <v>0.6</v>
      </c>
      <c r="F21" s="313">
        <v>0.5</v>
      </c>
      <c r="G21" s="312" t="s">
        <v>162</v>
      </c>
      <c r="H21" s="314">
        <v>123451</v>
      </c>
      <c r="I21" s="315">
        <f t="shared" ref="I21" si="1">H21*B21</f>
        <v>2715922</v>
      </c>
      <c r="J21" s="265"/>
      <c r="K21" s="47"/>
      <c r="L21" s="325">
        <f>B21</f>
        <v>22</v>
      </c>
      <c r="M21" s="326">
        <f>D21+M$19</f>
        <v>0.66</v>
      </c>
      <c r="N21" s="326">
        <f t="shared" ref="N21" si="2">F21+N$19</f>
        <v>0.52</v>
      </c>
      <c r="O21" s="261">
        <f>M21*N21</f>
        <v>0.34320000000000001</v>
      </c>
      <c r="P21" s="259">
        <f>O21*L21</f>
        <v>7.5503999999999998</v>
      </c>
      <c r="Q21" s="252">
        <f>Q$20*O21</f>
        <v>79199.751272727284</v>
      </c>
      <c r="R21" s="258">
        <f>Q21+R$20</f>
        <v>94199.751272727284</v>
      </c>
      <c r="S21" s="308">
        <f>M21*L21*2</f>
        <v>29.040000000000003</v>
      </c>
      <c r="T21" s="14"/>
      <c r="U21" s="9"/>
      <c r="X21" s="4"/>
    </row>
    <row r="22" spans="2:25" ht="18" thickBot="1" x14ac:dyDescent="0.35">
      <c r="B22" s="286"/>
      <c r="C22" s="286"/>
      <c r="D22" s="287"/>
      <c r="E22" s="287"/>
      <c r="F22" s="287"/>
      <c r="G22" s="286"/>
      <c r="H22" s="341"/>
      <c r="I22" s="232"/>
      <c r="J22" s="232"/>
      <c r="K22" s="47"/>
      <c r="L22" s="47"/>
      <c r="M22" s="39"/>
      <c r="N22" s="39"/>
      <c r="O22" s="261"/>
      <c r="P22" s="259"/>
      <c r="Q22" s="252"/>
      <c r="R22" s="258"/>
      <c r="S22" s="308"/>
      <c r="T22" s="14"/>
      <c r="U22" s="9"/>
      <c r="X22" s="4"/>
    </row>
    <row r="23" spans="2:25" ht="17.399999999999999" x14ac:dyDescent="0.3">
      <c r="B23" s="286"/>
      <c r="C23" s="286"/>
      <c r="D23" s="287"/>
      <c r="E23" s="287"/>
      <c r="F23" s="287"/>
      <c r="G23" s="286"/>
      <c r="H23" s="309" t="s">
        <v>30</v>
      </c>
      <c r="I23" s="310">
        <f>SUM(I21:I22)</f>
        <v>2715922</v>
      </c>
      <c r="J23" s="265"/>
      <c r="K23" s="47"/>
      <c r="L23" s="47"/>
      <c r="M23" s="39">
        <f>SUM(M21:M22)</f>
        <v>0.66</v>
      </c>
      <c r="N23" s="39"/>
      <c r="O23" s="261"/>
      <c r="P23" s="259"/>
      <c r="Q23" s="252"/>
      <c r="R23" s="258"/>
      <c r="S23" s="308"/>
      <c r="T23" s="14"/>
      <c r="U23" s="9"/>
      <c r="X23" s="4"/>
    </row>
    <row r="24" spans="2:25" ht="17.399999999999999" x14ac:dyDescent="0.3">
      <c r="B24" s="280"/>
      <c r="C24" s="283"/>
      <c r="D24" s="284"/>
      <c r="E24" s="284"/>
      <c r="F24" s="284"/>
      <c r="G24" s="285"/>
      <c r="H24" s="307" t="s">
        <v>53</v>
      </c>
      <c r="I24" s="304">
        <f>I23*0.19</f>
        <v>516025.18</v>
      </c>
      <c r="J24" s="265"/>
      <c r="K24" s="47"/>
      <c r="L24" s="47"/>
      <c r="M24" s="39"/>
      <c r="N24" s="12"/>
      <c r="O24" s="12"/>
      <c r="P24" s="253">
        <f>SUM(P21:P21)</f>
        <v>7.5503999999999998</v>
      </c>
      <c r="Q24" s="14"/>
      <c r="R24" s="12"/>
      <c r="S24" s="238"/>
      <c r="T24" s="14"/>
      <c r="U24" s="9"/>
      <c r="X24" s="4"/>
    </row>
    <row r="25" spans="2:25" ht="18" thickBot="1" x14ac:dyDescent="0.35">
      <c r="B25" s="276"/>
      <c r="C25" s="282"/>
      <c r="D25" s="272"/>
      <c r="E25" s="272"/>
      <c r="F25" s="272"/>
      <c r="G25" s="273"/>
      <c r="H25" s="281" t="s">
        <v>6</v>
      </c>
      <c r="I25" s="305">
        <f>I23+I24</f>
        <v>3231947.18</v>
      </c>
      <c r="J25" s="265"/>
      <c r="K25" s="47"/>
      <c r="L25" s="47"/>
      <c r="M25" s="39"/>
      <c r="N25" s="12"/>
      <c r="O25" s="12"/>
      <c r="P25" s="253">
        <f>P24</f>
        <v>7.5503999999999998</v>
      </c>
      <c r="Q25" s="14"/>
      <c r="R25" s="12"/>
      <c r="S25" s="238">
        <f>SUM(S21:S24)</f>
        <v>29.040000000000003</v>
      </c>
      <c r="T25" s="14">
        <v>120</v>
      </c>
      <c r="U25" s="9"/>
      <c r="X25" s="4"/>
    </row>
    <row r="26" spans="2:25" ht="17.399999999999999" x14ac:dyDescent="0.3">
      <c r="B26" s="276"/>
      <c r="C26" s="271"/>
      <c r="D26" s="272"/>
      <c r="E26" s="272"/>
      <c r="F26" s="272"/>
      <c r="G26" s="273"/>
      <c r="J26" s="265"/>
      <c r="K26" s="47">
        <v>32</v>
      </c>
      <c r="L26" s="47"/>
      <c r="M26" s="14"/>
      <c r="N26" s="12"/>
      <c r="O26" s="12"/>
      <c r="P26" s="39">
        <f>P25*20%</f>
        <v>1.5100800000000001</v>
      </c>
      <c r="Q26" s="39" t="s">
        <v>132</v>
      </c>
      <c r="R26" s="42"/>
      <c r="S26" s="239"/>
      <c r="T26" s="14">
        <f>S25*T25</f>
        <v>3484.8</v>
      </c>
      <c r="U26" s="9"/>
      <c r="X26" s="4"/>
    </row>
    <row r="27" spans="2:25" ht="17.399999999999999" x14ac:dyDescent="0.3">
      <c r="B27" s="271"/>
      <c r="C27" s="271"/>
      <c r="D27" s="272"/>
      <c r="E27" s="272"/>
      <c r="F27" s="272"/>
      <c r="G27" s="273"/>
      <c r="H27" s="274"/>
      <c r="I27" s="275"/>
      <c r="J27" s="265"/>
      <c r="K27" s="320">
        <v>32</v>
      </c>
      <c r="L27" s="47"/>
      <c r="M27" s="14"/>
      <c r="N27" s="12"/>
      <c r="O27" s="12"/>
      <c r="P27" s="46">
        <f>P25+P26</f>
        <v>9.0604800000000001</v>
      </c>
      <c r="Q27" s="14"/>
      <c r="R27" s="14"/>
      <c r="S27" s="237">
        <v>40</v>
      </c>
      <c r="T27" s="14">
        <f>T26/22</f>
        <v>158.4</v>
      </c>
      <c r="U27" s="9"/>
      <c r="X27" s="4"/>
    </row>
    <row r="28" spans="2:25" ht="17.399999999999999" x14ac:dyDescent="0.35">
      <c r="B28" s="269"/>
      <c r="C28" s="230"/>
      <c r="D28" s="230"/>
      <c r="E28" s="230"/>
      <c r="F28" s="232"/>
      <c r="G28" s="233"/>
      <c r="H28" s="230"/>
      <c r="I28" s="275"/>
      <c r="J28" s="265"/>
      <c r="K28" s="320">
        <v>55</v>
      </c>
      <c r="L28" s="47"/>
      <c r="M28" s="14"/>
      <c r="N28" s="14"/>
      <c r="O28" s="14"/>
      <c r="P28" s="14"/>
      <c r="Q28" s="14"/>
      <c r="R28" s="14"/>
      <c r="S28" s="237"/>
      <c r="T28" s="14"/>
      <c r="U28" s="9"/>
      <c r="X28" s="4"/>
    </row>
    <row r="29" spans="2:25" ht="17.399999999999999" x14ac:dyDescent="0.35">
      <c r="B29" s="234"/>
      <c r="C29" s="235"/>
      <c r="D29" s="236"/>
      <c r="E29" s="236"/>
      <c r="F29" s="234"/>
      <c r="G29" s="230"/>
      <c r="H29" s="230"/>
      <c r="J29" s="265"/>
      <c r="K29" s="47">
        <f>SUM(K26:K28)</f>
        <v>119</v>
      </c>
      <c r="L29" s="47"/>
      <c r="M29" s="39">
        <f>P27</f>
        <v>9.0604800000000001</v>
      </c>
      <c r="N29" s="12">
        <v>3500</v>
      </c>
      <c r="O29" s="12">
        <f t="shared" ref="O29:O34" si="3">M29*N29</f>
        <v>31711.68</v>
      </c>
      <c r="P29" s="14" t="s">
        <v>22</v>
      </c>
      <c r="Q29" s="14" t="s">
        <v>23</v>
      </c>
      <c r="R29" s="14"/>
      <c r="S29" s="240"/>
      <c r="T29" s="14"/>
      <c r="U29" s="9"/>
      <c r="X29" s="4"/>
    </row>
    <row r="30" spans="2:25" ht="17.399999999999999" x14ac:dyDescent="0.35">
      <c r="B30" s="230"/>
      <c r="C30" s="230"/>
      <c r="D30" s="230"/>
      <c r="E30" s="230"/>
      <c r="F30" s="230"/>
      <c r="G30" s="230"/>
      <c r="H30" s="230"/>
      <c r="J30" s="265"/>
      <c r="K30" s="47"/>
      <c r="L30" s="47"/>
      <c r="M30" s="249">
        <v>12</v>
      </c>
      <c r="N30" s="12">
        <v>43000</v>
      </c>
      <c r="O30" s="12">
        <f t="shared" si="3"/>
        <v>516000</v>
      </c>
      <c r="P30" s="39" t="s">
        <v>156</v>
      </c>
      <c r="Q30" s="42"/>
      <c r="R30" s="14"/>
      <c r="S30" s="239"/>
      <c r="T30" s="14"/>
      <c r="U30" s="9"/>
      <c r="X30" s="4"/>
    </row>
    <row r="31" spans="2:25" s="230" customFormat="1" ht="17.399999999999999" x14ac:dyDescent="0.35">
      <c r="J31" s="262"/>
      <c r="K31" s="47"/>
      <c r="L31" s="250"/>
      <c r="M31" s="14"/>
      <c r="N31" s="250">
        <v>43000</v>
      </c>
      <c r="O31" s="12">
        <f t="shared" si="3"/>
        <v>0</v>
      </c>
      <c r="P31" s="39" t="s">
        <v>32</v>
      </c>
      <c r="Q31" s="42"/>
      <c r="S31" s="239"/>
      <c r="T31" s="256"/>
      <c r="W31" s="231"/>
    </row>
    <row r="32" spans="2:25" s="230" customFormat="1" ht="17.399999999999999" x14ac:dyDescent="0.35">
      <c r="B32" s="24" t="s">
        <v>153</v>
      </c>
      <c r="J32" s="262"/>
      <c r="K32" s="319"/>
      <c r="L32" s="250"/>
      <c r="M32" s="14">
        <v>12</v>
      </c>
      <c r="N32" s="250">
        <v>23500</v>
      </c>
      <c r="O32" s="12">
        <f t="shared" si="3"/>
        <v>282000</v>
      </c>
      <c r="P32" s="14" t="s">
        <v>143</v>
      </c>
      <c r="Q32" s="17"/>
      <c r="S32" s="237"/>
      <c r="T32" s="256"/>
      <c r="W32" s="231"/>
    </row>
    <row r="33" spans="2:24" s="230" customFormat="1" ht="17.399999999999999" x14ac:dyDescent="0.35">
      <c r="B33" s="24" t="s">
        <v>146</v>
      </c>
      <c r="C33"/>
      <c r="D33"/>
      <c r="E33"/>
      <c r="F33"/>
      <c r="G33"/>
      <c r="I33" s="344">
        <v>94592</v>
      </c>
      <c r="J33" s="262" t="s">
        <v>25</v>
      </c>
      <c r="K33" s="319"/>
      <c r="L33" s="250"/>
      <c r="M33" s="249"/>
      <c r="N33" s="250">
        <v>800</v>
      </c>
      <c r="O33" s="12">
        <f t="shared" si="3"/>
        <v>0</v>
      </c>
      <c r="P33" s="14" t="s">
        <v>34</v>
      </c>
      <c r="Q33" s="14"/>
      <c r="R33" s="230">
        <v>1.52</v>
      </c>
      <c r="S33" s="237"/>
      <c r="T33" s="237">
        <v>1.23</v>
      </c>
    </row>
    <row r="34" spans="2:24" s="230" customFormat="1" ht="17.399999999999999" x14ac:dyDescent="0.35">
      <c r="B34" s="29" t="s">
        <v>127</v>
      </c>
      <c r="C34"/>
      <c r="D34"/>
      <c r="E34"/>
      <c r="F34"/>
      <c r="G34" s="229" t="s">
        <v>16</v>
      </c>
      <c r="I34" s="344">
        <v>2000</v>
      </c>
      <c r="J34" s="303" t="s">
        <v>171</v>
      </c>
      <c r="K34" s="47"/>
      <c r="L34" s="250"/>
      <c r="M34" s="266"/>
      <c r="N34" s="12">
        <v>1500</v>
      </c>
      <c r="O34" s="12">
        <f t="shared" si="3"/>
        <v>0</v>
      </c>
      <c r="P34" s="14" t="s">
        <v>24</v>
      </c>
      <c r="Q34" s="14"/>
      <c r="R34">
        <v>2.44</v>
      </c>
      <c r="S34"/>
      <c r="T34" s="237">
        <v>3.05</v>
      </c>
      <c r="X34" s="231"/>
    </row>
    <row r="35" spans="2:24" s="230" customFormat="1" ht="17.399999999999999" x14ac:dyDescent="0.35">
      <c r="I35" s="344">
        <v>1496</v>
      </c>
      <c r="J35" s="230" t="s">
        <v>172</v>
      </c>
      <c r="K35" s="47"/>
      <c r="L35" s="250"/>
      <c r="M35" s="14"/>
      <c r="N35" s="12"/>
      <c r="O35" s="12">
        <f>SUM(O29:O34)</f>
        <v>829711.68</v>
      </c>
      <c r="P35" s="39" t="s">
        <v>25</v>
      </c>
      <c r="Q35" s="14"/>
      <c r="R35">
        <f>R33*R34</f>
        <v>3.7088000000000001</v>
      </c>
      <c r="S35"/>
      <c r="T35" s="237">
        <f>T33*T34</f>
        <v>3.7514999999999996</v>
      </c>
      <c r="X35" s="231"/>
    </row>
    <row r="36" spans="2:24" s="230" customFormat="1" ht="17.399999999999999" x14ac:dyDescent="0.35">
      <c r="I36" s="344">
        <v>3689</v>
      </c>
      <c r="J36" s="230" t="s">
        <v>173</v>
      </c>
      <c r="K36" s="47">
        <v>5900</v>
      </c>
      <c r="L36" s="250"/>
      <c r="M36" s="254" t="s">
        <v>35</v>
      </c>
      <c r="N36" s="12"/>
      <c r="O36" s="255">
        <f>O35*2.1</f>
        <v>1742394.5280000002</v>
      </c>
      <c r="P36" s="14" t="s">
        <v>142</v>
      </c>
      <c r="Q36" s="14"/>
      <c r="R36" s="46">
        <f>P25/R35</f>
        <v>2.035806729939603</v>
      </c>
      <c r="S36"/>
      <c r="T36" s="257">
        <f>P25/T35</f>
        <v>2.0126349460215915</v>
      </c>
    </row>
    <row r="37" spans="2:24" s="230" customFormat="1" ht="17.399999999999999" x14ac:dyDescent="0.35">
      <c r="H37"/>
      <c r="I37" s="344">
        <v>1500</v>
      </c>
      <c r="J37" s="260" t="s">
        <v>174</v>
      </c>
      <c r="K37" s="47">
        <f>K36/1.19</f>
        <v>4957.9831932773113</v>
      </c>
      <c r="L37" s="250">
        <f>K37*3</f>
        <v>14873.949579831933</v>
      </c>
      <c r="M37" s="14"/>
      <c r="N37" s="12"/>
      <c r="O37" s="12">
        <f>O36/P25</f>
        <v>230768.50603941517</v>
      </c>
      <c r="P37" s="45" t="s">
        <v>26</v>
      </c>
      <c r="Q37" s="14"/>
      <c r="R37" s="14"/>
      <c r="S37"/>
      <c r="T37" s="237"/>
    </row>
    <row r="38" spans="2:24" s="230" customFormat="1" ht="17.399999999999999" x14ac:dyDescent="0.35">
      <c r="H38"/>
      <c r="I38" s="344">
        <v>5300</v>
      </c>
      <c r="J38" s="230" t="s">
        <v>176</v>
      </c>
      <c r="K38" s="47"/>
      <c r="L38" s="250"/>
      <c r="M38" s="13"/>
      <c r="N38" s="14"/>
      <c r="O38" s="17">
        <f>O36/O35</f>
        <v>2.1</v>
      </c>
      <c r="P38" s="15"/>
      <c r="Q38"/>
      <c r="R38"/>
      <c r="S38"/>
      <c r="T38" s="237"/>
    </row>
    <row r="39" spans="2:24" s="230" customFormat="1" ht="17.399999999999999" x14ac:dyDescent="0.35">
      <c r="H39" s="23"/>
      <c r="I39" s="230">
        <v>14874</v>
      </c>
      <c r="J39" s="230" t="s">
        <v>177</v>
      </c>
      <c r="K39" s="47"/>
      <c r="L39" s="12"/>
      <c r="T39" s="237"/>
    </row>
    <row r="40" spans="2:24" s="230" customFormat="1" ht="17.399999999999999" x14ac:dyDescent="0.35">
      <c r="B40"/>
      <c r="C40" s="228"/>
      <c r="D40" s="22"/>
      <c r="E40" s="22"/>
      <c r="F40" s="22"/>
      <c r="G40" s="21"/>
      <c r="H40" s="23"/>
      <c r="I40" s="345">
        <f>SUM(I33:I39)</f>
        <v>123451</v>
      </c>
      <c r="K40" s="47"/>
      <c r="L40" s="12"/>
      <c r="T40" s="237">
        <v>1.83</v>
      </c>
    </row>
    <row r="41" spans="2:24" ht="14.4" customHeight="1" x14ac:dyDescent="0.3">
      <c r="I41" t="s">
        <v>175</v>
      </c>
      <c r="K41" s="47"/>
      <c r="L41" s="12">
        <v>5900</v>
      </c>
      <c r="T41">
        <v>2.5</v>
      </c>
    </row>
    <row r="42" spans="2:24" x14ac:dyDescent="0.3">
      <c r="K42" s="47"/>
      <c r="L42" s="250">
        <f>L41/3</f>
        <v>1966.6666666666667</v>
      </c>
      <c r="T42">
        <f>T40*T41</f>
        <v>4.5750000000000002</v>
      </c>
    </row>
    <row r="43" spans="2:24" x14ac:dyDescent="0.3">
      <c r="L43" s="250"/>
      <c r="T43" s="270">
        <f>P27/T42</f>
        <v>1.9804327868852458</v>
      </c>
    </row>
    <row r="44" spans="2:24" x14ac:dyDescent="0.3">
      <c r="L44" s="250"/>
    </row>
    <row r="45" spans="2:24" ht="15" customHeight="1" x14ac:dyDescent="0.3"/>
    <row r="47" spans="2:24" x14ac:dyDescent="0.3">
      <c r="O47">
        <v>40935</v>
      </c>
      <c r="P47" t="s">
        <v>17</v>
      </c>
      <c r="Q47" t="s">
        <v>28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150</v>
      </c>
    </row>
    <row r="73" spans="3:3" x14ac:dyDescent="0.3">
      <c r="C73" t="s">
        <v>149</v>
      </c>
    </row>
    <row r="76" spans="3:3" x14ac:dyDescent="0.3">
      <c r="C76" t="s">
        <v>149</v>
      </c>
    </row>
    <row r="153" spans="3:3" x14ac:dyDescent="0.3">
      <c r="C153" t="s">
        <v>149</v>
      </c>
    </row>
    <row r="154" spans="3:3" x14ac:dyDescent="0.3">
      <c r="C154" t="s">
        <v>151</v>
      </c>
    </row>
    <row r="155" spans="3:3" x14ac:dyDescent="0.3">
      <c r="C155" t="s">
        <v>152</v>
      </c>
    </row>
    <row r="580" spans="3:3" x14ac:dyDescent="0.3">
      <c r="C580" t="s">
        <v>149</v>
      </c>
    </row>
  </sheetData>
  <mergeCells count="2">
    <mergeCell ref="G17:I17"/>
    <mergeCell ref="B19:I19"/>
  </mergeCells>
  <hyperlinks>
    <hyperlink ref="G34" r:id="rId1" xr:uid="{539AA9FA-2768-48F3-91CC-8C551BCF80DB}"/>
  </hyperlinks>
  <pageMargins left="0.23622047244094491" right="0.23622047244094491" top="0.74803149606299213" bottom="0.74803149606299213" header="0.31496062992125984" footer="0.31496062992125984"/>
  <pageSetup scale="76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opLeftCell="B8" zoomScale="98" zoomScaleNormal="98" workbookViewId="0">
      <selection activeCell="I26" sqref="I2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163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45390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160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161</v>
      </c>
      <c r="D15" s="295"/>
      <c r="E15" s="247"/>
      <c r="F15" s="247" t="s">
        <v>136</v>
      </c>
      <c r="G15" s="296" t="s">
        <v>137</v>
      </c>
      <c r="H15" s="248"/>
      <c r="K15" s="18">
        <v>600</v>
      </c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  <c r="K16" s="18">
        <v>36</v>
      </c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7" t="s">
        <v>155</v>
      </c>
      <c r="G17" s="327"/>
      <c r="H17" s="328"/>
      <c r="I17" s="263"/>
      <c r="K17" s="18">
        <f>K15-K16</f>
        <v>564</v>
      </c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45294.203827201338</v>
      </c>
      <c r="Q20" s="258">
        <v>15000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44</v>
      </c>
      <c r="C21" s="312" t="s">
        <v>166</v>
      </c>
      <c r="D21" s="313">
        <v>0.64</v>
      </c>
      <c r="E21" s="313">
        <v>0.5</v>
      </c>
      <c r="F21" s="312" t="s">
        <v>162</v>
      </c>
      <c r="G21" s="314">
        <v>15545</v>
      </c>
      <c r="H21" s="315">
        <f t="shared" ref="H21:H24" si="1">G21*B21</f>
        <v>683980</v>
      </c>
      <c r="I21" s="265"/>
      <c r="J21" s="47"/>
      <c r="K21" s="325">
        <f>B21</f>
        <v>44</v>
      </c>
      <c r="L21" s="326">
        <f t="shared" ref="L21:M21" si="2">D21+L$19</f>
        <v>0.66</v>
      </c>
      <c r="M21" s="326">
        <f t="shared" si="2"/>
        <v>0.52</v>
      </c>
      <c r="N21" s="261">
        <f>L21*M21</f>
        <v>0.34320000000000001</v>
      </c>
      <c r="O21" s="259">
        <f>N21*K21</f>
        <v>15.1008</v>
      </c>
      <c r="P21" s="252">
        <f>P$20*N21</f>
        <v>15544.9707534955</v>
      </c>
      <c r="Q21" s="258">
        <f>P21+Q$20</f>
        <v>30544.970753495501</v>
      </c>
      <c r="R21" s="308">
        <f>L21*K21*2</f>
        <v>58.080000000000005</v>
      </c>
      <c r="S21" s="14"/>
      <c r="T21" s="9"/>
      <c r="W21" s="4"/>
    </row>
    <row r="22" spans="2:24" ht="17.399999999999999" x14ac:dyDescent="0.3">
      <c r="B22" s="339">
        <v>44</v>
      </c>
      <c r="C22" s="339" t="s">
        <v>167</v>
      </c>
      <c r="D22" s="340">
        <v>0.56399999999999995</v>
      </c>
      <c r="E22" s="340">
        <v>0.5</v>
      </c>
      <c r="F22" s="339"/>
      <c r="G22" s="318">
        <v>13755</v>
      </c>
      <c r="H22" s="315">
        <f t="shared" si="1"/>
        <v>605220</v>
      </c>
      <c r="I22" s="265"/>
      <c r="J22" s="47"/>
      <c r="K22" s="325">
        <f t="shared" ref="K22:K24" si="3">B22</f>
        <v>44</v>
      </c>
      <c r="L22" s="326">
        <f t="shared" ref="L22:L24" si="4">D22+L$19</f>
        <v>0.58399999999999996</v>
      </c>
      <c r="M22" s="326">
        <f t="shared" ref="M22:M24" si="5">E22+M$19</f>
        <v>0.52</v>
      </c>
      <c r="N22" s="261">
        <f t="shared" ref="N22:N24" si="6">L22*M22</f>
        <v>0.30368000000000001</v>
      </c>
      <c r="O22" s="259">
        <f t="shared" ref="O22:O24" si="7">N22*K22</f>
        <v>13.36192</v>
      </c>
      <c r="P22" s="252">
        <f t="shared" ref="P22:P24" si="8">P$20*N22</f>
        <v>13754.943818244503</v>
      </c>
      <c r="Q22" s="258">
        <f t="shared" ref="Q22:Q24" si="9">P22+Q$20</f>
        <v>28754.943818244501</v>
      </c>
      <c r="R22" s="308">
        <f t="shared" ref="R22:R24" si="10">L22*K22*2</f>
        <v>51.391999999999996</v>
      </c>
      <c r="S22" s="14"/>
      <c r="T22" s="9"/>
      <c r="W22" s="4"/>
    </row>
    <row r="23" spans="2:24" ht="17.399999999999999" x14ac:dyDescent="0.3">
      <c r="B23" s="286">
        <v>22</v>
      </c>
      <c r="C23" s="286" t="s">
        <v>165</v>
      </c>
      <c r="D23" s="287">
        <v>0.64</v>
      </c>
      <c r="E23" s="287">
        <v>0.56399999999999995</v>
      </c>
      <c r="F23" s="286"/>
      <c r="G23" s="318">
        <v>17458</v>
      </c>
      <c r="H23" s="315">
        <f t="shared" si="1"/>
        <v>384076</v>
      </c>
      <c r="I23" s="265"/>
      <c r="J23" s="47"/>
      <c r="K23" s="325">
        <f t="shared" si="3"/>
        <v>22</v>
      </c>
      <c r="L23" s="326">
        <f t="shared" si="4"/>
        <v>0.66</v>
      </c>
      <c r="M23" s="326">
        <f t="shared" si="5"/>
        <v>0.58399999999999996</v>
      </c>
      <c r="N23" s="261">
        <f t="shared" si="6"/>
        <v>0.38544</v>
      </c>
      <c r="O23" s="259">
        <f t="shared" si="7"/>
        <v>8.4796800000000001</v>
      </c>
      <c r="P23" s="252">
        <f t="shared" si="8"/>
        <v>17458.197923156484</v>
      </c>
      <c r="Q23" s="258">
        <f t="shared" si="9"/>
        <v>32458.197923156484</v>
      </c>
      <c r="R23" s="308">
        <f t="shared" si="10"/>
        <v>29.040000000000003</v>
      </c>
      <c r="S23" s="14"/>
      <c r="T23" s="9"/>
      <c r="W23" s="4"/>
    </row>
    <row r="24" spans="2:24" ht="17.399999999999999" x14ac:dyDescent="0.3">
      <c r="B24" s="286">
        <v>22</v>
      </c>
      <c r="C24" s="286" t="s">
        <v>164</v>
      </c>
      <c r="D24" s="287">
        <v>0.64</v>
      </c>
      <c r="E24" s="287">
        <v>0.6</v>
      </c>
      <c r="F24" s="286"/>
      <c r="G24" s="318">
        <v>18534</v>
      </c>
      <c r="H24" s="315">
        <f t="shared" si="1"/>
        <v>407748</v>
      </c>
      <c r="I24" s="265"/>
      <c r="J24" s="47"/>
      <c r="K24" s="325">
        <f t="shared" si="3"/>
        <v>22</v>
      </c>
      <c r="L24" s="326">
        <f t="shared" si="4"/>
        <v>0.66</v>
      </c>
      <c r="M24" s="326">
        <f t="shared" si="5"/>
        <v>0.62</v>
      </c>
      <c r="N24" s="261">
        <f t="shared" si="6"/>
        <v>0.40920000000000001</v>
      </c>
      <c r="O24" s="259">
        <f t="shared" si="7"/>
        <v>9.0023999999999997</v>
      </c>
      <c r="P24" s="252">
        <f t="shared" si="8"/>
        <v>18534.388206090789</v>
      </c>
      <c r="Q24" s="258">
        <f t="shared" si="9"/>
        <v>33534.388206090793</v>
      </c>
      <c r="R24" s="308">
        <f t="shared" si="10"/>
        <v>29.040000000000003</v>
      </c>
      <c r="S24" s="14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341">
        <f>SUM(G21:G24)</f>
        <v>65292</v>
      </c>
      <c r="H25" s="232"/>
      <c r="I25" s="232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9" t="s">
        <v>30</v>
      </c>
      <c r="H26" s="310">
        <f>SUM(H21:H25)</f>
        <v>2081024</v>
      </c>
      <c r="I26" s="343">
        <f>H26/22</f>
        <v>94592</v>
      </c>
      <c r="J26" s="47"/>
      <c r="K26" s="47"/>
      <c r="L26" s="39">
        <f>SUM(L21:L25)</f>
        <v>2.5640000000000001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53</v>
      </c>
      <c r="H27" s="304">
        <f>H26*0.19</f>
        <v>395394.56</v>
      </c>
      <c r="I27" s="265"/>
      <c r="J27" s="47"/>
      <c r="K27" s="47"/>
      <c r="L27" s="39"/>
      <c r="M27" s="12"/>
      <c r="N27" s="12"/>
      <c r="O27" s="253">
        <f>SUM(O21:O24)</f>
        <v>45.944800000000001</v>
      </c>
      <c r="P27" s="14"/>
      <c r="Q27" s="12"/>
      <c r="R27" s="238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2476418.56</v>
      </c>
      <c r="I28" s="265"/>
      <c r="J28" s="47"/>
      <c r="K28" s="47"/>
      <c r="L28" s="39"/>
      <c r="M28" s="12"/>
      <c r="N28" s="12"/>
      <c r="O28" s="253">
        <f>O27</f>
        <v>45.944800000000001</v>
      </c>
      <c r="P28" s="14"/>
      <c r="Q28" s="12"/>
      <c r="R28" s="238">
        <f>SUM(R21:R27)</f>
        <v>167.55199999999999</v>
      </c>
      <c r="S28" s="14">
        <v>120</v>
      </c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>
        <v>32</v>
      </c>
      <c r="K29" s="47"/>
      <c r="L29" s="14"/>
      <c r="M29" s="12"/>
      <c r="N29" s="12"/>
      <c r="O29" s="39">
        <f>O28*20%</f>
        <v>9.1889599999999998</v>
      </c>
      <c r="P29" s="39" t="s">
        <v>132</v>
      </c>
      <c r="Q29" s="42"/>
      <c r="R29" s="239"/>
      <c r="S29" s="14">
        <f>R28*S28</f>
        <v>20106.239999999998</v>
      </c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320">
        <v>32</v>
      </c>
      <c r="K30" s="47"/>
      <c r="L30" s="14"/>
      <c r="M30" s="12"/>
      <c r="N30" s="12"/>
      <c r="O30" s="46">
        <f>O28+O29</f>
        <v>55.133760000000002</v>
      </c>
      <c r="P30" s="14"/>
      <c r="Q30" s="14"/>
      <c r="R30" s="237">
        <v>40</v>
      </c>
      <c r="S30" s="14">
        <f>S29/22</f>
        <v>913.92</v>
      </c>
      <c r="T30" s="9"/>
      <c r="W30" s="4"/>
    </row>
    <row r="31" spans="2:24" ht="17.399999999999999" x14ac:dyDescent="0.35">
      <c r="B31" s="269"/>
      <c r="C31" s="230"/>
      <c r="D31" s="230"/>
      <c r="E31" s="232"/>
      <c r="F31" s="233"/>
      <c r="G31" s="230"/>
      <c r="H31" s="275"/>
      <c r="I31" s="265"/>
      <c r="J31" s="320">
        <v>55</v>
      </c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2:24" ht="17.399999999999999" x14ac:dyDescent="0.35">
      <c r="B32" s="234"/>
      <c r="C32" s="235"/>
      <c r="D32" s="236"/>
      <c r="E32" s="234"/>
      <c r="F32" s="230"/>
      <c r="G32" s="230"/>
      <c r="I32" s="265"/>
      <c r="J32" s="47">
        <f>SUM(J29:J31)</f>
        <v>119</v>
      </c>
      <c r="K32" s="47"/>
      <c r="L32" s="39">
        <f>O30</f>
        <v>55.133760000000002</v>
      </c>
      <c r="M32" s="12">
        <v>3500</v>
      </c>
      <c r="N32" s="12">
        <f t="shared" ref="N32:N37" si="11">L32*M32</f>
        <v>192968.16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12</v>
      </c>
      <c r="M33" s="12">
        <v>43000</v>
      </c>
      <c r="N33" s="12">
        <f t="shared" si="11"/>
        <v>516000</v>
      </c>
      <c r="O33" s="39" t="s">
        <v>156</v>
      </c>
      <c r="P33" s="42"/>
      <c r="Q33" s="14"/>
      <c r="R33" s="239"/>
      <c r="S33" s="14"/>
      <c r="T33" s="9"/>
      <c r="W33" s="4"/>
    </row>
    <row r="34" spans="2:23" s="230" customFormat="1" ht="17.399999999999999" x14ac:dyDescent="0.35">
      <c r="I34" s="262"/>
      <c r="J34" s="47"/>
      <c r="K34" s="250"/>
      <c r="L34" s="14"/>
      <c r="M34" s="250">
        <v>43000</v>
      </c>
      <c r="N34" s="12">
        <f t="shared" si="11"/>
        <v>0</v>
      </c>
      <c r="O34" s="39" t="s">
        <v>32</v>
      </c>
      <c r="P34" s="42"/>
      <c r="R34" s="239"/>
      <c r="S34" s="256"/>
      <c r="V34" s="231"/>
    </row>
    <row r="35" spans="2:23" s="230" customFormat="1" ht="17.399999999999999" x14ac:dyDescent="0.35">
      <c r="B35" s="24" t="s">
        <v>153</v>
      </c>
      <c r="I35" s="262"/>
      <c r="J35" s="319"/>
      <c r="K35" s="250"/>
      <c r="L35" s="14">
        <v>12</v>
      </c>
      <c r="M35" s="250">
        <v>23500</v>
      </c>
      <c r="N35" s="12">
        <f t="shared" si="11"/>
        <v>282000</v>
      </c>
      <c r="O35" s="14" t="s">
        <v>143</v>
      </c>
      <c r="P35" s="17"/>
      <c r="R35" s="237"/>
      <c r="S35" s="256"/>
      <c r="V35" s="231"/>
    </row>
    <row r="36" spans="2:23" s="230" customFormat="1" ht="17.399999999999999" x14ac:dyDescent="0.35">
      <c r="B36" s="24" t="s">
        <v>146</v>
      </c>
      <c r="C36"/>
      <c r="D36"/>
      <c r="E36"/>
      <c r="F36"/>
      <c r="H36" s="230">
        <v>65292</v>
      </c>
      <c r="I36" s="262"/>
      <c r="J36" s="319"/>
      <c r="K36" s="250"/>
      <c r="L36" s="249"/>
      <c r="M36" s="250">
        <v>800</v>
      </c>
      <c r="N36" s="12">
        <f t="shared" si="11"/>
        <v>0</v>
      </c>
      <c r="O36" s="14" t="s">
        <v>34</v>
      </c>
      <c r="P36" s="14"/>
      <c r="Q36" s="230">
        <v>1.52</v>
      </c>
      <c r="R36" s="237"/>
      <c r="S36" s="237">
        <v>1.23</v>
      </c>
    </row>
    <row r="37" spans="2:23" s="230" customFormat="1" ht="17.399999999999999" x14ac:dyDescent="0.35">
      <c r="B37" s="29" t="s">
        <v>127</v>
      </c>
      <c r="C37"/>
      <c r="D37"/>
      <c r="E37"/>
      <c r="F37" s="229" t="s">
        <v>16</v>
      </c>
      <c r="H37" s="230">
        <v>2000</v>
      </c>
      <c r="I37" s="303"/>
      <c r="J37" s="47"/>
      <c r="K37" s="250"/>
      <c r="L37" s="266"/>
      <c r="M37" s="12">
        <v>1500</v>
      </c>
      <c r="N37" s="12">
        <f t="shared" si="11"/>
        <v>0</v>
      </c>
      <c r="O37" s="14" t="s">
        <v>24</v>
      </c>
      <c r="P37" s="14"/>
      <c r="Q37">
        <v>2.44</v>
      </c>
      <c r="R37"/>
      <c r="S37" s="237">
        <v>3.05</v>
      </c>
      <c r="W37" s="231"/>
    </row>
    <row r="38" spans="2:23" s="230" customFormat="1" ht="17.399999999999999" x14ac:dyDescent="0.35">
      <c r="H38" s="230">
        <v>1496</v>
      </c>
      <c r="J38" s="47"/>
      <c r="K38" s="250"/>
      <c r="L38" s="14"/>
      <c r="M38" s="12"/>
      <c r="N38" s="12">
        <f>SUM(N32:N37)</f>
        <v>990968.16</v>
      </c>
      <c r="O38" s="39" t="s">
        <v>25</v>
      </c>
      <c r="P38" s="14"/>
      <c r="Q38">
        <f>Q36*Q37</f>
        <v>3.7088000000000001</v>
      </c>
      <c r="R38"/>
      <c r="S38" s="237">
        <f>S36*S37</f>
        <v>3.7514999999999996</v>
      </c>
      <c r="W38" s="231"/>
    </row>
    <row r="39" spans="2:23" s="230" customFormat="1" ht="17.399999999999999" x14ac:dyDescent="0.35">
      <c r="H39" s="230">
        <v>3689</v>
      </c>
      <c r="J39" s="47">
        <v>4390</v>
      </c>
      <c r="K39" s="250"/>
      <c r="L39" s="254" t="s">
        <v>35</v>
      </c>
      <c r="M39" s="12"/>
      <c r="N39" s="255">
        <f>N38*2.1</f>
        <v>2081033.1360000002</v>
      </c>
      <c r="O39" s="14" t="s">
        <v>142</v>
      </c>
      <c r="P39" s="14"/>
      <c r="Q39" s="46">
        <f>O28/Q38</f>
        <v>12.388050043140638</v>
      </c>
      <c r="R39"/>
      <c r="S39" s="257">
        <f>O28/S38</f>
        <v>12.247047847527657</v>
      </c>
    </row>
    <row r="40" spans="2:23" s="230" customFormat="1" ht="17.399999999999999" x14ac:dyDescent="0.35">
      <c r="G40"/>
      <c r="H40" s="260">
        <v>1500</v>
      </c>
      <c r="I40" s="260"/>
      <c r="J40" s="47">
        <f>J39/1.19</f>
        <v>3689.0756302521008</v>
      </c>
      <c r="K40" s="250"/>
      <c r="L40" s="14"/>
      <c r="M40" s="12"/>
      <c r="N40" s="12">
        <f>N39/O28</f>
        <v>45294.203827201338</v>
      </c>
      <c r="O40" s="45" t="s">
        <v>26</v>
      </c>
      <c r="P40" s="14"/>
      <c r="Q40" s="14"/>
      <c r="R40"/>
      <c r="S40" s="237"/>
    </row>
    <row r="41" spans="2:23" s="230" customFormat="1" ht="17.399999999999999" x14ac:dyDescent="0.35">
      <c r="G41"/>
      <c r="H41" s="230">
        <f>SUM(H36:H40)</f>
        <v>73977</v>
      </c>
      <c r="J41" s="47"/>
      <c r="K41" s="250"/>
      <c r="L41" s="13"/>
      <c r="M41" s="14"/>
      <c r="N41" s="17">
        <f>N39/N38</f>
        <v>2.1</v>
      </c>
      <c r="O41" s="15"/>
      <c r="P41"/>
      <c r="Q41"/>
      <c r="R41"/>
      <c r="S41" s="237"/>
    </row>
    <row r="42" spans="2:23" s="230" customFormat="1" ht="17.399999999999999" x14ac:dyDescent="0.35">
      <c r="G42" s="23"/>
      <c r="J42" s="47"/>
      <c r="K42" s="12"/>
      <c r="S42" s="237"/>
    </row>
    <row r="43" spans="2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2:23" ht="14.4" customHeight="1" x14ac:dyDescent="0.3">
      <c r="J44" s="47"/>
      <c r="K44" s="12"/>
      <c r="S44">
        <v>2.5</v>
      </c>
    </row>
    <row r="45" spans="2:23" x14ac:dyDescent="0.3">
      <c r="J45" s="47"/>
      <c r="K45" s="250"/>
      <c r="S45">
        <f>S43*S44</f>
        <v>4.5750000000000002</v>
      </c>
    </row>
    <row r="46" spans="2:23" x14ac:dyDescent="0.3">
      <c r="K46" s="250"/>
      <c r="S46" s="270">
        <f>O30/S45</f>
        <v>12.051095081967214</v>
      </c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150</v>
      </c>
    </row>
    <row r="76" spans="3:14" x14ac:dyDescent="0.3">
      <c r="C76" t="s">
        <v>149</v>
      </c>
    </row>
    <row r="79" spans="3:14" x14ac:dyDescent="0.3">
      <c r="C79" t="s">
        <v>149</v>
      </c>
    </row>
    <row r="156" spans="3:3" x14ac:dyDescent="0.3">
      <c r="C156" t="s">
        <v>149</v>
      </c>
    </row>
    <row r="157" spans="3:3" x14ac:dyDescent="0.3">
      <c r="C157" t="s">
        <v>151</v>
      </c>
    </row>
    <row r="158" spans="3:3" x14ac:dyDescent="0.3">
      <c r="C158" t="s">
        <v>152</v>
      </c>
    </row>
    <row r="583" spans="3:3" x14ac:dyDescent="0.3">
      <c r="C583" t="s">
        <v>149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45390</v>
      </c>
    </row>
    <row r="6" spans="2:31" ht="16.2" thickBot="1" x14ac:dyDescent="0.35">
      <c r="B6" s="140" t="s">
        <v>2</v>
      </c>
      <c r="C6" s="139" t="str">
        <f>'2229'!C10</f>
        <v>COMERCIALIZADORA MDM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10917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-143666.71436678746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'2229'!H26</f>
        <v>2081024</v>
      </c>
      <c r="E11" s="132">
        <f>D11*0.19</f>
        <v>395394.56</v>
      </c>
      <c r="F11" s="131">
        <f>E11+D11</f>
        <v>2476418.56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-37676.714366787462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738802.25078743964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-55676.714366787462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1342221.7492125602</v>
      </c>
      <c r="E13" s="221">
        <f>(D11/D12)-1</f>
        <v>1.8167537359042645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-64676.714366787462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-103676.71436678746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1219023.7137992752</v>
      </c>
      <c r="F15" s="216">
        <f>E15-D12</f>
        <v>480221.46301183559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-103676.71436678746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-63676.714366787462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516000</v>
      </c>
      <c r="E19" s="123">
        <f>D19*0.19</f>
        <v>98040</v>
      </c>
      <c r="F19" s="120">
        <f>SUM(D19:E19)</f>
        <v>614040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192968.16</v>
      </c>
      <c r="E20" s="121">
        <f>D20*0.19</f>
        <v>36663.950400000002</v>
      </c>
      <c r="F20" s="120">
        <f>SUM(D20:E20)</f>
        <v>229632.11040000001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708968.16</v>
      </c>
      <c r="E21" s="116">
        <f>SUM(E18:E20)</f>
        <v>134703.9504</v>
      </c>
      <c r="F21" s="115">
        <f>SUM(F18:F20)</f>
        <v>843672.11040000001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260690.6096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2081024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708968.16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1342221.7492125602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1342221.7492125602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CAJONERA</vt:lpstr>
      <vt:lpstr>2229</vt:lpstr>
      <vt:lpstr>COSTOS</vt:lpstr>
      <vt:lpstr>'2229'!Área_de_impresión</vt:lpstr>
      <vt:lpstr>CAJONERA!Área_de_impresión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2024-04-10T18:34:46Z</cp:lastPrinted>
  <dcterms:created xsi:type="dcterms:W3CDTF">2013-03-18T13:35:42Z</dcterms:created>
  <dcterms:modified xsi:type="dcterms:W3CDTF">2024-04-10T18:35:56Z</dcterms:modified>
</cp:coreProperties>
</file>