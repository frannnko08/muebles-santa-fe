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F633AB94-96C5-45B5-9100-8177E6E45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 l="1"/>
  <c r="L21" i="1" l="1"/>
  <c r="L24" i="1" s="1"/>
  <c r="M21" i="1"/>
  <c r="N21" i="1" l="1"/>
  <c r="O21" i="1" s="1"/>
  <c r="O25" i="1" s="1"/>
  <c r="O26" i="1" s="1"/>
  <c r="O27" i="1" s="1"/>
  <c r="O28" i="1" s="1"/>
  <c r="R21" i="1"/>
  <c r="N31" i="1"/>
  <c r="S43" i="1" l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L30" i="1" l="1"/>
  <c r="N30" i="1" l="1"/>
  <c r="N36" i="1" s="1"/>
  <c r="N37" i="1" s="1"/>
  <c r="S44" i="1"/>
  <c r="D20" i="3" l="1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R26" i="1"/>
  <c r="H21" i="1" l="1"/>
  <c r="H24" i="1" l="1"/>
  <c r="H25" i="1" l="1"/>
  <c r="H26" i="1" s="1"/>
  <c r="K15" i="1"/>
  <c r="D11" i="3"/>
  <c r="X9" i="3" l="1"/>
  <c r="E13" i="3"/>
  <c r="M42" i="3"/>
  <c r="M46" i="3" s="1"/>
  <c r="M49" i="3" s="1"/>
  <c r="E11" i="3"/>
  <c r="D13" i="3"/>
  <c r="F11" i="3" l="1"/>
  <c r="D40" i="3"/>
  <c r="X15" i="3"/>
  <c r="X13" i="3"/>
  <c r="X12" i="3"/>
  <c r="X16" i="3"/>
  <c r="X11" i="3"/>
  <c r="X14" i="3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<sst xmlns="http://schemas.openxmlformats.org/spreadsheetml/2006/main" count="219" uniqueCount="164">
  <si>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</si>
  <si>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</si>
  <si>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</si>
  <si>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</si>
  <si>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</si>
  <si>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</si>
  <si>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</si>
  <si>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</si>
  <si>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</si>
  <si>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</si>
  <si>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</si>
  <si>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</si>
  <si>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</si>
  <si>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</si>
  <si>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</si>
  <si>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</si>
  <si>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</si>
  <si>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</si>
  <si>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</si>
  <si>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</si>
  <si>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</si>
  <si>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</si>
  <si>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</si>
  <si>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</si>
  <si>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</si>
  <si>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</si>
  <si>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</si>
  <si>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</si>
  <si>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</si>
  <si>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</si>
  <si>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</si>
  <si>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</si>
  <si>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</si>
  <si>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</si>
  <si>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</si>
  <si>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</si>
  <si>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</si>
  <si>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</si>
  <si>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</si>
  <si>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</si>
  <si>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</si>
  <si>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</si>
  <si>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</si>
  <si>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</si>
  <si>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</si>
  <si>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</si>
  <si>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</si>
  <si>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</si>
  <si>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</si>
  <si>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</si>
  <si>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</si>
  <si>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</si>
  <si>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</si>
  <si>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</si>
  <si>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</si>
  <si>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</si>
  <si>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</si>
  <si>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</si>
  <si>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</si>
  <si>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</si>
  <si>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</si>
  <si>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</si>
  <si>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</si>
  <si>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</si>
  <si>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</si>
  <si>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</si>
  <si>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</si>
  <si>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</si>
  <si>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</si>
  <si>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</si>
  <si>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</si>
  <si>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</si>
  <si>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</si>
  <si>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</si>
  <si>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</si>
  <si>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</si>
  <si>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</si>
  <si>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</si>
  <si>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</si>
  <si>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</si>
  <si>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</si>
  <si>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</si>
  <si>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</si>
  <si>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</si>
  <si>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</si>
  <si>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</si>
  <si>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</si>
  <si>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</si>
  <si>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</si>
  <si>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</si>
  <si>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</si>
  <si>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</si>
  <si>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</si>
  <si>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</si>
  <si>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</si>
  <si>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</si>
  <si>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</si>
  <si>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</si>
  <si>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</si>
  <si>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</si>
  <si>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</si>
  <si>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</si>
  <si>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</si>
  <si>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</si>
  <si>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</si>
  <si>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</si>
  <si>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</si>
  <si>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</si>
  <si>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</si>
  <si>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</si>
  <si>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</si>
  <si>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</si>
  <si>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</si>
  <si>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</si>
  <si>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</si>
  <si>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</si>
  <si>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</si>
  <si>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</si>
  <si>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</si>
  <si>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</si>
  <si>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</si>
  <si>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</si>
  <si>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</si>
  <si>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</si>
  <si>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</si>
  <si>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</si>
  <si>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</si>
  <si>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</si>
  <si>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</si>
  <si>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</si>
  <si>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</si>
  <si>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</si>
  <si>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</si>
  <si>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</si>
  <si>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</si>
  <si>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</si>
  <si>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</si>
  <si>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</si>
  <si>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</si>
  <si>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</si>
  <si>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</si>
  <si>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</si>
  <si>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</si>
  <si>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</si>
  <si>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</si>
  <si>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</si>
  <si>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</si>
  <si>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</si>
  <si>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</si>
  <si>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</si>
  <si>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</si>
  <si>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</si>
  <si>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</si>
  <si>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</si>
  <si>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</si>
  <si>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</si>
  <si>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</si>
  <si>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5 DIAS HABILES</t>
  </si>
  <si>
    <t>DURACION COTIZACION: 5 DIAS                   FRANCO DONOSO</t>
  </si>
  <si>
    <t>INSIDE WORK</t>
  </si>
  <si>
    <t>+569 5216 2705</t>
  </si>
  <si>
    <t>CUBIERTA MESA 2 LADOS 90°</t>
  </si>
  <si>
    <t>PINK L555 BR</t>
  </si>
  <si>
    <t>N° 10930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</si>
</sst>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[$$-340A]* #,##0_ ;_ [$$-340A]* \-#,##0_ ;_ [$$-340A]* &quot;-&quot;??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/>
    </xf>
    <xf numFmtId="175" fontId="33" fillId="8" borderId="29" xfId="0" applyNumberFormat="1" applyFont="1" applyFill="1" applyBorder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6" fillId="8" borderId="0" xfId="0" applyFont="1" applyFill="1"/>
    <xf numFmtId="0" fontId="29" fillId="0" borderId="0" xfId="0" applyFont="1" applyAlignment="1">
      <alignment horizontal="left"/>
    </xf>
    <xf numFmtId="0" fontId="9" fillId="8" borderId="0" xfId="3" applyFill="1"/>
    <xf numFmtId="0" fontId="5" fillId="8" borderId="0" xfId="0" applyFont="1" applyFill="1"/>
    <xf numFmtId="0" fontId="25" fillId="0" borderId="0" xfId="0" applyFont="1"/>
    <xf numFmtId="0" fontId="29" fillId="0" borderId="0" xfId="0" applyFont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27</xdr:row>
      <xdr:rowOff>9525</xdr:rowOff>
    </xdr:from>
    <xdr:to>
      <xdr:col>5</xdr:col>
      <xdr:colOff>1749491</xdr:colOff>
      <xdr:row>30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3072</xdr:colOff>
      <xdr:row>23</xdr:row>
      <xdr:rowOff>0</xdr:rowOff>
    </xdr:from>
    <xdr:to>
      <xdr:col>5</xdr:col>
      <xdr:colOff>1749490</xdr:colOff>
      <xdr:row>26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1567" y="4791658"/>
          <a:ext cx="6295091" cy="680358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804757</xdr:colOff>
      <xdr:row>6</xdr:row>
      <xdr:rowOff>72545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6" zoomScale="98" zoomScaleNormal="98" workbookViewId="0">
      <selection activeCell="D22" sqref="D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0" t="s">
        <v>128</v>
      </c>
      <c r="C8" s="291"/>
      <c r="D8" s="302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298"/>
      <c r="F11" t="s">
        <v>125</v>
      </c>
      <c r="G11" s="287" t="s">
        <v>157</v>
      </c>
      <c r="H11" s="288"/>
      <c r="P11" s="19"/>
      <c r="Q11" s="25" t="s">
        <v>19</v>
      </c>
      <c r="R11" s="19"/>
    </row>
    <row r="12" spans="2:23" ht="16.8" x14ac:dyDescent="0.4">
      <c r="B12" s="246" t="s">
        <v>147</v>
      </c>
      <c r="C12" s="31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86" t="s">
        <v>148</v>
      </c>
      <c r="G13" s="319"/>
      <c r="H13" s="28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46" t="s">
        <v>141</v>
      </c>
      <c r="C14" s="320"/>
      <c r="D14" s="247"/>
      <c r="E14" s="247"/>
      <c r="F14" s="321" t="s">
        <v>138</v>
      </c>
      <c r="G14" s="289" t="s">
        <v>137</v>
      </c>
      <c r="H14" s="248"/>
      <c r="J14" s="29"/>
      <c r="P14" s="20"/>
      <c r="Q14" s="26" t="s">
        <v>18</v>
      </c>
      <c r="R14" s="20"/>
    </row>
    <row r="15" spans="2:23" ht="15.6" x14ac:dyDescent="0.3">
      <c r="B15" s="286" t="s">
        <v>4</v>
      </c>
      <c r="C15" s="303" t="s">
        <v>160</v>
      </c>
      <c r="D15" s="322"/>
      <c r="F15" t="s">
        <v>136</v>
      </c>
      <c r="G15" s="323" t="s">
        <v>137</v>
      </c>
      <c r="H15" s="288"/>
      <c r="K15" s="18">
        <f>H24/L13</f>
        <v>2489.658884172226</v>
      </c>
    </row>
    <row r="16" spans="2:23" ht="16.8" x14ac:dyDescent="0.4">
      <c r="B16" s="324" t="s">
        <v>3</v>
      </c>
      <c r="C16" s="318"/>
      <c r="D16" s="247"/>
      <c r="E16" s="247"/>
      <c r="F16" s="325" t="s">
        <v>131</v>
      </c>
      <c r="G16" s="326" t="s">
        <v>155</v>
      </c>
      <c r="H16" s="248"/>
    </row>
    <row r="17" spans="1:24" ht="15" thickBot="1" x14ac:dyDescent="0.35">
      <c r="B17" s="327" t="s">
        <v>13</v>
      </c>
      <c r="C17" s="328" t="s">
        <v>156</v>
      </c>
      <c r="D17" s="329"/>
      <c r="E17" s="119"/>
      <c r="F17" s="330" t="s">
        <v>158</v>
      </c>
      <c r="G17" s="330"/>
      <c r="H17" s="331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160212.58536585368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3">
        <v>1</v>
      </c>
      <c r="C21" s="314" t="s">
        <v>161</v>
      </c>
      <c r="D21" s="315">
        <v>2</v>
      </c>
      <c r="E21" s="315">
        <v>0.25</v>
      </c>
      <c r="F21" s="314" t="s">
        <v>162</v>
      </c>
      <c r="G21" s="316">
        <f>P21</f>
        <v>82108.95</v>
      </c>
      <c r="H21" s="317">
        <f t="shared" ref="H21" si="1">G21*B21</f>
        <v>82108.95</v>
      </c>
      <c r="I21" s="265"/>
      <c r="J21" s="47"/>
      <c r="K21" s="304">
        <f t="shared" si="0"/>
        <v>1</v>
      </c>
      <c r="L21" s="305">
        <f t="shared" ref="L21:M21" si="2">D21+L$19</f>
        <v>2.0499999999999998</v>
      </c>
      <c r="M21" s="305">
        <f t="shared" si="2"/>
        <v>0.25</v>
      </c>
      <c r="N21" s="261">
        <f>L21*M21</f>
        <v>0.51249999999999996</v>
      </c>
      <c r="O21" s="259">
        <f>N21*K21</f>
        <v>0.51249999999999996</v>
      </c>
      <c r="P21" s="252">
        <f>P$20*N21</f>
        <v>82108.95</v>
      </c>
      <c r="Q21" s="258">
        <f>P21+Q$20</f>
        <v>85108.95</v>
      </c>
      <c r="R21" s="295">
        <f>K21*L21</f>
        <v>2.0499999999999998</v>
      </c>
      <c r="S21" s="14"/>
      <c r="T21" s="9"/>
      <c r="W21" s="4"/>
    </row>
    <row r="22" spans="1:24" ht="17.399999999999999" x14ac:dyDescent="0.3">
      <c r="B22" s="284"/>
      <c r="C22" s="284"/>
      <c r="D22" s="285"/>
      <c r="E22" s="285"/>
      <c r="F22" s="284"/>
      <c r="G22" s="299"/>
      <c r="H22" s="299"/>
      <c r="I22" s="265"/>
      <c r="K22" s="306"/>
      <c r="L22" s="307"/>
      <c r="M22" s="307"/>
      <c r="N22" s="261"/>
      <c r="O22" s="259"/>
      <c r="P22" s="252"/>
      <c r="Q22" s="258"/>
      <c r="R22" s="295"/>
      <c r="S22" s="14"/>
      <c r="T22" s="9"/>
      <c r="W22" s="4"/>
    </row>
    <row r="23" spans="1:24" ht="18" thickBot="1" x14ac:dyDescent="0.35">
      <c r="B23" s="284"/>
      <c r="C23" s="284"/>
      <c r="D23" s="285"/>
      <c r="E23" s="285"/>
      <c r="F23" s="284"/>
      <c r="I23" s="232"/>
      <c r="J23" s="47"/>
      <c r="K23" s="47"/>
      <c r="L23" s="39"/>
      <c r="M23" s="39"/>
      <c r="N23" s="261"/>
      <c r="O23" s="259"/>
      <c r="P23" s="252"/>
      <c r="Q23" s="258"/>
      <c r="R23" s="295"/>
      <c r="S23" s="14"/>
      <c r="T23" s="9"/>
      <c r="W23" s="4"/>
    </row>
    <row r="24" spans="1:24" ht="17.399999999999999" x14ac:dyDescent="0.3">
      <c r="B24" s="284"/>
      <c r="C24" s="284"/>
      <c r="D24" s="285"/>
      <c r="E24" s="285"/>
      <c r="F24" s="284"/>
      <c r="G24" s="296" t="s">
        <v>30</v>
      </c>
      <c r="H24" s="297">
        <f>SUM(H21:H22)</f>
        <v>82108.95</v>
      </c>
      <c r="I24" s="265"/>
      <c r="J24" s="47"/>
      <c r="K24" s="47"/>
      <c r="L24" s="39">
        <f>SUM(L21:L23)</f>
        <v>2.0499999999999998</v>
      </c>
      <c r="M24" s="39"/>
      <c r="N24" s="261"/>
      <c r="O24" s="259"/>
      <c r="P24" s="252"/>
      <c r="Q24" s="258"/>
      <c r="R24" s="295"/>
      <c r="S24" s="14"/>
      <c r="T24" s="9"/>
      <c r="W24" s="4"/>
    </row>
    <row r="25" spans="1:24" ht="17.399999999999999" x14ac:dyDescent="0.3">
      <c r="B25" s="279"/>
      <c r="C25" s="281"/>
      <c r="D25" s="282"/>
      <c r="E25" s="282"/>
      <c r="F25" s="283"/>
      <c r="G25" s="294" t="s">
        <v>53</v>
      </c>
      <c r="H25" s="293">
        <f>H24*0.19</f>
        <v>15600.700499999999</v>
      </c>
      <c r="I25" s="265"/>
      <c r="J25" s="47"/>
      <c r="K25" s="47"/>
      <c r="L25" s="39"/>
      <c r="M25" s="12"/>
      <c r="N25" s="12"/>
      <c r="O25" s="253">
        <f>SUM(O21:O21)</f>
        <v>0.51249999999999996</v>
      </c>
      <c r="P25" s="14"/>
      <c r="Q25" s="12"/>
      <c r="R25" s="238"/>
      <c r="S25" s="14"/>
      <c r="T25" s="9"/>
      <c r="W25" s="4"/>
    </row>
    <row r="26" spans="1:24" ht="18" thickBot="1" x14ac:dyDescent="0.35">
      <c r="B26" s="275"/>
      <c r="C26" s="280"/>
      <c r="D26" s="272"/>
      <c r="E26" s="272"/>
      <c r="F26" s="273"/>
      <c r="G26" s="311" t="s">
        <v>6</v>
      </c>
      <c r="H26" s="312">
        <f>SUM(H24:H25)</f>
        <v>97709.650499999989</v>
      </c>
      <c r="I26" s="265"/>
      <c r="J26" s="47"/>
      <c r="K26" s="47"/>
      <c r="L26" s="39"/>
      <c r="M26" s="12"/>
      <c r="N26" s="12"/>
      <c r="O26" s="253">
        <f>O25</f>
        <v>0.51249999999999996</v>
      </c>
      <c r="P26" s="14"/>
      <c r="Q26" s="12"/>
      <c r="R26" s="238">
        <f>SUM(R21:R25)</f>
        <v>2.0499999999999998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O26*0.2</f>
        <v>0.10249999999999999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01"/>
      <c r="K28" s="47"/>
      <c r="L28" s="14"/>
      <c r="M28" s="12"/>
      <c r="N28" s="12"/>
      <c r="O28" s="46">
        <f>O26+O27</f>
        <v>0.61499999999999999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J29" s="301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0.61499999999999999</v>
      </c>
      <c r="M30" s="12">
        <v>3500</v>
      </c>
      <c r="N30" s="12">
        <f t="shared" ref="N30:N35" si="3">L30*M30</f>
        <v>2152.5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8.1000000000000003E-2</v>
      </c>
      <c r="M31" s="12">
        <v>25000</v>
      </c>
      <c r="N31" s="12">
        <f t="shared" si="3"/>
        <v>2025</v>
      </c>
      <c r="O31" s="39" t="s">
        <v>154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150000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00"/>
      <c r="K33" s="250"/>
      <c r="L33" s="14">
        <v>1</v>
      </c>
      <c r="M33" s="250">
        <v>34922</v>
      </c>
      <c r="N33" s="12">
        <f t="shared" si="3"/>
        <v>34922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00"/>
      <c r="K34" s="250"/>
      <c r="L34" s="249">
        <v>0</v>
      </c>
      <c r="M34" s="250">
        <v>800</v>
      </c>
      <c r="N34" s="12">
        <f t="shared" si="3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I35" s="292"/>
      <c r="J35" s="47"/>
      <c r="K35" s="250"/>
      <c r="L35" s="266">
        <v>0</v>
      </c>
      <c r="M35" s="12">
        <v>1500</v>
      </c>
      <c r="N35" s="12">
        <f t="shared" si="3"/>
        <v>0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I36" s="265"/>
      <c r="J36" s="47"/>
      <c r="K36" s="250"/>
      <c r="L36" s="14"/>
      <c r="M36" s="12"/>
      <c r="N36" s="12">
        <f>SUM(N30:N35)</f>
        <v>39099.5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68410</v>
      </c>
      <c r="K37" s="250"/>
      <c r="L37" s="254" t="s">
        <v>35</v>
      </c>
      <c r="M37" s="12"/>
      <c r="N37" s="255">
        <f>N36*2.1</f>
        <v>82108.95</v>
      </c>
      <c r="O37" s="14" t="s">
        <v>142</v>
      </c>
      <c r="P37" s="14"/>
      <c r="Q37" s="46">
        <f>O28/Q36</f>
        <v>9.1821195019260046E-2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57487.394957983197</v>
      </c>
      <c r="K38" s="250"/>
      <c r="L38" s="14"/>
      <c r="M38" s="12"/>
      <c r="N38" s="12">
        <f>N37/O26</f>
        <v>160212.58536585368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2.1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0.13442622950819672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45405</v>
      </c>
    </row>
    <row r="6" spans="2:31" ht="16.2" thickBot="1" x14ac:dyDescent="0.35">
      <c r="B6" s="140" t="s">
        <v>2</v>
      </c>
      <c r="C6" s="139" t="str">
        <f>'2229'!C10</f>
        <v>INSIDE WORK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10930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-4331.6375334541053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82108.95</v>
      </c>
      <c r="E11" s="132">
        <f>D11*0.19</f>
        <v>15600.700499999999</v>
      </c>
      <c r="F11" s="131">
        <f>E11+D11</f>
        <v>97709.650499999989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101658.36246654589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34011.590787439614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83658.362466545892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48097.359212560383</v>
      </c>
      <c r="E13" s="221">
        <f>(D11/D12)-1</f>
        <v>1.4141461219250764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74658.362466545892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35658.362466545892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56119.124799275363</v>
      </c>
      <c r="F15" s="216">
        <f>E15-D12</f>
        <v>22107.534011835749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35658.362466545892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75658.362466545892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2025</v>
      </c>
      <c r="E19" s="123">
        <f>D19*0.19</f>
        <v>384.75</v>
      </c>
      <c r="F19" s="120">
        <f>SUM(D19:E19)</f>
        <v>2409.75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2152.5</v>
      </c>
      <c r="E20" s="121">
        <f>D20*0.19</f>
        <v>408.97500000000002</v>
      </c>
      <c r="F20" s="120">
        <f>SUM(D20:E20)</f>
        <v>2561.4749999999999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4177.5</v>
      </c>
      <c r="E21" s="116">
        <f>SUM(E18:E20)</f>
        <v>793.72500000000002</v>
      </c>
      <c r="F21" s="115">
        <f>SUM(F18:F20)</f>
        <v>4971.2250000000004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14806.975499999999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82108.95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4177.5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48097.359212560383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48097.359212560383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2024-04-23T15:56:17Z</cp:lastPrinted>
  <dcterms:created xsi:type="dcterms:W3CDTF">2013-03-18T13:35:42Z</dcterms:created>
  <dcterms:modified xsi:type="dcterms:W3CDTF">2024-04-23T20:09:50Z</dcterms:modified>
</cp:coreProperties>
</file>