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BD1C0ECF-72B1-45FE-B807-F487AD546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L29" i="1"/>
  <c r="K21" i="1" l="1"/>
  <c r="J41" i="1"/>
  <c r="J38" i="1" l="1"/>
  <c r="L21" i="1"/>
  <c r="L23" i="1" s="1"/>
  <c r="M21" i="1"/>
  <c r="S21" i="1" l="1"/>
  <c r="S23" i="1" s="1"/>
  <c r="S24" i="1" s="1"/>
  <c r="S25" i="1" s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5" i="1" s="1"/>
  <c r="N36" i="1" s="1"/>
  <c r="Q36" i="1"/>
  <c r="D20" i="3" l="1"/>
  <c r="E20" i="3" s="1"/>
  <c r="E21" i="3" s="1"/>
  <c r="N37" i="1" l="1"/>
  <c r="D21" i="3"/>
  <c r="M43" i="3" s="1"/>
  <c r="D12" i="3" s="1"/>
  <c r="F20" i="3"/>
  <c r="F21" i="3" s="1"/>
  <c r="N38" i="1" l="1"/>
  <c r="P20" i="1"/>
  <c r="E15" i="3"/>
  <c r="P21" i="1" l="1"/>
  <c r="F15" i="3"/>
  <c r="Q21" i="1" l="1"/>
  <c r="H2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<sst xmlns="http://schemas.openxmlformats.org/spreadsheetml/2006/main" count="230" uniqueCount="174">
  <si>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</si>
  <si>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</si>
  <si>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</si>
  <si>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</si>
  <si>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</si>
  <si>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</si>
  <si>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</si>
  <si>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</si>
  <si>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</si>
  <si>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</si>
  <si>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</si>
  <si>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</si>
  <si>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</si>
  <si>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</si>
  <si>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</si>
  <si>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</si>
  <si>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</si>
  <si>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</si>
  <si>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</si>
  <si>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</si>
  <si>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</si>
  <si>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</si>
  <si>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</si>
  <si>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</si>
  <si>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</si>
  <si>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</si>
  <si>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</si>
  <si>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</si>
  <si>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</si>
  <si>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</si>
  <si>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</si>
  <si>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</si>
  <si>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</si>
  <si>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</si>
  <si>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</si>
  <si>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</si>
  <si>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</si>
  <si>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</si>
  <si>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</si>
  <si>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</si>
  <si>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</si>
  <si>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</si>
  <si>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</si>
  <si>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</si>
  <si>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</si>
  <si>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</si>
  <si>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</si>
  <si>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</si>
  <si>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</si>
  <si>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</si>
  <si>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</si>
  <si>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</si>
  <si>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</si>
  <si>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</si>
  <si>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</si>
  <si>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</si>
  <si>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</si>
  <si>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</si>
  <si>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</si>
  <si>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</si>
  <si>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</si>
  <si>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</si>
  <si>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</si>
  <si>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</si>
  <si>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</si>
  <si>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</si>
  <si>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</si>
  <si>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</si>
  <si>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</si>
  <si>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</si>
  <si>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</si>
  <si>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</si>
  <si>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</si>
  <si>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</si>
  <si>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</si>
  <si>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</si>
  <si>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</si>
  <si>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</si>
  <si>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</si>
  <si>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</si>
  <si>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</si>
  <si>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</si>
  <si>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</si>
  <si>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</si>
  <si>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</si>
  <si>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</si>
  <si>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</si>
  <si>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</si>
  <si>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</si>
  <si>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</si>
  <si>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</si>
  <si>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</si>
  <si>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</si>
  <si>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</si>
  <si>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</si>
  <si>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</si>
  <si>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</si>
  <si>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</si>
  <si>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</si>
  <si>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</si>
  <si>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</si>
  <si>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</si>
  <si>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</si>
  <si>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</si>
  <si>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</si>
  <si>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</si>
  <si>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</si>
  <si>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</si>
  <si>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</si>
  <si>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</si>
  <si>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</si>
  <si>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</si>
  <si>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</si>
  <si>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</si>
  <si>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</si>
  <si>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</si>
  <si>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</si>
  <si>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</si>
  <si>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</si>
  <si>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</si>
  <si>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</si>
  <si>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</si>
  <si>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</si>
  <si>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</si>
  <si>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</si>
  <si>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</si>
  <si>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</si>
  <si>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</si>
  <si>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</si>
  <si>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</si>
  <si>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</si>
  <si>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</si>
  <si>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</si>
  <si>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</si>
  <si>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</si>
  <si>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</si>
  <si>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</si>
  <si>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</si>
  <si>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</si>
  <si>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</si>
  <si>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</si>
  <si>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</si>
  <si>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</si>
  <si>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</si>
  <si>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</si>
  <si>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</si>
  <si>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</si>
  <si>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</si>
  <si>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</si>
  <si>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</si>
  <si>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</si>
  <si>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</si>
  <si>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</si>
  <si>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</si>
  <si>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</si>
  <si>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</si>
  <si>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</si>
  <si>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</si>
  <si>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</si>
  <si>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</si>
  <si>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</si>
  <si>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</si>
  <si>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</si>
  <si>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</si>
  <si>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</si>
  <si>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</si>
  <si>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</si>
  <si>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</si>
  <si>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3  DIAS HABILES</t>
  </si>
  <si>
    <t>N° 11058</t>
  </si>
  <si>
    <t>PAOLA CAÑAS</t>
  </si>
  <si>
    <t>+569 8408 6466</t>
  </si>
  <si>
    <t>CUBIERTA CON RESPALDO Y FRENTE 90°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</si>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</sst>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2" zoomScale="93" zoomScaleNormal="93" workbookViewId="0">
      <selection activeCell="I19" sqref="I1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0.5546875" customWidth="1"/>
    <col min="6" max="6" width="28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45523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s="279"/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60752.195121951234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172</v>
      </c>
      <c r="D21" s="326">
        <v>2</v>
      </c>
      <c r="E21" s="326">
        <v>0.75</v>
      </c>
      <c r="F21" s="325" t="s">
        <v>173</v>
      </c>
      <c r="G21" s="327">
        <v>96407</v>
      </c>
      <c r="H21" s="327">
        <f>G21*B21</f>
        <v>96407</v>
      </c>
      <c r="I21" s="265"/>
      <c r="J21" s="47"/>
      <c r="K21" s="47">
        <f>B21</f>
        <v>1</v>
      </c>
      <c r="L21" s="39">
        <f t="shared" ref="L21" si="1">D21+L$19</f>
        <v>2.0499999999999998</v>
      </c>
      <c r="M21" s="39">
        <f t="shared" ref="M21" si="2">E21+M$19</f>
        <v>0.75</v>
      </c>
      <c r="N21" s="261">
        <f t="shared" ref="N21" si="3">L21*M21</f>
        <v>1.5374999999999999</v>
      </c>
      <c r="O21" s="259">
        <f t="shared" ref="O21" si="4">N21*K21</f>
        <v>1.5374999999999999</v>
      </c>
      <c r="P21" s="252">
        <f t="shared" ref="P21" si="5">P$20*N21</f>
        <v>93406.500000000015</v>
      </c>
      <c r="Q21" s="328">
        <f t="shared" ref="Q21" si="6">P21+Q$20</f>
        <v>96406.500000000015</v>
      </c>
      <c r="R21" s="298">
        <f>L21*K21*2</f>
        <v>4.0999999999999996</v>
      </c>
      <c r="S21" s="46">
        <f>M21*2*K21</f>
        <v>1.5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299" t="s">
        <v>29</v>
      </c>
      <c r="H23" s="300">
        <f>SUM(H21:H22)</f>
        <v>96407</v>
      </c>
      <c r="I23" s="265"/>
      <c r="J23" s="47"/>
      <c r="K23" s="47"/>
      <c r="L23" s="39">
        <f>SUM(L21:L22)</f>
        <v>2.0499999999999998</v>
      </c>
      <c r="M23" s="39"/>
      <c r="N23" s="261"/>
      <c r="O23" s="259"/>
      <c r="P23" s="252"/>
      <c r="Q23" s="258"/>
      <c r="R23" s="298"/>
      <c r="S23" s="46">
        <f>SUM(S21:S22)</f>
        <v>1.5</v>
      </c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7" t="s">
        <v>52</v>
      </c>
      <c r="H24" s="295">
        <f>H23*19%</f>
        <v>18317.330000000002</v>
      </c>
      <c r="I24" s="265"/>
      <c r="J24" s="47"/>
      <c r="K24" s="47"/>
      <c r="L24" s="39"/>
      <c r="M24" s="12"/>
      <c r="N24" s="12"/>
      <c r="O24" s="253">
        <f>SUM(O21:O21)</f>
        <v>1.5374999999999999</v>
      </c>
      <c r="P24" s="14"/>
      <c r="Q24" s="12"/>
      <c r="R24" s="239"/>
      <c r="S24" s="46">
        <f>S23*20%</f>
        <v>0.30000000000000004</v>
      </c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6">
        <f>H23+H24</f>
        <v>114724.33</v>
      </c>
      <c r="I25" s="265"/>
      <c r="J25" s="47"/>
      <c r="K25" s="47"/>
      <c r="L25" s="39"/>
      <c r="M25" s="12"/>
      <c r="N25" s="12"/>
      <c r="O25" s="253">
        <f>O24</f>
        <v>1.5374999999999999</v>
      </c>
      <c r="P25" s="14"/>
      <c r="Q25" s="12"/>
      <c r="R25" s="239">
        <f>SUM(R21:R24)</f>
        <v>4.0999999999999996</v>
      </c>
      <c r="S25" s="46">
        <f>S23+S24</f>
        <v>1.8</v>
      </c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0.3075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1.8449999999999998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5" t="s">
        <v>22</v>
      </c>
      <c r="U28" s="302" t="s">
        <v>153</v>
      </c>
      <c r="V28" s="306">
        <v>44971</v>
      </c>
      <c r="W28" s="307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1.8449999999999998</v>
      </c>
      <c r="M29" s="12">
        <v>3500</v>
      </c>
      <c r="N29" s="12">
        <f t="shared" ref="N29:N34" si="7">L29*M29</f>
        <v>6457.4999999999991</v>
      </c>
      <c r="O29" s="14" t="s">
        <v>22</v>
      </c>
      <c r="P29" s="14"/>
      <c r="Q29" s="14"/>
      <c r="R29" s="241"/>
      <c r="S29" s="14"/>
      <c r="T29" s="305" t="s">
        <v>154</v>
      </c>
      <c r="U29" s="302">
        <v>3625</v>
      </c>
      <c r="V29" s="59" t="s">
        <v>155</v>
      </c>
      <c r="W29" s="307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0.5</v>
      </c>
      <c r="M30" s="12">
        <v>25000</v>
      </c>
      <c r="N30" s="12">
        <f t="shared" si="7"/>
        <v>12500</v>
      </c>
      <c r="O30" s="39" t="s">
        <v>32</v>
      </c>
      <c r="P30" s="42"/>
      <c r="Q30" s="14"/>
      <c r="R30" s="240"/>
      <c r="S30" s="14"/>
      <c r="T30" s="305"/>
      <c r="U30" s="59">
        <v>906.25</v>
      </c>
      <c r="V30" s="59" t="s">
        <v>156</v>
      </c>
      <c r="W30" s="307"/>
    </row>
    <row r="31" spans="2:24" s="230" customFormat="1" ht="17.399999999999999" x14ac:dyDescent="0.35">
      <c r="I31" s="262"/>
      <c r="J31" s="232"/>
      <c r="K31" s="250"/>
      <c r="L31" s="14"/>
      <c r="M31" s="250">
        <v>25000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7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23500</v>
      </c>
      <c r="N32" s="12">
        <f t="shared" si="7"/>
        <v>23500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7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42457.5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93406.500000000015</v>
      </c>
      <c r="O36" s="14" t="s">
        <v>141</v>
      </c>
      <c r="P36" s="14"/>
      <c r="Q36" s="40">
        <f>O27/Q35</f>
        <v>0.49746548748921476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44730</v>
      </c>
      <c r="K37" s="250"/>
      <c r="L37" s="14"/>
      <c r="M37" s="12"/>
      <c r="N37" s="12">
        <f>N36/O25</f>
        <v>60752.195121951234</v>
      </c>
      <c r="O37" s="45" t="s">
        <v>25</v>
      </c>
      <c r="P37" s="14"/>
      <c r="Q37" s="14"/>
      <c r="R37"/>
      <c r="S37" s="238"/>
      <c r="T37" s="59" t="s">
        <v>159</v>
      </c>
      <c r="U37" s="302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37588.23529411765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03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4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230">
        <v>110000</v>
      </c>
      <c r="K40" s="12"/>
      <c r="S40" s="238"/>
      <c r="T40" s="59" t="s">
        <v>157</v>
      </c>
      <c r="U40" s="59">
        <v>474.45</v>
      </c>
    </row>
    <row r="41" spans="2:23" ht="14.4" customHeight="1" x14ac:dyDescent="0.3">
      <c r="J41">
        <f>J40/9</f>
        <v>12222.222222222223</v>
      </c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45523</v>
      </c>
    </row>
    <row r="6" spans="2:31" ht="16.2" thickBot="1" x14ac:dyDescent="0.35">
      <c r="B6" s="140" t="s">
        <v>2</v>
      </c>
      <c r="C6" s="139" t="str">
        <f>'2229'!C10</f>
        <v>PAOLA CAÑAS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-2650.1458667874394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96407</v>
      </c>
      <c r="E11" s="132">
        <f>D11*0.19</f>
        <v>18317.330000000002</v>
      </c>
      <c r="F11" s="131">
        <f>E11+D11</f>
        <v>114724.33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103339.85413321256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48791.590787439614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85339.854133212561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47615.409212560386</v>
      </c>
      <c r="E13" s="221">
        <f>(D11/D12)-1</f>
        <v>0.97589376456276544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76339.854133212561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37339.854133212561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80506.124799275363</v>
      </c>
      <c r="F15" s="216">
        <f>E15-D12</f>
        <v>31714.534011835749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37339.854133212561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77339.854133212561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6457.4999999999991</v>
      </c>
      <c r="E20" s="121">
        <f>D20*0.19</f>
        <v>1226.925</v>
      </c>
      <c r="F20" s="120">
        <f>SUM(D20:E20)</f>
        <v>7684.4249999999993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18957.5</v>
      </c>
      <c r="E21" s="116">
        <f>SUM(E18:E20)</f>
        <v>3601.9250000000002</v>
      </c>
      <c r="F21" s="115">
        <f>SUM(F18:F20)</f>
        <v>22559.424999999999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14715.405000000002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96407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18957.5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47615.409212560386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47615.409212560386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2024-07-29T21:24:07Z</cp:lastPrinted>
  <dcterms:created xsi:type="dcterms:W3CDTF">2013-03-18T13:35:42Z</dcterms:created>
  <dcterms:modified xsi:type="dcterms:W3CDTF">2024-08-19T19:06:20Z</dcterms:modified>
</cp:coreProperties>
</file>