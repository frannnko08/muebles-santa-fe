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D7641473-4C71-41B2-8B27-BA10AFC03C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H35" i="1"/>
  <c r="H34" i="1"/>
  <c r="H33" i="1"/>
  <c r="M29" i="1"/>
  <c r="N29" i="1" s="1"/>
  <c r="M30" i="1"/>
  <c r="N30" i="1" s="1"/>
  <c r="O30" i="1" s="1"/>
  <c r="M31" i="1"/>
  <c r="N31" i="1"/>
  <c r="M32" i="1"/>
  <c r="N32" i="1" s="1"/>
  <c r="O32" i="1" s="1"/>
  <c r="M33" i="1"/>
  <c r="N33" i="1" s="1"/>
  <c r="M34" i="1"/>
  <c r="N34" i="1" s="1"/>
  <c r="O34" i="1" s="1"/>
  <c r="M35" i="1"/>
  <c r="N35" i="1"/>
  <c r="O35" i="1" s="1"/>
  <c r="M36" i="1"/>
  <c r="N36" i="1" s="1"/>
  <c r="O36" i="1" s="1"/>
  <c r="M37" i="1"/>
  <c r="N37" i="1" s="1"/>
  <c r="O37" i="1" s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H38" i="1"/>
  <c r="J60" i="1"/>
  <c r="M25" i="1"/>
  <c r="R24" i="1"/>
  <c r="L22" i="1"/>
  <c r="M22" i="1"/>
  <c r="M23" i="1"/>
  <c r="M24" i="1"/>
  <c r="N24" i="1" s="1"/>
  <c r="H25" i="1"/>
  <c r="H32" i="1"/>
  <c r="H29" i="1"/>
  <c r="H39" i="1"/>
  <c r="M28" i="1"/>
  <c r="N28" i="1" s="1"/>
  <c r="H30" i="1"/>
  <c r="H31" i="1"/>
  <c r="H28" i="1"/>
  <c r="M27" i="1"/>
  <c r="H27" i="1"/>
  <c r="O33" i="1" l="1"/>
  <c r="O31" i="1"/>
  <c r="O29" i="1"/>
  <c r="N25" i="1"/>
  <c r="N22" i="1"/>
  <c r="O24" i="1"/>
  <c r="O25" i="1"/>
  <c r="N23" i="1"/>
  <c r="O23" i="1" s="1"/>
  <c r="O22" i="1"/>
  <c r="R22" i="1"/>
  <c r="R23" i="1"/>
  <c r="N27" i="1"/>
  <c r="O27" i="1" s="1"/>
  <c r="O28" i="1"/>
  <c r="M26" i="1"/>
  <c r="H24" i="1"/>
  <c r="H26" i="1"/>
  <c r="H22" i="1"/>
  <c r="N26" i="1" l="1"/>
  <c r="O26" i="1" s="1"/>
  <c r="S23" i="1"/>
  <c r="J57" i="1"/>
  <c r="L21" i="1"/>
  <c r="L42" i="1" s="1"/>
  <c r="M21" i="1"/>
  <c r="S21" i="1" l="1"/>
  <c r="S42" i="1" s="1"/>
  <c r="S43" i="1" s="1"/>
  <c r="S44" i="1" s="1"/>
  <c r="R21" i="1"/>
  <c r="R44" i="1" s="1"/>
  <c r="N21" i="1"/>
  <c r="O21" i="1" s="1"/>
  <c r="O43" i="1" s="1"/>
  <c r="U50" i="1"/>
  <c r="U51" i="1" s="1"/>
  <c r="N49" i="1" l="1"/>
  <c r="O44" i="1" l="1"/>
  <c r="O45" i="1" s="1"/>
  <c r="O46" i="1" s="1"/>
  <c r="L48" i="1" s="1"/>
  <c r="M20" i="1"/>
  <c r="K20" i="1"/>
  <c r="N50" i="1" l="1"/>
  <c r="Q54" i="1"/>
  <c r="N5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3" i="1"/>
  <c r="N52" i="1"/>
  <c r="F18" i="3" l="1"/>
  <c r="N48" i="1" l="1"/>
  <c r="N54" i="1" s="1"/>
  <c r="N55" i="1" s="1"/>
  <c r="Q55" i="1"/>
  <c r="D20" i="3" l="1"/>
  <c r="E20" i="3" s="1"/>
  <c r="E21" i="3" s="1"/>
  <c r="N56" i="1" l="1"/>
  <c r="D21" i="3"/>
  <c r="M43" i="3" s="1"/>
  <c r="D12" i="3" s="1"/>
  <c r="F20" i="3"/>
  <c r="F21" i="3" s="1"/>
  <c r="N57" i="1" l="1"/>
  <c r="P20" i="1"/>
  <c r="E15" i="3"/>
  <c r="P25" i="1" l="1"/>
  <c r="Q25" i="1" s="1"/>
  <c r="P30" i="1"/>
  <c r="Q30" i="1" s="1"/>
  <c r="P34" i="1"/>
  <c r="Q34" i="1" s="1"/>
  <c r="P31" i="1"/>
  <c r="Q31" i="1" s="1"/>
  <c r="P35" i="1"/>
  <c r="Q35" i="1" s="1"/>
  <c r="P33" i="1"/>
  <c r="Q33" i="1" s="1"/>
  <c r="P37" i="1"/>
  <c r="Q37" i="1" s="1"/>
  <c r="P32" i="1"/>
  <c r="Q32" i="1" s="1"/>
  <c r="P36" i="1"/>
  <c r="Q36" i="1" s="1"/>
  <c r="P29" i="1"/>
  <c r="Q29" i="1" s="1"/>
  <c r="P28" i="1"/>
  <c r="Q28" i="1" s="1"/>
  <c r="P22" i="1"/>
  <c r="Q22" i="1" s="1"/>
  <c r="P24" i="1"/>
  <c r="Q24" i="1" s="1"/>
  <c r="P23" i="1"/>
  <c r="Q23" i="1" s="1"/>
  <c r="P26" i="1"/>
  <c r="Q26" i="1" s="1"/>
  <c r="P27" i="1"/>
  <c r="Q27" i="1" s="1"/>
  <c r="H23" i="1"/>
  <c r="P21" i="1"/>
  <c r="F15" i="3"/>
  <c r="Q21" i="1" l="1"/>
  <c r="H21" i="1" l="1"/>
  <c r="H42" i="1" s="1"/>
  <c r="H44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<sst xmlns="http://schemas.openxmlformats.org/spreadsheetml/2006/main" count="265" uniqueCount="185">
  <si>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</si>
  <si>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</si>
  <si>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</si>
  <si>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</si>
  <si>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</si>
  <si>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</si>
  <si>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</si>
  <si>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</si>
  <si>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</si>
  <si>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</si>
  <si>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</si>
  <si>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</si>
  <si>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</si>
  <si>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</si>
  <si>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</si>
  <si>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</si>
  <si>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</si>
  <si>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</si>
  <si>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</si>
  <si>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</si>
  <si>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</si>
  <si>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</si>
  <si>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</si>
  <si>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</si>
  <si>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</si>
  <si>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</si>
  <si>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</si>
  <si>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</si>
  <si>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</si>
  <si>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</si>
  <si>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</si>
  <si>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</si>
  <si>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</si>
  <si>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</si>
  <si>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</si>
  <si>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</si>
  <si>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</si>
  <si>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</si>
  <si>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</si>
  <si>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</si>
  <si>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</si>
  <si>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</si>
  <si>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</si>
  <si>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</si>
  <si>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</si>
  <si>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</si>
  <si>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</si>
  <si>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</si>
  <si>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</si>
  <si>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</si>
  <si>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</si>
  <si>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</si>
  <si>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</si>
  <si>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</si>
  <si>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</si>
  <si>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</si>
  <si>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</si>
  <si>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</si>
  <si>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</si>
  <si>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</si>
  <si>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</si>
  <si>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</si>
  <si>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</si>
  <si>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</si>
  <si>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</si>
  <si>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</si>
  <si>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</si>
  <si>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</si>
  <si>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</si>
  <si>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</si>
  <si>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</si>
  <si>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</si>
  <si>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</si>
  <si>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</si>
  <si>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</si>
  <si>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</si>
  <si>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</si>
  <si>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</si>
  <si>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</si>
  <si>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</si>
  <si>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</si>
  <si>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</si>
  <si>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</si>
  <si>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</si>
  <si>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</si>
  <si>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</si>
  <si>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</si>
  <si>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</si>
  <si>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</si>
  <si>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</si>
  <si>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</si>
  <si>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</si>
  <si>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</si>
  <si>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</si>
  <si>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</si>
  <si>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</si>
  <si>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</si>
  <si>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</si>
  <si>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</si>
  <si>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</si>
  <si>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</si>
  <si>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</si>
  <si>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</si>
  <si>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</si>
  <si>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</si>
  <si>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</si>
  <si>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</si>
  <si>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</si>
  <si>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</si>
  <si>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</si>
  <si>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</si>
  <si>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</si>
  <si>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</si>
  <si>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</si>
  <si>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</si>
  <si>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</si>
  <si>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</si>
  <si>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</si>
  <si>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</si>
  <si>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</si>
  <si>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</si>
  <si>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</si>
  <si>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</si>
  <si>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</si>
  <si>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</si>
  <si>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</si>
  <si>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</si>
  <si>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</si>
  <si>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</si>
  <si>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</si>
  <si>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</si>
  <si>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</si>
  <si>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</si>
  <si>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</si>
  <si>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</si>
  <si>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</si>
  <si>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</si>
  <si>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</si>
  <si>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</si>
  <si>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</si>
  <si>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</si>
  <si>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</si>
  <si>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</si>
  <si>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</si>
  <si>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</si>
  <si>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</si>
  <si>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</si>
  <si>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</si>
  <si>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</si>
  <si>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</si>
  <si>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</si>
  <si>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</si>
  <si>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</si>
  <si>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</si>
  <si>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</si>
  <si>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</si>
  <si>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</si>
  <si>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</si>
  <si>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</si>
  <si>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</si>
  <si>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</si>
  <si>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</si>
  <si>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</si>
  <si>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</si>
  <si>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</si>
  <si>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</si>
  <si>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</si>
  <si>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</si>
  <si>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>MIGUEL ESTAY</t>
  </si>
  <si>
    <t>+569 9219 6008</t>
  </si>
  <si>
    <t>SANTIAGO</t>
  </si>
  <si>
    <t xml:space="preserve">SI </t>
  </si>
  <si>
    <t>NO, SOLO PUERTAS</t>
  </si>
  <si>
    <t>PR6</t>
  </si>
  <si>
    <t>DESPACHO</t>
  </si>
  <si>
    <t xml:space="preserve">ZOCALOS </t>
  </si>
  <si>
    <t>ALUMINIUN BRUSH</t>
  </si>
  <si>
    <t>CEN 1V R6</t>
  </si>
  <si>
    <t>CEN 1V R6 MDF</t>
  </si>
  <si>
    <t>VAINILLA 2109 MT</t>
  </si>
  <si>
    <t>PR6 / 2 FTES DE 137 Y 2 DE 202</t>
  </si>
  <si>
    <t>PR6 / 2 FTES DE 342</t>
  </si>
  <si>
    <t>N° 11019</t>
  </si>
  <si>
    <t>PR6 / 1 DE  797 Y 1 DE 998</t>
  </si>
  <si>
    <t>NEUTRAL OAK 1498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</si>
</sst>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" fillId="21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6" borderId="0" xfId="0" applyNumberFormat="1" applyFill="1"/>
    <xf numFmtId="166" fontId="3" fillId="6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46</xdr:row>
      <xdr:rowOff>26670</xdr:rowOff>
    </xdr:from>
    <xdr:to>
      <xdr:col>7</xdr:col>
      <xdr:colOff>1034435</xdr:colOff>
      <xdr:row>49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48</xdr:row>
      <xdr:rowOff>154305</xdr:rowOff>
    </xdr:from>
    <xdr:to>
      <xdr:col>7</xdr:col>
      <xdr:colOff>853440</xdr:colOff>
      <xdr:row>48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46</xdr:row>
      <xdr:rowOff>9525</xdr:rowOff>
    </xdr:from>
    <xdr:to>
      <xdr:col>5</xdr:col>
      <xdr:colOff>1714500</xdr:colOff>
      <xdr:row>49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41</xdr:row>
      <xdr:rowOff>9525</xdr:rowOff>
    </xdr:from>
    <xdr:to>
      <xdr:col>5</xdr:col>
      <xdr:colOff>1594096</xdr:colOff>
      <xdr:row>44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 EN EL LARGO, LAS PUERTAS SE ENTREGAN ENCHAPADAS CON TAPACANTO PVC 0,4MM CON EL COLOR LO MAS PARECIDO A LA LAMINA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9"/>
  <sheetViews>
    <sheetView tabSelected="1" topLeftCell="B9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182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168</v>
      </c>
      <c r="D10" s="243"/>
      <c r="E10" s="243"/>
      <c r="F10" s="244" t="s">
        <v>0</v>
      </c>
      <c r="G10" s="277">
        <v>45490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172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169</v>
      </c>
      <c r="D15" s="315"/>
      <c r="F15" t="s">
        <v>135</v>
      </c>
      <c r="G15" s="314" t="s">
        <v>171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170</v>
      </c>
      <c r="D17" s="318"/>
      <c r="E17" s="119"/>
      <c r="F17" s="333" t="s">
        <v>166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N56</f>
        <v>102214.92032700568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36</v>
      </c>
      <c r="D21" s="326">
        <v>2.76</v>
      </c>
      <c r="E21" s="326">
        <v>0.56000000000000005</v>
      </c>
      <c r="F21" s="325" t="s">
        <v>184</v>
      </c>
      <c r="G21" s="327">
        <v>163845</v>
      </c>
      <c r="H21" s="327">
        <f>G21*B21</f>
        <v>163845</v>
      </c>
      <c r="I21" s="265"/>
      <c r="J21" s="47"/>
      <c r="K21" s="47">
        <v>1</v>
      </c>
      <c r="L21" s="39">
        <f t="shared" ref="L21" si="1">D21+L$19</f>
        <v>2.8099999999999996</v>
      </c>
      <c r="M21" s="39">
        <f t="shared" ref="M21" si="2">E21+M$19</f>
        <v>0.56000000000000005</v>
      </c>
      <c r="N21" s="261">
        <f t="shared" ref="N21" si="3">L21*M21</f>
        <v>1.5735999999999999</v>
      </c>
      <c r="O21" s="259">
        <f t="shared" ref="O21" si="4">N21*K21</f>
        <v>1.5735999999999999</v>
      </c>
      <c r="P21" s="252">
        <f t="shared" ref="P21" si="5">P$20*N21</f>
        <v>160845.39862657612</v>
      </c>
      <c r="Q21" s="328">
        <f t="shared" ref="Q21" si="6">P21+Q$20</f>
        <v>163845.39862657612</v>
      </c>
      <c r="R21" s="298">
        <f>L21*K21*2</f>
        <v>5.6199999999999992</v>
      </c>
      <c r="S21" s="46">
        <f>M21*2*K21</f>
        <v>1.1200000000000001</v>
      </c>
      <c r="T21" s="9"/>
      <c r="W21" s="4"/>
    </row>
    <row r="22" spans="2:24" ht="17.399999999999999" x14ac:dyDescent="0.3">
      <c r="B22" s="325">
        <v>1</v>
      </c>
      <c r="C22" s="325" t="s">
        <v>36</v>
      </c>
      <c r="D22" s="326">
        <v>2.2949999999999999</v>
      </c>
      <c r="E22" s="326">
        <v>0.56000000000000005</v>
      </c>
      <c r="F22" s="325" t="s">
        <v>184</v>
      </c>
      <c r="G22" s="327">
        <v>137229</v>
      </c>
      <c r="H22" s="327">
        <f>G22*B22</f>
        <v>137229</v>
      </c>
      <c r="I22" s="265"/>
      <c r="J22" s="47"/>
      <c r="K22" s="47">
        <v>1</v>
      </c>
      <c r="L22" s="39">
        <f t="shared" ref="L22:L37" si="7">D22+L$19</f>
        <v>2.3449999999999998</v>
      </c>
      <c r="M22" s="39">
        <f t="shared" ref="M22:M24" si="8">E22+M$19</f>
        <v>0.56000000000000005</v>
      </c>
      <c r="N22" s="261">
        <f t="shared" ref="N22:N24" si="9">L22*M22</f>
        <v>1.3131999999999999</v>
      </c>
      <c r="O22" s="259">
        <f t="shared" ref="O22:O24" si="10">N22*K22</f>
        <v>1.3131999999999999</v>
      </c>
      <c r="P22" s="252">
        <f t="shared" ref="P22:P24" si="11">P$20*N22</f>
        <v>134228.63337342386</v>
      </c>
      <c r="Q22" s="328">
        <f t="shared" ref="Q22:Q24" si="12">P22+Q$20</f>
        <v>137228.63337342386</v>
      </c>
      <c r="R22" s="298">
        <f t="shared" ref="R22:R24" si="13">L22*K22*2</f>
        <v>4.6899999999999995</v>
      </c>
      <c r="S22" s="46"/>
      <c r="T22" s="9"/>
      <c r="W22" s="4"/>
    </row>
    <row r="23" spans="2:24" ht="17.399999999999999" x14ac:dyDescent="0.3">
      <c r="B23" s="325">
        <v>2</v>
      </c>
      <c r="C23" s="325" t="s">
        <v>173</v>
      </c>
      <c r="D23" s="326">
        <v>0.68700000000000006</v>
      </c>
      <c r="E23" s="326">
        <v>0.33300000000000002</v>
      </c>
      <c r="F23" s="325" t="s">
        <v>179</v>
      </c>
      <c r="G23" s="327">
        <v>18988</v>
      </c>
      <c r="H23" s="327">
        <f t="shared" ref="H23:H26" si="14">G23*B23</f>
        <v>37976</v>
      </c>
      <c r="I23" s="265"/>
      <c r="J23" s="47"/>
      <c r="K23" s="346"/>
      <c r="L23" s="347">
        <f t="shared" si="7"/>
        <v>0.7370000000000001</v>
      </c>
      <c r="M23" s="347">
        <f t="shared" si="8"/>
        <v>0.33300000000000002</v>
      </c>
      <c r="N23" s="261">
        <f t="shared" si="9"/>
        <v>0.24542100000000006</v>
      </c>
      <c r="O23" s="259">
        <f t="shared" si="10"/>
        <v>0</v>
      </c>
      <c r="P23" s="252">
        <f t="shared" si="11"/>
        <v>25085.687961574065</v>
      </c>
      <c r="Q23" s="328">
        <f t="shared" si="12"/>
        <v>28085.687961574065</v>
      </c>
      <c r="R23" s="298">
        <f t="shared" si="13"/>
        <v>0</v>
      </c>
      <c r="S23" s="46">
        <f t="shared" ref="S23" si="15">M23*2*K23</f>
        <v>0</v>
      </c>
      <c r="T23" s="9"/>
      <c r="W23" s="4"/>
    </row>
    <row r="24" spans="2:24" ht="17.399999999999999" x14ac:dyDescent="0.3">
      <c r="B24" s="325">
        <v>1</v>
      </c>
      <c r="C24" s="325" t="s">
        <v>173</v>
      </c>
      <c r="D24" s="326">
        <v>0.68700000000000006</v>
      </c>
      <c r="E24" s="331">
        <v>0.34100000000000003</v>
      </c>
      <c r="F24" s="325" t="s">
        <v>179</v>
      </c>
      <c r="G24" s="327">
        <v>19372</v>
      </c>
      <c r="H24" s="327">
        <f t="shared" si="14"/>
        <v>19372</v>
      </c>
      <c r="I24" s="265"/>
      <c r="J24" s="47"/>
      <c r="K24" s="346"/>
      <c r="L24" s="347">
        <f t="shared" si="7"/>
        <v>0.7370000000000001</v>
      </c>
      <c r="M24" s="347">
        <f t="shared" si="8"/>
        <v>0.34100000000000003</v>
      </c>
      <c r="N24" s="261">
        <f t="shared" si="9"/>
        <v>0.25131700000000007</v>
      </c>
      <c r="O24" s="259">
        <f t="shared" si="10"/>
        <v>0</v>
      </c>
      <c r="P24" s="252">
        <f t="shared" si="11"/>
        <v>25688.347131822091</v>
      </c>
      <c r="Q24" s="328">
        <f t="shared" si="12"/>
        <v>28688.347131822091</v>
      </c>
      <c r="R24" s="298">
        <f t="shared" si="13"/>
        <v>0</v>
      </c>
      <c r="S24" s="46"/>
      <c r="T24" s="9"/>
      <c r="W24" s="4"/>
    </row>
    <row r="25" spans="2:24" ht="17.399999999999999" x14ac:dyDescent="0.3">
      <c r="B25" s="325">
        <v>2</v>
      </c>
      <c r="C25" s="332" t="s">
        <v>173</v>
      </c>
      <c r="D25" s="326">
        <v>0.68700000000000006</v>
      </c>
      <c r="E25" s="331">
        <v>0.39800000000000002</v>
      </c>
      <c r="F25" s="325" t="s">
        <v>179</v>
      </c>
      <c r="G25" s="327">
        <v>22109</v>
      </c>
      <c r="H25" s="327">
        <f t="shared" ref="H25" si="16">G25*B25</f>
        <v>44218</v>
      </c>
      <c r="I25" s="265"/>
      <c r="J25" s="47"/>
      <c r="K25" s="346"/>
      <c r="L25" s="347">
        <f t="shared" si="7"/>
        <v>0.7370000000000001</v>
      </c>
      <c r="M25" s="347">
        <f t="shared" ref="M25" si="17">E25+M$19</f>
        <v>0.39800000000000002</v>
      </c>
      <c r="N25" s="261">
        <f t="shared" ref="N25" si="18">L25*M25</f>
        <v>0.29332600000000003</v>
      </c>
      <c r="O25" s="259">
        <f t="shared" ref="O25" si="19">N25*K25</f>
        <v>0</v>
      </c>
      <c r="P25" s="252">
        <f t="shared" ref="P25" si="20">P$20*N25</f>
        <v>29982.293719839268</v>
      </c>
      <c r="Q25" s="328">
        <f t="shared" ref="Q25" si="21">P25+Q$20</f>
        <v>32982.293719839268</v>
      </c>
      <c r="R25" s="298"/>
      <c r="S25" s="46"/>
      <c r="T25" s="9"/>
      <c r="W25" s="4"/>
    </row>
    <row r="26" spans="2:24" ht="17.399999999999999" x14ac:dyDescent="0.3">
      <c r="B26" s="325">
        <v>1</v>
      </c>
      <c r="C26" s="325" t="s">
        <v>180</v>
      </c>
      <c r="D26" s="326">
        <v>0.68700000000000006</v>
      </c>
      <c r="E26" s="326">
        <v>0.48799999999999999</v>
      </c>
      <c r="F26" s="325" t="s">
        <v>179</v>
      </c>
      <c r="G26" s="327">
        <v>40430</v>
      </c>
      <c r="H26" s="327">
        <f t="shared" si="14"/>
        <v>40430</v>
      </c>
      <c r="I26" s="265"/>
      <c r="J26" s="47"/>
      <c r="K26" s="346"/>
      <c r="L26" s="347">
        <f t="shared" si="7"/>
        <v>0.7370000000000001</v>
      </c>
      <c r="M26" s="347">
        <f t="shared" ref="M26" si="22">E26+M$19</f>
        <v>0.48799999999999999</v>
      </c>
      <c r="N26" s="261">
        <f t="shared" ref="N26" si="23">L26*M26</f>
        <v>0.35965600000000003</v>
      </c>
      <c r="O26" s="259">
        <f t="shared" ref="O26" si="24">N26*K26</f>
        <v>0</v>
      </c>
      <c r="P26" s="252">
        <f t="shared" ref="P26" si="25">P$20*N26</f>
        <v>36762.209385129558</v>
      </c>
      <c r="Q26" s="328">
        <f t="shared" ref="Q26" si="26">P26+Q$20</f>
        <v>39762.209385129558</v>
      </c>
      <c r="R26" s="298"/>
      <c r="S26" s="46"/>
      <c r="T26" s="9"/>
      <c r="W26" s="4"/>
    </row>
    <row r="27" spans="2:24" ht="17.399999999999999" x14ac:dyDescent="0.3">
      <c r="B27" s="325">
        <v>1</v>
      </c>
      <c r="C27" s="325" t="s">
        <v>181</v>
      </c>
      <c r="D27" s="326">
        <v>0.68700000000000006</v>
      </c>
      <c r="E27" s="326">
        <v>0.59799999999999998</v>
      </c>
      <c r="F27" s="325" t="s">
        <v>179</v>
      </c>
      <c r="G27" s="327">
        <v>32712</v>
      </c>
      <c r="H27" s="327">
        <f t="shared" ref="H27:H37" si="27">G27*B27</f>
        <v>32712</v>
      </c>
      <c r="I27" s="265"/>
      <c r="J27" s="47"/>
      <c r="K27" s="47"/>
      <c r="L27" s="345">
        <f t="shared" si="7"/>
        <v>0.7370000000000001</v>
      </c>
      <c r="M27" s="345">
        <f t="shared" ref="M27" si="28">E27+M$19</f>
        <v>0.59799999999999998</v>
      </c>
      <c r="N27" s="261">
        <f t="shared" ref="N27" si="29">L27*M27</f>
        <v>0.44072600000000006</v>
      </c>
      <c r="O27" s="259">
        <f t="shared" ref="O27" si="30">N27*K27</f>
        <v>0</v>
      </c>
      <c r="P27" s="252">
        <f t="shared" ref="P27" si="31">P$20*N27</f>
        <v>45048.772976039909</v>
      </c>
      <c r="Q27" s="328">
        <f t="shared" ref="Q27" si="32">P27+Q$20</f>
        <v>48048.772976039909</v>
      </c>
      <c r="R27" s="298"/>
      <c r="S27" s="46"/>
      <c r="T27" s="9"/>
      <c r="W27" s="4"/>
    </row>
    <row r="28" spans="2:24" ht="17.399999999999999" x14ac:dyDescent="0.3">
      <c r="B28" s="325">
        <v>1</v>
      </c>
      <c r="C28" s="325" t="s">
        <v>181</v>
      </c>
      <c r="D28" s="326">
        <v>0.68700000000000006</v>
      </c>
      <c r="E28" s="326">
        <v>0.48799999999999999</v>
      </c>
      <c r="F28" s="325" t="s">
        <v>179</v>
      </c>
      <c r="G28" s="327">
        <v>27430</v>
      </c>
      <c r="H28" s="327">
        <f t="shared" si="27"/>
        <v>27430</v>
      </c>
      <c r="I28" s="265"/>
      <c r="J28" s="47"/>
      <c r="K28" s="346"/>
      <c r="L28" s="347">
        <f t="shared" si="7"/>
        <v>0.7370000000000001</v>
      </c>
      <c r="M28" s="347">
        <f t="shared" ref="M28" si="33">E28+M$19</f>
        <v>0.48799999999999999</v>
      </c>
      <c r="N28" s="261">
        <f t="shared" ref="N28" si="34">L28*M28</f>
        <v>0.35965600000000003</v>
      </c>
      <c r="O28" s="259">
        <f t="shared" ref="O28" si="35">N28*K28</f>
        <v>0</v>
      </c>
      <c r="P28" s="252">
        <f t="shared" ref="P28" si="36">P$20*N28</f>
        <v>36762.209385129558</v>
      </c>
      <c r="Q28" s="328">
        <f t="shared" ref="Q28" si="37">P28+Q$20</f>
        <v>39762.209385129558</v>
      </c>
      <c r="R28" s="298"/>
      <c r="S28" s="46"/>
      <c r="T28" s="9"/>
      <c r="W28" s="4"/>
    </row>
    <row r="29" spans="2:24" ht="17.399999999999999" x14ac:dyDescent="0.3">
      <c r="B29" s="325">
        <v>2</v>
      </c>
      <c r="C29" s="325" t="s">
        <v>173</v>
      </c>
      <c r="D29" s="326">
        <v>0.68700000000000006</v>
      </c>
      <c r="E29" s="326">
        <v>0.36799999999999999</v>
      </c>
      <c r="F29" s="325" t="s">
        <v>179</v>
      </c>
      <c r="G29" s="327">
        <v>20669</v>
      </c>
      <c r="H29" s="327">
        <f t="shared" ref="H29" si="38">G29*B29</f>
        <v>41338</v>
      </c>
      <c r="I29" s="265"/>
      <c r="J29" s="47"/>
      <c r="K29" s="346"/>
      <c r="L29" s="347">
        <f t="shared" si="7"/>
        <v>0.7370000000000001</v>
      </c>
      <c r="M29" s="347">
        <f t="shared" ref="M29:M37" si="39">E29+M$19</f>
        <v>0.36799999999999999</v>
      </c>
      <c r="N29" s="261">
        <f t="shared" ref="N29:N37" si="40">L29*M29</f>
        <v>0.27121600000000001</v>
      </c>
      <c r="O29" s="259">
        <f t="shared" ref="O29:O37" si="41">N29*K29</f>
        <v>0</v>
      </c>
      <c r="P29" s="252">
        <f t="shared" ref="P29:P37" si="42">P$20*N29</f>
        <v>27722.321831409172</v>
      </c>
      <c r="Q29" s="328">
        <f t="shared" ref="Q29:Q37" si="43">P29+Q$20</f>
        <v>30722.321831409172</v>
      </c>
      <c r="R29" s="298"/>
      <c r="S29" s="46"/>
      <c r="T29" s="9"/>
      <c r="W29" s="4"/>
    </row>
    <row r="30" spans="2:24" ht="17.399999999999999" x14ac:dyDescent="0.3">
      <c r="B30" s="325">
        <v>2</v>
      </c>
      <c r="C30" s="325" t="s">
        <v>173</v>
      </c>
      <c r="D30" s="326">
        <v>0.54700000000000004</v>
      </c>
      <c r="E30" s="326">
        <v>0.26700000000000002</v>
      </c>
      <c r="F30" s="325" t="s">
        <v>179</v>
      </c>
      <c r="G30" s="327">
        <v>13384</v>
      </c>
      <c r="H30" s="327">
        <f t="shared" si="27"/>
        <v>26768</v>
      </c>
      <c r="I30" s="265"/>
      <c r="J30" s="47"/>
      <c r="K30" s="348"/>
      <c r="L30" s="349">
        <f t="shared" si="7"/>
        <v>0.59700000000000009</v>
      </c>
      <c r="M30" s="349">
        <f t="shared" si="39"/>
        <v>0.26700000000000002</v>
      </c>
      <c r="N30" s="261">
        <f t="shared" si="40"/>
        <v>0.15939900000000004</v>
      </c>
      <c r="O30" s="259">
        <f t="shared" si="41"/>
        <v>0</v>
      </c>
      <c r="P30" s="252">
        <f t="shared" si="42"/>
        <v>16292.956085204381</v>
      </c>
      <c r="Q30" s="328">
        <f t="shared" si="43"/>
        <v>19292.95608520438</v>
      </c>
      <c r="R30" s="298"/>
      <c r="S30" s="46"/>
      <c r="T30" s="9"/>
      <c r="W30" s="4"/>
    </row>
    <row r="31" spans="2:24" ht="17.399999999999999" x14ac:dyDescent="0.3">
      <c r="B31" s="325">
        <v>1</v>
      </c>
      <c r="C31" s="325" t="s">
        <v>173</v>
      </c>
      <c r="D31" s="326">
        <v>0.79700000000000004</v>
      </c>
      <c r="E31" s="326">
        <v>0.373</v>
      </c>
      <c r="F31" s="325" t="s">
        <v>179</v>
      </c>
      <c r="G31" s="327">
        <v>23582</v>
      </c>
      <c r="H31" s="327">
        <f t="shared" si="27"/>
        <v>23582</v>
      </c>
      <c r="I31" s="265"/>
      <c r="J31" s="47"/>
      <c r="K31" s="47"/>
      <c r="L31" s="39">
        <f t="shared" si="7"/>
        <v>0.84700000000000009</v>
      </c>
      <c r="M31" s="39">
        <f t="shared" si="39"/>
        <v>0.373</v>
      </c>
      <c r="N31" s="261">
        <f t="shared" si="40"/>
        <v>0.31593100000000002</v>
      </c>
      <c r="O31" s="259">
        <f t="shared" si="41"/>
        <v>0</v>
      </c>
      <c r="P31" s="252">
        <f t="shared" si="42"/>
        <v>32292.861993831233</v>
      </c>
      <c r="Q31" s="328">
        <f t="shared" si="43"/>
        <v>35292.861993831233</v>
      </c>
      <c r="R31" s="298"/>
      <c r="S31" s="46"/>
      <c r="T31" s="9"/>
      <c r="W31" s="4"/>
    </row>
    <row r="32" spans="2:24" ht="17.399999999999999" x14ac:dyDescent="0.3">
      <c r="B32" s="325">
        <v>4</v>
      </c>
      <c r="C32" s="325" t="s">
        <v>173</v>
      </c>
      <c r="D32" s="326">
        <v>0.79700000000000004</v>
      </c>
      <c r="E32" s="326">
        <v>0.39800000000000002</v>
      </c>
      <c r="F32" s="325" t="s">
        <v>179</v>
      </c>
      <c r="G32" s="327">
        <v>24961</v>
      </c>
      <c r="H32" s="327">
        <f t="shared" si="27"/>
        <v>99844</v>
      </c>
      <c r="I32" s="265"/>
      <c r="J32" s="47"/>
      <c r="K32" s="47"/>
      <c r="L32" s="39">
        <f t="shared" si="7"/>
        <v>0.84700000000000009</v>
      </c>
      <c r="M32" s="39">
        <f t="shared" si="39"/>
        <v>0.39800000000000002</v>
      </c>
      <c r="N32" s="261">
        <f t="shared" si="40"/>
        <v>0.33710600000000007</v>
      </c>
      <c r="O32" s="259">
        <f t="shared" si="41"/>
        <v>0</v>
      </c>
      <c r="P32" s="252">
        <f t="shared" si="42"/>
        <v>34457.262931755584</v>
      </c>
      <c r="Q32" s="328">
        <f t="shared" si="43"/>
        <v>37457.262931755584</v>
      </c>
      <c r="R32" s="298"/>
      <c r="S32" s="46"/>
      <c r="T32" s="9"/>
      <c r="W32" s="4"/>
    </row>
    <row r="33" spans="2:23" ht="17.399999999999999" x14ac:dyDescent="0.3">
      <c r="B33" s="325">
        <v>2</v>
      </c>
      <c r="C33" s="325" t="s">
        <v>183</v>
      </c>
      <c r="D33" s="326">
        <v>1.796</v>
      </c>
      <c r="E33" s="326">
        <v>0.29799999999999999</v>
      </c>
      <c r="F33" s="325" t="s">
        <v>179</v>
      </c>
      <c r="G33" s="327">
        <v>38837</v>
      </c>
      <c r="H33" s="327">
        <f t="shared" si="27"/>
        <v>77674</v>
      </c>
      <c r="I33" s="265"/>
      <c r="J33" s="47"/>
      <c r="K33" s="348"/>
      <c r="L33" s="349">
        <f t="shared" si="7"/>
        <v>1.8460000000000001</v>
      </c>
      <c r="M33" s="349">
        <f t="shared" si="39"/>
        <v>0.29799999999999999</v>
      </c>
      <c r="N33" s="261">
        <f t="shared" si="40"/>
        <v>0.55010800000000004</v>
      </c>
      <c r="O33" s="259">
        <f t="shared" si="41"/>
        <v>0</v>
      </c>
      <c r="P33" s="252">
        <f t="shared" si="42"/>
        <v>56229.245391248442</v>
      </c>
      <c r="Q33" s="328">
        <f t="shared" si="43"/>
        <v>59229.245391248442</v>
      </c>
      <c r="R33" s="298"/>
      <c r="S33" s="46"/>
      <c r="T33" s="9"/>
      <c r="W33" s="4"/>
    </row>
    <row r="34" spans="2:23" ht="17.399999999999999" x14ac:dyDescent="0.3">
      <c r="B34" s="325">
        <v>1</v>
      </c>
      <c r="C34" s="325" t="s">
        <v>173</v>
      </c>
      <c r="D34" s="326">
        <v>0.29699999999999999</v>
      </c>
      <c r="E34" s="326">
        <v>0.59799999999999998</v>
      </c>
      <c r="F34" s="325" t="s">
        <v>179</v>
      </c>
      <c r="G34" s="327">
        <v>16518</v>
      </c>
      <c r="H34" s="327">
        <f t="shared" si="27"/>
        <v>16518</v>
      </c>
      <c r="I34" s="265"/>
      <c r="J34" s="47"/>
      <c r="K34" s="47"/>
      <c r="L34" s="39">
        <f t="shared" si="7"/>
        <v>0.34699999999999998</v>
      </c>
      <c r="M34" s="39">
        <f t="shared" si="39"/>
        <v>0.59799999999999998</v>
      </c>
      <c r="N34" s="261">
        <f t="shared" si="40"/>
        <v>0.20750599999999997</v>
      </c>
      <c r="O34" s="259">
        <f t="shared" si="41"/>
        <v>0</v>
      </c>
      <c r="P34" s="252">
        <f t="shared" si="42"/>
        <v>21210.209257375638</v>
      </c>
      <c r="Q34" s="328">
        <f t="shared" si="43"/>
        <v>24210.209257375638</v>
      </c>
      <c r="R34" s="298"/>
      <c r="S34" s="46"/>
      <c r="T34" s="9"/>
      <c r="W34" s="4"/>
    </row>
    <row r="35" spans="2:23" ht="17.399999999999999" x14ac:dyDescent="0.3">
      <c r="B35" s="325">
        <v>1</v>
      </c>
      <c r="C35" s="325" t="s">
        <v>177</v>
      </c>
      <c r="D35" s="326">
        <v>2.2999999999999998</v>
      </c>
      <c r="E35" s="326">
        <v>0.06</v>
      </c>
      <c r="F35" s="325" t="s">
        <v>179</v>
      </c>
      <c r="G35" s="327">
        <v>12186</v>
      </c>
      <c r="H35" s="327">
        <f t="shared" si="27"/>
        <v>12186</v>
      </c>
      <c r="I35" s="265"/>
      <c r="J35" s="47"/>
      <c r="K35" s="47"/>
      <c r="L35" s="39">
        <f t="shared" si="7"/>
        <v>2.3499999999999996</v>
      </c>
      <c r="M35" s="39">
        <f t="shared" si="39"/>
        <v>0.06</v>
      </c>
      <c r="N35" s="261">
        <f t="shared" si="40"/>
        <v>0.14099999999999999</v>
      </c>
      <c r="O35" s="259">
        <f t="shared" si="41"/>
        <v>0</v>
      </c>
      <c r="P35" s="252">
        <f t="shared" si="42"/>
        <v>14412.3037661078</v>
      </c>
      <c r="Q35" s="328">
        <f t="shared" si="43"/>
        <v>17412.303766107798</v>
      </c>
      <c r="R35" s="298"/>
      <c r="S35" s="46"/>
      <c r="T35" s="9"/>
      <c r="W35" s="4"/>
    </row>
    <row r="36" spans="2:23" ht="17.399999999999999" x14ac:dyDescent="0.3">
      <c r="B36" s="325">
        <v>1</v>
      </c>
      <c r="C36" s="325" t="s">
        <v>177</v>
      </c>
      <c r="D36" s="326">
        <v>1</v>
      </c>
      <c r="E36" s="326">
        <v>0.06</v>
      </c>
      <c r="F36" s="325" t="s">
        <v>179</v>
      </c>
      <c r="G36" s="327">
        <v>7104</v>
      </c>
      <c r="H36" s="327">
        <f t="shared" si="27"/>
        <v>7104</v>
      </c>
      <c r="I36" s="265"/>
      <c r="J36" s="47"/>
      <c r="K36" s="47"/>
      <c r="L36" s="39">
        <f t="shared" si="7"/>
        <v>1.05</v>
      </c>
      <c r="M36" s="39">
        <f t="shared" si="39"/>
        <v>0.06</v>
      </c>
      <c r="N36" s="261">
        <f t="shared" si="40"/>
        <v>6.3E-2</v>
      </c>
      <c r="O36" s="259">
        <f t="shared" si="41"/>
        <v>0</v>
      </c>
      <c r="P36" s="252">
        <f t="shared" si="42"/>
        <v>6439.5399806013575</v>
      </c>
      <c r="Q36" s="328">
        <f t="shared" si="43"/>
        <v>9439.5399806013575</v>
      </c>
      <c r="R36" s="298"/>
      <c r="S36" s="46"/>
      <c r="T36" s="9"/>
      <c r="W36" s="4"/>
    </row>
    <row r="37" spans="2:23" ht="17.399999999999999" x14ac:dyDescent="0.3">
      <c r="B37" s="325">
        <v>2</v>
      </c>
      <c r="C37" s="325" t="s">
        <v>178</v>
      </c>
      <c r="D37" s="326">
        <v>3</v>
      </c>
      <c r="E37" s="326">
        <v>0.1</v>
      </c>
      <c r="F37" s="325" t="s">
        <v>179</v>
      </c>
      <c r="G37" s="327">
        <v>14922</v>
      </c>
      <c r="H37" s="327">
        <f t="shared" si="27"/>
        <v>29844</v>
      </c>
      <c r="I37" s="265"/>
      <c r="J37" s="47"/>
      <c r="K37" s="47"/>
      <c r="L37" s="39">
        <f t="shared" si="7"/>
        <v>3.05</v>
      </c>
      <c r="M37" s="39">
        <f t="shared" si="39"/>
        <v>0.1</v>
      </c>
      <c r="N37" s="261">
        <f t="shared" si="40"/>
        <v>0.30499999999999999</v>
      </c>
      <c r="O37" s="259">
        <f t="shared" si="41"/>
        <v>0</v>
      </c>
      <c r="P37" s="252">
        <f t="shared" si="42"/>
        <v>31175.55069973673</v>
      </c>
      <c r="Q37" s="328">
        <f t="shared" si="43"/>
        <v>34175.550699736734</v>
      </c>
      <c r="R37" s="298"/>
      <c r="S37" s="46"/>
      <c r="T37" s="9"/>
      <c r="W37" s="4"/>
    </row>
    <row r="38" spans="2:23" ht="17.399999999999999" x14ac:dyDescent="0.3">
      <c r="B38" s="325">
        <v>1</v>
      </c>
      <c r="C38" s="325" t="s">
        <v>175</v>
      </c>
      <c r="D38" s="326">
        <v>3</v>
      </c>
      <c r="E38" s="326">
        <v>0.12</v>
      </c>
      <c r="F38" s="325" t="s">
        <v>176</v>
      </c>
      <c r="G38" s="327">
        <v>14500</v>
      </c>
      <c r="H38" s="327">
        <f t="shared" ref="H38:H39" si="44">G38*B38</f>
        <v>14500</v>
      </c>
      <c r="I38" s="265"/>
      <c r="J38" s="47"/>
      <c r="K38" s="47"/>
      <c r="L38" s="39"/>
      <c r="M38" s="39"/>
      <c r="N38" s="261"/>
      <c r="O38" s="259"/>
      <c r="P38" s="252"/>
      <c r="Q38" s="328"/>
      <c r="R38" s="298"/>
      <c r="S38" s="46"/>
      <c r="T38" s="9"/>
      <c r="W38" s="4"/>
    </row>
    <row r="39" spans="2:23" ht="17.399999999999999" x14ac:dyDescent="0.3">
      <c r="B39" s="325">
        <v>1</v>
      </c>
      <c r="C39" s="325" t="s">
        <v>174</v>
      </c>
      <c r="D39" s="326"/>
      <c r="E39" s="326"/>
      <c r="F39" s="325"/>
      <c r="G39" s="327">
        <v>30000</v>
      </c>
      <c r="H39" s="327">
        <f t="shared" si="44"/>
        <v>30000</v>
      </c>
      <c r="I39" s="265"/>
      <c r="J39" s="47"/>
      <c r="K39" s="47"/>
      <c r="L39" s="39"/>
      <c r="M39" s="39"/>
      <c r="N39" s="261"/>
      <c r="O39" s="259"/>
      <c r="P39" s="252"/>
      <c r="Q39" s="328"/>
      <c r="R39" s="298"/>
      <c r="S39" s="46"/>
      <c r="T39" s="9"/>
      <c r="W39" s="4"/>
    </row>
    <row r="40" spans="2:23" ht="17.399999999999999" x14ac:dyDescent="0.3">
      <c r="B40" s="286"/>
      <c r="C40" s="286"/>
      <c r="D40" s="287"/>
      <c r="E40" s="287"/>
      <c r="F40" s="286"/>
      <c r="G40" s="330"/>
      <c r="H40" s="330"/>
      <c r="I40" s="265"/>
      <c r="J40" s="47"/>
      <c r="K40" s="47"/>
      <c r="L40" s="39"/>
      <c r="M40" s="39"/>
      <c r="N40" s="261"/>
      <c r="O40" s="259"/>
      <c r="P40" s="252"/>
      <c r="Q40" s="328"/>
      <c r="R40" s="298"/>
      <c r="S40" s="46"/>
      <c r="T40" s="9"/>
      <c r="W40" s="4"/>
    </row>
    <row r="41" spans="2:23" ht="18" thickBot="1" x14ac:dyDescent="0.35">
      <c r="B41" s="286"/>
      <c r="C41" s="286"/>
      <c r="D41" s="287"/>
      <c r="E41" s="287"/>
      <c r="F41" s="286"/>
      <c r="G41" s="265"/>
      <c r="H41" s="233"/>
      <c r="I41" s="233"/>
      <c r="J41" s="47"/>
      <c r="K41" s="47"/>
      <c r="L41" s="39"/>
      <c r="M41" s="39"/>
      <c r="N41" s="261"/>
      <c r="O41" s="259"/>
      <c r="P41" s="252"/>
      <c r="Q41" s="258"/>
      <c r="R41" s="298"/>
      <c r="S41" s="14"/>
      <c r="T41" s="9"/>
      <c r="W41" s="4"/>
    </row>
    <row r="42" spans="2:23" ht="17.399999999999999" x14ac:dyDescent="0.3">
      <c r="B42" s="286"/>
      <c r="C42" s="286"/>
      <c r="D42" s="287"/>
      <c r="E42" s="287"/>
      <c r="F42" s="286"/>
      <c r="G42" s="299" t="s">
        <v>29</v>
      </c>
      <c r="H42" s="300">
        <f>SUM(H21:H41)</f>
        <v>882570</v>
      </c>
      <c r="I42" s="265"/>
      <c r="J42" s="47"/>
      <c r="K42" s="47"/>
      <c r="L42" s="39">
        <f>SUM(L21:L41)</f>
        <v>21.247999999999998</v>
      </c>
      <c r="M42" s="39"/>
      <c r="N42" s="261"/>
      <c r="O42" s="259"/>
      <c r="P42" s="252"/>
      <c r="Q42" s="258"/>
      <c r="R42" s="298"/>
      <c r="S42" s="46">
        <f>SUM(S21:S41)</f>
        <v>1.1200000000000001</v>
      </c>
      <c r="T42" s="9"/>
      <c r="W42" s="4"/>
    </row>
    <row r="43" spans="2:23" ht="17.399999999999999" x14ac:dyDescent="0.3">
      <c r="B43" s="280"/>
      <c r="C43" s="283"/>
      <c r="D43" s="284"/>
      <c r="E43" s="284"/>
      <c r="F43" s="285"/>
      <c r="G43" s="297" t="s">
        <v>52</v>
      </c>
      <c r="H43" s="295"/>
      <c r="I43" s="265"/>
      <c r="J43" s="47"/>
      <c r="K43" s="47"/>
      <c r="L43" s="39"/>
      <c r="M43" s="12"/>
      <c r="N43" s="12"/>
      <c r="O43" s="253">
        <f>SUM(O21:O37)</f>
        <v>2.8868</v>
      </c>
      <c r="P43" s="14"/>
      <c r="Q43" s="12"/>
      <c r="R43" s="239"/>
      <c r="S43" s="46">
        <f>S42*20%</f>
        <v>0.22400000000000003</v>
      </c>
      <c r="T43" s="9"/>
      <c r="W43" s="4"/>
    </row>
    <row r="44" spans="2:23" ht="18" thickBot="1" x14ac:dyDescent="0.35">
      <c r="B44" s="276"/>
      <c r="C44" s="282"/>
      <c r="D44" s="272"/>
      <c r="E44" s="272"/>
      <c r="F44" s="273"/>
      <c r="G44" s="281" t="s">
        <v>6</v>
      </c>
      <c r="H44" s="296">
        <f>H42+H43</f>
        <v>882570</v>
      </c>
      <c r="I44" s="265"/>
      <c r="J44" s="47"/>
      <c r="K44" s="47"/>
      <c r="L44" s="39"/>
      <c r="M44" s="12"/>
      <c r="N44" s="12"/>
      <c r="O44" s="253">
        <f>O43</f>
        <v>2.8868</v>
      </c>
      <c r="P44" s="14"/>
      <c r="Q44" s="12"/>
      <c r="R44" s="239">
        <f>SUM(R21:R43)</f>
        <v>10.309999999999999</v>
      </c>
      <c r="S44" s="46">
        <f>S42+S43</f>
        <v>1.3440000000000001</v>
      </c>
      <c r="T44" s="9"/>
      <c r="W44" s="4"/>
    </row>
    <row r="45" spans="2:23" ht="17.399999999999999" x14ac:dyDescent="0.3">
      <c r="B45" s="276"/>
      <c r="C45" s="271"/>
      <c r="D45" s="272"/>
      <c r="E45" s="272"/>
      <c r="F45" s="273"/>
      <c r="I45" s="265"/>
      <c r="J45" s="47"/>
      <c r="K45" s="47"/>
      <c r="L45" s="14"/>
      <c r="M45" s="12"/>
      <c r="N45" s="12"/>
      <c r="O45" s="39">
        <f>O44*20%</f>
        <v>0.57735999999999998</v>
      </c>
      <c r="P45" s="39" t="s">
        <v>131</v>
      </c>
      <c r="Q45" s="42"/>
      <c r="R45" s="240"/>
      <c r="S45" s="14"/>
      <c r="T45" s="9"/>
      <c r="W45" s="4"/>
    </row>
    <row r="46" spans="2:23" ht="17.399999999999999" x14ac:dyDescent="0.3">
      <c r="B46" s="271"/>
      <c r="C46" s="271"/>
      <c r="D46" s="272"/>
      <c r="E46" s="272"/>
      <c r="F46" s="273"/>
      <c r="G46" s="274"/>
      <c r="H46" s="275"/>
      <c r="I46" s="265"/>
      <c r="J46" s="47"/>
      <c r="K46" s="47"/>
      <c r="L46" s="14"/>
      <c r="M46" s="12"/>
      <c r="N46" s="12"/>
      <c r="O46" s="46">
        <f>O44+O45</f>
        <v>3.4641600000000001</v>
      </c>
      <c r="P46" s="14"/>
      <c r="Q46" s="14"/>
      <c r="R46" s="238">
        <v>40</v>
      </c>
      <c r="S46" s="14"/>
      <c r="T46" s="9"/>
      <c r="W46" s="4"/>
    </row>
    <row r="47" spans="2:23" ht="17.399999999999999" x14ac:dyDescent="0.35">
      <c r="B47" s="269"/>
      <c r="C47" s="230"/>
      <c r="D47" s="230"/>
      <c r="E47" s="233"/>
      <c r="F47" s="234"/>
      <c r="G47" s="230"/>
      <c r="H47" s="275"/>
      <c r="I47" s="265"/>
      <c r="J47" s="47"/>
      <c r="K47" s="47"/>
      <c r="L47" s="14"/>
      <c r="M47" s="14"/>
      <c r="N47" s="14"/>
      <c r="O47" s="14"/>
      <c r="P47" s="14"/>
      <c r="Q47" s="14"/>
      <c r="R47" s="238"/>
      <c r="S47" s="14"/>
      <c r="T47" s="305" t="s">
        <v>22</v>
      </c>
      <c r="U47" s="302" t="s">
        <v>153</v>
      </c>
      <c r="V47" s="306">
        <v>44971</v>
      </c>
      <c r="W47" s="307"/>
    </row>
    <row r="48" spans="2:23" ht="17.399999999999999" x14ac:dyDescent="0.35">
      <c r="B48" s="235"/>
      <c r="C48" s="236"/>
      <c r="D48" s="237"/>
      <c r="E48" s="235"/>
      <c r="F48" s="230"/>
      <c r="G48" s="230"/>
      <c r="I48" s="265"/>
      <c r="J48" s="47"/>
      <c r="K48" s="47"/>
      <c r="L48" s="39">
        <f>O46</f>
        <v>3.4641600000000001</v>
      </c>
      <c r="M48" s="12">
        <v>3500</v>
      </c>
      <c r="N48" s="12">
        <f t="shared" ref="N48:N53" si="45">L48*M48</f>
        <v>12124.560000000001</v>
      </c>
      <c r="O48" s="14" t="s">
        <v>22</v>
      </c>
      <c r="P48" s="14"/>
      <c r="Q48" s="14"/>
      <c r="R48" s="241"/>
      <c r="S48" s="14"/>
      <c r="T48" s="305" t="s">
        <v>154</v>
      </c>
      <c r="U48" s="302">
        <v>3625</v>
      </c>
      <c r="V48" s="59" t="s">
        <v>155</v>
      </c>
      <c r="W48" s="307"/>
    </row>
    <row r="49" spans="2:23" ht="17.399999999999999" x14ac:dyDescent="0.35">
      <c r="B49" s="230"/>
      <c r="C49" s="230"/>
      <c r="D49" s="230"/>
      <c r="E49" s="230"/>
      <c r="F49" s="230"/>
      <c r="G49" s="230"/>
      <c r="I49" s="265"/>
      <c r="J49" s="47"/>
      <c r="K49" s="47"/>
      <c r="L49" s="249">
        <v>1</v>
      </c>
      <c r="M49" s="12">
        <v>25000</v>
      </c>
      <c r="N49" s="12">
        <f t="shared" si="45"/>
        <v>25000</v>
      </c>
      <c r="O49" s="39" t="s">
        <v>32</v>
      </c>
      <c r="P49" s="42"/>
      <c r="Q49" s="14"/>
      <c r="R49" s="240"/>
      <c r="S49" s="14"/>
      <c r="T49" s="305"/>
      <c r="U49" s="59">
        <v>906.25</v>
      </c>
      <c r="V49" s="59" t="s">
        <v>156</v>
      </c>
      <c r="W49" s="307"/>
    </row>
    <row r="50" spans="2:23" s="230" customFormat="1" ht="17.399999999999999" x14ac:dyDescent="0.35">
      <c r="I50" s="262"/>
      <c r="J50" s="232"/>
      <c r="K50" s="250"/>
      <c r="L50" s="14"/>
      <c r="M50" s="250">
        <v>25000</v>
      </c>
      <c r="N50" s="12">
        <f t="shared" si="45"/>
        <v>0</v>
      </c>
      <c r="O50" s="39" t="s">
        <v>31</v>
      </c>
      <c r="P50" s="42"/>
      <c r="R50" s="240"/>
      <c r="S50" s="256"/>
      <c r="T50" s="59"/>
      <c r="U50" s="59">
        <f>U49*20%</f>
        <v>181.25</v>
      </c>
      <c r="V50" s="307" t="s">
        <v>157</v>
      </c>
      <c r="W50" s="59"/>
    </row>
    <row r="51" spans="2:23" s="230" customFormat="1" ht="17.399999999999999" x14ac:dyDescent="0.35">
      <c r="B51" s="24" t="s">
        <v>152</v>
      </c>
      <c r="I51" s="262"/>
      <c r="J51" s="232"/>
      <c r="K51" s="250"/>
      <c r="L51" s="14">
        <v>2</v>
      </c>
      <c r="M51" s="250">
        <v>48500</v>
      </c>
      <c r="N51" s="12">
        <f t="shared" si="45"/>
        <v>97000</v>
      </c>
      <c r="O51" s="14" t="s">
        <v>142</v>
      </c>
      <c r="P51" s="17"/>
      <c r="R51" s="238"/>
      <c r="S51" s="256"/>
      <c r="T51" s="59"/>
      <c r="U51" s="59">
        <f>U49+U50</f>
        <v>1087.5</v>
      </c>
      <c r="V51" s="307" t="s">
        <v>158</v>
      </c>
      <c r="W51" s="59"/>
    </row>
    <row r="52" spans="2:23" s="230" customFormat="1" ht="17.399999999999999" x14ac:dyDescent="0.35">
      <c r="B52" s="24" t="s">
        <v>145</v>
      </c>
      <c r="C52"/>
      <c r="D52"/>
      <c r="E52"/>
      <c r="F52"/>
      <c r="I52" s="262"/>
      <c r="K52" s="250"/>
      <c r="L52" s="249"/>
      <c r="M52" s="250">
        <v>300</v>
      </c>
      <c r="N52" s="12">
        <f t="shared" si="45"/>
        <v>0</v>
      </c>
      <c r="O52" s="14" t="s">
        <v>33</v>
      </c>
      <c r="P52" s="14"/>
      <c r="Q52" s="230">
        <v>1.52</v>
      </c>
      <c r="R52" s="238"/>
      <c r="S52" s="238"/>
    </row>
    <row r="53" spans="2:23" s="230" customFormat="1" ht="17.399999999999999" x14ac:dyDescent="0.35">
      <c r="B53" s="29" t="s">
        <v>126</v>
      </c>
      <c r="C53"/>
      <c r="D53"/>
      <c r="E53"/>
      <c r="F53" s="229" t="s">
        <v>16</v>
      </c>
      <c r="I53" s="294"/>
      <c r="K53" s="250"/>
      <c r="L53" s="266"/>
      <c r="M53" s="12">
        <v>1500</v>
      </c>
      <c r="N53" s="12">
        <f t="shared" si="45"/>
        <v>0</v>
      </c>
      <c r="O53" s="14" t="s">
        <v>23</v>
      </c>
      <c r="P53" s="14"/>
      <c r="Q53">
        <v>2.44</v>
      </c>
      <c r="R53"/>
      <c r="S53" s="238"/>
      <c r="W53" s="231"/>
    </row>
    <row r="54" spans="2:23" s="230" customFormat="1" ht="17.399999999999999" x14ac:dyDescent="0.35">
      <c r="K54" s="250"/>
      <c r="L54" s="14"/>
      <c r="M54" s="12"/>
      <c r="N54" s="12">
        <f>SUM(N48:N53)</f>
        <v>134124.56</v>
      </c>
      <c r="O54" s="39" t="s">
        <v>24</v>
      </c>
      <c r="P54" s="14"/>
      <c r="Q54">
        <f>Q52*Q53</f>
        <v>3.7088000000000001</v>
      </c>
      <c r="R54"/>
      <c r="S54" s="238"/>
      <c r="W54" s="231"/>
    </row>
    <row r="55" spans="2:23" s="230" customFormat="1" ht="17.399999999999999" x14ac:dyDescent="0.35">
      <c r="K55" s="250"/>
      <c r="L55" s="254" t="s">
        <v>34</v>
      </c>
      <c r="M55" s="12"/>
      <c r="N55" s="255">
        <f>N54*2.2</f>
        <v>295074.03200000001</v>
      </c>
      <c r="O55" s="14" t="s">
        <v>141</v>
      </c>
      <c r="P55" s="14"/>
      <c r="Q55" s="40">
        <f>O46/Q54</f>
        <v>0.93403796376186365</v>
      </c>
      <c r="R55"/>
      <c r="S55" s="257"/>
    </row>
    <row r="56" spans="2:23" s="230" customFormat="1" ht="17.399999999999999" x14ac:dyDescent="0.35">
      <c r="G56"/>
      <c r="H56" s="260"/>
      <c r="I56" s="260"/>
      <c r="J56" s="230">
        <v>57660</v>
      </c>
      <c r="K56" s="250"/>
      <c r="L56" s="14"/>
      <c r="M56" s="12"/>
      <c r="N56" s="12">
        <f>N55/O44</f>
        <v>102214.92032700568</v>
      </c>
      <c r="O56" s="45" t="s">
        <v>25</v>
      </c>
      <c r="P56" s="14"/>
      <c r="Q56" s="14"/>
      <c r="R56"/>
      <c r="S56" s="238"/>
      <c r="T56" s="59" t="s">
        <v>159</v>
      </c>
      <c r="U56" s="302">
        <v>43650</v>
      </c>
    </row>
    <row r="57" spans="2:23" s="230" customFormat="1" ht="17.399999999999999" x14ac:dyDescent="0.35">
      <c r="G57"/>
      <c r="H57" s="230" t="s">
        <v>165</v>
      </c>
      <c r="J57" s="230">
        <f>J56/1.19</f>
        <v>48453.781512605041</v>
      </c>
      <c r="K57" s="250"/>
      <c r="L57" s="13"/>
      <c r="M57" s="14"/>
      <c r="N57" s="17">
        <f>N55/N54</f>
        <v>2.2000000000000002</v>
      </c>
      <c r="O57" s="15"/>
      <c r="P57"/>
      <c r="Q57"/>
      <c r="R57"/>
      <c r="S57" s="238"/>
      <c r="T57" s="59" t="s">
        <v>161</v>
      </c>
      <c r="U57" s="303" t="s">
        <v>160</v>
      </c>
      <c r="V57" s="59">
        <v>2.4</v>
      </c>
    </row>
    <row r="58" spans="2:23" s="230" customFormat="1" ht="17.399999999999999" x14ac:dyDescent="0.35">
      <c r="G58" s="23"/>
      <c r="K58" s="12"/>
      <c r="S58" s="238"/>
      <c r="T58" s="59" t="s">
        <v>162</v>
      </c>
      <c r="U58" s="304">
        <v>395.37</v>
      </c>
    </row>
    <row r="59" spans="2:23" s="230" customFormat="1" ht="17.399999999999999" x14ac:dyDescent="0.35">
      <c r="B59"/>
      <c r="C59" s="228"/>
      <c r="D59" s="22"/>
      <c r="E59" s="22"/>
      <c r="F59" s="21"/>
      <c r="G59" s="23"/>
      <c r="J59" s="230">
        <v>110000</v>
      </c>
      <c r="K59" s="12"/>
      <c r="S59" s="238"/>
      <c r="T59" s="59" t="s">
        <v>157</v>
      </c>
      <c r="U59" s="59">
        <v>474.45</v>
      </c>
    </row>
    <row r="60" spans="2:23" ht="14.4" customHeight="1" x14ac:dyDescent="0.3">
      <c r="J60">
        <f>J59/9</f>
        <v>12222.222222222223</v>
      </c>
      <c r="K60" s="12"/>
      <c r="T60" s="59"/>
      <c r="U60" s="59"/>
    </row>
    <row r="61" spans="2:23" x14ac:dyDescent="0.3">
      <c r="K61" s="250"/>
    </row>
    <row r="62" spans="2:23" x14ac:dyDescent="0.3">
      <c r="K62" s="250"/>
      <c r="S62" s="270"/>
    </row>
    <row r="63" spans="2:23" x14ac:dyDescent="0.3">
      <c r="K63" s="250"/>
    </row>
    <row r="64" spans="2:23" ht="15" customHeight="1" x14ac:dyDescent="0.3"/>
    <row r="66" spans="14:19" x14ac:dyDescent="0.3">
      <c r="N66">
        <v>40935</v>
      </c>
      <c r="O66" t="s">
        <v>17</v>
      </c>
      <c r="P66" t="s">
        <v>27</v>
      </c>
    </row>
    <row r="68" spans="14:19" x14ac:dyDescent="0.3">
      <c r="N68" s="54"/>
      <c r="O68" s="54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6" spans="14:19" x14ac:dyDescent="0.3">
      <c r="R76" s="18"/>
      <c r="S76" s="18"/>
    </row>
    <row r="77" spans="14:19" x14ac:dyDescent="0.3">
      <c r="R77" s="18"/>
      <c r="S77" s="18"/>
    </row>
    <row r="80" spans="14:19" x14ac:dyDescent="0.3">
      <c r="N80" s="43"/>
    </row>
    <row r="81" spans="3:14" x14ac:dyDescent="0.3">
      <c r="N81" s="43"/>
    </row>
    <row r="82" spans="3:14" x14ac:dyDescent="0.3">
      <c r="N82" s="6"/>
    </row>
    <row r="83" spans="3:14" x14ac:dyDescent="0.3">
      <c r="N83" s="6"/>
    </row>
    <row r="91" spans="3:14" x14ac:dyDescent="0.3">
      <c r="C91" t="s">
        <v>149</v>
      </c>
    </row>
    <row r="92" spans="3:14" x14ac:dyDescent="0.3">
      <c r="C92" t="s">
        <v>148</v>
      </c>
    </row>
    <row r="95" spans="3:14" x14ac:dyDescent="0.3">
      <c r="C95" t="s">
        <v>148</v>
      </c>
    </row>
    <row r="172" spans="3:3" x14ac:dyDescent="0.3">
      <c r="C172" t="s">
        <v>148</v>
      </c>
    </row>
    <row r="173" spans="3:3" x14ac:dyDescent="0.3">
      <c r="C173" t="s">
        <v>150</v>
      </c>
    </row>
    <row r="174" spans="3:3" x14ac:dyDescent="0.3">
      <c r="C174" t="s">
        <v>151</v>
      </c>
    </row>
    <row r="599" spans="3:3" x14ac:dyDescent="0.3">
      <c r="C599" t="s">
        <v>148</v>
      </c>
    </row>
  </sheetData>
  <mergeCells count="2">
    <mergeCell ref="F17:H17"/>
    <mergeCell ref="B19:H19"/>
  </mergeCells>
  <phoneticPr fontId="34" type="noConversion"/>
  <hyperlinks>
    <hyperlink ref="F5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45490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11019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-128681.37103345412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'2229'!H42</f>
        <v>882570</v>
      </c>
      <c r="E11" s="132">
        <f>D11*0.19</f>
        <v>167688.29999999999</v>
      </c>
      <c r="F11" s="131">
        <f>E11+D11</f>
        <v>1050258.3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-22691.371033454125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66958.650787439605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-40691.371033454125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815611.34921256034</v>
      </c>
      <c r="E13" s="221">
        <f>(D11/D12)-1</f>
        <v>12.180821142912819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-49691.371033454125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-88691.371033454125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110481.77379927534</v>
      </c>
      <c r="F15" s="216">
        <f>E15-D12</f>
        <v>43523.123011835734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-88691.371033454125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-48691.371033454125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'2229'!N50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'2229'!N49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'2229'!N48</f>
        <v>12124.560000000001</v>
      </c>
      <c r="E20" s="121">
        <f>D20*0.19</f>
        <v>2303.6664000000001</v>
      </c>
      <c r="F20" s="120">
        <f>SUM(D20:E20)</f>
        <v>14428.226400000001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37124.559999999998</v>
      </c>
      <c r="E21" s="116">
        <f>SUM(E18:E20)</f>
        <v>7053.6664000000001</v>
      </c>
      <c r="F21" s="115">
        <f>SUM(F18:F20)</f>
        <v>44178.2264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160634.6336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882570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37124.559999999998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815611.34921256034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815611.34921256034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2024-07-17T22:07:43Z</dcterms:modified>
</cp:coreProperties>
</file>