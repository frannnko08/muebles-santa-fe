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63732BB3-5434-4373-B55B-23713D3C1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O27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H22" i="1"/>
  <c r="H23" i="1"/>
  <c r="K21" i="1"/>
  <c r="K10" i="1"/>
  <c r="J40" i="1" l="1"/>
  <c r="L21" i="1" l="1"/>
  <c r="L26" i="1" s="1"/>
  <c r="M21" i="1"/>
  <c r="N21" i="1" l="1"/>
  <c r="O21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P22" i="1"/>
  <c r="Q22" i="1" s="1"/>
  <c r="P21" i="1"/>
  <c r="F15" i="3"/>
  <c r="Q21" i="1" l="1"/>
  <c r="H21" i="1" s="1"/>
  <c r="R28" i="1"/>
  <c r="H26" i="1" l="1"/>
  <c r="H27" i="1" s="1"/>
  <c r="H28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<sst xmlns="http://schemas.openxmlformats.org/spreadsheetml/2006/main" count="223" uniqueCount="167">
  <si>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</si>
  <si>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</si>
  <si>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</si>
  <si>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</si>
  <si>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</si>
  <si>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</si>
  <si>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</si>
  <si>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</si>
  <si>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</si>
  <si>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</si>
  <si>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</si>
  <si>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</si>
  <si>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</si>
  <si>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</si>
  <si>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</si>
  <si>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</si>
  <si>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</si>
  <si>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</si>
  <si>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</si>
  <si>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</si>
  <si>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</si>
  <si>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</si>
  <si>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</si>
  <si>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</si>
  <si>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</si>
  <si>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</si>
  <si>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</si>
  <si>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</si>
  <si>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</si>
  <si>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</si>
  <si>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</si>
  <si>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</si>
  <si>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</si>
  <si>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</si>
  <si>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</si>
  <si>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</si>
  <si>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</si>
  <si>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</si>
  <si>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</si>
  <si>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</si>
  <si>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</si>
  <si>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</si>
  <si>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</si>
  <si>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</si>
  <si>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</si>
  <si>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</si>
  <si>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</si>
  <si>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</si>
  <si>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</si>
  <si>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</si>
  <si>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</si>
  <si>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</si>
  <si>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</si>
  <si>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</si>
  <si>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</si>
  <si>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</si>
  <si>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</si>
  <si>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</si>
  <si>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</si>
  <si>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</si>
  <si>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</si>
  <si>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</si>
  <si>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</si>
  <si>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</si>
  <si>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</si>
  <si>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</si>
  <si>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</si>
  <si>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</si>
  <si>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</si>
  <si>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</si>
  <si>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</si>
  <si>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</si>
  <si>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</si>
  <si>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</si>
  <si>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</si>
  <si>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</si>
  <si>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</si>
  <si>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</si>
  <si>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</si>
  <si>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</si>
  <si>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</si>
  <si>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</si>
  <si>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</si>
  <si>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</si>
  <si>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</si>
  <si>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</si>
  <si>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</si>
  <si>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</si>
  <si>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</si>
  <si>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</si>
  <si>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</si>
  <si>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</si>
  <si>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</si>
  <si>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</si>
  <si>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</si>
  <si>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</si>
  <si>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</si>
  <si>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</si>
  <si>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</si>
  <si>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</si>
  <si>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</si>
  <si>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</si>
  <si>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</si>
  <si>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</si>
  <si>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</si>
  <si>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</si>
  <si>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</si>
  <si>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</si>
  <si>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</si>
  <si>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</si>
  <si>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</si>
  <si>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</si>
  <si>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</si>
  <si>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</si>
  <si>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</si>
  <si>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</si>
  <si>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</si>
  <si>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</si>
  <si>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</si>
  <si>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</si>
  <si>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</si>
  <si>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</si>
  <si>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</si>
  <si>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</si>
  <si>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</si>
  <si>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</si>
  <si>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</si>
  <si>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</si>
  <si>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</si>
  <si>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</si>
  <si>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</si>
  <si>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</si>
  <si>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</si>
  <si>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</si>
  <si>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</si>
  <si>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</si>
  <si>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</si>
  <si>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</si>
  <si>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</si>
  <si>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</si>
  <si>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</si>
  <si>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</si>
  <si>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</si>
  <si>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</si>
  <si>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</si>
  <si>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</si>
  <si>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</si>
  <si>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</si>
  <si>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</si>
  <si>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</si>
  <si>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</si>
  <si>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</si>
  <si>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</si>
  <si>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</si>
  <si>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</si>
  <si>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</si>
  <si>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</si>
  <si>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</si>
  <si>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DAVID RAMIREZ</t>
  </si>
  <si>
    <t>+569 8521 7073</t>
  </si>
  <si>
    <t>N° 11042</t>
  </si>
  <si>
    <t>7 DIAS HABILES</t>
  </si>
  <si>
    <t>SI</t>
  </si>
  <si>
    <t>CUB C/R R6</t>
  </si>
  <si>
    <t>SERVICIO CORTE Y ENCHAPE</t>
  </si>
  <si>
    <t>GRANITO FOSSIL 2724 BR</t>
  </si>
  <si>
    <t>CUB C/R R6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</si>
</sst>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 CORTADAS A LA MEDIDA Y ENCHAPADAS SEGUN INDICACIONES CON LA MISMA</a:t>
          </a:r>
          <a:r>
            <a:rPr lang="es-CL" sz="1200" b="1" baseline="0"/>
            <a:t> LAMINA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</a:p>
        <a:p>
          <a:pPr algn="l"/>
          <a:r>
            <a:rPr lang="es-CL" sz="1200" b="1" baseline="0"/>
            <a:t>*** LLEVA UNION DE LAMINADO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2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9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45495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161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162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5" t="s">
        <v>10</v>
      </c>
      <c r="E20" s="325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89488.467729041207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1">
        <v>1</v>
      </c>
      <c r="C21" s="312" t="s">
        <v>166</v>
      </c>
      <c r="D21" s="326">
        <v>3.39</v>
      </c>
      <c r="E21" s="326">
        <v>0.64</v>
      </c>
      <c r="F21" s="312" t="s">
        <v>165</v>
      </c>
      <c r="G21" s="313">
        <v>200018</v>
      </c>
      <c r="H21" s="314">
        <f t="shared" ref="H21" si="1">G21*B21</f>
        <v>200018</v>
      </c>
      <c r="I21" s="265"/>
      <c r="J21" s="47"/>
      <c r="K21" s="323">
        <f>B21</f>
        <v>1</v>
      </c>
      <c r="L21" s="324">
        <f t="shared" ref="L21:M21" si="2">D21+L$19</f>
        <v>3.44</v>
      </c>
      <c r="M21" s="324">
        <f t="shared" si="2"/>
        <v>0.64</v>
      </c>
      <c r="N21" s="261">
        <f>L21*M21</f>
        <v>2.2016</v>
      </c>
      <c r="O21" s="259">
        <f>N21*K21</f>
        <v>2.2016</v>
      </c>
      <c r="P21" s="252">
        <f>P$20*N21</f>
        <v>197017.81055225711</v>
      </c>
      <c r="Q21" s="258">
        <f>P21+Q$20</f>
        <v>200017.81055225711</v>
      </c>
      <c r="R21" s="308">
        <f>K21*L21</f>
        <v>3.44</v>
      </c>
      <c r="S21" s="14"/>
      <c r="T21" s="9"/>
      <c r="W21" s="4"/>
    </row>
    <row r="22" spans="2:24" ht="17.399999999999999" x14ac:dyDescent="0.3">
      <c r="B22" s="321">
        <v>1</v>
      </c>
      <c r="C22" s="312" t="s">
        <v>163</v>
      </c>
      <c r="D22" s="326">
        <v>1.46</v>
      </c>
      <c r="E22" s="326">
        <v>0.6</v>
      </c>
      <c r="F22" s="312" t="s">
        <v>165</v>
      </c>
      <c r="G22" s="313">
        <v>84077</v>
      </c>
      <c r="H22" s="314">
        <f t="shared" ref="H22:H23" si="3">G22*B22</f>
        <v>84077</v>
      </c>
      <c r="I22" s="265"/>
      <c r="J22" s="47"/>
      <c r="K22" s="323">
        <f t="shared" ref="K22:K23" si="4">B22</f>
        <v>1</v>
      </c>
      <c r="L22" s="324">
        <f t="shared" ref="L22:L23" si="5">D22+L$19</f>
        <v>1.51</v>
      </c>
      <c r="M22" s="324">
        <f t="shared" ref="M22:M23" si="6">E22+M$19</f>
        <v>0.6</v>
      </c>
      <c r="N22" s="261">
        <f t="shared" ref="N22:N23" si="7">L22*M22</f>
        <v>0.90599999999999992</v>
      </c>
      <c r="O22" s="259">
        <f t="shared" ref="O22:O23" si="8">N22*K22</f>
        <v>0.90599999999999992</v>
      </c>
      <c r="P22" s="252">
        <f t="shared" ref="P22:P23" si="9">P$20*N22</f>
        <v>81076.551762511328</v>
      </c>
      <c r="Q22" s="258">
        <f t="shared" ref="Q22:Q23" si="10">P22+Q$20</f>
        <v>84076.551762511328</v>
      </c>
      <c r="R22" s="308">
        <f t="shared" ref="R22:R23" si="11">K22*L22</f>
        <v>1.51</v>
      </c>
      <c r="S22" s="14"/>
      <c r="T22" s="9"/>
      <c r="W22" s="4"/>
    </row>
    <row r="23" spans="2:24" ht="17.399999999999999" x14ac:dyDescent="0.3">
      <c r="B23" s="321">
        <v>1</v>
      </c>
      <c r="C23" s="312" t="s">
        <v>163</v>
      </c>
      <c r="D23" s="326">
        <v>1.24</v>
      </c>
      <c r="E23" s="326">
        <v>0.5</v>
      </c>
      <c r="F23" s="312" t="s">
        <v>165</v>
      </c>
      <c r="G23" s="313">
        <v>60720</v>
      </c>
      <c r="H23" s="314">
        <f t="shared" si="3"/>
        <v>60720</v>
      </c>
      <c r="I23" s="265"/>
      <c r="J23" s="47"/>
      <c r="K23" s="323">
        <f t="shared" si="4"/>
        <v>1</v>
      </c>
      <c r="L23" s="324">
        <f t="shared" si="5"/>
        <v>1.29</v>
      </c>
      <c r="M23" s="324">
        <f t="shared" si="6"/>
        <v>0.5</v>
      </c>
      <c r="N23" s="261">
        <f t="shared" si="7"/>
        <v>0.64500000000000002</v>
      </c>
      <c r="O23" s="259">
        <f t="shared" si="8"/>
        <v>0.64500000000000002</v>
      </c>
      <c r="P23" s="252">
        <f t="shared" si="9"/>
        <v>57720.06168523158</v>
      </c>
      <c r="Q23" s="258">
        <f t="shared" si="10"/>
        <v>60720.06168523158</v>
      </c>
      <c r="R23" s="308">
        <f t="shared" si="11"/>
        <v>1.29</v>
      </c>
      <c r="S23" s="14"/>
      <c r="T23" s="9"/>
      <c r="W23" s="4"/>
    </row>
    <row r="24" spans="2:24" ht="17.399999999999999" x14ac:dyDescent="0.3">
      <c r="B24" s="321">
        <v>3</v>
      </c>
      <c r="C24" s="312" t="s">
        <v>164</v>
      </c>
      <c r="D24" s="326">
        <v>1.24</v>
      </c>
      <c r="E24" s="326">
        <v>0.5</v>
      </c>
      <c r="F24" s="312"/>
      <c r="G24" s="313">
        <v>7500</v>
      </c>
      <c r="H24" s="314">
        <f t="shared" ref="H24" si="12">G24*B24</f>
        <v>22500</v>
      </c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367315</v>
      </c>
      <c r="I26" s="265"/>
      <c r="J26" s="47"/>
      <c r="K26" s="47"/>
      <c r="L26" s="39">
        <f>SUM(L21:L25)</f>
        <v>6.24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69789.850000000006</v>
      </c>
      <c r="I27" s="265"/>
      <c r="J27" s="47"/>
      <c r="K27" s="47"/>
      <c r="L27" s="39"/>
      <c r="M27" s="12"/>
      <c r="N27" s="12"/>
      <c r="O27" s="253">
        <f>SUM(O21:O23)</f>
        <v>3.7525999999999997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437104.85</v>
      </c>
      <c r="I28" s="265"/>
      <c r="J28" s="47"/>
      <c r="K28" s="47"/>
      <c r="L28" s="39"/>
      <c r="M28" s="12"/>
      <c r="N28" s="12"/>
      <c r="O28" s="253">
        <f>O27</f>
        <v>3.7525999999999997</v>
      </c>
      <c r="P28" s="14"/>
      <c r="Q28" s="12"/>
      <c r="R28" s="238">
        <f>SUM(R21:R27)</f>
        <v>6.24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0.75051999999999996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8"/>
      <c r="K30" s="47"/>
      <c r="L30" s="14"/>
      <c r="M30" s="12"/>
      <c r="N30" s="12"/>
      <c r="O30" s="46">
        <f>O28+O29</f>
        <v>4.50312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8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4.50312</v>
      </c>
      <c r="M32" s="12">
        <v>3500</v>
      </c>
      <c r="N32" s="12">
        <f t="shared" ref="N32:N37" si="13">L32*M32</f>
        <v>15760.92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13"/>
        <v>25000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71496</v>
      </c>
      <c r="N34" s="12">
        <f t="shared" si="13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7"/>
      <c r="K35" s="250"/>
      <c r="L35" s="14">
        <v>2</v>
      </c>
      <c r="M35" s="250">
        <v>51261</v>
      </c>
      <c r="N35" s="12">
        <f t="shared" si="13"/>
        <v>102522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7"/>
      <c r="K36" s="250"/>
      <c r="L36" s="249"/>
      <c r="M36" s="250">
        <v>800</v>
      </c>
      <c r="N36" s="12">
        <f t="shared" si="13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6.24</v>
      </c>
      <c r="M37" s="12">
        <v>1500</v>
      </c>
      <c r="N37" s="12">
        <f t="shared" si="13"/>
        <v>9360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152642.91999999998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61000</v>
      </c>
      <c r="K39" s="250"/>
      <c r="L39" s="254" t="s">
        <v>35</v>
      </c>
      <c r="M39" s="12"/>
      <c r="N39" s="255">
        <f>N38*2.2</f>
        <v>335814.424</v>
      </c>
      <c r="O39" s="14" t="s">
        <v>142</v>
      </c>
      <c r="P39" s="14"/>
      <c r="Q39" s="46">
        <f>O28/Q38</f>
        <v>1.0118097497842966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51260.504201680676</v>
      </c>
      <c r="K40" s="250"/>
      <c r="L40" s="14"/>
      <c r="M40" s="12"/>
      <c r="N40" s="12">
        <f>N39/O28</f>
        <v>89488.467729041207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0.98428852459016392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45495</v>
      </c>
    </row>
    <row r="6" spans="2:31" ht="16.2" thickBot="1" x14ac:dyDescent="0.35">
      <c r="B6" s="140" t="s">
        <v>2</v>
      </c>
      <c r="C6" s="139" t="str">
        <f>'2229'!C10</f>
        <v>DAVID RAMIREZ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11042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-41805.538700120778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367315</v>
      </c>
      <c r="E11" s="132">
        <f>D11*0.19</f>
        <v>69789.850000000006</v>
      </c>
      <c r="F11" s="131">
        <f>E11+D11</f>
        <v>437104.85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64184.461299879222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70595.01078743962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46184.461299879222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296719.98921256035</v>
      </c>
      <c r="E13" s="221">
        <f>(D11/D12)-1</f>
        <v>4.2031297382470729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37184.461299879222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-1815.5387001207782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116481.76779927536</v>
      </c>
      <c r="F15" s="216">
        <f>E15-D12</f>
        <v>45886.75701183574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-1815.5387001207782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38184.461299879222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15760.92</v>
      </c>
      <c r="E20" s="121">
        <f>D20*0.19</f>
        <v>2994.5747999999999</v>
      </c>
      <c r="F20" s="120">
        <f>SUM(D20:E20)</f>
        <v>18755.4948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40760.92</v>
      </c>
      <c r="E21" s="116">
        <f>SUM(E18:E20)</f>
        <v>7744.5748000000003</v>
      </c>
      <c r="F21" s="115">
        <f>SUM(F18:F20)</f>
        <v>48505.4948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62045.275200000004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367315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40760.92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296719.98921256035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296719.98921256035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2024-07-22T13:23:46Z</dcterms:modified>
</cp:coreProperties>
</file>