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E82073C2-7C8D-466D-A819-1FC4B52F9E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K21" i="1"/>
  <c r="K10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R26" i="1"/>
  <c r="H26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<sst xmlns="http://schemas.openxmlformats.org/spreadsheetml/2006/main" count="218" uniqueCount="164">
  <si>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</si>
  <si>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</si>
  <si>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</si>
  <si>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</si>
  <si>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</si>
  <si>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</si>
  <si>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</si>
  <si>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</si>
  <si>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</si>
  <si>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</si>
  <si>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</si>
  <si>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</si>
  <si>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</si>
  <si>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</si>
  <si>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</si>
  <si>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</si>
  <si>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</si>
  <si>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</si>
  <si>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</si>
  <si>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</si>
  <si>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</si>
  <si>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</si>
  <si>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</si>
  <si>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</si>
  <si>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</si>
  <si>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</si>
  <si>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</si>
  <si>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</si>
  <si>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</si>
  <si>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</si>
  <si>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</si>
  <si>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</si>
  <si>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</si>
  <si>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</si>
  <si>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</si>
  <si>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</si>
  <si>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</si>
  <si>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</si>
  <si>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</si>
  <si>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</si>
  <si>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</si>
  <si>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</si>
  <si>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</si>
  <si>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</si>
  <si>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</si>
  <si>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</si>
  <si>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</si>
  <si>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</si>
  <si>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</si>
  <si>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</si>
  <si>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</si>
  <si>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</si>
  <si>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</si>
  <si>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</si>
  <si>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</si>
  <si>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</si>
  <si>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</si>
  <si>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</si>
  <si>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</si>
  <si>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</si>
  <si>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</si>
  <si>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</si>
  <si>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</si>
  <si>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</si>
  <si>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</si>
  <si>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</si>
  <si>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</si>
  <si>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</si>
  <si>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</si>
  <si>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</si>
  <si>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</si>
  <si>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</si>
  <si>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</si>
  <si>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</si>
  <si>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</si>
  <si>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</si>
  <si>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</si>
  <si>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</si>
  <si>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</si>
  <si>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</si>
  <si>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</si>
  <si>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</si>
  <si>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</si>
  <si>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</si>
  <si>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</si>
  <si>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</si>
  <si>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</si>
  <si>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</si>
  <si>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</si>
  <si>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</si>
  <si>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</si>
  <si>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</si>
  <si>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</si>
  <si>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</si>
  <si>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</si>
  <si>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</si>
  <si>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</si>
  <si>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</si>
  <si>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</si>
  <si>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</si>
  <si>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</si>
  <si>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</si>
  <si>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</si>
  <si>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</si>
  <si>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</si>
  <si>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</si>
  <si>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</si>
  <si>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</si>
  <si>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</si>
  <si>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</si>
  <si>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</si>
  <si>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</si>
  <si>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</si>
  <si>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</si>
  <si>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</si>
  <si>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</si>
  <si>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</si>
  <si>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</si>
  <si>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</si>
  <si>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</si>
  <si>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</si>
  <si>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</si>
  <si>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</si>
  <si>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</si>
  <si>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</si>
  <si>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</si>
  <si>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</si>
  <si>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</si>
  <si>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</si>
  <si>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</si>
  <si>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</si>
  <si>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</si>
  <si>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</si>
  <si>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</si>
  <si>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</si>
  <si>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</si>
  <si>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</si>
  <si>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</si>
  <si>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</si>
  <si>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</si>
  <si>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</si>
  <si>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</si>
  <si>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</si>
  <si>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</si>
  <si>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</si>
  <si>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</si>
  <si>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</si>
  <si>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</si>
  <si>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</si>
  <si>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</si>
  <si>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</si>
  <si>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</si>
  <si>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</si>
  <si>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</si>
  <si>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</si>
  <si>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</si>
  <si>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</si>
  <si>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</si>
  <si>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</si>
  <si>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11022</t>
  </si>
  <si>
    <t>DAVID RAMIREZ</t>
  </si>
  <si>
    <t>+569 8521 7073</t>
  </si>
  <si>
    <t>CUB MESA R8 4 LADOS</t>
  </si>
  <si>
    <t>IMPERIALE BR 3157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</si>
</sst>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 DESPUNTADA EN SUS CUATRO CANTOS CON ENCHAPE CON</a:t>
          </a:r>
          <a:r>
            <a:rPr lang="es-CL" sz="1200" b="1" baseline="0"/>
            <a:t> MISMA LAMINA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C5" zoomScale="98" zoomScaleNormal="98" workbookViewId="0">
      <selection activeCell="H26" sqref="H2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45481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6" t="s">
        <v>10</v>
      </c>
      <c r="E20" s="326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131188.93333333335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12" t="s">
        <v>162</v>
      </c>
      <c r="D21" s="327">
        <v>1.2</v>
      </c>
      <c r="E21" s="327">
        <v>1.2</v>
      </c>
      <c r="F21" s="312" t="s">
        <v>163</v>
      </c>
      <c r="G21" s="313">
        <v>199783</v>
      </c>
      <c r="H21" s="314">
        <f t="shared" ref="H21" si="1">G21*B21</f>
        <v>199783</v>
      </c>
      <c r="I21" s="265"/>
      <c r="J21" s="47"/>
      <c r="K21" s="324">
        <f>B21</f>
        <v>1</v>
      </c>
      <c r="L21" s="325">
        <f t="shared" ref="L21:M21" si="2">D21+L$19</f>
        <v>1.25</v>
      </c>
      <c r="M21" s="325">
        <f t="shared" si="2"/>
        <v>1.2</v>
      </c>
      <c r="N21" s="261">
        <f>L21*M21</f>
        <v>1.5</v>
      </c>
      <c r="O21" s="259">
        <f>N21*K21</f>
        <v>1.5</v>
      </c>
      <c r="P21" s="252">
        <f>P$20*N21</f>
        <v>196783.40000000002</v>
      </c>
      <c r="Q21" s="258">
        <f>P21+Q$20</f>
        <v>199783.40000000002</v>
      </c>
      <c r="R21" s="308">
        <f>K21*L21</f>
        <v>1.25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7"/>
      <c r="H22" s="317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199783</v>
      </c>
      <c r="I24" s="265"/>
      <c r="J24" s="47"/>
      <c r="K24" s="47"/>
      <c r="L24" s="39">
        <f>SUM(L21:L23)</f>
        <v>1.25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H24*19%</f>
        <v>37958.770000000004</v>
      </c>
      <c r="I25" s="265"/>
      <c r="J25" s="47"/>
      <c r="K25" s="47"/>
      <c r="L25" s="39"/>
      <c r="M25" s="12"/>
      <c r="N25" s="12"/>
      <c r="O25" s="253">
        <f>SUM(O21:O21)</f>
        <v>1.5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237741.77000000002</v>
      </c>
      <c r="I26" s="265"/>
      <c r="J26" s="47"/>
      <c r="K26" s="47"/>
      <c r="L26" s="39"/>
      <c r="M26" s="12"/>
      <c r="N26" s="12"/>
      <c r="O26" s="253">
        <f>O25</f>
        <v>1.5</v>
      </c>
      <c r="P26" s="14"/>
      <c r="Q26" s="12"/>
      <c r="R26" s="238">
        <f>SUM(R21:R25)</f>
        <v>1.25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0.30000000000000004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9"/>
      <c r="K28" s="47"/>
      <c r="L28" s="14"/>
      <c r="M28" s="12"/>
      <c r="N28" s="12"/>
      <c r="O28" s="46">
        <f>O26+O27</f>
        <v>1.8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9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1.8</v>
      </c>
      <c r="M30" s="12">
        <v>3500</v>
      </c>
      <c r="N30" s="12">
        <f t="shared" ref="N30:N35" si="3">L30*M30</f>
        <v>6300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0.5</v>
      </c>
      <c r="M31" s="12">
        <v>25000</v>
      </c>
      <c r="N31" s="12">
        <f t="shared" si="3"/>
        <v>12500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43000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8"/>
      <c r="K33" s="250"/>
      <c r="L33" s="14">
        <v>1</v>
      </c>
      <c r="M33" s="250">
        <v>70647</v>
      </c>
      <c r="N33" s="12">
        <f t="shared" si="3"/>
        <v>70647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8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89447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84070</v>
      </c>
      <c r="K37" s="250"/>
      <c r="L37" s="254" t="s">
        <v>35</v>
      </c>
      <c r="M37" s="12"/>
      <c r="N37" s="255">
        <f>N36*2.2</f>
        <v>196783.40000000002</v>
      </c>
      <c r="O37" s="14" t="s">
        <v>142</v>
      </c>
      <c r="P37" s="14"/>
      <c r="Q37" s="46">
        <f>O26/Q36</f>
        <v>0.40444348576358929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70647.058823529413</v>
      </c>
      <c r="K38" s="250"/>
      <c r="L38" s="14"/>
      <c r="M38" s="12"/>
      <c r="N38" s="12">
        <f>N37/O26</f>
        <v>131188.93333333335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0.39344262295081966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45481</v>
      </c>
    </row>
    <row r="6" spans="2:31" ht="16.2" thickBot="1" x14ac:dyDescent="0.35">
      <c r="B6" s="140" t="s">
        <v>2</v>
      </c>
      <c r="C6" s="139" t="str">
        <f>'2229'!C10</f>
        <v>DAVID RAMIREZ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11022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-19922.791700120772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199783</v>
      </c>
      <c r="E11" s="132">
        <f>D11*0.19</f>
        <v>37958.770000000004</v>
      </c>
      <c r="F11" s="131">
        <f>E11+D11</f>
        <v>237741.77000000002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86067.208299879232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48634.090787439614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68067.208299879232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151148.90921256039</v>
      </c>
      <c r="E13" s="221">
        <f>(D11/D12)-1</f>
        <v>3.1078798177429183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59067.208299879232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20067.208299879228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80246.249799275363</v>
      </c>
      <c r="F15" s="216">
        <f>E15-D12</f>
        <v>31612.159011835749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20067.208299879228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60067.208299879232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6300</v>
      </c>
      <c r="E20" s="121">
        <f>D20*0.19</f>
        <v>1197</v>
      </c>
      <c r="F20" s="120">
        <f>SUM(D20:E20)</f>
        <v>7497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18800</v>
      </c>
      <c r="E21" s="116">
        <f>SUM(E18:E20)</f>
        <v>3572</v>
      </c>
      <c r="F21" s="115">
        <f>SUM(F18:F20)</f>
        <v>22372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34386.770000000004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199783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18800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151148.90921256039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151148.90921256039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2024-07-08T19:06:49Z</dcterms:modified>
</cp:coreProperties>
</file>