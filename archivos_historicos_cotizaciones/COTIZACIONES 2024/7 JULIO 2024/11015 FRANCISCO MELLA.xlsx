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3A2242F2-4AE9-48D4-8D64-60B6F17F8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0" i="1"/>
  <c r="K10" i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4" i="1" s="1"/>
  <c r="R26" i="1"/>
  <c r="H26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<sst xmlns="http://schemas.openxmlformats.org/spreadsheetml/2006/main" count="218" uniqueCount="164">
  <si>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</si>
  <si>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</si>
  <si>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</si>
  <si>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</si>
  <si>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</si>
  <si>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</si>
  <si>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</si>
  <si>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</si>
  <si>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</si>
  <si>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</si>
  <si>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</si>
  <si>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</si>
  <si>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</si>
  <si>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</si>
  <si>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</si>
  <si>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</si>
  <si>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</si>
  <si>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</si>
  <si>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</si>
  <si>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</si>
  <si>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</si>
  <si>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</si>
  <si>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</si>
  <si>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</si>
  <si>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</si>
  <si>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</si>
  <si>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</si>
  <si>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</si>
  <si>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</si>
  <si>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</si>
  <si>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</si>
  <si>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</si>
  <si>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</si>
  <si>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</si>
  <si>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</si>
  <si>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</si>
  <si>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</si>
  <si>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</si>
  <si>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</si>
  <si>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</si>
  <si>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</si>
  <si>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</si>
  <si>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</si>
  <si>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</si>
  <si>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</si>
  <si>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</si>
  <si>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</si>
  <si>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</si>
  <si>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</si>
  <si>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</si>
  <si>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</si>
  <si>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</si>
  <si>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</si>
  <si>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</si>
  <si>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</si>
  <si>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</si>
  <si>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</si>
  <si>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</si>
  <si>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</si>
  <si>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</si>
  <si>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</si>
  <si>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</si>
  <si>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</si>
  <si>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</si>
  <si>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</si>
  <si>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</si>
  <si>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</si>
  <si>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</si>
  <si>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</si>
  <si>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</si>
  <si>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</si>
  <si>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</si>
  <si>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</si>
  <si>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</si>
  <si>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</si>
  <si>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</si>
  <si>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</si>
  <si>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</si>
  <si>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</si>
  <si>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</si>
  <si>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</si>
  <si>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</si>
  <si>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</si>
  <si>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</si>
  <si>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</si>
  <si>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</si>
  <si>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</si>
  <si>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</si>
  <si>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</si>
  <si>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</si>
  <si>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</si>
  <si>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</si>
  <si>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</si>
  <si>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</si>
  <si>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</si>
  <si>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</si>
  <si>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</si>
  <si>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</si>
  <si>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</si>
  <si>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</si>
  <si>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</si>
  <si>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</si>
  <si>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</si>
  <si>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</si>
  <si>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</si>
  <si>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</si>
  <si>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</si>
  <si>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</si>
  <si>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</si>
  <si>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</si>
  <si>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</si>
  <si>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</si>
  <si>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</si>
  <si>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</si>
  <si>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</si>
  <si>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</si>
  <si>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</si>
  <si>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</si>
  <si>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</si>
  <si>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</si>
  <si>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</si>
  <si>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</si>
  <si>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</si>
  <si>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</si>
  <si>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</si>
  <si>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</si>
  <si>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</si>
  <si>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</si>
  <si>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</si>
  <si>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</si>
  <si>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</si>
  <si>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</si>
  <si>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</si>
  <si>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</si>
  <si>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</si>
  <si>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</si>
  <si>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</si>
  <si>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</si>
  <si>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</si>
  <si>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</si>
  <si>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</si>
  <si>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</si>
  <si>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</si>
  <si>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</si>
  <si>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</si>
  <si>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</si>
  <si>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</si>
  <si>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</si>
  <si>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</si>
  <si>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</si>
  <si>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</si>
  <si>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</si>
  <si>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</si>
  <si>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</si>
  <si>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</si>
  <si>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</si>
  <si>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</si>
  <si>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</si>
  <si>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</si>
  <si>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FRANCISCO MELLA</t>
  </si>
  <si>
    <t>+569 8451 4974</t>
  </si>
  <si>
    <t>CUB CON RESPALDO FRENTE 90° R8</t>
  </si>
  <si>
    <t>WHITE ASHWOOD MT</t>
  </si>
  <si>
    <t>N° 11015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</si>
</sst>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45483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26" t="s">
        <v>10</v>
      </c>
      <c r="E20" s="326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58160.343137254902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2</v>
      </c>
      <c r="C21" s="312" t="s">
        <v>161</v>
      </c>
      <c r="D21" s="327">
        <v>2.5</v>
      </c>
      <c r="E21" s="327">
        <v>0.8</v>
      </c>
      <c r="F21" s="312" t="s">
        <v>162</v>
      </c>
      <c r="G21" s="313">
        <v>121647</v>
      </c>
      <c r="H21" s="314">
        <f t="shared" ref="H21" si="1">G21*B21</f>
        <v>243294</v>
      </c>
      <c r="I21" s="265"/>
      <c r="J21" s="47"/>
      <c r="K21" s="324">
        <f>B21</f>
        <v>2</v>
      </c>
      <c r="L21" s="325">
        <f t="shared" ref="L21:M21" si="2">D21+L$19</f>
        <v>2.5499999999999998</v>
      </c>
      <c r="M21" s="325">
        <f t="shared" si="2"/>
        <v>0.8</v>
      </c>
      <c r="N21" s="261">
        <f>L21*M21</f>
        <v>2.04</v>
      </c>
      <c r="O21" s="259">
        <f>N21*K21</f>
        <v>4.08</v>
      </c>
      <c r="P21" s="252">
        <f>P$20*N21</f>
        <v>118647.1</v>
      </c>
      <c r="Q21" s="258">
        <f>P21+Q$20</f>
        <v>121647.1</v>
      </c>
      <c r="R21" s="308">
        <f>K21*L21</f>
        <v>5.0999999999999996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7"/>
      <c r="H22" s="317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243294</v>
      </c>
      <c r="I24" s="265"/>
      <c r="J24" s="47"/>
      <c r="K24" s="47"/>
      <c r="L24" s="39">
        <f>SUM(L21:L23)</f>
        <v>2.5499999999999998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/>
      <c r="I25" s="265"/>
      <c r="J25" s="47"/>
      <c r="K25" s="47"/>
      <c r="L25" s="39"/>
      <c r="M25" s="12"/>
      <c r="N25" s="12"/>
      <c r="O25" s="253">
        <f>SUM(O21:O21)</f>
        <v>4.08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243294</v>
      </c>
      <c r="I26" s="265"/>
      <c r="J26" s="47"/>
      <c r="K26" s="47"/>
      <c r="L26" s="39"/>
      <c r="M26" s="12"/>
      <c r="N26" s="12"/>
      <c r="O26" s="253">
        <f>O25</f>
        <v>4.08</v>
      </c>
      <c r="P26" s="14"/>
      <c r="Q26" s="12"/>
      <c r="R26" s="238">
        <f>SUM(R21:R25)</f>
        <v>5.0999999999999996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>
        <v>32</v>
      </c>
      <c r="K27" s="47"/>
      <c r="L27" s="14"/>
      <c r="M27" s="12"/>
      <c r="N27" s="12"/>
      <c r="O27" s="39">
        <f>O26*20%</f>
        <v>0.81600000000000006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9">
        <v>32</v>
      </c>
      <c r="K28" s="47"/>
      <c r="L28" s="14"/>
      <c r="M28" s="12"/>
      <c r="N28" s="12"/>
      <c r="O28" s="46">
        <f>O26+O27</f>
        <v>4.8959999999999999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9">
        <v>55</v>
      </c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>
        <f>SUM(J27:J29)</f>
        <v>119</v>
      </c>
      <c r="K30" s="47"/>
      <c r="L30" s="39">
        <f>O28</f>
        <v>4.8959999999999999</v>
      </c>
      <c r="M30" s="12">
        <v>3500</v>
      </c>
      <c r="N30" s="12">
        <f t="shared" ref="N30:N35" si="3">L30*M30</f>
        <v>17136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2</v>
      </c>
      <c r="M31" s="12">
        <v>25000</v>
      </c>
      <c r="N31" s="12">
        <f t="shared" si="3"/>
        <v>50000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43000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8"/>
      <c r="K33" s="250"/>
      <c r="L33" s="14">
        <v>1</v>
      </c>
      <c r="M33" s="250">
        <v>33000</v>
      </c>
      <c r="N33" s="12">
        <f t="shared" si="3"/>
        <v>33000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8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>
        <v>5.15</v>
      </c>
      <c r="M35" s="12">
        <v>1500</v>
      </c>
      <c r="N35" s="12">
        <f t="shared" si="3"/>
        <v>7725.0000000000009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107861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43000</v>
      </c>
      <c r="K37" s="250"/>
      <c r="L37" s="254" t="s">
        <v>35</v>
      </c>
      <c r="M37" s="12"/>
      <c r="N37" s="255">
        <f>N36*2.2</f>
        <v>237294.2</v>
      </c>
      <c r="O37" s="14" t="s">
        <v>142</v>
      </c>
      <c r="P37" s="14"/>
      <c r="Q37" s="46">
        <f>O26/Q36</f>
        <v>1.100086281276963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36134.45378151261</v>
      </c>
      <c r="K38" s="250"/>
      <c r="L38" s="14"/>
      <c r="M38" s="12"/>
      <c r="N38" s="12">
        <f>N37/O26</f>
        <v>58160.343137254902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1.0701639344262295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45483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11015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-13882.225033454108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243294</v>
      </c>
      <c r="E11" s="132">
        <f>D11*0.19</f>
        <v>46225.86</v>
      </c>
      <c r="F11" s="131">
        <f>E11+D11</f>
        <v>289519.86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92107.774966545898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96970.090787439607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74107.774966545898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146323.90921256039</v>
      </c>
      <c r="E13" s="221">
        <f>(D11/D12)-1</f>
        <v>1.508959185500871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65107.77496654589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26107.77496654589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160000.64979927536</v>
      </c>
      <c r="F15" s="216">
        <f>E15-D12</f>
        <v>63030.55901183575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26107.77496654589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66107.774966545898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17136</v>
      </c>
      <c r="E20" s="121">
        <f>D20*0.19</f>
        <v>3255.84</v>
      </c>
      <c r="F20" s="120">
        <f>SUM(D20:E20)</f>
        <v>20391.84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67136</v>
      </c>
      <c r="E21" s="116">
        <f>SUM(E18:E20)</f>
        <v>12755.84</v>
      </c>
      <c r="F21" s="115">
        <f>SUM(F18:F20)</f>
        <v>79891.839999999997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33470.020000000004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243294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67136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146323.90921256039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146323.90921256039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2024-07-01T20:57:08Z</dcterms:modified>
</cp:coreProperties>
</file>