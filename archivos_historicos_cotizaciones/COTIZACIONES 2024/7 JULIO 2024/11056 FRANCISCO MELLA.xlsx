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A6920BA4-E6B2-41B7-B1F7-DE8CF033F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 s="1"/>
  <c r="R22" i="1"/>
  <c r="H22" i="1"/>
  <c r="K21" i="1"/>
  <c r="J43" i="1"/>
  <c r="O22" i="1" l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P22" i="1" s="1"/>
  <c r="Q22" i="1" s="1"/>
  <c r="E15" i="3"/>
  <c r="P21" i="1" l="1"/>
  <c r="F15" i="3"/>
  <c r="Q21" i="1" l="1"/>
  <c r="H21" i="1" l="1"/>
  <c r="H25" i="1" l="1"/>
  <c r="H27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<sst xmlns="http://schemas.openxmlformats.org/spreadsheetml/2006/main" count="232" uniqueCount="174">
  <si>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</si>
  <si>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</si>
  <si>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</si>
  <si>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</si>
  <si>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</si>
  <si>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</si>
  <si>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</si>
  <si>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</si>
  <si>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</si>
  <si>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</si>
  <si>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</si>
  <si>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</si>
  <si>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</si>
  <si>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</si>
  <si>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</si>
  <si>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</si>
  <si>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</si>
  <si>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</si>
  <si>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</si>
  <si>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</si>
  <si>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</si>
  <si>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</si>
  <si>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</si>
  <si>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</si>
  <si>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</si>
  <si>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</si>
  <si>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</si>
  <si>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</si>
  <si>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</si>
  <si>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</si>
  <si>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</si>
  <si>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</si>
  <si>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</si>
  <si>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</si>
  <si>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</si>
  <si>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</si>
  <si>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</si>
  <si>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</si>
  <si>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</si>
  <si>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</si>
  <si>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</si>
  <si>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</si>
  <si>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</si>
  <si>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</si>
  <si>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</si>
  <si>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</si>
  <si>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</si>
  <si>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</si>
  <si>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</si>
  <si>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</si>
  <si>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</si>
  <si>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</si>
  <si>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</si>
  <si>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</si>
  <si>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</si>
  <si>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</si>
  <si>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</si>
  <si>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</si>
  <si>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</si>
  <si>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</si>
  <si>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</si>
  <si>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</si>
  <si>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</si>
  <si>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</si>
  <si>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</si>
  <si>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</si>
  <si>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</si>
  <si>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</si>
  <si>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</si>
  <si>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</si>
  <si>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</si>
  <si>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</si>
  <si>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</si>
  <si>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</si>
  <si>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</si>
  <si>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</si>
  <si>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</si>
  <si>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</si>
  <si>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</si>
  <si>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</si>
  <si>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</si>
  <si>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</si>
  <si>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</si>
  <si>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</si>
  <si>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</si>
  <si>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</si>
  <si>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</si>
  <si>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</si>
  <si>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</si>
  <si>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</si>
  <si>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</si>
  <si>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</si>
  <si>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</si>
  <si>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</si>
  <si>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</si>
  <si>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</si>
  <si>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</si>
  <si>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</si>
  <si>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</si>
  <si>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</si>
  <si>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</si>
  <si>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</si>
  <si>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</si>
  <si>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</si>
  <si>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</si>
  <si>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</si>
  <si>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</si>
  <si>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</si>
  <si>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</si>
  <si>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</si>
  <si>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</si>
  <si>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</si>
  <si>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</si>
  <si>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</si>
  <si>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</si>
  <si>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</si>
  <si>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</si>
  <si>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</si>
  <si>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</si>
  <si>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</si>
  <si>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</si>
  <si>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</si>
  <si>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</si>
  <si>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</si>
  <si>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</si>
  <si>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</si>
  <si>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</si>
  <si>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</si>
  <si>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</si>
  <si>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</si>
  <si>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</si>
  <si>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</si>
  <si>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</si>
  <si>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</si>
  <si>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</si>
  <si>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</si>
  <si>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</si>
  <si>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</si>
  <si>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</si>
  <si>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</si>
  <si>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</si>
  <si>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</si>
  <si>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</si>
  <si>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</si>
  <si>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</si>
  <si>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</si>
  <si>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</si>
  <si>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</si>
  <si>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</si>
  <si>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</si>
  <si>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</si>
  <si>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</si>
  <si>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</si>
  <si>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</si>
  <si>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</si>
  <si>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</si>
  <si>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</si>
  <si>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</si>
  <si>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</si>
  <si>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</si>
  <si>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</si>
  <si>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</si>
  <si>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</si>
  <si>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</si>
  <si>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</si>
  <si>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</si>
  <si>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</si>
  <si>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</si>
  <si>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7  DIAS HABILES</t>
  </si>
  <si>
    <t>FRANCISCO MELLA</t>
  </si>
  <si>
    <t>+569 84514974</t>
  </si>
  <si>
    <t>CUB C/R 90° R8</t>
  </si>
  <si>
    <t>N° 11056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</si>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</sst>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45523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64635.68345323742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2.2000000000000002</v>
      </c>
      <c r="E21" s="326">
        <v>0.55000000000000004</v>
      </c>
      <c r="F21" s="325" t="s">
        <v>173</v>
      </c>
      <c r="G21" s="327">
        <v>82987</v>
      </c>
      <c r="H21" s="327">
        <f>G21*B21</f>
        <v>82987</v>
      </c>
      <c r="I21" s="265"/>
      <c r="J21" s="47"/>
      <c r="K21" s="47">
        <f>B21</f>
        <v>1</v>
      </c>
      <c r="L21" s="39">
        <f>D21+L$19</f>
        <v>2.25</v>
      </c>
      <c r="M21" s="39">
        <f>E21+M$19</f>
        <v>0.55000000000000004</v>
      </c>
      <c r="N21" s="261">
        <f>L21*M21</f>
        <v>1.2375</v>
      </c>
      <c r="O21" s="259">
        <f>N21*K21</f>
        <v>1.2375</v>
      </c>
      <c r="P21" s="252">
        <f>P$20*N21</f>
        <v>79986.658273381312</v>
      </c>
      <c r="Q21" s="328">
        <f>P21+Q$20</f>
        <v>82986.658273381312</v>
      </c>
      <c r="R21" s="298">
        <f>L21*K21*2</f>
        <v>4.5</v>
      </c>
      <c r="S21" s="46">
        <f>M21*2*K21</f>
        <v>1.1000000000000001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1.2</v>
      </c>
      <c r="E22" s="326">
        <v>0.4</v>
      </c>
      <c r="F22" s="325" t="s">
        <v>173</v>
      </c>
      <c r="G22" s="327">
        <v>35318</v>
      </c>
      <c r="H22" s="327">
        <f>G22*B22</f>
        <v>35318</v>
      </c>
      <c r="I22" s="265"/>
      <c r="J22" s="47"/>
      <c r="K22" s="47">
        <f>B22</f>
        <v>1</v>
      </c>
      <c r="L22" s="39">
        <f>D22+L$19</f>
        <v>1.25</v>
      </c>
      <c r="M22" s="39">
        <f>E22+M$19</f>
        <v>0.4</v>
      </c>
      <c r="N22" s="261">
        <f>L22*M22</f>
        <v>0.5</v>
      </c>
      <c r="O22" s="259">
        <f>N22*K22</f>
        <v>0.5</v>
      </c>
      <c r="P22" s="252">
        <f>P$20*N22</f>
        <v>32317.84172661871</v>
      </c>
      <c r="Q22" s="328">
        <f>P22+Q$20</f>
        <v>35317.84172661871</v>
      </c>
      <c r="R22" s="298">
        <f>L22*K22*2</f>
        <v>2.5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118305</v>
      </c>
      <c r="I25" s="265"/>
      <c r="J25" s="47"/>
      <c r="K25" s="47"/>
      <c r="L25" s="39">
        <f>SUM(L21:L24)</f>
        <v>3.5</v>
      </c>
      <c r="M25" s="39"/>
      <c r="N25" s="261"/>
      <c r="O25" s="259"/>
      <c r="P25" s="252"/>
      <c r="Q25" s="258"/>
      <c r="R25" s="298"/>
      <c r="S25" s="46">
        <f>SUM(S21:S24)</f>
        <v>1.1000000000000001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SUM(O21:O22)</f>
        <v>1.7375</v>
      </c>
      <c r="P26" s="14"/>
      <c r="Q26" s="12"/>
      <c r="R26" s="239"/>
      <c r="S26" s="46">
        <f>S25*20%</f>
        <v>0.22000000000000003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118305</v>
      </c>
      <c r="I27" s="265"/>
      <c r="J27" s="47"/>
      <c r="K27" s="47"/>
      <c r="L27" s="39"/>
      <c r="M27" s="12"/>
      <c r="N27" s="12"/>
      <c r="O27" s="253">
        <f>O26</f>
        <v>1.7375</v>
      </c>
      <c r="P27" s="14"/>
      <c r="Q27" s="12"/>
      <c r="R27" s="239">
        <f>SUM(R21:R26)</f>
        <v>7</v>
      </c>
      <c r="S27" s="46">
        <f>S25+S26</f>
        <v>1.32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0.34750000000000003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2.085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2.085</v>
      </c>
      <c r="M31" s="12">
        <v>3500</v>
      </c>
      <c r="N31" s="12">
        <f t="shared" ref="N31:N36" si="1">L31*M31</f>
        <v>7297.5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</v>
      </c>
      <c r="M32" s="12">
        <v>25000</v>
      </c>
      <c r="N32" s="12">
        <f t="shared" si="1"/>
        <v>15000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25000</v>
      </c>
      <c r="N33" s="12">
        <f t="shared" si="1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23500</v>
      </c>
      <c r="N34" s="12">
        <f t="shared" si="1"/>
        <v>23500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3.5</v>
      </c>
      <c r="M36" s="12">
        <v>1500</v>
      </c>
      <c r="N36" s="12">
        <f t="shared" si="1"/>
        <v>5250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51047.5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112304.50000000001</v>
      </c>
      <c r="O38" s="14" t="s">
        <v>141</v>
      </c>
      <c r="P38" s="14"/>
      <c r="Q38" s="40">
        <f>O29/Q37</f>
        <v>0.5621764452113891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57660</v>
      </c>
      <c r="K39" s="250"/>
      <c r="L39" s="14"/>
      <c r="M39" s="12"/>
      <c r="N39" s="12">
        <f>N38/O27</f>
        <v>64635.68345323742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48453.781512605041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230">
        <v>110000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J43">
        <f>J42/9</f>
        <v>12222.222222222223</v>
      </c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45523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-5381.3125334541064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118305</v>
      </c>
      <c r="E11" s="132">
        <f>D11*0.19</f>
        <v>22477.95</v>
      </c>
      <c r="F11" s="131">
        <f>E11+D11</f>
        <v>140782.95000000001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100608.68746654589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52131.590787439614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82608.687466545889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66173.409212560393</v>
      </c>
      <c r="E13" s="221">
        <f>(D11/D12)-1</f>
        <v>1.2693533462727933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73608.687466545889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34608.687466545896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86017.124799275363</v>
      </c>
      <c r="F15" s="216">
        <f>E15-D12</f>
        <v>33885.534011835749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34608.687466545896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74608.687466545889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7297.5</v>
      </c>
      <c r="E20" s="121">
        <f>D20*0.19</f>
        <v>1386.5250000000001</v>
      </c>
      <c r="F20" s="120">
        <f>SUM(D20:E20)</f>
        <v>8684.0249999999996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22297.5</v>
      </c>
      <c r="E21" s="116">
        <f>SUM(E18:E20)</f>
        <v>4236.5249999999996</v>
      </c>
      <c r="F21" s="115">
        <f>SUM(F18:F20)</f>
        <v>26534.025000000001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18241.425000000003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118305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22297.5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66173.409212560393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66173.409212560393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2024-08-19T15:34:11Z</dcterms:modified>
</cp:coreProperties>
</file>