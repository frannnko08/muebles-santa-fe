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1F7D0689-9B4E-4CC4-B51D-6B65BF59AE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M26" i="1"/>
  <c r="N26" i="1"/>
  <c r="O26" i="1" s="1"/>
  <c r="L26" i="1"/>
  <c r="L27" i="1"/>
  <c r="M27" i="1"/>
  <c r="K21" i="1"/>
  <c r="L21" i="1"/>
  <c r="M21" i="1"/>
  <c r="K22" i="1"/>
  <c r="L22" i="1"/>
  <c r="M22" i="1"/>
  <c r="H27" i="1"/>
  <c r="H21" i="1"/>
  <c r="H22" i="1"/>
  <c r="M25" i="1"/>
  <c r="L25" i="1"/>
  <c r="H24" i="1"/>
  <c r="L24" i="1"/>
  <c r="M24" i="1"/>
  <c r="H25" i="1"/>
  <c r="H23" i="1"/>
  <c r="M23" i="1"/>
  <c r="L23" i="1"/>
  <c r="K23" i="1"/>
  <c r="N27" i="1" l="1"/>
  <c r="N25" i="1"/>
  <c r="O25" i="1" s="1"/>
  <c r="N22" i="1"/>
  <c r="O22" i="1" s="1"/>
  <c r="N21" i="1"/>
  <c r="O21" i="1" s="1"/>
  <c r="O27" i="1"/>
  <c r="N24" i="1"/>
  <c r="O24" i="1" s="1"/>
  <c r="R24" i="1"/>
  <c r="N23" i="1"/>
  <c r="O23" i="1" s="1"/>
  <c r="J44" i="1"/>
  <c r="L29" i="1"/>
  <c r="S29" i="1" l="1"/>
  <c r="S30" i="1" s="1"/>
  <c r="S31" i="1" s="1"/>
  <c r="R31" i="1"/>
  <c r="O30" i="1"/>
  <c r="U37" i="1"/>
  <c r="U38" i="1" s="1"/>
  <c r="N36" i="1" l="1"/>
  <c r="O31" i="1" l="1"/>
  <c r="O32" i="1" s="1"/>
  <c r="O33" i="1" s="1"/>
  <c r="L35" i="1" s="1"/>
  <c r="M20" i="1"/>
  <c r="K20" i="1"/>
  <c r="N37" i="1" l="1"/>
  <c r="Q41" i="1"/>
  <c r="N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0" i="1"/>
  <c r="N39" i="1"/>
  <c r="F18" i="3" l="1"/>
  <c r="N35" i="1" l="1"/>
  <c r="N41" i="1" s="1"/>
  <c r="N42" i="1" s="1"/>
  <c r="Q42" i="1"/>
  <c r="D20" i="3" l="1"/>
  <c r="E20" i="3" s="1"/>
  <c r="E21" i="3" s="1"/>
  <c r="N43" i="1" l="1"/>
  <c r="D21" i="3"/>
  <c r="M43" i="3" s="1"/>
  <c r="D12" i="3" s="1"/>
  <c r="F20" i="3"/>
  <c r="F21" i="3" s="1"/>
  <c r="N44" i="1" l="1"/>
  <c r="P20" i="1"/>
  <c r="E15" i="3"/>
  <c r="P27" i="1" l="1"/>
  <c r="Q27" i="1" s="1"/>
  <c r="P26" i="1"/>
  <c r="Q26" i="1" s="1"/>
  <c r="P25" i="1"/>
  <c r="Q25" i="1" s="1"/>
  <c r="P22" i="1"/>
  <c r="Q22" i="1" s="1"/>
  <c r="P21" i="1"/>
  <c r="Q21" i="1" s="1"/>
  <c r="P23" i="1"/>
  <c r="Q23" i="1" s="1"/>
  <c r="P24" i="1"/>
  <c r="Q24" i="1" s="1"/>
  <c r="F15" i="3"/>
  <c r="H29" i="1" l="1"/>
  <c r="H30" i="1" s="1"/>
  <c r="H31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<sst xmlns="http://schemas.openxmlformats.org/spreadsheetml/2006/main" count="243" uniqueCount="182">
  <si>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</si>
  <si>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</si>
  <si>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</si>
  <si>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</si>
  <si>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</si>
  <si>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</si>
  <si>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</si>
  <si>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</si>
  <si>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</si>
  <si>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</si>
  <si>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</si>
  <si>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</si>
  <si>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</si>
  <si>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</si>
  <si>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</si>
  <si>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</si>
  <si>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</si>
  <si>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</si>
  <si>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</si>
  <si>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</si>
  <si>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</si>
  <si>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</si>
  <si>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</si>
  <si>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</si>
  <si>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</si>
  <si>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</si>
  <si>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</si>
  <si>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</si>
  <si>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</si>
  <si>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</si>
  <si>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</si>
  <si>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</si>
  <si>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</si>
  <si>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</si>
  <si>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</si>
  <si>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</si>
  <si>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</si>
  <si>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</si>
  <si>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</si>
  <si>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</si>
  <si>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</si>
  <si>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</si>
  <si>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</si>
  <si>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</si>
  <si>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</si>
  <si>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</si>
  <si>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</si>
  <si>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</si>
  <si>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</si>
  <si>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</si>
  <si>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</si>
  <si>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</si>
  <si>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</si>
  <si>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</si>
  <si>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</si>
  <si>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</si>
  <si>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</si>
  <si>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</si>
  <si>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</si>
  <si>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</si>
  <si>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</si>
  <si>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</si>
  <si>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</si>
  <si>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</si>
  <si>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</si>
  <si>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</si>
  <si>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</si>
  <si>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</si>
  <si>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</si>
  <si>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</si>
  <si>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</si>
  <si>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</si>
  <si>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</si>
  <si>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</si>
  <si>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</si>
  <si>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</si>
  <si>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</si>
  <si>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</si>
  <si>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</si>
  <si>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</si>
  <si>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</si>
  <si>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</si>
  <si>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</si>
  <si>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</si>
  <si>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</si>
  <si>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</si>
  <si>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</si>
  <si>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</si>
  <si>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</si>
  <si>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</si>
  <si>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</si>
  <si>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</si>
  <si>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</si>
  <si>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</si>
  <si>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</si>
  <si>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</si>
  <si>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</si>
  <si>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</si>
  <si>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</si>
  <si>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</si>
  <si>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</si>
  <si>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</si>
  <si>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</si>
  <si>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</si>
  <si>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</si>
  <si>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</si>
  <si>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</si>
  <si>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</si>
  <si>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</si>
  <si>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</si>
  <si>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</si>
  <si>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</si>
  <si>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</si>
  <si>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</si>
  <si>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</si>
  <si>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</si>
  <si>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</si>
  <si>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</si>
  <si>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</si>
  <si>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</si>
  <si>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</si>
  <si>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</si>
  <si>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</si>
  <si>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</si>
  <si>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</si>
  <si>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</si>
  <si>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</si>
  <si>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</si>
  <si>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</si>
  <si>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</si>
  <si>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</si>
  <si>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</si>
  <si>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</si>
  <si>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</si>
  <si>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</si>
  <si>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</si>
  <si>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</si>
  <si>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</si>
  <si>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</si>
  <si>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</si>
  <si>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</si>
  <si>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</si>
  <si>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</si>
  <si>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</si>
  <si>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</si>
  <si>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</si>
  <si>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</si>
  <si>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</si>
  <si>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</si>
  <si>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</si>
  <si>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</si>
  <si>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</si>
  <si>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</si>
  <si>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</si>
  <si>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</si>
  <si>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</si>
  <si>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</si>
  <si>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</si>
  <si>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</si>
  <si>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</si>
  <si>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</si>
  <si>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</si>
  <si>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</si>
  <si>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</si>
  <si>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</si>
  <si>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</si>
  <si>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</si>
  <si>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10 DIAS HABILES</t>
  </si>
  <si>
    <t>lamitech</t>
  </si>
  <si>
    <t>N° 11033</t>
  </si>
  <si>
    <t>NANCY GOMEZ</t>
  </si>
  <si>
    <t>+569 9220 2213</t>
  </si>
  <si>
    <t>SANTIAGO</t>
  </si>
  <si>
    <t>CUB S/R R8</t>
  </si>
  <si>
    <t>CUB MESA R8 2LADOS</t>
  </si>
  <si>
    <t>PR6</t>
  </si>
  <si>
    <t>RUBY 2135 BR</t>
  </si>
  <si>
    <t>N.GOMEZ2217@GMAIL.COM</t>
  </si>
  <si>
    <t>MARINA DI CARRARA BR</t>
  </si>
  <si>
    <t>E/R 1 CARA</t>
  </si>
  <si>
    <t>NEGRO MARMOLEADO</t>
  </si>
  <si>
    <t>SERVICIO CORTE Y ENCHAPES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</si>
</sst>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0" fontId="21" fillId="0" borderId="1" xfId="0" applyFont="1" applyBorder="1" applyAlignment="1">
      <alignment horizontal="center" vertical="center"/>
    </xf>
    <xf numFmtId="41" fontId="22" fillId="0" borderId="1" xfId="4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Fill="1" applyBorder="1" applyAlignment="1">
      <alignment horizontal="center" vertical="center"/>
    </xf>
    <xf numFmtId="166" fontId="32" fillId="0" borderId="1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33</xdr:row>
      <xdr:rowOff>26670</xdr:rowOff>
    </xdr:from>
    <xdr:to>
      <xdr:col>7</xdr:col>
      <xdr:colOff>1034435</xdr:colOff>
      <xdr:row>36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1714500</xdr:colOff>
      <xdr:row>36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28</xdr:row>
      <xdr:rowOff>9525</xdr:rowOff>
    </xdr:from>
    <xdr:to>
      <xdr:col>5</xdr:col>
      <xdr:colOff>1594096</xdr:colOff>
      <xdr:row>31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CORTADAS A LA MEDIDA Y ENCHAPADAS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.GOMEZ2217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6"/>
  <sheetViews>
    <sheetView tabSelected="1" topLeftCell="A4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3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6" t="s">
        <v>163</v>
      </c>
      <c r="C10" s="279" t="s">
        <v>170</v>
      </c>
      <c r="D10" s="243"/>
      <c r="E10" s="243"/>
      <c r="F10" s="244" t="s">
        <v>0</v>
      </c>
      <c r="G10" s="277">
        <v>45857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299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1"/>
      <c r="H13" s="290"/>
      <c r="P13" s="19"/>
      <c r="Q13" s="25"/>
      <c r="R13" s="19"/>
    </row>
    <row r="14" spans="2:23" x14ac:dyDescent="0.3">
      <c r="B14" s="246" t="s">
        <v>140</v>
      </c>
      <c r="C14" s="318" t="s">
        <v>177</v>
      </c>
      <c r="D14" s="247"/>
      <c r="E14" s="247"/>
      <c r="F14" s="319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3" t="s">
        <v>171</v>
      </c>
      <c r="D15" s="314"/>
      <c r="F15" t="s">
        <v>135</v>
      </c>
      <c r="G15" s="312" t="s">
        <v>136</v>
      </c>
      <c r="H15" s="290"/>
    </row>
    <row r="16" spans="2:23" ht="16.8" x14ac:dyDescent="0.4">
      <c r="B16" s="320" t="s">
        <v>3</v>
      </c>
      <c r="C16" s="310"/>
      <c r="D16" s="247"/>
      <c r="E16" s="247"/>
      <c r="F16" s="321" t="s">
        <v>130</v>
      </c>
      <c r="G16" s="322" t="s">
        <v>164</v>
      </c>
      <c r="H16" s="248"/>
    </row>
    <row r="17" spans="2:24" ht="15" thickBot="1" x14ac:dyDescent="0.35">
      <c r="B17" s="315" t="s">
        <v>13</v>
      </c>
      <c r="C17" s="316" t="s">
        <v>172</v>
      </c>
      <c r="D17" s="317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7" t="s">
        <v>7</v>
      </c>
      <c r="C20" s="308" t="s">
        <v>1</v>
      </c>
      <c r="D20" s="308" t="s">
        <v>10</v>
      </c>
      <c r="E20" s="308" t="s">
        <v>11</v>
      </c>
      <c r="F20" s="308" t="s">
        <v>8</v>
      </c>
      <c r="G20" s="308" t="s">
        <v>5</v>
      </c>
      <c r="H20" s="309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N43</f>
        <v>74147.708084088183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4">
        <v>1</v>
      </c>
      <c r="C21" s="324" t="s">
        <v>173</v>
      </c>
      <c r="D21" s="325">
        <v>0.63</v>
      </c>
      <c r="E21" s="325">
        <v>0.45</v>
      </c>
      <c r="F21" s="324" t="s">
        <v>178</v>
      </c>
      <c r="G21" s="326">
        <v>25689</v>
      </c>
      <c r="H21" s="326">
        <f>G21*B21</f>
        <v>25689</v>
      </c>
      <c r="I21" s="265"/>
      <c r="J21" s="47"/>
      <c r="K21" s="47">
        <f t="shared" ref="K21:K22" si="1">B21</f>
        <v>1</v>
      </c>
      <c r="L21" s="39">
        <f t="shared" ref="L21:L22" si="2">D21+L$19</f>
        <v>0.68</v>
      </c>
      <c r="M21" s="39">
        <f t="shared" ref="M21:M22" si="3">E21+M$19</f>
        <v>0.45</v>
      </c>
      <c r="N21" s="261">
        <f t="shared" ref="N21:N22" si="4">L21*M21</f>
        <v>0.30600000000000005</v>
      </c>
      <c r="O21" s="259">
        <f t="shared" ref="O21:O22" si="5">N21*K21</f>
        <v>0.30600000000000005</v>
      </c>
      <c r="P21" s="252">
        <f t="shared" ref="P21:P22" si="6">P$20*N21</f>
        <v>22689.198673730989</v>
      </c>
      <c r="Q21" s="327">
        <f t="shared" ref="Q21:Q22" si="7">P21+Q$20</f>
        <v>25689.198673730989</v>
      </c>
      <c r="R21" s="298"/>
      <c r="S21" s="46"/>
      <c r="T21" s="9"/>
      <c r="W21" s="4"/>
    </row>
    <row r="22" spans="2:24" ht="17.399999999999999" x14ac:dyDescent="0.3">
      <c r="B22" s="324">
        <v>1</v>
      </c>
      <c r="C22" s="324" t="s">
        <v>174</v>
      </c>
      <c r="D22" s="325">
        <v>1.65</v>
      </c>
      <c r="E22" s="325">
        <v>0.45</v>
      </c>
      <c r="F22" s="324" t="s">
        <v>178</v>
      </c>
      <c r="G22" s="326">
        <v>59723</v>
      </c>
      <c r="H22" s="326">
        <f>G22*B22</f>
        <v>59723</v>
      </c>
      <c r="I22" s="265"/>
      <c r="J22" s="47"/>
      <c r="K22" s="47">
        <f t="shared" si="1"/>
        <v>1</v>
      </c>
      <c r="L22" s="39">
        <f t="shared" si="2"/>
        <v>1.7</v>
      </c>
      <c r="M22" s="39">
        <f t="shared" si="3"/>
        <v>0.45</v>
      </c>
      <c r="N22" s="261">
        <f t="shared" si="4"/>
        <v>0.76500000000000001</v>
      </c>
      <c r="O22" s="259">
        <f t="shared" si="5"/>
        <v>0.76500000000000001</v>
      </c>
      <c r="P22" s="252">
        <f t="shared" si="6"/>
        <v>56722.99668432746</v>
      </c>
      <c r="Q22" s="327">
        <f t="shared" si="7"/>
        <v>59722.99668432746</v>
      </c>
      <c r="R22" s="298"/>
      <c r="S22" s="46"/>
      <c r="T22" s="9"/>
      <c r="W22" s="4"/>
    </row>
    <row r="23" spans="2:24" ht="17.399999999999999" x14ac:dyDescent="0.3">
      <c r="B23" s="324">
        <v>1</v>
      </c>
      <c r="C23" s="324" t="s">
        <v>33</v>
      </c>
      <c r="D23" s="325">
        <v>1.55</v>
      </c>
      <c r="E23" s="325">
        <v>6.2E-2</v>
      </c>
      <c r="F23" s="324" t="s">
        <v>178</v>
      </c>
      <c r="G23" s="326">
        <v>10355</v>
      </c>
      <c r="H23" s="326">
        <f>G23*B23</f>
        <v>10355</v>
      </c>
      <c r="I23" s="265"/>
      <c r="J23" s="47"/>
      <c r="K23" s="47">
        <f>B23</f>
        <v>1</v>
      </c>
      <c r="L23" s="39">
        <f t="shared" ref="L23" si="8">D23+L$19</f>
        <v>1.6</v>
      </c>
      <c r="M23" s="39">
        <f t="shared" ref="M23" si="9">E23+M$19</f>
        <v>6.2E-2</v>
      </c>
      <c r="N23" s="261">
        <f t="shared" ref="N23" si="10">L23*M23</f>
        <v>9.920000000000001E-2</v>
      </c>
      <c r="O23" s="259">
        <f t="shared" ref="O23" si="11">N23*K23</f>
        <v>9.920000000000001E-2</v>
      </c>
      <c r="P23" s="252">
        <f t="shared" ref="P23" si="12">P$20*N23</f>
        <v>7355.4526419415488</v>
      </c>
      <c r="Q23" s="327">
        <f t="shared" ref="Q23" si="13">P23+Q$20</f>
        <v>10355.452641941549</v>
      </c>
      <c r="R23" s="298"/>
      <c r="S23" s="46"/>
      <c r="T23" s="9"/>
      <c r="W23" s="4"/>
    </row>
    <row r="24" spans="2:24" ht="17.399999999999999" x14ac:dyDescent="0.3">
      <c r="B24" s="344">
        <v>2</v>
      </c>
      <c r="C24" s="344" t="s">
        <v>175</v>
      </c>
      <c r="D24" s="345">
        <v>0.8</v>
      </c>
      <c r="E24" s="345">
        <v>0.34300000000000003</v>
      </c>
      <c r="F24" s="344" t="s">
        <v>176</v>
      </c>
      <c r="G24" s="326">
        <v>17836</v>
      </c>
      <c r="H24" s="326">
        <f t="shared" ref="H24:H26" si="14">G24*B24</f>
        <v>35672</v>
      </c>
      <c r="I24" s="265"/>
      <c r="J24" s="47"/>
      <c r="K24" s="47"/>
      <c r="L24" s="39">
        <f t="shared" ref="L24:L26" si="15">D24+L$19</f>
        <v>0.85000000000000009</v>
      </c>
      <c r="M24" s="39">
        <f t="shared" ref="M24:M26" si="16">E24+M$19</f>
        <v>0.34300000000000003</v>
      </c>
      <c r="N24" s="261">
        <f t="shared" ref="N24:N26" si="17">L24*M24</f>
        <v>0.29155000000000003</v>
      </c>
      <c r="O24" s="259">
        <f t="shared" ref="O24:O26" si="18">N24*K24</f>
        <v>0</v>
      </c>
      <c r="P24" s="252">
        <f t="shared" ref="P24:P26" si="19">P$20*N24</f>
        <v>21617.764291915912</v>
      </c>
      <c r="Q24" s="327">
        <f t="shared" ref="Q24:Q26" si="20">P24+Q$20</f>
        <v>24617.764291915912</v>
      </c>
      <c r="R24" s="298">
        <f t="shared" ref="R24" si="21">L24*K24*2</f>
        <v>0</v>
      </c>
      <c r="S24" s="46"/>
      <c r="T24" s="9"/>
      <c r="W24" s="4"/>
    </row>
    <row r="25" spans="2:24" ht="17.399999999999999" x14ac:dyDescent="0.3">
      <c r="B25" s="344">
        <v>1</v>
      </c>
      <c r="C25" s="344" t="s">
        <v>179</v>
      </c>
      <c r="D25" s="345">
        <v>0.94</v>
      </c>
      <c r="E25" s="345">
        <v>0.26</v>
      </c>
      <c r="F25" s="344" t="s">
        <v>180</v>
      </c>
      <c r="G25" s="326">
        <v>3000</v>
      </c>
      <c r="H25" s="326">
        <f t="shared" si="14"/>
        <v>3000</v>
      </c>
      <c r="I25" s="265"/>
      <c r="J25" s="47"/>
      <c r="K25" s="47"/>
      <c r="L25" s="39">
        <f t="shared" si="15"/>
        <v>0.99</v>
      </c>
      <c r="M25" s="39">
        <f t="shared" si="16"/>
        <v>0.26</v>
      </c>
      <c r="N25" s="261">
        <f t="shared" si="17"/>
        <v>0.25740000000000002</v>
      </c>
      <c r="O25" s="259">
        <f t="shared" si="18"/>
        <v>0</v>
      </c>
      <c r="P25" s="252">
        <f t="shared" si="19"/>
        <v>19085.6200608443</v>
      </c>
      <c r="Q25" s="327">
        <f t="shared" si="20"/>
        <v>22085.6200608443</v>
      </c>
      <c r="R25" s="298"/>
      <c r="S25" s="46"/>
      <c r="T25" s="9"/>
      <c r="W25" s="4"/>
    </row>
    <row r="26" spans="2:24" ht="17.399999999999999" x14ac:dyDescent="0.3">
      <c r="B26" s="344">
        <v>1</v>
      </c>
      <c r="C26" s="344" t="s">
        <v>179</v>
      </c>
      <c r="D26" s="345">
        <v>0.69</v>
      </c>
      <c r="E26" s="345">
        <v>0.1</v>
      </c>
      <c r="F26" s="344" t="s">
        <v>180</v>
      </c>
      <c r="G26" s="326">
        <v>3000</v>
      </c>
      <c r="H26" s="326">
        <f t="shared" si="14"/>
        <v>3000</v>
      </c>
      <c r="I26" s="265"/>
      <c r="J26" s="47"/>
      <c r="K26" s="47"/>
      <c r="L26" s="39">
        <f t="shared" si="15"/>
        <v>0.74</v>
      </c>
      <c r="M26" s="39">
        <f t="shared" si="16"/>
        <v>0.1</v>
      </c>
      <c r="N26" s="261">
        <f t="shared" si="17"/>
        <v>7.3999999999999996E-2</v>
      </c>
      <c r="O26" s="259">
        <f t="shared" si="18"/>
        <v>0</v>
      </c>
      <c r="P26" s="252">
        <f t="shared" si="19"/>
        <v>5486.9303982225256</v>
      </c>
      <c r="Q26" s="327">
        <f t="shared" si="20"/>
        <v>8486.9303982225247</v>
      </c>
      <c r="R26" s="298"/>
      <c r="S26" s="46"/>
      <c r="T26" s="9"/>
      <c r="W26" s="4"/>
    </row>
    <row r="27" spans="2:24" ht="17.399999999999999" x14ac:dyDescent="0.3">
      <c r="B27" s="324">
        <v>1</v>
      </c>
      <c r="C27" s="324" t="s">
        <v>181</v>
      </c>
      <c r="D27" s="325"/>
      <c r="E27" s="325"/>
      <c r="F27" s="324"/>
      <c r="G27" s="326">
        <v>5000</v>
      </c>
      <c r="H27" s="326">
        <f t="shared" ref="H27" si="22">G27*B27</f>
        <v>5000</v>
      </c>
      <c r="I27" s="265"/>
      <c r="J27" s="47"/>
      <c r="K27" s="47"/>
      <c r="L27" s="39">
        <f t="shared" ref="L27" si="23">D27+L$19</f>
        <v>0.05</v>
      </c>
      <c r="M27" s="39">
        <f t="shared" ref="M27" si="24">E27+M$19</f>
        <v>0</v>
      </c>
      <c r="N27" s="261">
        <f t="shared" ref="N27" si="25">L27*M27</f>
        <v>0</v>
      </c>
      <c r="O27" s="259">
        <f t="shared" ref="O27" si="26">N27*K27</f>
        <v>0</v>
      </c>
      <c r="P27" s="252">
        <f t="shared" ref="P27" si="27">P$20*N27</f>
        <v>0</v>
      </c>
      <c r="Q27" s="327">
        <f t="shared" ref="Q27" si="28">P27+Q$20</f>
        <v>3000</v>
      </c>
      <c r="R27" s="298"/>
      <c r="S27" s="46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30"/>
      <c r="H28" s="331"/>
      <c r="I28" s="233"/>
      <c r="J28" s="47"/>
      <c r="K28" s="47"/>
      <c r="L28" s="39"/>
      <c r="M28" s="39"/>
      <c r="N28" s="261"/>
      <c r="O28" s="259"/>
      <c r="P28" s="252"/>
      <c r="Q28" s="258"/>
      <c r="R28" s="298"/>
      <c r="S28" s="14"/>
      <c r="T28" s="9"/>
      <c r="W28" s="4"/>
    </row>
    <row r="29" spans="2:24" ht="17.399999999999999" x14ac:dyDescent="0.3">
      <c r="B29" s="286"/>
      <c r="C29" s="286"/>
      <c r="D29" s="287"/>
      <c r="E29" s="287"/>
      <c r="F29" s="286"/>
      <c r="G29" s="328" t="s">
        <v>29</v>
      </c>
      <c r="H29" s="329">
        <f>SUM(H21:H28)</f>
        <v>142439</v>
      </c>
      <c r="I29" s="265">
        <v>250000</v>
      </c>
      <c r="J29" s="47"/>
      <c r="K29" s="47"/>
      <c r="L29" s="39">
        <f>SUM(L21:L28)</f>
        <v>6.61</v>
      </c>
      <c r="M29" s="39"/>
      <c r="N29" s="261"/>
      <c r="O29" s="259"/>
      <c r="P29" s="252"/>
      <c r="Q29" s="258"/>
      <c r="R29" s="298"/>
      <c r="S29" s="46">
        <f>SUM(S21:S28)</f>
        <v>0</v>
      </c>
      <c r="T29" s="9"/>
      <c r="W29" s="4"/>
    </row>
    <row r="30" spans="2:24" ht="17.399999999999999" x14ac:dyDescent="0.3">
      <c r="B30" s="280"/>
      <c r="C30" s="283"/>
      <c r="D30" s="284"/>
      <c r="E30" s="284"/>
      <c r="F30" s="285"/>
      <c r="G30" s="297" t="s">
        <v>52</v>
      </c>
      <c r="H30" s="295">
        <f>H29*19%</f>
        <v>27063.41</v>
      </c>
      <c r="I30" s="265"/>
      <c r="J30" s="47"/>
      <c r="K30" s="47"/>
      <c r="L30" s="39"/>
      <c r="M30" s="12"/>
      <c r="N30" s="12"/>
      <c r="O30" s="253">
        <f>SUM(O21:O27)</f>
        <v>1.1702000000000001</v>
      </c>
      <c r="P30" s="14"/>
      <c r="Q30" s="12"/>
      <c r="R30" s="239"/>
      <c r="S30" s="46">
        <f>S29*20%</f>
        <v>0</v>
      </c>
      <c r="T30" s="9"/>
      <c r="W30" s="4"/>
    </row>
    <row r="31" spans="2:24" ht="18" thickBot="1" x14ac:dyDescent="0.35">
      <c r="B31" s="276"/>
      <c r="C31" s="282"/>
      <c r="D31" s="272"/>
      <c r="E31" s="272"/>
      <c r="F31" s="273"/>
      <c r="G31" s="281" t="s">
        <v>6</v>
      </c>
      <c r="H31" s="296">
        <f>H29+H30</f>
        <v>169502.41</v>
      </c>
      <c r="I31" s="265"/>
      <c r="J31" s="47"/>
      <c r="K31" s="47"/>
      <c r="L31" s="39"/>
      <c r="M31" s="12"/>
      <c r="N31" s="12"/>
      <c r="O31" s="253">
        <f>O30</f>
        <v>1.1702000000000001</v>
      </c>
      <c r="P31" s="14"/>
      <c r="Q31" s="12"/>
      <c r="R31" s="239">
        <f>SUM(R21:R30)</f>
        <v>0</v>
      </c>
      <c r="S31" s="46">
        <f>S29+S30</f>
        <v>0</v>
      </c>
      <c r="T31" s="9"/>
      <c r="W31" s="4"/>
    </row>
    <row r="32" spans="2:24" ht="17.399999999999999" x14ac:dyDescent="0.3">
      <c r="B32" s="276"/>
      <c r="C32" s="271"/>
      <c r="D32" s="272"/>
      <c r="E32" s="272"/>
      <c r="F32" s="273"/>
      <c r="I32" s="265"/>
      <c r="J32" s="47"/>
      <c r="K32" s="47"/>
      <c r="L32" s="14"/>
      <c r="M32" s="12"/>
      <c r="N32" s="12"/>
      <c r="O32" s="39">
        <f>O31*20%</f>
        <v>0.23404000000000003</v>
      </c>
      <c r="P32" s="39" t="s">
        <v>131</v>
      </c>
      <c r="Q32" s="42"/>
      <c r="R32" s="240"/>
      <c r="S32" s="14"/>
      <c r="T32" s="9"/>
      <c r="W32" s="4"/>
    </row>
    <row r="33" spans="2:23" ht="17.399999999999999" x14ac:dyDescent="0.3">
      <c r="B33" s="271"/>
      <c r="C33" s="271"/>
      <c r="D33" s="272"/>
      <c r="E33" s="272"/>
      <c r="F33" s="273"/>
      <c r="G33" s="274"/>
      <c r="H33" s="275"/>
      <c r="I33" s="265"/>
      <c r="J33" s="47"/>
      <c r="K33" s="47"/>
      <c r="L33" s="14"/>
      <c r="M33" s="12"/>
      <c r="N33" s="12"/>
      <c r="O33" s="46">
        <f>O31+O32</f>
        <v>1.4042400000000002</v>
      </c>
      <c r="P33" s="14"/>
      <c r="Q33" s="14"/>
      <c r="R33" s="238">
        <v>40</v>
      </c>
      <c r="S33" s="14"/>
      <c r="T33" s="9"/>
      <c r="W33" s="4"/>
    </row>
    <row r="34" spans="2:23" ht="17.399999999999999" x14ac:dyDescent="0.35">
      <c r="B34" s="269"/>
      <c r="C34" s="230"/>
      <c r="D34" s="230"/>
      <c r="E34" s="233"/>
      <c r="F34" s="234"/>
      <c r="G34" s="230"/>
      <c r="H34" s="275"/>
      <c r="I34" s="265"/>
      <c r="J34" s="47"/>
      <c r="K34" s="47"/>
      <c r="L34" s="14"/>
      <c r="M34" s="14"/>
      <c r="N34" s="14"/>
      <c r="O34" s="14"/>
      <c r="P34" s="14"/>
      <c r="Q34" s="14"/>
      <c r="R34" s="238"/>
      <c r="S34" s="14"/>
      <c r="T34" s="303" t="s">
        <v>22</v>
      </c>
      <c r="U34" s="300" t="s">
        <v>153</v>
      </c>
      <c r="V34" s="304">
        <v>44971</v>
      </c>
      <c r="W34" s="305"/>
    </row>
    <row r="35" spans="2:23" ht="17.399999999999999" x14ac:dyDescent="0.35">
      <c r="B35" s="235"/>
      <c r="C35" s="236"/>
      <c r="D35" s="237"/>
      <c r="E35" s="235"/>
      <c r="F35" s="230"/>
      <c r="G35" s="230"/>
      <c r="I35" s="265"/>
      <c r="J35" s="47"/>
      <c r="K35" s="47"/>
      <c r="L35" s="39">
        <f>O33</f>
        <v>1.4042400000000002</v>
      </c>
      <c r="M35" s="12">
        <v>3500</v>
      </c>
      <c r="N35" s="12">
        <f t="shared" ref="N35:N40" si="29">L35*M35</f>
        <v>4914.84</v>
      </c>
      <c r="O35" s="14" t="s">
        <v>22</v>
      </c>
      <c r="P35" s="14"/>
      <c r="Q35" s="14"/>
      <c r="R35" s="241"/>
      <c r="S35" s="14"/>
      <c r="T35" s="303" t="s">
        <v>154</v>
      </c>
      <c r="U35" s="300">
        <v>3625</v>
      </c>
      <c r="V35" s="59" t="s">
        <v>155</v>
      </c>
      <c r="W35" s="305"/>
    </row>
    <row r="36" spans="2:23" ht="17.399999999999999" x14ac:dyDescent="0.35">
      <c r="B36" s="230"/>
      <c r="C36" s="230"/>
      <c r="D36" s="230"/>
      <c r="E36" s="230"/>
      <c r="F36" s="230"/>
      <c r="G36" s="230"/>
      <c r="I36" s="265"/>
      <c r="J36" s="47" t="s">
        <v>168</v>
      </c>
      <c r="K36" s="47"/>
      <c r="L36" s="249">
        <v>0.5</v>
      </c>
      <c r="M36" s="12">
        <v>25000</v>
      </c>
      <c r="N36" s="12">
        <f t="shared" si="29"/>
        <v>12500</v>
      </c>
      <c r="O36" s="39" t="s">
        <v>32</v>
      </c>
      <c r="P36" s="42"/>
      <c r="Q36" s="14"/>
      <c r="R36" s="240"/>
      <c r="S36" s="14"/>
      <c r="T36" s="303"/>
      <c r="U36" s="59">
        <v>906.25</v>
      </c>
      <c r="V36" s="59" t="s">
        <v>156</v>
      </c>
      <c r="W36" s="305"/>
    </row>
    <row r="37" spans="2:23" s="230" customFormat="1" ht="17.399999999999999" x14ac:dyDescent="0.35">
      <c r="I37" s="262"/>
      <c r="J37" s="232">
        <v>40754</v>
      </c>
      <c r="K37" s="250">
        <v>34989</v>
      </c>
      <c r="L37" s="14"/>
      <c r="M37" s="250">
        <v>40754</v>
      </c>
      <c r="N37" s="12">
        <f t="shared" si="29"/>
        <v>0</v>
      </c>
      <c r="O37" s="39" t="s">
        <v>31</v>
      </c>
      <c r="P37" s="42"/>
      <c r="R37" s="240"/>
      <c r="S37" s="256"/>
      <c r="T37" s="59"/>
      <c r="U37" s="59">
        <f>U36*20%</f>
        <v>181.25</v>
      </c>
      <c r="V37" s="305" t="s">
        <v>157</v>
      </c>
      <c r="W37" s="59"/>
    </row>
    <row r="38" spans="2:23" s="230" customFormat="1" ht="17.399999999999999" x14ac:dyDescent="0.35">
      <c r="B38" s="24" t="s">
        <v>152</v>
      </c>
      <c r="I38" s="262"/>
      <c r="J38" s="232">
        <v>26644</v>
      </c>
      <c r="K38" s="250">
        <v>22025</v>
      </c>
      <c r="L38" s="14">
        <v>1</v>
      </c>
      <c r="M38" s="250">
        <v>22025</v>
      </c>
      <c r="N38" s="12">
        <f t="shared" si="29"/>
        <v>22025</v>
      </c>
      <c r="O38" s="14" t="s">
        <v>142</v>
      </c>
      <c r="P38" s="17"/>
      <c r="R38" s="238"/>
      <c r="S38" s="256"/>
      <c r="T38" s="59"/>
      <c r="U38" s="59">
        <f>U36+U37</f>
        <v>1087.5</v>
      </c>
      <c r="V38" s="305" t="s">
        <v>158</v>
      </c>
      <c r="W38" s="59"/>
    </row>
    <row r="39" spans="2:23" s="230" customFormat="1" ht="17.399999999999999" x14ac:dyDescent="0.35">
      <c r="B39" s="24" t="s">
        <v>145</v>
      </c>
      <c r="C39"/>
      <c r="D39"/>
      <c r="E39"/>
      <c r="F39"/>
      <c r="I39" s="262"/>
      <c r="K39" s="250"/>
      <c r="L39" s="249"/>
      <c r="M39" s="250">
        <v>300</v>
      </c>
      <c r="N39" s="12">
        <f t="shared" si="29"/>
        <v>0</v>
      </c>
      <c r="O39" s="14" t="s">
        <v>33</v>
      </c>
      <c r="P39" s="14"/>
      <c r="Q39" s="230">
        <v>1.52</v>
      </c>
      <c r="R39" s="238"/>
      <c r="S39" s="238"/>
    </row>
    <row r="40" spans="2:23" s="230" customFormat="1" ht="17.399999999999999" x14ac:dyDescent="0.35">
      <c r="B40" s="29" t="s">
        <v>126</v>
      </c>
      <c r="C40"/>
      <c r="D40"/>
      <c r="E40"/>
      <c r="F40" s="229" t="s">
        <v>16</v>
      </c>
      <c r="I40" s="294"/>
      <c r="K40" s="250"/>
      <c r="L40" s="266"/>
      <c r="M40" s="12">
        <v>1500</v>
      </c>
      <c r="N40" s="12">
        <f t="shared" si="29"/>
        <v>0</v>
      </c>
      <c r="O40" s="14" t="s">
        <v>23</v>
      </c>
      <c r="P40" s="14"/>
      <c r="Q40">
        <v>2.44</v>
      </c>
      <c r="R40"/>
      <c r="S40" s="238"/>
      <c r="W40" s="231"/>
    </row>
    <row r="41" spans="2:23" s="230" customFormat="1" ht="17.399999999999999" x14ac:dyDescent="0.35">
      <c r="K41" s="250"/>
      <c r="L41" s="14"/>
      <c r="M41" s="12"/>
      <c r="N41" s="12">
        <f>SUM(N35:N40)</f>
        <v>39439.839999999997</v>
      </c>
      <c r="O41" s="39" t="s">
        <v>24</v>
      </c>
      <c r="P41" s="14"/>
      <c r="Q41">
        <f>Q39*Q40</f>
        <v>3.7088000000000001</v>
      </c>
      <c r="R41"/>
      <c r="S41" s="238"/>
      <c r="W41" s="231"/>
    </row>
    <row r="42" spans="2:23" s="230" customFormat="1" ht="17.399999999999999" x14ac:dyDescent="0.35">
      <c r="K42" s="250"/>
      <c r="L42" s="254" t="s">
        <v>34</v>
      </c>
      <c r="M42" s="12"/>
      <c r="N42" s="255">
        <f>N41*2.2</f>
        <v>86767.648000000001</v>
      </c>
      <c r="O42" s="14" t="s">
        <v>141</v>
      </c>
      <c r="P42" s="14"/>
      <c r="Q42" s="40">
        <f>O33/Q41</f>
        <v>0.3786238136324418</v>
      </c>
      <c r="R42"/>
      <c r="S42" s="257"/>
    </row>
    <row r="43" spans="2:23" s="230" customFormat="1" ht="17.399999999999999" x14ac:dyDescent="0.35">
      <c r="G43"/>
      <c r="H43" s="260"/>
      <c r="I43" s="260"/>
      <c r="J43" s="230">
        <v>61690</v>
      </c>
      <c r="K43" s="250"/>
      <c r="L43" s="14"/>
      <c r="M43" s="12"/>
      <c r="N43" s="12">
        <f>N42/O31</f>
        <v>74147.708084088183</v>
      </c>
      <c r="O43" s="45" t="s">
        <v>25</v>
      </c>
      <c r="P43" s="14"/>
      <c r="Q43" s="14"/>
      <c r="R43"/>
      <c r="S43" s="238"/>
      <c r="T43" s="59" t="s">
        <v>159</v>
      </c>
      <c r="U43" s="300">
        <v>43650</v>
      </c>
    </row>
    <row r="44" spans="2:23" s="230" customFormat="1" ht="17.399999999999999" x14ac:dyDescent="0.35">
      <c r="G44"/>
      <c r="H44" s="230" t="s">
        <v>165</v>
      </c>
      <c r="J44" s="230">
        <f>J43/1.19</f>
        <v>51840.336134453784</v>
      </c>
      <c r="K44" s="250"/>
      <c r="L44" s="13"/>
      <c r="M44" s="14"/>
      <c r="N44" s="17">
        <f>N42/N41</f>
        <v>2.2000000000000002</v>
      </c>
      <c r="O44" s="15"/>
      <c r="P44"/>
      <c r="Q44"/>
      <c r="R44"/>
      <c r="S44" s="238"/>
      <c r="T44" s="59" t="s">
        <v>161</v>
      </c>
      <c r="U44" s="301" t="s">
        <v>160</v>
      </c>
      <c r="V44" s="59">
        <v>2.4</v>
      </c>
    </row>
    <row r="45" spans="2:23" s="230" customFormat="1" ht="17.399999999999999" x14ac:dyDescent="0.35">
      <c r="G45" s="23"/>
      <c r="K45" s="12"/>
      <c r="S45" s="238"/>
      <c r="T45" s="59" t="s">
        <v>162</v>
      </c>
      <c r="U45" s="302">
        <v>395.37</v>
      </c>
    </row>
    <row r="46" spans="2:23" s="230" customFormat="1" ht="17.399999999999999" x14ac:dyDescent="0.35">
      <c r="B46"/>
      <c r="C46" s="228"/>
      <c r="D46" s="22"/>
      <c r="E46" s="22"/>
      <c r="F46" s="21"/>
      <c r="G46" s="23"/>
      <c r="K46" s="12"/>
      <c r="S46" s="238"/>
      <c r="T46" s="59" t="s">
        <v>157</v>
      </c>
      <c r="U46" s="59">
        <v>474.45</v>
      </c>
    </row>
    <row r="47" spans="2:23" ht="14.4" customHeight="1" x14ac:dyDescent="0.3">
      <c r="K47" s="12"/>
      <c r="T47" s="59"/>
      <c r="U47" s="59"/>
    </row>
    <row r="48" spans="2:23" x14ac:dyDescent="0.3">
      <c r="K48" s="250"/>
    </row>
    <row r="49" spans="11:19" x14ac:dyDescent="0.3">
      <c r="K49" s="250"/>
      <c r="S49" s="270"/>
    </row>
    <row r="50" spans="11:19" x14ac:dyDescent="0.3">
      <c r="K50" s="250"/>
    </row>
    <row r="51" spans="11:19" ht="15" customHeight="1" x14ac:dyDescent="0.3"/>
    <row r="53" spans="11:19" x14ac:dyDescent="0.3">
      <c r="N53">
        <v>40935</v>
      </c>
      <c r="O53" t="s">
        <v>17</v>
      </c>
      <c r="P53" t="s">
        <v>27</v>
      </c>
    </row>
    <row r="55" spans="11:19" x14ac:dyDescent="0.3">
      <c r="N55" s="54"/>
      <c r="O55" s="54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4" spans="11:19" x14ac:dyDescent="0.3">
      <c r="R64" s="18"/>
      <c r="S64" s="18"/>
    </row>
    <row r="67" spans="3:14" x14ac:dyDescent="0.3">
      <c r="N67" s="43"/>
    </row>
    <row r="68" spans="3:14" x14ac:dyDescent="0.3">
      <c r="N68" s="43"/>
    </row>
    <row r="69" spans="3:14" x14ac:dyDescent="0.3">
      <c r="N69" s="6"/>
    </row>
    <row r="70" spans="3:14" x14ac:dyDescent="0.3">
      <c r="N70" s="6"/>
    </row>
    <row r="78" spans="3:14" x14ac:dyDescent="0.3">
      <c r="C78" t="s">
        <v>149</v>
      </c>
    </row>
    <row r="79" spans="3:14" x14ac:dyDescent="0.3">
      <c r="C79" t="s">
        <v>148</v>
      </c>
    </row>
    <row r="82" spans="3:3" x14ac:dyDescent="0.3">
      <c r="C82" t="s">
        <v>148</v>
      </c>
    </row>
    <row r="159" spans="3:3" x14ac:dyDescent="0.3">
      <c r="C159" t="s">
        <v>148</v>
      </c>
    </row>
    <row r="160" spans="3:3" x14ac:dyDescent="0.3">
      <c r="C160" t="s">
        <v>150</v>
      </c>
    </row>
    <row r="161" spans="3:3" x14ac:dyDescent="0.3">
      <c r="C161" t="s">
        <v>151</v>
      </c>
    </row>
    <row r="586" spans="3:3" x14ac:dyDescent="0.3">
      <c r="C586" t="s">
        <v>148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  <hyperlink ref="C14" r:id="rId2" xr:uid="{A5B617F7-F38F-4DC6-A81C-021AF3D31B7D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45857</v>
      </c>
    </row>
    <row r="6" spans="2:31" ht="16.2" thickBot="1" x14ac:dyDescent="0.35">
      <c r="B6" s="140" t="s">
        <v>2</v>
      </c>
      <c r="C6" s="139" t="str">
        <f>'2229'!C10</f>
        <v>NANCY GOMEZ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11033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-10746.377366787439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'2229'!H29</f>
        <v>142439</v>
      </c>
      <c r="E11" s="132">
        <f>D11*0.19</f>
        <v>27063.41</v>
      </c>
      <c r="F11" s="131">
        <f>E11+D11</f>
        <v>169502.41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95243.622633212566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47248.930787439618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77243.622633212566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95190.069212560382</v>
      </c>
      <c r="E13" s="221">
        <f>(D11/D12)-1</f>
        <v>2.0146502286114201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68243.622633212566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29243.622633212559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77960.735799275368</v>
      </c>
      <c r="F15" s="216">
        <f>E15-D12</f>
        <v>30711.80501183575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29243.622633212559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69243.622633212566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'2229'!N36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'2229'!N35</f>
        <v>4914.84</v>
      </c>
      <c r="E20" s="121">
        <f>D20*0.19</f>
        <v>933.81960000000004</v>
      </c>
      <c r="F20" s="120">
        <f>SUM(D20:E20)</f>
        <v>5848.6596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17414.84</v>
      </c>
      <c r="E21" s="116">
        <f>SUM(E18:E20)</f>
        <v>3308.8195999999998</v>
      </c>
      <c r="F21" s="115">
        <f>SUM(F18:F20)</f>
        <v>20723.659599999999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23754.590400000001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142439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17414.84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95190.069212560382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95190.069212560382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2024-07-19T18:32:01Z</cp:lastPrinted>
  <dcterms:created xsi:type="dcterms:W3CDTF">2013-03-18T13:35:42Z</dcterms:created>
  <dcterms:modified xsi:type="dcterms:W3CDTF">2024-07-19T18:32:38Z</dcterms:modified>
</cp:coreProperties>
</file>