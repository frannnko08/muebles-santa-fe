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7 JULIO 2024\"/>
    </mc:Choice>
  </mc:AlternateContent>
  <xr:revisionPtr revIDLastSave="0" documentId="13_ncr:1_{2F037726-0DB2-443B-B5E3-BCEBA2DECA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1" l="1"/>
  <c r="R23" i="1"/>
  <c r="R22" i="1"/>
  <c r="K23" i="1"/>
  <c r="L23" i="1"/>
  <c r="N23" i="1" s="1"/>
  <c r="M23" i="1"/>
  <c r="I47" i="1"/>
  <c r="H22" i="1"/>
  <c r="K21" i="1"/>
  <c r="J31" i="1"/>
  <c r="J36" i="1"/>
  <c r="J37" i="1" s="1"/>
  <c r="N34" i="1"/>
  <c r="O23" i="1" l="1"/>
  <c r="N33" i="1"/>
  <c r="N35" i="1"/>
  <c r="N36" i="1"/>
  <c r="K22" i="1"/>
  <c r="L22" i="1"/>
  <c r="M22" i="1"/>
  <c r="N22" i="1" l="1"/>
  <c r="O22" i="1" s="1"/>
  <c r="J40" i="1"/>
  <c r="L21" i="1"/>
  <c r="L25" i="1" s="1"/>
  <c r="M21" i="1"/>
  <c r="S21" i="1" l="1"/>
  <c r="S25" i="1" s="1"/>
  <c r="S26" i="1" s="1"/>
  <c r="S27" i="1" s="1"/>
  <c r="R21" i="1"/>
  <c r="R27" i="1" s="1"/>
  <c r="N21" i="1"/>
  <c r="O21" i="1" s="1"/>
  <c r="O26" i="1" s="1"/>
  <c r="U33" i="1"/>
  <c r="U34" i="1" s="1"/>
  <c r="N32" i="1" l="1"/>
  <c r="O27" i="1" l="1"/>
  <c r="O28" i="1" s="1"/>
  <c r="O29" i="1" s="1"/>
  <c r="L31" i="1" s="1"/>
  <c r="M20" i="1"/>
  <c r="K20" i="1"/>
  <c r="Q37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F18" i="3" l="1"/>
  <c r="N31" i="1" l="1"/>
  <c r="N37" i="1" s="1"/>
  <c r="N38" i="1" s="1"/>
  <c r="Q38" i="1"/>
  <c r="D20" i="3" l="1"/>
  <c r="E20" i="3" s="1"/>
  <c r="E21" i="3" s="1"/>
  <c r="N39" i="1" l="1"/>
  <c r="D21" i="3"/>
  <c r="M43" i="3" s="1"/>
  <c r="D12" i="3" s="1"/>
  <c r="F20" i="3"/>
  <c r="F21" i="3" s="1"/>
  <c r="N40" i="1" l="1"/>
  <c r="P20" i="1"/>
  <c r="P23" i="1" s="1"/>
  <c r="Q23" i="1" s="1"/>
  <c r="E15" i="3"/>
  <c r="P22" i="1" l="1"/>
  <c r="Q22" i="1" s="1"/>
  <c r="P21" i="1"/>
  <c r="F15" i="3"/>
  <c r="Q21" i="1" l="1"/>
  <c r="H21" i="1" l="1"/>
  <c r="H25" i="1" s="1"/>
  <c r="H26" i="1" s="1"/>
  <c r="H27" i="1" l="1"/>
  <c r="D11" i="3" l="1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<sst xmlns="http://schemas.openxmlformats.org/spreadsheetml/2006/main" count="239" uniqueCount="179">
  <si>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</si>
  <si>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</si>
  <si>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</si>
  <si>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</si>
  <si>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</si>
  <si>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</si>
  <si>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</si>
  <si>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</si>
  <si>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</si>
  <si>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</si>
  <si>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</si>
  <si>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</si>
  <si>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</si>
  <si>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</si>
  <si>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</si>
  <si>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</si>
  <si>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</si>
  <si>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</si>
  <si>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</si>
  <si>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</si>
  <si>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</si>
  <si>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</si>
  <si>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</si>
  <si>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</si>
  <si>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</si>
  <si>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</si>
  <si>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</si>
  <si>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</si>
  <si>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</si>
  <si>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</si>
  <si>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</si>
  <si>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</si>
  <si>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</si>
  <si>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</si>
  <si>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</si>
  <si>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</si>
  <si>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</si>
  <si>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</si>
  <si>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</si>
  <si>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</si>
  <si>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</si>
  <si>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</si>
  <si>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</si>
  <si>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</si>
  <si>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</si>
  <si>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</si>
  <si>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</si>
  <si>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</si>
  <si>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</si>
  <si>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</si>
  <si>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</si>
  <si>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</si>
  <si>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</si>
  <si>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</si>
  <si>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</si>
  <si>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</si>
  <si>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</si>
  <si>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</si>
  <si>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</si>
  <si>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</si>
  <si>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</si>
  <si>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</si>
  <si>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</si>
  <si>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</si>
  <si>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</si>
  <si>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</si>
  <si>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</si>
  <si>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</si>
  <si>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</si>
  <si>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</si>
  <si>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</si>
  <si>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</si>
  <si>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</si>
  <si>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</si>
  <si>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</si>
  <si>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</si>
  <si>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</si>
  <si>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</si>
  <si>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</si>
  <si>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</si>
  <si>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</si>
  <si>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</si>
  <si>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</si>
  <si>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</si>
  <si>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</si>
  <si>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</si>
  <si>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</si>
  <si>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</si>
  <si>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</si>
  <si>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</si>
  <si>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</si>
  <si>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</si>
  <si>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</si>
  <si>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</si>
  <si>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</si>
  <si>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</si>
  <si>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</si>
  <si>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</si>
  <si>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</si>
  <si>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</si>
  <si>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</si>
  <si>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</si>
  <si>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</si>
  <si>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</si>
  <si>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</si>
  <si>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</si>
  <si>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</si>
  <si>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</si>
  <si>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</si>
  <si>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</si>
  <si>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</si>
  <si>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</si>
  <si>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</si>
  <si>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</si>
  <si>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</si>
  <si>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</si>
  <si>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</si>
  <si>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</si>
  <si>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</si>
  <si>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</si>
  <si>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</si>
  <si>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</si>
  <si>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</si>
  <si>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</si>
  <si>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</si>
  <si>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</si>
  <si>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</si>
  <si>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</si>
  <si>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</si>
  <si>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</si>
  <si>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</si>
  <si>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</si>
  <si>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</si>
  <si>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</si>
  <si>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</si>
  <si>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</si>
  <si>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</si>
  <si>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</si>
  <si>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</si>
  <si>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</si>
  <si>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</si>
  <si>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</si>
  <si>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</si>
  <si>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</si>
  <si>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</si>
  <si>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</si>
  <si>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</si>
  <si>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</si>
  <si>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</si>
  <si>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</si>
  <si>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</si>
  <si>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</si>
  <si>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</si>
  <si>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</si>
  <si>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</si>
  <si>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</si>
  <si>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</si>
  <si>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</si>
  <si>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</si>
  <si>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</si>
  <si>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</si>
  <si>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</si>
  <si>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</si>
  <si>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</si>
  <si>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DURACION COTIZACION: 5 DIAS                            FERNANDO DONOSO</t>
  </si>
  <si>
    <t>SANTIAGO</t>
  </si>
  <si>
    <t>SI</t>
  </si>
  <si>
    <t>GRIS NUBE</t>
  </si>
  <si>
    <t>KING</t>
  </si>
  <si>
    <t>MDF 3MM</t>
  </si>
  <si>
    <t>152X244</t>
  </si>
  <si>
    <t>N° 11012</t>
  </si>
  <si>
    <t>UVZ</t>
  </si>
  <si>
    <t>ROSSY VALDES</t>
  </si>
  <si>
    <t>+569 5158 9695</t>
  </si>
  <si>
    <t>5 DIAS HABILES</t>
  </si>
  <si>
    <t>GALAXIA GRAFITO 0491 MT</t>
  </si>
  <si>
    <t>DESCTO. 10%</t>
  </si>
  <si>
    <t>ABONO 40%, SALDO 30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</si>
</sst>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1" fontId="11" fillId="2" borderId="0" xfId="4" applyFont="1" applyFill="1" applyBorder="1" applyAlignment="1">
      <alignment horizontal="center"/>
    </xf>
    <xf numFmtId="167" fontId="0" fillId="7" borderId="0" xfId="0" applyNumberFormat="1" applyFill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11" fillId="0" borderId="35" xfId="0" applyFont="1" applyBorder="1" applyAlignment="1">
      <alignment horizontal="center"/>
    </xf>
    <xf numFmtId="42" fontId="33" fillId="0" borderId="14" xfId="8" applyFont="1" applyFill="1" applyBorder="1"/>
    <xf numFmtId="0" fontId="21" fillId="0" borderId="1" xfId="0" applyFont="1" applyBorder="1" applyAlignment="1">
      <alignment horizontal="center" vertical="center"/>
    </xf>
    <xf numFmtId="41" fontId="22" fillId="0" borderId="1" xfId="4" applyFont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29</xdr:row>
      <xdr:rowOff>26670</xdr:rowOff>
    </xdr:from>
    <xdr:to>
      <xdr:col>7</xdr:col>
      <xdr:colOff>1034435</xdr:colOff>
      <xdr:row>32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1714500</xdr:colOff>
      <xdr:row>32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393290</xdr:colOff>
      <xdr:row>23</xdr:row>
      <xdr:rowOff>206170</xdr:rowOff>
    </xdr:from>
    <xdr:to>
      <xdr:col>5</xdr:col>
      <xdr:colOff>1610483</xdr:colOff>
      <xdr:row>27</xdr:row>
      <xdr:rowOff>138676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393290" y="4778170"/>
          <a:ext cx="6444677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CUBIERTAS SE ENTREGAN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</a:t>
          </a:r>
        </a:p>
        <a:p>
          <a:pPr algn="l"/>
          <a:endParaRPr lang="es-CL" sz="1200" b="0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2"/>
  <sheetViews>
    <sheetView tabSelected="1" topLeftCell="A6" zoomScale="93" zoomScaleNormal="93" workbookViewId="0">
      <selection activeCell="F17" sqref="F17:H17"/>
    </sheetView>
  </sheetViews>
  <sheetFormatPr baseColWidth="10" defaultRowHeight="14.4" x14ac:dyDescent="0.3"/>
  <cols>
    <col min="1" max="1" width="6" customWidth="1"/>
    <col min="2" max="2" width="10.5546875" customWidth="1"/>
    <col min="3" max="3" width="38.109375" customWidth="1"/>
    <col min="4" max="4" width="11.109375" customWidth="1"/>
    <col min="5" max="5" width="10.5546875" customWidth="1"/>
    <col min="6" max="6" width="31.1093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323" t="s">
        <v>171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6" t="s">
        <v>163</v>
      </c>
      <c r="C10" s="279" t="s">
        <v>172</v>
      </c>
      <c r="D10" s="243"/>
      <c r="E10" s="243"/>
      <c r="F10" s="244" t="s">
        <v>0</v>
      </c>
      <c r="G10" s="277">
        <v>45474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299"/>
      <c r="F11" t="s">
        <v>124</v>
      </c>
      <c r="G11" s="289" t="s">
        <v>175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0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147</v>
      </c>
      <c r="C13" t="s">
        <v>173</v>
      </c>
      <c r="G13" s="311"/>
      <c r="H13" s="290"/>
      <c r="P13" s="19"/>
      <c r="Q13" s="25"/>
      <c r="R13" s="19"/>
    </row>
    <row r="14" spans="2:23" x14ac:dyDescent="0.3">
      <c r="B14" s="246" t="s">
        <v>140</v>
      </c>
      <c r="C14" s="318"/>
      <c r="D14" s="247"/>
      <c r="E14" s="247"/>
      <c r="F14" s="319" t="s">
        <v>137</v>
      </c>
      <c r="G14" s="291" t="s">
        <v>136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13" t="s">
        <v>174</v>
      </c>
      <c r="D15" s="314"/>
      <c r="F15" t="s">
        <v>135</v>
      </c>
      <c r="G15" s="312" t="s">
        <v>166</v>
      </c>
      <c r="H15" s="290"/>
    </row>
    <row r="16" spans="2:23" ht="16.8" x14ac:dyDescent="0.4">
      <c r="B16" s="320" t="s">
        <v>3</v>
      </c>
      <c r="C16" s="310"/>
      <c r="D16" s="247"/>
      <c r="E16" s="247"/>
      <c r="F16" s="321" t="s">
        <v>130</v>
      </c>
      <c r="G16" s="322" t="s">
        <v>178</v>
      </c>
      <c r="H16" s="248"/>
    </row>
    <row r="17" spans="2:24" ht="15" thickBot="1" x14ac:dyDescent="0.35">
      <c r="B17" s="315" t="s">
        <v>13</v>
      </c>
      <c r="C17" s="316" t="s">
        <v>165</v>
      </c>
      <c r="D17" s="317"/>
      <c r="E17" s="119"/>
      <c r="F17" s="329" t="s">
        <v>164</v>
      </c>
      <c r="G17" s="329"/>
      <c r="H17" s="330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1" t="s">
        <v>148</v>
      </c>
      <c r="C19" s="332"/>
      <c r="D19" s="332"/>
      <c r="E19" s="332"/>
      <c r="F19" s="332"/>
      <c r="G19" s="332"/>
      <c r="H19" s="333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7.399999999999999" x14ac:dyDescent="0.3">
      <c r="B20" s="307" t="s">
        <v>7</v>
      </c>
      <c r="C20" s="308" t="s">
        <v>1</v>
      </c>
      <c r="D20" s="308" t="s">
        <v>10</v>
      </c>
      <c r="E20" s="308" t="s">
        <v>11</v>
      </c>
      <c r="F20" s="308" t="s">
        <v>8</v>
      </c>
      <c r="G20" s="308" t="s">
        <v>5</v>
      </c>
      <c r="H20" s="309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N39</f>
        <v>91143.100775193801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24">
        <v>4</v>
      </c>
      <c r="C21" s="324" t="s">
        <v>36</v>
      </c>
      <c r="D21" s="325">
        <v>2.7</v>
      </c>
      <c r="E21" s="325">
        <v>0.6</v>
      </c>
      <c r="F21" s="324" t="s">
        <v>176</v>
      </c>
      <c r="G21" s="326">
        <v>153386</v>
      </c>
      <c r="H21" s="326">
        <f>G21*B21</f>
        <v>613544</v>
      </c>
      <c r="I21" s="265"/>
      <c r="J21" s="47">
        <v>2</v>
      </c>
      <c r="K21" s="328">
        <f t="shared" ref="K21:K22" si="1">B21</f>
        <v>4</v>
      </c>
      <c r="L21" s="39">
        <f t="shared" ref="L21" si="2">D21+L$19</f>
        <v>2.75</v>
      </c>
      <c r="M21" s="39">
        <f t="shared" ref="M21" si="3">E21+M$19</f>
        <v>0.6</v>
      </c>
      <c r="N21" s="261">
        <f t="shared" ref="N21" si="4">L21*M21</f>
        <v>1.65</v>
      </c>
      <c r="O21" s="259">
        <f t="shared" ref="O21" si="5">N21*K21</f>
        <v>6.6</v>
      </c>
      <c r="P21" s="252">
        <f t="shared" ref="P21" si="6">P$20*N21</f>
        <v>150386.11627906977</v>
      </c>
      <c r="Q21" s="327">
        <f t="shared" ref="Q21" si="7">P21+Q$20</f>
        <v>153386.11627906977</v>
      </c>
      <c r="R21" s="298">
        <f>L21*K21*2</f>
        <v>22</v>
      </c>
      <c r="S21" s="46">
        <f>M21*2*K21</f>
        <v>4.8</v>
      </c>
      <c r="T21" s="9"/>
      <c r="W21" s="4"/>
    </row>
    <row r="22" spans="2:24" ht="17.399999999999999" x14ac:dyDescent="0.3">
      <c r="B22" s="324">
        <v>4</v>
      </c>
      <c r="C22" s="324" t="s">
        <v>36</v>
      </c>
      <c r="D22" s="325">
        <v>1.5</v>
      </c>
      <c r="E22" s="325">
        <v>0.6</v>
      </c>
      <c r="F22" s="324" t="s">
        <v>176</v>
      </c>
      <c r="G22" s="326">
        <v>87763</v>
      </c>
      <c r="H22" s="326">
        <f>G22*B22</f>
        <v>351052</v>
      </c>
      <c r="I22" s="265"/>
      <c r="J22" s="47">
        <v>1</v>
      </c>
      <c r="K22" s="328">
        <f t="shared" si="1"/>
        <v>4</v>
      </c>
      <c r="L22" s="39">
        <f t="shared" ref="L22" si="8">D22+L$19</f>
        <v>1.55</v>
      </c>
      <c r="M22" s="39">
        <f t="shared" ref="M22" si="9">E22+M$19</f>
        <v>0.6</v>
      </c>
      <c r="N22" s="261">
        <f t="shared" ref="N22" si="10">L22*M22</f>
        <v>0.92999999999999994</v>
      </c>
      <c r="O22" s="259">
        <f t="shared" ref="O22" si="11">N22*K22</f>
        <v>3.7199999999999998</v>
      </c>
      <c r="P22" s="252">
        <f t="shared" ref="P22" si="12">P$20*N22</f>
        <v>84763.083720930226</v>
      </c>
      <c r="Q22" s="327">
        <f t="shared" ref="Q22" si="13">P22+Q$20</f>
        <v>87763.083720930226</v>
      </c>
      <c r="R22" s="298">
        <f t="shared" ref="R22" si="14">L22*K22*2</f>
        <v>12.4</v>
      </c>
      <c r="S22" s="46"/>
      <c r="T22" s="9"/>
      <c r="W22" s="4"/>
    </row>
    <row r="23" spans="2:24" ht="17.399999999999999" x14ac:dyDescent="0.3">
      <c r="B23" s="324">
        <v>3</v>
      </c>
      <c r="C23" s="324" t="s">
        <v>36</v>
      </c>
      <c r="D23" s="325">
        <v>1.7</v>
      </c>
      <c r="E23" s="325">
        <v>0.6</v>
      </c>
      <c r="F23" s="324" t="s">
        <v>176</v>
      </c>
      <c r="G23" s="326">
        <v>98700</v>
      </c>
      <c r="H23" s="326">
        <f>G23*B23</f>
        <v>296100</v>
      </c>
      <c r="I23" s="265"/>
      <c r="J23" s="47">
        <v>1</v>
      </c>
      <c r="K23" s="328">
        <f t="shared" ref="K23" si="15">B23</f>
        <v>3</v>
      </c>
      <c r="L23" s="39">
        <f t="shared" ref="L23" si="16">D23+L$19</f>
        <v>1.75</v>
      </c>
      <c r="M23" s="39">
        <f t="shared" ref="M23" si="17">E23+M$19</f>
        <v>0.6</v>
      </c>
      <c r="N23" s="261">
        <f t="shared" ref="N23" si="18">L23*M23</f>
        <v>1.05</v>
      </c>
      <c r="O23" s="259">
        <f t="shared" ref="O23" si="19">N23*K23</f>
        <v>3.1500000000000004</v>
      </c>
      <c r="P23" s="252">
        <f t="shared" ref="P23" si="20">P$20*N23</f>
        <v>95700.255813953496</v>
      </c>
      <c r="Q23" s="327">
        <f t="shared" ref="Q23" si="21">P23+Q$20</f>
        <v>98700.255813953496</v>
      </c>
      <c r="R23" s="298">
        <f>L23*K23*2</f>
        <v>10.5</v>
      </c>
      <c r="S23" s="46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343" t="s">
        <v>177</v>
      </c>
      <c r="H24" s="344">
        <v>-126069</v>
      </c>
      <c r="I24" s="233"/>
      <c r="J24" s="47"/>
      <c r="K24" s="47"/>
      <c r="L24" s="39"/>
      <c r="M24" s="39"/>
      <c r="N24" s="261">
        <v>0</v>
      </c>
      <c r="O24" s="259"/>
      <c r="P24" s="252"/>
      <c r="Q24" s="258"/>
      <c r="R24" s="298"/>
      <c r="S24" s="14"/>
      <c r="T24" s="9"/>
      <c r="W24" s="4"/>
    </row>
    <row r="25" spans="2:24" ht="17.399999999999999" x14ac:dyDescent="0.3">
      <c r="B25" s="286"/>
      <c r="C25" s="286"/>
      <c r="D25" s="287"/>
      <c r="E25" s="287"/>
      <c r="F25" s="286"/>
      <c r="G25" s="341" t="s">
        <v>29</v>
      </c>
      <c r="H25" s="342">
        <f>SUM(H21:H24)</f>
        <v>1134627</v>
      </c>
      <c r="I25" s="265"/>
      <c r="J25" s="47"/>
      <c r="K25" s="47"/>
      <c r="L25" s="39">
        <f>SUM(L21:L24)</f>
        <v>6.05</v>
      </c>
      <c r="M25" s="39"/>
      <c r="N25" s="261"/>
      <c r="O25" s="259"/>
      <c r="P25" s="252"/>
      <c r="Q25" s="258"/>
      <c r="R25" s="298"/>
      <c r="S25" s="46">
        <f>SUM(S21:S24)</f>
        <v>4.8</v>
      </c>
      <c r="T25" s="9"/>
      <c r="W25" s="4"/>
    </row>
    <row r="26" spans="2:24" ht="17.399999999999999" x14ac:dyDescent="0.3">
      <c r="B26" s="280"/>
      <c r="C26" s="283"/>
      <c r="D26" s="284"/>
      <c r="E26" s="284"/>
      <c r="F26" s="285"/>
      <c r="G26" s="297" t="s">
        <v>52</v>
      </c>
      <c r="H26" s="295">
        <f>H25*19%</f>
        <v>215579.13</v>
      </c>
      <c r="I26" s="265"/>
      <c r="J26" s="47"/>
      <c r="K26" s="47"/>
      <c r="L26" s="39"/>
      <c r="M26" s="12"/>
      <c r="N26" s="12"/>
      <c r="O26" s="253">
        <f>SUM(O21:O22)</f>
        <v>10.32</v>
      </c>
      <c r="P26" s="14"/>
      <c r="Q26" s="12"/>
      <c r="R26" s="239"/>
      <c r="S26" s="46">
        <f>S25*20%</f>
        <v>0.96</v>
      </c>
      <c r="T26" s="9"/>
      <c r="W26" s="4"/>
    </row>
    <row r="27" spans="2:24" ht="18" thickBot="1" x14ac:dyDescent="0.35">
      <c r="B27" s="276"/>
      <c r="C27" s="282"/>
      <c r="D27" s="272"/>
      <c r="E27" s="272"/>
      <c r="F27" s="273"/>
      <c r="G27" s="281" t="s">
        <v>6</v>
      </c>
      <c r="H27" s="296">
        <f>H25+H26</f>
        <v>1350206.13</v>
      </c>
      <c r="I27" s="265"/>
      <c r="J27" s="47"/>
      <c r="K27" s="47"/>
      <c r="L27" s="39"/>
      <c r="M27" s="12"/>
      <c r="N27" s="12"/>
      <c r="O27" s="253">
        <f>O26</f>
        <v>10.32</v>
      </c>
      <c r="P27" s="14"/>
      <c r="Q27" s="12"/>
      <c r="R27" s="239">
        <f>SUM(R21:R26)</f>
        <v>44.9</v>
      </c>
      <c r="S27" s="46">
        <f>S25+S26</f>
        <v>5.76</v>
      </c>
      <c r="T27" s="9"/>
      <c r="W27" s="4"/>
    </row>
    <row r="28" spans="2:24" ht="17.399999999999999" x14ac:dyDescent="0.3">
      <c r="B28" s="276"/>
      <c r="C28" s="271"/>
      <c r="D28" s="272"/>
      <c r="E28" s="272"/>
      <c r="F28" s="273"/>
      <c r="I28" s="265"/>
      <c r="J28" s="47">
        <v>147074</v>
      </c>
      <c r="K28" s="47"/>
      <c r="L28" s="14"/>
      <c r="M28" s="12"/>
      <c r="N28" s="12"/>
      <c r="O28" s="39">
        <f>O27*20%</f>
        <v>2.0640000000000001</v>
      </c>
      <c r="P28" s="39" t="s">
        <v>131</v>
      </c>
      <c r="Q28" s="42"/>
      <c r="R28" s="240"/>
      <c r="S28" s="14"/>
      <c r="T28" s="9"/>
      <c r="W28" s="4"/>
    </row>
    <row r="29" spans="2:24" ht="17.399999999999999" x14ac:dyDescent="0.3">
      <c r="B29" s="271"/>
      <c r="C29" s="271"/>
      <c r="D29" s="272"/>
      <c r="E29" s="272"/>
      <c r="F29" s="273"/>
      <c r="G29" s="274"/>
      <c r="H29" s="275"/>
      <c r="I29" s="265"/>
      <c r="J29" s="47">
        <v>33749</v>
      </c>
      <c r="K29" s="47"/>
      <c r="L29" s="14"/>
      <c r="M29" s="12"/>
      <c r="N29" s="12"/>
      <c r="O29" s="46">
        <f>O27+O28</f>
        <v>12.384</v>
      </c>
      <c r="P29" s="14"/>
      <c r="Q29" s="14"/>
      <c r="R29" s="238">
        <v>40</v>
      </c>
      <c r="S29" s="14"/>
      <c r="T29" s="9"/>
      <c r="W29" s="4"/>
    </row>
    <row r="30" spans="2:24" ht="17.399999999999999" x14ac:dyDescent="0.35">
      <c r="B30" s="269"/>
      <c r="C30" s="230"/>
      <c r="D30" s="230"/>
      <c r="E30" s="233"/>
      <c r="F30" s="234"/>
      <c r="G30" s="230"/>
      <c r="H30" s="275"/>
      <c r="I30" s="265"/>
      <c r="J30" s="47">
        <v>94650</v>
      </c>
      <c r="K30" s="47"/>
      <c r="L30" s="14"/>
      <c r="M30" s="14"/>
      <c r="N30" s="14"/>
      <c r="O30" s="14"/>
      <c r="P30" s="14"/>
      <c r="Q30" s="14"/>
      <c r="R30" s="238"/>
      <c r="S30" s="14"/>
      <c r="T30" s="303" t="s">
        <v>22</v>
      </c>
      <c r="U30" s="300" t="s">
        <v>153</v>
      </c>
      <c r="V30" s="304">
        <v>44971</v>
      </c>
      <c r="W30" s="305"/>
    </row>
    <row r="31" spans="2:24" ht="17.399999999999999" x14ac:dyDescent="0.35">
      <c r="B31" s="235"/>
      <c r="C31" s="236"/>
      <c r="D31" s="237"/>
      <c r="E31" s="235"/>
      <c r="F31" s="230"/>
      <c r="G31" s="230"/>
      <c r="I31" s="265"/>
      <c r="J31" s="47">
        <f>SUM(J28:J30)</f>
        <v>275473</v>
      </c>
      <c r="K31" s="47"/>
      <c r="L31" s="39">
        <f>O29</f>
        <v>12.384</v>
      </c>
      <c r="M31" s="12">
        <v>3500</v>
      </c>
      <c r="N31" s="12">
        <f t="shared" ref="N31:N36" si="22">L31*M31</f>
        <v>43344</v>
      </c>
      <c r="O31" s="14" t="s">
        <v>22</v>
      </c>
      <c r="P31" s="14"/>
      <c r="Q31" s="14"/>
      <c r="R31" s="241"/>
      <c r="S31" s="14"/>
      <c r="T31" s="303" t="s">
        <v>154</v>
      </c>
      <c r="U31" s="300">
        <v>3625</v>
      </c>
      <c r="V31" s="59" t="s">
        <v>155</v>
      </c>
      <c r="W31" s="305"/>
    </row>
    <row r="32" spans="2:24" ht="17.399999999999999" x14ac:dyDescent="0.35">
      <c r="B32" s="230"/>
      <c r="C32" s="230"/>
      <c r="D32" s="230"/>
      <c r="E32" s="230"/>
      <c r="F32" s="230"/>
      <c r="G32" s="230"/>
      <c r="I32" s="265"/>
      <c r="J32" s="47"/>
      <c r="K32" s="47"/>
      <c r="L32" s="249">
        <v>5</v>
      </c>
      <c r="M32" s="12">
        <v>22500</v>
      </c>
      <c r="N32" s="12">
        <f t="shared" si="22"/>
        <v>112500</v>
      </c>
      <c r="O32" s="39" t="s">
        <v>32</v>
      </c>
      <c r="P32" s="42"/>
      <c r="Q32" s="14"/>
      <c r="R32" s="240"/>
      <c r="S32" s="14"/>
      <c r="T32" s="303"/>
      <c r="U32" s="59">
        <v>906.25</v>
      </c>
      <c r="V32" s="59" t="s">
        <v>156</v>
      </c>
      <c r="W32" s="305"/>
    </row>
    <row r="33" spans="2:23" s="230" customFormat="1" ht="17.399999999999999" x14ac:dyDescent="0.35">
      <c r="I33" s="262"/>
      <c r="J33" s="232"/>
      <c r="K33" s="250"/>
      <c r="L33" s="14">
        <v>4</v>
      </c>
      <c r="M33" s="250">
        <v>62300</v>
      </c>
      <c r="N33" s="12">
        <f t="shared" si="22"/>
        <v>249200</v>
      </c>
      <c r="O33" s="39" t="s">
        <v>31</v>
      </c>
      <c r="P33" s="42"/>
      <c r="R33" s="240"/>
      <c r="S33" s="256"/>
      <c r="T33" s="59"/>
      <c r="U33" s="59">
        <f>U32*20%</f>
        <v>181.25</v>
      </c>
      <c r="V33" s="305" t="s">
        <v>157</v>
      </c>
      <c r="W33" s="59"/>
    </row>
    <row r="34" spans="2:23" s="230" customFormat="1" ht="17.399999999999999" x14ac:dyDescent="0.35">
      <c r="B34" s="24" t="s">
        <v>152</v>
      </c>
      <c r="I34" s="262"/>
      <c r="J34" s="232"/>
      <c r="K34" s="250"/>
      <c r="L34" s="14"/>
      <c r="M34" s="250">
        <v>27100</v>
      </c>
      <c r="N34" s="12">
        <f t="shared" si="22"/>
        <v>0</v>
      </c>
      <c r="O34" s="14" t="s">
        <v>142</v>
      </c>
      <c r="P34" s="17"/>
      <c r="R34" s="238"/>
      <c r="S34" s="256"/>
      <c r="T34" s="59"/>
      <c r="U34" s="59">
        <f>U32+U33</f>
        <v>1087.5</v>
      </c>
      <c r="V34" s="305" t="s">
        <v>158</v>
      </c>
      <c r="W34" s="59"/>
    </row>
    <row r="35" spans="2:23" s="230" customFormat="1" ht="17.399999999999999" x14ac:dyDescent="0.35">
      <c r="B35" s="24" t="s">
        <v>145</v>
      </c>
      <c r="C35"/>
      <c r="D35"/>
      <c r="E35"/>
      <c r="F35"/>
      <c r="I35" s="262"/>
      <c r="J35" s="230">
        <v>27000</v>
      </c>
      <c r="K35" s="250"/>
      <c r="L35" s="249"/>
      <c r="M35" s="250">
        <v>300</v>
      </c>
      <c r="N35" s="12">
        <f t="shared" si="22"/>
        <v>0</v>
      </c>
      <c r="O35" s="14" t="s">
        <v>33</v>
      </c>
      <c r="P35" s="14"/>
      <c r="Q35" s="230">
        <v>1.52</v>
      </c>
      <c r="R35" s="238"/>
      <c r="S35" s="238"/>
    </row>
    <row r="36" spans="2:23" s="230" customFormat="1" ht="17.399999999999999" x14ac:dyDescent="0.35">
      <c r="B36" s="29" t="s">
        <v>126</v>
      </c>
      <c r="C36"/>
      <c r="D36"/>
      <c r="E36"/>
      <c r="F36" s="229" t="s">
        <v>16</v>
      </c>
      <c r="I36" s="294"/>
      <c r="J36" s="230">
        <f>J35*19%</f>
        <v>5130</v>
      </c>
      <c r="K36" s="250"/>
      <c r="L36" s="266">
        <v>0.5</v>
      </c>
      <c r="M36" s="12">
        <v>45000</v>
      </c>
      <c r="N36" s="12">
        <f t="shared" si="22"/>
        <v>22500</v>
      </c>
      <c r="O36" s="14" t="s">
        <v>23</v>
      </c>
      <c r="P36" s="14"/>
      <c r="Q36">
        <v>2.44</v>
      </c>
      <c r="R36"/>
      <c r="S36" s="238"/>
      <c r="W36" s="231"/>
    </row>
    <row r="37" spans="2:23" s="230" customFormat="1" ht="17.399999999999999" x14ac:dyDescent="0.35">
      <c r="I37" s="230" t="s">
        <v>168</v>
      </c>
      <c r="J37" s="230">
        <f>J35+J36</f>
        <v>32130</v>
      </c>
      <c r="K37" s="250"/>
      <c r="L37" s="14"/>
      <c r="M37" s="12"/>
      <c r="N37" s="12">
        <f>SUM(N31:N36)</f>
        <v>427544</v>
      </c>
      <c r="O37" s="39" t="s">
        <v>24</v>
      </c>
      <c r="P37" s="14"/>
      <c r="Q37">
        <f>Q35*Q36</f>
        <v>3.7088000000000001</v>
      </c>
      <c r="R37"/>
      <c r="S37" s="238"/>
      <c r="W37" s="231"/>
    </row>
    <row r="38" spans="2:23" s="230" customFormat="1" ht="17.399999999999999" x14ac:dyDescent="0.35">
      <c r="K38" s="250"/>
      <c r="L38" s="254" t="s">
        <v>34</v>
      </c>
      <c r="M38" s="12"/>
      <c r="N38" s="255">
        <f>N37*2.2</f>
        <v>940596.8</v>
      </c>
      <c r="O38" s="14" t="s">
        <v>141</v>
      </c>
      <c r="P38" s="14"/>
      <c r="Q38" s="40">
        <f>O29/Q37</f>
        <v>3.3390854184641934</v>
      </c>
      <c r="R38"/>
      <c r="S38" s="257"/>
    </row>
    <row r="39" spans="2:23" s="230" customFormat="1" ht="17.399999999999999" x14ac:dyDescent="0.35">
      <c r="G39"/>
      <c r="H39" s="260"/>
      <c r="I39" s="230" t="s">
        <v>167</v>
      </c>
      <c r="J39" s="230">
        <v>32216</v>
      </c>
      <c r="K39" s="250">
        <v>0</v>
      </c>
      <c r="L39" s="14"/>
      <c r="M39" s="12"/>
      <c r="N39" s="12">
        <f>N38/O27</f>
        <v>91143.100775193801</v>
      </c>
      <c r="O39" s="45" t="s">
        <v>25</v>
      </c>
      <c r="P39" s="14"/>
      <c r="Q39" s="14"/>
      <c r="R39"/>
      <c r="S39" s="238"/>
      <c r="T39" s="59" t="s">
        <v>159</v>
      </c>
      <c r="U39" s="300">
        <v>43650</v>
      </c>
    </row>
    <row r="40" spans="2:23" s="230" customFormat="1" ht="17.399999999999999" x14ac:dyDescent="0.35">
      <c r="G40"/>
      <c r="J40" s="230">
        <f>J39/1.19</f>
        <v>27072.268907563026</v>
      </c>
      <c r="K40" s="250"/>
      <c r="L40" s="13"/>
      <c r="M40" s="14"/>
      <c r="N40" s="17">
        <f>N38/N37</f>
        <v>2.2000000000000002</v>
      </c>
      <c r="O40" s="15"/>
      <c r="P40"/>
      <c r="Q40"/>
      <c r="R40"/>
      <c r="S40" s="238"/>
      <c r="T40" s="59" t="s">
        <v>161</v>
      </c>
      <c r="U40" s="301" t="s">
        <v>160</v>
      </c>
      <c r="V40" s="59">
        <v>2.4</v>
      </c>
    </row>
    <row r="41" spans="2:23" s="230" customFormat="1" ht="17.399999999999999" x14ac:dyDescent="0.35">
      <c r="G41" s="23"/>
      <c r="K41" s="12"/>
      <c r="S41" s="238"/>
      <c r="T41" s="59" t="s">
        <v>162</v>
      </c>
      <c r="U41" s="302">
        <v>395.37</v>
      </c>
    </row>
    <row r="42" spans="2:23" s="230" customFormat="1" ht="17.399999999999999" x14ac:dyDescent="0.35">
      <c r="B42"/>
      <c r="C42" s="228"/>
      <c r="D42" s="22"/>
      <c r="E42" s="22"/>
      <c r="F42" s="21"/>
      <c r="G42" s="23"/>
      <c r="I42" s="230" t="s">
        <v>169</v>
      </c>
      <c r="K42" s="12"/>
      <c r="S42" s="238"/>
      <c r="T42" s="59" t="s">
        <v>157</v>
      </c>
      <c r="U42" s="59">
        <v>474.45</v>
      </c>
    </row>
    <row r="43" spans="2:23" ht="14.4" customHeight="1" x14ac:dyDescent="0.3">
      <c r="I43" t="s">
        <v>170</v>
      </c>
      <c r="J43">
        <v>8990</v>
      </c>
      <c r="K43" s="12"/>
      <c r="T43" s="59"/>
      <c r="U43" s="59"/>
    </row>
    <row r="44" spans="2:23" x14ac:dyDescent="0.3">
      <c r="K44" s="250"/>
    </row>
    <row r="45" spans="2:23" x14ac:dyDescent="0.3">
      <c r="I45">
        <v>86440</v>
      </c>
      <c r="K45" s="250"/>
      <c r="S45" s="270"/>
    </row>
    <row r="46" spans="2:23" x14ac:dyDescent="0.3">
      <c r="K46" s="250"/>
    </row>
    <row r="47" spans="2:23" ht="15" customHeight="1" x14ac:dyDescent="0.3">
      <c r="I47">
        <f>I45/1.19</f>
        <v>72638.655462184877</v>
      </c>
    </row>
    <row r="49" spans="14:19" x14ac:dyDescent="0.3">
      <c r="N49">
        <v>40935</v>
      </c>
      <c r="O49" t="s">
        <v>17</v>
      </c>
      <c r="P49" t="s">
        <v>27</v>
      </c>
    </row>
    <row r="51" spans="14:19" x14ac:dyDescent="0.3">
      <c r="N51" s="54"/>
      <c r="O51" s="54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3" spans="14:19" x14ac:dyDescent="0.3">
      <c r="N63" s="43"/>
    </row>
    <row r="64" spans="14:19" x14ac:dyDescent="0.3">
      <c r="N64" s="43"/>
    </row>
    <row r="65" spans="3:14" x14ac:dyDescent="0.3">
      <c r="N65" s="6"/>
    </row>
    <row r="66" spans="3:14" x14ac:dyDescent="0.3">
      <c r="N66" s="6"/>
    </row>
    <row r="74" spans="3:14" x14ac:dyDescent="0.3">
      <c r="C74" t="s">
        <v>149</v>
      </c>
    </row>
    <row r="75" spans="3:14" x14ac:dyDescent="0.3">
      <c r="C75" t="s">
        <v>148</v>
      </c>
    </row>
    <row r="78" spans="3:14" x14ac:dyDescent="0.3">
      <c r="C78" t="s">
        <v>148</v>
      </c>
    </row>
    <row r="155" spans="3:3" x14ac:dyDescent="0.3">
      <c r="C155" t="s">
        <v>148</v>
      </c>
    </row>
    <row r="156" spans="3:3" x14ac:dyDescent="0.3">
      <c r="C156" t="s">
        <v>150</v>
      </c>
    </row>
    <row r="157" spans="3:3" x14ac:dyDescent="0.3">
      <c r="C157" t="s">
        <v>151</v>
      </c>
    </row>
    <row r="582" spans="3:3" x14ac:dyDescent="0.3">
      <c r="C582" t="s">
        <v>148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45474</v>
      </c>
    </row>
    <row r="6" spans="2:31" ht="16.2" thickBot="1" x14ac:dyDescent="0.35">
      <c r="B6" s="140" t="s">
        <v>2</v>
      </c>
      <c r="C6" s="139" t="str">
        <f>'2229'!C10</f>
        <v>UVZ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5" t="s">
        <v>99</v>
      </c>
      <c r="I7" s="336"/>
      <c r="J7" s="336"/>
      <c r="K7" s="337"/>
      <c r="N7" s="75"/>
      <c r="O7" s="334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11012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4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-69513.02503345412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'2229'!H25</f>
        <v>1134627</v>
      </c>
      <c r="E11" s="132">
        <f>D11*0.19</f>
        <v>215579.13</v>
      </c>
      <c r="F11" s="131">
        <f>E11+D11</f>
        <v>1350206.13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36476.97496654588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434878.09078743961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18476.97496654588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699748.90921256039</v>
      </c>
      <c r="E13" s="221">
        <f>(D11/D12)-1</f>
        <v>1.6090691254312572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9476.9749665458803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-29523.02503345412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717548.84979927528</v>
      </c>
      <c r="F15" s="216">
        <f>E15-D12</f>
        <v>282670.75901183567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-29523.02503345412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10476.97496654588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'2229'!N33</f>
        <v>249200</v>
      </c>
      <c r="E18" s="123">
        <f>D18*0.19</f>
        <v>47348</v>
      </c>
      <c r="F18" s="120">
        <f>SUM(D18:E18)</f>
        <v>296548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'2229'!N32</f>
        <v>112500</v>
      </c>
      <c r="E19" s="123">
        <f>D19*0.19</f>
        <v>21375</v>
      </c>
      <c r="F19" s="120">
        <f>SUM(D19:E19)</f>
        <v>133875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'2229'!N31</f>
        <v>43344</v>
      </c>
      <c r="E20" s="121">
        <f>D20*0.19</f>
        <v>8235.36</v>
      </c>
      <c r="F20" s="120">
        <f>SUM(D20:E20)</f>
        <v>51579.360000000001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405044</v>
      </c>
      <c r="E21" s="116">
        <f>SUM(E18:E20)</f>
        <v>76958.36</v>
      </c>
      <c r="F21" s="115">
        <f>SUM(F18:F20)</f>
        <v>482002.36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138620.77000000002</v>
      </c>
    </row>
    <row r="41" spans="2:16" ht="15" thickBot="1" x14ac:dyDescent="0.35">
      <c r="H41" s="338" t="s">
        <v>61</v>
      </c>
      <c r="I41" s="339"/>
      <c r="J41" s="339"/>
      <c r="K41" s="339"/>
      <c r="L41" s="339"/>
      <c r="M41" s="340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1134627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405044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699748.90921256039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699748.90921256039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2024-07-01T15:38:57Z</cp:lastPrinted>
  <dcterms:created xsi:type="dcterms:W3CDTF">2013-03-18T13:35:42Z</dcterms:created>
  <dcterms:modified xsi:type="dcterms:W3CDTF">2024-07-02T20:49:41Z</dcterms:modified>
</cp:coreProperties>
</file>