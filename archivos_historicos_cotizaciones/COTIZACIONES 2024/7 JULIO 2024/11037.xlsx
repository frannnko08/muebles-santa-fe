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7 JULIO 2024\"/>
    </mc:Choice>
  </mc:AlternateContent>
  <xr:revisionPtr revIDLastSave="0" documentId="13_ncr:1_{0D99EC10-2A4D-4356-9C12-5D60E9AD9205}" xr6:coauthVersionLast="47" xr6:coauthVersionMax="47" xr10:uidLastSave="{00000000-0000-0000-0000-000000000000}"/>
  <bookViews>
    <workbookView xWindow="14730" yWindow="0" windowWidth="23640" windowHeight="2160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M21" i="1"/>
  <c r="K22" i="1"/>
  <c r="L22" i="1"/>
  <c r="M22" i="1"/>
  <c r="N21" i="1" l="1"/>
  <c r="O21" i="1" s="1"/>
  <c r="R21" i="1"/>
  <c r="N22" i="1"/>
  <c r="O22" i="1" s="1"/>
  <c r="R22" i="1"/>
  <c r="J39" i="1"/>
  <c r="L24" i="1"/>
  <c r="S24" i="1" l="1"/>
  <c r="S25" i="1" s="1"/>
  <c r="S26" i="1" s="1"/>
  <c r="R26" i="1"/>
  <c r="U32" i="1"/>
  <c r="U33" i="1" s="1"/>
  <c r="O25" i="1" l="1"/>
  <c r="O26" i="1" s="1"/>
  <c r="O27" i="1" s="1"/>
  <c r="N31" i="1"/>
  <c r="O28" i="1" l="1"/>
  <c r="M20" i="1"/>
  <c r="K20" i="1"/>
  <c r="L30" i="1" l="1"/>
  <c r="N32" i="1"/>
  <c r="Q36" i="1"/>
  <c r="Q37" i="1" s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2" i="1" l="1"/>
  <c r="G22" i="1" s="1"/>
  <c r="P21" i="1"/>
  <c r="G21" i="1" s="1"/>
  <c r="F15" i="3"/>
  <c r="H21" i="1" l="1"/>
  <c r="Q21" i="1"/>
  <c r="Q22" i="1"/>
  <c r="H22" i="1"/>
  <c r="H24" i="1" l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<sst xmlns="http://schemas.openxmlformats.org/spreadsheetml/2006/main" count="232" uniqueCount="174">
  <si>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</si>
  <si>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</si>
  <si>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</si>
  <si>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</si>
  <si>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</si>
  <si>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</si>
  <si>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</si>
  <si>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</si>
  <si>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</si>
  <si>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</si>
  <si>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</si>
  <si>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</si>
  <si>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</si>
  <si>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</si>
  <si>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</si>
  <si>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</si>
  <si>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</si>
  <si>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</si>
  <si>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</si>
  <si>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</si>
  <si>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</si>
  <si>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</si>
  <si>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</si>
  <si>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</si>
  <si>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</si>
  <si>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</si>
  <si>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</si>
  <si>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</si>
  <si>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</si>
  <si>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</si>
  <si>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</si>
  <si>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</si>
  <si>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</si>
  <si>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</si>
  <si>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</si>
  <si>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</si>
  <si>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</si>
  <si>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</si>
  <si>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</si>
  <si>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</si>
  <si>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</si>
  <si>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</si>
  <si>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</si>
  <si>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</si>
  <si>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</si>
  <si>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</si>
  <si>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</si>
  <si>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</si>
  <si>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</si>
  <si>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</si>
  <si>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</si>
  <si>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</si>
  <si>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</si>
  <si>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</si>
  <si>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</si>
  <si>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</si>
  <si>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</si>
  <si>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</si>
  <si>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</si>
  <si>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</si>
  <si>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</si>
  <si>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</si>
  <si>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</si>
  <si>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</si>
  <si>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</si>
  <si>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</si>
  <si>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</si>
  <si>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</si>
  <si>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</si>
  <si>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</si>
  <si>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</si>
  <si>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</si>
  <si>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</si>
  <si>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</si>
  <si>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</si>
  <si>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</si>
  <si>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</si>
  <si>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</si>
  <si>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</si>
  <si>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</si>
  <si>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</si>
  <si>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</si>
  <si>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</si>
  <si>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</si>
  <si>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</si>
  <si>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</si>
  <si>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</si>
  <si>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</si>
  <si>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</si>
  <si>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</si>
  <si>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</si>
  <si>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</si>
  <si>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</si>
  <si>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</si>
  <si>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</si>
  <si>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</si>
  <si>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</si>
  <si>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</si>
  <si>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</si>
  <si>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</si>
  <si>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</si>
  <si>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</si>
  <si>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</si>
  <si>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</si>
  <si>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</si>
  <si>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</si>
  <si>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</si>
  <si>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</si>
  <si>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</si>
  <si>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</si>
  <si>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</si>
  <si>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</si>
  <si>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</si>
  <si>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</si>
  <si>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</si>
  <si>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</si>
  <si>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</si>
  <si>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</si>
  <si>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</si>
  <si>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</si>
  <si>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</si>
  <si>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</si>
  <si>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</si>
  <si>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</si>
  <si>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</si>
  <si>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</si>
  <si>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</si>
  <si>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</si>
  <si>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</si>
  <si>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</si>
  <si>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</si>
  <si>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</si>
  <si>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</si>
  <si>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</si>
  <si>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</si>
  <si>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</si>
  <si>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</si>
  <si>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</si>
  <si>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</si>
  <si>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</si>
  <si>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</si>
  <si>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</si>
  <si>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</si>
  <si>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</si>
  <si>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</si>
  <si>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</si>
  <si>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</si>
  <si>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</si>
  <si>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</si>
  <si>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</si>
  <si>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</si>
  <si>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</si>
  <si>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</si>
  <si>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</si>
  <si>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</si>
  <si>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</si>
  <si>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</si>
  <si>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</si>
  <si>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</si>
  <si>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</si>
  <si>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</si>
  <si>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</si>
  <si>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</si>
  <si>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</si>
  <si>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</si>
  <si>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</si>
  <si>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</si>
  <si>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</si>
  <si>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</si>
  <si>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5 DIAS HABILES</t>
  </si>
  <si>
    <t>CUBIERTA C/RESPALDO 180°</t>
  </si>
  <si>
    <t>GRIS HUMO</t>
  </si>
  <si>
    <t>+569 8194 7383</t>
  </si>
  <si>
    <t>N° 11037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</si>
</sst>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6" fontId="1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41" fontId="22" fillId="0" borderId="4" xfId="4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1966452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837186"/>
          <a:ext cx="6444226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4" zoomScale="93" zoomScaleNormal="93" workbookViewId="0">
      <selection activeCell="D9" sqref="D9"/>
    </sheetView>
  </sheetViews>
  <sheetFormatPr baseColWidth="10" defaultRowHeight="15" x14ac:dyDescent="0.25"/>
  <cols>
    <col min="1" max="1" width="6" customWidth="1"/>
    <col min="2" max="2" width="10.5703125" customWidth="1"/>
    <col min="3" max="3" width="34.42578125" customWidth="1"/>
    <col min="4" max="4" width="11.140625" customWidth="1"/>
    <col min="5" max="5" width="10.5703125" customWidth="1"/>
    <col min="6" max="6" width="34.2851562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292" t="s">
        <v>127</v>
      </c>
      <c r="C8" s="293"/>
      <c r="D8" s="323" t="s">
        <v>173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06" t="s">
        <v>163</v>
      </c>
      <c r="C10" s="279"/>
      <c r="D10" s="243"/>
      <c r="E10" s="243"/>
      <c r="F10" s="244" t="s">
        <v>0</v>
      </c>
      <c r="G10" s="277">
        <v>45488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299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88" t="s">
        <v>147</v>
      </c>
      <c r="G13" s="311"/>
      <c r="H13" s="290"/>
      <c r="P13" s="19"/>
      <c r="Q13" s="25"/>
      <c r="R13" s="19"/>
    </row>
    <row r="14" spans="2:23" x14ac:dyDescent="0.25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75" x14ac:dyDescent="0.25">
      <c r="B15" s="288" t="s">
        <v>4</v>
      </c>
      <c r="C15" s="313" t="s">
        <v>172</v>
      </c>
      <c r="D15" s="314"/>
      <c r="F15" t="s">
        <v>135</v>
      </c>
      <c r="G15" s="312" t="s">
        <v>136</v>
      </c>
      <c r="H15" s="290"/>
    </row>
    <row r="16" spans="2:23" ht="16.5" x14ac:dyDescent="0.3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.75" thickBot="1" x14ac:dyDescent="0.3">
      <c r="B17" s="315" t="s">
        <v>13</v>
      </c>
      <c r="C17" s="316" t="s">
        <v>168</v>
      </c>
      <c r="D17" s="317"/>
      <c r="E17" s="119"/>
      <c r="F17" s="339" t="s">
        <v>166</v>
      </c>
      <c r="G17" s="339"/>
      <c r="H17" s="340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41" t="s">
        <v>148</v>
      </c>
      <c r="C19" s="342"/>
      <c r="D19" s="342"/>
      <c r="E19" s="342"/>
      <c r="F19" s="342"/>
      <c r="G19" s="342"/>
      <c r="H19" s="34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65056.129032258075</v>
      </c>
      <c r="Q20" s="258">
        <v>3000</v>
      </c>
      <c r="R20" s="38"/>
      <c r="S20" s="14" t="s">
        <v>129</v>
      </c>
      <c r="T20" s="9"/>
      <c r="W20" s="4"/>
    </row>
    <row r="21" spans="2:24" ht="17.25" x14ac:dyDescent="0.25">
      <c r="B21" s="328">
        <v>1</v>
      </c>
      <c r="C21" s="329" t="s">
        <v>170</v>
      </c>
      <c r="D21" s="330">
        <v>1.4</v>
      </c>
      <c r="E21" s="330">
        <v>0.6</v>
      </c>
      <c r="F21" s="329" t="s">
        <v>171</v>
      </c>
      <c r="G21" s="331">
        <f>P21</f>
        <v>56598.832258064525</v>
      </c>
      <c r="H21" s="332">
        <f t="shared" ref="H21:H22" si="1">G21*B21</f>
        <v>56598.832258064525</v>
      </c>
      <c r="I21" s="265"/>
      <c r="J21" s="47"/>
      <c r="K21" s="47">
        <f t="shared" ref="K21:K22" si="2">B21</f>
        <v>1</v>
      </c>
      <c r="L21" s="39">
        <f t="shared" ref="L21:L22" si="3">D21+L$19</f>
        <v>1.45</v>
      </c>
      <c r="M21" s="39">
        <f t="shared" ref="M21:M22" si="4">E21+M$19</f>
        <v>0.6</v>
      </c>
      <c r="N21" s="261">
        <f t="shared" ref="N21:N22" si="5">L21*M21</f>
        <v>0.87</v>
      </c>
      <c r="O21" s="259">
        <f t="shared" ref="O21:O22" si="6">N21*K21</f>
        <v>0.87</v>
      </c>
      <c r="P21" s="252">
        <f t="shared" ref="P21:P22" si="7">P$20*N21</f>
        <v>56598.832258064525</v>
      </c>
      <c r="Q21" s="324">
        <f t="shared" ref="Q21:Q22" si="8">P21+Q$20</f>
        <v>59598.832258064525</v>
      </c>
      <c r="R21" s="298">
        <f t="shared" ref="R21:R22" si="9">L21*K21*2</f>
        <v>2.9</v>
      </c>
      <c r="S21" s="14"/>
      <c r="T21" s="9"/>
      <c r="W21" s="4"/>
    </row>
    <row r="22" spans="2:24" ht="17.25" x14ac:dyDescent="0.25">
      <c r="B22" s="333">
        <v>1</v>
      </c>
      <c r="C22" s="327" t="s">
        <v>170</v>
      </c>
      <c r="D22" s="326">
        <v>1.6</v>
      </c>
      <c r="E22" s="326">
        <v>0.6</v>
      </c>
      <c r="F22" s="327" t="s">
        <v>171</v>
      </c>
      <c r="G22" s="325">
        <f t="shared" ref="G22" si="10">P22</f>
        <v>64405.567741935491</v>
      </c>
      <c r="H22" s="334">
        <f t="shared" si="1"/>
        <v>64405.567741935491</v>
      </c>
      <c r="I22" s="265"/>
      <c r="J22" s="47"/>
      <c r="K22" s="47">
        <f t="shared" si="2"/>
        <v>1</v>
      </c>
      <c r="L22" s="39">
        <f t="shared" si="3"/>
        <v>1.6500000000000001</v>
      </c>
      <c r="M22" s="39">
        <f t="shared" si="4"/>
        <v>0.6</v>
      </c>
      <c r="N22" s="261">
        <f t="shared" si="5"/>
        <v>0.99</v>
      </c>
      <c r="O22" s="259">
        <f t="shared" si="6"/>
        <v>0.99</v>
      </c>
      <c r="P22" s="252">
        <f t="shared" si="7"/>
        <v>64405.567741935491</v>
      </c>
      <c r="Q22" s="324">
        <f t="shared" si="8"/>
        <v>67405.567741935491</v>
      </c>
      <c r="R22" s="298">
        <f t="shared" si="9"/>
        <v>3.3000000000000003</v>
      </c>
      <c r="S22" s="14"/>
      <c r="T22" s="9"/>
      <c r="W22" s="4"/>
    </row>
    <row r="23" spans="2:24" ht="18" thickBot="1" x14ac:dyDescent="0.3">
      <c r="B23" s="286"/>
      <c r="C23" s="286"/>
      <c r="D23" s="287"/>
      <c r="E23" s="287"/>
      <c r="F23" s="286"/>
      <c r="G23" s="335"/>
      <c r="H23" s="336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25" x14ac:dyDescent="0.25">
      <c r="B24" s="286"/>
      <c r="C24" s="286"/>
      <c r="D24" s="287"/>
      <c r="E24" s="287"/>
      <c r="F24" s="286"/>
      <c r="G24" s="337" t="s">
        <v>29</v>
      </c>
      <c r="H24" s="338">
        <f>SUM(H21:H22)</f>
        <v>121004.40000000002</v>
      </c>
      <c r="I24" s="265"/>
      <c r="J24" s="47">
        <v>2600000</v>
      </c>
      <c r="K24" s="47"/>
      <c r="L24" s="39">
        <f>SUM(L23:L23)</f>
        <v>0</v>
      </c>
      <c r="M24" s="39"/>
      <c r="N24" s="261"/>
      <c r="O24" s="259"/>
      <c r="P24" s="252"/>
      <c r="Q24" s="258"/>
      <c r="R24" s="298"/>
      <c r="S24" s="46">
        <f>SUM(S23:S23)</f>
        <v>0</v>
      </c>
      <c r="T24" s="9"/>
      <c r="W24" s="4"/>
    </row>
    <row r="25" spans="2:24" ht="17.25" x14ac:dyDescent="0.25">
      <c r="B25" s="280"/>
      <c r="C25" s="283"/>
      <c r="D25" s="284"/>
      <c r="E25" s="284"/>
      <c r="F25" s="285"/>
      <c r="G25" s="297" t="s">
        <v>52</v>
      </c>
      <c r="H25" s="295">
        <f>H24*0.19</f>
        <v>22990.836000000003</v>
      </c>
      <c r="I25" s="265"/>
      <c r="J25" s="47"/>
      <c r="K25" s="47"/>
      <c r="L25" s="39"/>
      <c r="M25" s="12"/>
      <c r="N25" s="12"/>
      <c r="O25" s="253">
        <f>SUM(O21:O22)</f>
        <v>1.8599999999999999</v>
      </c>
      <c r="P25" s="14"/>
      <c r="Q25" s="12"/>
      <c r="R25" s="239"/>
      <c r="S25" s="46">
        <f>S24*20%</f>
        <v>0</v>
      </c>
      <c r="T25" s="9"/>
      <c r="W25" s="4"/>
    </row>
    <row r="26" spans="2:24" ht="18" thickBot="1" x14ac:dyDescent="0.3">
      <c r="B26" s="276"/>
      <c r="C26" s="282"/>
      <c r="D26" s="272"/>
      <c r="E26" s="272"/>
      <c r="F26" s="273"/>
      <c r="G26" s="281" t="s">
        <v>6</v>
      </c>
      <c r="H26" s="296">
        <f>H24+H25</f>
        <v>143995.23600000003</v>
      </c>
      <c r="I26" s="265"/>
      <c r="J26" s="47"/>
      <c r="K26" s="47"/>
      <c r="L26" s="39"/>
      <c r="M26" s="12"/>
      <c r="N26" s="12"/>
      <c r="O26" s="253">
        <f>O25</f>
        <v>1.8599999999999999</v>
      </c>
      <c r="P26" s="14"/>
      <c r="Q26" s="12"/>
      <c r="R26" s="239">
        <f>SUM(R23:R25)</f>
        <v>0</v>
      </c>
      <c r="S26" s="46">
        <f>S24+S25</f>
        <v>0</v>
      </c>
      <c r="T26" s="9"/>
      <c r="W26" s="4"/>
    </row>
    <row r="27" spans="2:24" ht="17.25" x14ac:dyDescent="0.25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0.372</v>
      </c>
      <c r="P27" s="39" t="s">
        <v>131</v>
      </c>
      <c r="Q27" s="42"/>
      <c r="R27" s="240"/>
      <c r="S27" s="14"/>
      <c r="T27" s="9"/>
      <c r="W27" s="4"/>
    </row>
    <row r="28" spans="2:24" ht="17.25" x14ac:dyDescent="0.25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2.2319999999999998</v>
      </c>
      <c r="P28" s="14"/>
      <c r="Q28" s="14"/>
      <c r="R28" s="238">
        <v>40</v>
      </c>
      <c r="S28" s="14"/>
      <c r="T28" s="9"/>
      <c r="W28" s="4"/>
    </row>
    <row r="29" spans="2:24" ht="17.25" x14ac:dyDescent="0.3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25" x14ac:dyDescent="0.3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2.2319999999999998</v>
      </c>
      <c r="M30" s="12">
        <v>3500</v>
      </c>
      <c r="N30" s="12">
        <f t="shared" ref="N30:N35" si="11">L30*M30</f>
        <v>7811.9999999999991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25" x14ac:dyDescent="0.3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0.6</v>
      </c>
      <c r="M31" s="12">
        <v>25000</v>
      </c>
      <c r="N31" s="12">
        <f t="shared" si="11"/>
        <v>15000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25" x14ac:dyDescent="0.3">
      <c r="I32" s="262"/>
      <c r="J32" s="232">
        <v>40754</v>
      </c>
      <c r="K32" s="250">
        <v>34989</v>
      </c>
      <c r="L32" s="14"/>
      <c r="M32" s="250">
        <v>77000</v>
      </c>
      <c r="N32" s="12">
        <f t="shared" si="11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25" x14ac:dyDescent="0.3">
      <c r="B33" s="24" t="s">
        <v>152</v>
      </c>
      <c r="I33" s="262"/>
      <c r="J33" s="232">
        <v>26644</v>
      </c>
      <c r="K33" s="250">
        <v>22025</v>
      </c>
      <c r="L33" s="14">
        <v>1</v>
      </c>
      <c r="M33" s="250">
        <v>32190</v>
      </c>
      <c r="N33" s="12">
        <f t="shared" si="11"/>
        <v>32190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25" x14ac:dyDescent="0.3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1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25" x14ac:dyDescent="0.3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11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25" x14ac:dyDescent="0.3">
      <c r="K36" s="250"/>
      <c r="L36" s="14"/>
      <c r="M36" s="12"/>
      <c r="N36" s="12">
        <f>SUM(N30:N35)</f>
        <v>55002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25" x14ac:dyDescent="0.3">
      <c r="K37" s="250"/>
      <c r="L37" s="254" t="s">
        <v>34</v>
      </c>
      <c r="M37" s="12"/>
      <c r="N37" s="255">
        <f>N36*2.2</f>
        <v>121004.40000000001</v>
      </c>
      <c r="O37" s="14" t="s">
        <v>141</v>
      </c>
      <c r="P37" s="14"/>
      <c r="Q37" s="40">
        <f>O28/Q36</f>
        <v>0.60181190681622077</v>
      </c>
      <c r="R37"/>
      <c r="S37" s="257"/>
    </row>
    <row r="38" spans="2:23" s="230" customFormat="1" ht="17.25" x14ac:dyDescent="0.3">
      <c r="G38"/>
      <c r="H38" s="260"/>
      <c r="I38" s="260"/>
      <c r="J38" s="230">
        <v>61690</v>
      </c>
      <c r="K38" s="250"/>
      <c r="L38" s="14"/>
      <c r="M38" s="12"/>
      <c r="N38" s="12">
        <f>N37/O26</f>
        <v>65056.129032258075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25" x14ac:dyDescent="0.3">
      <c r="G39"/>
      <c r="H39" s="230" t="s">
        <v>165</v>
      </c>
      <c r="J39" s="230">
        <f>J38/1.19</f>
        <v>51840.336134453784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25" x14ac:dyDescent="0.3">
      <c r="G40" s="23"/>
      <c r="K40" s="12"/>
      <c r="S40" s="238"/>
      <c r="T40" s="59" t="s">
        <v>162</v>
      </c>
      <c r="U40" s="302">
        <v>395.37</v>
      </c>
    </row>
    <row r="41" spans="2:23" s="230" customFormat="1" ht="17.25" x14ac:dyDescent="0.3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5" customHeight="1" x14ac:dyDescent="0.25">
      <c r="K42" s="12"/>
      <c r="T42" s="59"/>
      <c r="U42" s="59"/>
    </row>
    <row r="43" spans="2:23" x14ac:dyDescent="0.25">
      <c r="K43" s="250"/>
    </row>
    <row r="44" spans="2:23" x14ac:dyDescent="0.25">
      <c r="K44" s="250"/>
      <c r="S44" s="270"/>
    </row>
    <row r="45" spans="2:23" x14ac:dyDescent="0.25">
      <c r="K45" s="250"/>
    </row>
    <row r="46" spans="2:23" ht="15" customHeight="1" x14ac:dyDescent="0.25"/>
    <row r="48" spans="2:23" x14ac:dyDescent="0.25">
      <c r="N48">
        <v>40935</v>
      </c>
      <c r="O48" t="s">
        <v>17</v>
      </c>
      <c r="P48" t="s">
        <v>27</v>
      </c>
    </row>
    <row r="50" spans="14:19" x14ac:dyDescent="0.25">
      <c r="N50" s="54"/>
      <c r="O50" s="54"/>
    </row>
    <row r="51" spans="14:19" x14ac:dyDescent="0.25">
      <c r="R51" s="18"/>
      <c r="S51" s="18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2" spans="14:19" x14ac:dyDescent="0.25">
      <c r="N62" s="43"/>
    </row>
    <row r="63" spans="14:19" x14ac:dyDescent="0.25">
      <c r="N63" s="43"/>
    </row>
    <row r="64" spans="14:19" x14ac:dyDescent="0.25">
      <c r="N64" s="6"/>
    </row>
    <row r="65" spans="3:14" x14ac:dyDescent="0.25">
      <c r="N65" s="6"/>
    </row>
    <row r="73" spans="3:14" x14ac:dyDescent="0.25">
      <c r="C73" t="s">
        <v>149</v>
      </c>
    </row>
    <row r="74" spans="3:14" x14ac:dyDescent="0.25">
      <c r="C74" t="s">
        <v>148</v>
      </c>
    </row>
    <row r="77" spans="3:14" x14ac:dyDescent="0.25">
      <c r="C77" t="s">
        <v>148</v>
      </c>
    </row>
    <row r="154" spans="3:3" x14ac:dyDescent="0.25">
      <c r="C154" t="s">
        <v>148</v>
      </c>
    </row>
    <row r="155" spans="3:3" x14ac:dyDescent="0.25">
      <c r="C155" t="s">
        <v>150</v>
      </c>
    </row>
    <row r="156" spans="3:3" x14ac:dyDescent="0.25">
      <c r="C156" t="s">
        <v>151</v>
      </c>
    </row>
    <row r="581" spans="3:3" x14ac:dyDescent="0.25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45488</v>
      </c>
    </row>
    <row r="6" spans="2:31" ht="16.5" thickBot="1" x14ac:dyDescent="0.3">
      <c r="B6" s="140" t="s">
        <v>2</v>
      </c>
      <c r="C6" s="139">
        <f>'2229'!C10</f>
        <v>0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45" t="s">
        <v>99</v>
      </c>
      <c r="I7" s="346"/>
      <c r="J7" s="346"/>
      <c r="K7" s="347"/>
      <c r="N7" s="75"/>
      <c r="O7" s="344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 t="str">
        <f>'2229'!D8</f>
        <v>N° 11037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4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-5689.7250334541095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'2229'!H24</f>
        <v>121004.40000000002</v>
      </c>
      <c r="E11" s="132">
        <f>D11*0.19</f>
        <v>22990.836000000003</v>
      </c>
      <c r="F11" s="131">
        <f>E11+D11</f>
        <v>143995.23600000003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100300.2749665459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52646.090787439614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82300.274966545898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68358.309212560416</v>
      </c>
      <c r="E13" s="221">
        <f>(D11/D12)-1</f>
        <v>1.2984498600011807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73300.274966545898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34300.27496654589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86866.049799275366</v>
      </c>
      <c r="F15" s="216">
        <f>E15-D12</f>
        <v>34219.959011835752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34300.27496654589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74300.274966545898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'2229'!N30</f>
        <v>7811.9999999999991</v>
      </c>
      <c r="E20" s="121">
        <f>D20*0.19</f>
        <v>1484.2799999999997</v>
      </c>
      <c r="F20" s="120">
        <f>SUM(D20:E20)</f>
        <v>9296.2799999999988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22812</v>
      </c>
      <c r="E21" s="116">
        <f>SUM(E18:E20)</f>
        <v>4334.28</v>
      </c>
      <c r="F21" s="115">
        <f>SUM(F18:F20)</f>
        <v>27146.28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18656.556000000004</v>
      </c>
    </row>
    <row r="41" spans="2:16" ht="15.75" thickBot="1" x14ac:dyDescent="0.3">
      <c r="H41" s="348" t="s">
        <v>61</v>
      </c>
      <c r="I41" s="349"/>
      <c r="J41" s="349"/>
      <c r="K41" s="349"/>
      <c r="L41" s="349"/>
      <c r="M41" s="350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121004.40000000002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22812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68358.309212560416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68358.309212560416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2024-07-15T19:36:55Z</cp:lastPrinted>
  <dcterms:created xsi:type="dcterms:W3CDTF">2013-03-18T13:35:42Z</dcterms:created>
  <dcterms:modified xsi:type="dcterms:W3CDTF">2024-07-15T20:15:34Z</dcterms:modified>
</cp:coreProperties>
</file>