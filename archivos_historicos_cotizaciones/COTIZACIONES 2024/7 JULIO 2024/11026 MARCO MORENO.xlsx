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F9C9C874-AF51-43E0-A0FE-338B4653DE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H39" i="1"/>
  <c r="H38" i="1"/>
  <c r="N56" i="1"/>
  <c r="O44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5" i="1"/>
  <c r="L25" i="1"/>
  <c r="M25" i="1"/>
  <c r="N25" i="1"/>
  <c r="O25" i="1" s="1"/>
  <c r="R25" i="1"/>
  <c r="K26" i="1"/>
  <c r="L26" i="1"/>
  <c r="M26" i="1"/>
  <c r="N26" i="1"/>
  <c r="O26" i="1" s="1"/>
  <c r="R26" i="1"/>
  <c r="K27" i="1"/>
  <c r="L27" i="1"/>
  <c r="M27" i="1"/>
  <c r="N27" i="1"/>
  <c r="O27" i="1" s="1"/>
  <c r="R27" i="1"/>
  <c r="K28" i="1"/>
  <c r="L28" i="1"/>
  <c r="M28" i="1"/>
  <c r="N28" i="1"/>
  <c r="O28" i="1" s="1"/>
  <c r="R28" i="1"/>
  <c r="K29" i="1"/>
  <c r="L29" i="1"/>
  <c r="M29" i="1"/>
  <c r="N29" i="1"/>
  <c r="O29" i="1" s="1"/>
  <c r="R29" i="1"/>
  <c r="K30" i="1"/>
  <c r="L30" i="1"/>
  <c r="M30" i="1"/>
  <c r="N30" i="1"/>
  <c r="O30" i="1" s="1"/>
  <c r="R30" i="1"/>
  <c r="K31" i="1"/>
  <c r="L31" i="1"/>
  <c r="M31" i="1"/>
  <c r="N31" i="1"/>
  <c r="O31" i="1" s="1"/>
  <c r="R31" i="1"/>
  <c r="K32" i="1"/>
  <c r="L32" i="1"/>
  <c r="M32" i="1"/>
  <c r="N32" i="1"/>
  <c r="O32" i="1" s="1"/>
  <c r="R32" i="1"/>
  <c r="K33" i="1"/>
  <c r="L33" i="1"/>
  <c r="M33" i="1"/>
  <c r="N33" i="1"/>
  <c r="O33" i="1" s="1"/>
  <c r="R33" i="1"/>
  <c r="L34" i="1"/>
  <c r="M34" i="1"/>
  <c r="N34" i="1" s="1"/>
  <c r="O34" i="1" s="1"/>
  <c r="R34" i="1"/>
  <c r="L35" i="1"/>
  <c r="M35" i="1"/>
  <c r="N35" i="1"/>
  <c r="O35" i="1" s="1"/>
  <c r="R35" i="1"/>
  <c r="L36" i="1"/>
  <c r="M36" i="1"/>
  <c r="N36" i="1"/>
  <c r="O36" i="1" s="1"/>
  <c r="R36" i="1"/>
  <c r="K37" i="1"/>
  <c r="L37" i="1"/>
  <c r="M37" i="1"/>
  <c r="N37" i="1"/>
  <c r="O37" i="1" s="1"/>
  <c r="R37" i="1"/>
  <c r="K38" i="1"/>
  <c r="L38" i="1"/>
  <c r="M38" i="1"/>
  <c r="N38" i="1"/>
  <c r="O38" i="1" s="1"/>
  <c r="R38" i="1"/>
  <c r="K39" i="1"/>
  <c r="L39" i="1"/>
  <c r="M39" i="1"/>
  <c r="N39" i="1"/>
  <c r="O39" i="1" s="1"/>
  <c r="R39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K21" i="1"/>
  <c r="K10" i="1"/>
  <c r="J57" i="1" l="1"/>
  <c r="L21" i="1" l="1"/>
  <c r="L43" i="1" s="1"/>
  <c r="M21" i="1"/>
  <c r="N21" i="1" l="1"/>
  <c r="O21" i="1" s="1"/>
  <c r="R21" i="1"/>
  <c r="N50" i="1"/>
  <c r="O45" i="1" l="1"/>
  <c r="S62" i="1"/>
  <c r="O46" i="1" l="1"/>
  <c r="M20" i="1"/>
  <c r="K20" i="1"/>
  <c r="N51" i="1" l="1"/>
  <c r="Q55" i="1"/>
  <c r="Q56" i="1" s="1"/>
  <c r="N52" i="1" l="1"/>
  <c r="S55" i="1" l="1"/>
  <c r="S5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4" i="1"/>
  <c r="N53" i="1"/>
  <c r="F18" i="3" l="1"/>
  <c r="O47" i="1" l="1"/>
  <c r="L49" i="1" s="1"/>
  <c r="N49" i="1" l="1"/>
  <c r="S63" i="1"/>
  <c r="N55" i="1" l="1"/>
  <c r="D20" i="3"/>
  <c r="E20" i="3" s="1"/>
  <c r="E21" i="3" s="1"/>
  <c r="N58" i="1" l="1"/>
  <c r="D21" i="3"/>
  <c r="M43" i="3" s="1"/>
  <c r="D12" i="3" s="1"/>
  <c r="F20" i="3"/>
  <c r="F21" i="3" s="1"/>
  <c r="N57" i="1" l="1"/>
  <c r="P20" i="1" s="1"/>
  <c r="E15" i="3"/>
  <c r="P38" i="1" l="1"/>
  <c r="Q38" i="1" s="1"/>
  <c r="P34" i="1"/>
  <c r="Q34" i="1" s="1"/>
  <c r="P30" i="1"/>
  <c r="Q30" i="1" s="1"/>
  <c r="P26" i="1"/>
  <c r="Q26" i="1" s="1"/>
  <c r="P22" i="1"/>
  <c r="Q22" i="1" s="1"/>
  <c r="P37" i="1"/>
  <c r="Q37" i="1" s="1"/>
  <c r="P33" i="1"/>
  <c r="Q33" i="1" s="1"/>
  <c r="P29" i="1"/>
  <c r="Q29" i="1" s="1"/>
  <c r="P25" i="1"/>
  <c r="Q25" i="1" s="1"/>
  <c r="P39" i="1"/>
  <c r="Q39" i="1" s="1"/>
  <c r="P36" i="1"/>
  <c r="Q36" i="1" s="1"/>
  <c r="P32" i="1"/>
  <c r="Q32" i="1" s="1"/>
  <c r="P28" i="1"/>
  <c r="Q28" i="1" s="1"/>
  <c r="P24" i="1"/>
  <c r="Q24" i="1" s="1"/>
  <c r="P35" i="1"/>
  <c r="Q35" i="1" s="1"/>
  <c r="P31" i="1"/>
  <c r="Q31" i="1" s="1"/>
  <c r="P27" i="1"/>
  <c r="Q27" i="1" s="1"/>
  <c r="P23" i="1"/>
  <c r="Q23" i="1" s="1"/>
  <c r="P21" i="1"/>
  <c r="F15" i="3"/>
  <c r="Q21" i="1" l="1"/>
  <c r="H21" i="1" s="1"/>
  <c r="H44" i="1" s="1"/>
  <c r="R45" i="1"/>
  <c r="H45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<sst xmlns="http://schemas.openxmlformats.org/spreadsheetml/2006/main" count="255" uniqueCount="186">
  <si>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</si>
  <si>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</si>
  <si>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</si>
  <si>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</si>
  <si>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</si>
  <si>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</si>
  <si>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</si>
  <si>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</si>
  <si>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</si>
  <si>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</si>
  <si>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</si>
  <si>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</si>
  <si>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</si>
  <si>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</si>
  <si>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</si>
  <si>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</si>
  <si>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</si>
  <si>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</si>
  <si>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</si>
  <si>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</si>
  <si>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</si>
  <si>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</si>
  <si>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</si>
  <si>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</si>
  <si>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</si>
  <si>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</si>
  <si>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</si>
  <si>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</si>
  <si>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</si>
  <si>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</si>
  <si>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</si>
  <si>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</si>
  <si>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</si>
  <si>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</si>
  <si>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</si>
  <si>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</si>
  <si>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</si>
  <si>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</si>
  <si>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</si>
  <si>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</si>
  <si>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</si>
  <si>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</si>
  <si>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</si>
  <si>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</si>
  <si>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</si>
  <si>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</si>
  <si>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</si>
  <si>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</si>
  <si>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</si>
  <si>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</si>
  <si>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</si>
  <si>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</si>
  <si>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</si>
  <si>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</si>
  <si>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</si>
  <si>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</si>
  <si>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</si>
  <si>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</si>
  <si>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</si>
  <si>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</si>
  <si>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</si>
  <si>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</si>
  <si>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</si>
  <si>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</si>
  <si>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</si>
  <si>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</si>
  <si>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</si>
  <si>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</si>
  <si>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</si>
  <si>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</si>
  <si>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</si>
  <si>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</si>
  <si>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</si>
  <si>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</si>
  <si>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</si>
  <si>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</si>
  <si>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</si>
  <si>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</si>
  <si>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</si>
  <si>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</si>
  <si>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</si>
  <si>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</si>
  <si>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</si>
  <si>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</si>
  <si>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</si>
  <si>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</si>
  <si>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</si>
  <si>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</si>
  <si>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</si>
  <si>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</si>
  <si>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</si>
  <si>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</si>
  <si>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</si>
  <si>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</si>
  <si>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</si>
  <si>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</si>
  <si>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</si>
  <si>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</si>
  <si>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</si>
  <si>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</si>
  <si>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</si>
  <si>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</si>
  <si>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</si>
  <si>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</si>
  <si>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</si>
  <si>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</si>
  <si>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</si>
  <si>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</si>
  <si>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</si>
  <si>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</si>
  <si>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</si>
  <si>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</si>
  <si>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</si>
  <si>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</si>
  <si>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</si>
  <si>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</si>
  <si>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</si>
  <si>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</si>
  <si>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</si>
  <si>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</si>
  <si>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</si>
  <si>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</si>
  <si>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</si>
  <si>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</si>
  <si>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</si>
  <si>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</si>
  <si>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</si>
  <si>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</si>
  <si>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</si>
  <si>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</si>
  <si>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</si>
  <si>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</si>
  <si>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</si>
  <si>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</si>
  <si>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</si>
  <si>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</si>
  <si>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</si>
  <si>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</si>
  <si>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</si>
  <si>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</si>
  <si>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</si>
  <si>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</si>
  <si>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</si>
  <si>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</si>
  <si>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</si>
  <si>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</si>
  <si>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</si>
  <si>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</si>
  <si>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</si>
  <si>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</si>
  <si>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</si>
  <si>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</si>
  <si>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</si>
  <si>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</si>
  <si>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</si>
  <si>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</si>
  <si>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</si>
  <si>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PR6</t>
  </si>
  <si>
    <t>REAL NATURAL ELM NORDIC 1531</t>
  </si>
  <si>
    <t>REAL NATURAL ELM NORDIC 1532</t>
  </si>
  <si>
    <t>REAL NATURAL ELM NORDIC 1533</t>
  </si>
  <si>
    <t>REAL NATURAL ELM NORDIC 1534</t>
  </si>
  <si>
    <t>REAL NATURAL ELM NORDIC 1535</t>
  </si>
  <si>
    <t>REAL NATURAL ELM NORDIC 1536</t>
  </si>
  <si>
    <t>REAL NATURAL ELM NORDIC 1537</t>
  </si>
  <si>
    <t>REAL NATURAL ELM NORDIC 1538</t>
  </si>
  <si>
    <t>REAL NATURAL ELM NORDIC 1539</t>
  </si>
  <si>
    <t>REAL NATURAL ELM NORDIC 1540</t>
  </si>
  <si>
    <t>REAL NATURAL ELM NORDIC 1541</t>
  </si>
  <si>
    <t>REAL NATURAL ELM NORDIC 1542</t>
  </si>
  <si>
    <t>REAL NATURAL ELM NORDIC 1543</t>
  </si>
  <si>
    <t>REAL NATURAL ELM NORDIC 1544</t>
  </si>
  <si>
    <t>REAL NATURAL ELM NORDIC 1545</t>
  </si>
  <si>
    <t>REAL NATURAL ELM NORDIC 1546</t>
  </si>
  <si>
    <t>REAL NATURAL ELM NORDIC 1547</t>
  </si>
  <si>
    <t>REAL NATURAL ELM NORDIC 1548</t>
  </si>
  <si>
    <t>REAL NATURAL ELM NORDIC 1549</t>
  </si>
  <si>
    <t>ENCHAPE RECTO 1 CARA</t>
  </si>
  <si>
    <t>CENEFA R6 1 VUELTA</t>
  </si>
  <si>
    <t>1.53X2,44</t>
  </si>
  <si>
    <t>N° 11026</t>
  </si>
  <si>
    <t>10 DIAS HABILES</t>
  </si>
  <si>
    <t>SI</t>
  </si>
  <si>
    <t>MARCO MORENO</t>
  </si>
  <si>
    <t>+569 7782 4695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</si>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</sst>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6" fontId="3" fillId="0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6" borderId="0" xfId="0" applyNumberFormat="1" applyFill="1"/>
    <xf numFmtId="166" fontId="3" fillId="6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47</xdr:row>
      <xdr:rowOff>28575</xdr:rowOff>
    </xdr:from>
    <xdr:to>
      <xdr:col>8</xdr:col>
      <xdr:colOff>100890</xdr:colOff>
      <xdr:row>50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49</xdr:row>
      <xdr:rowOff>154305</xdr:rowOff>
    </xdr:from>
    <xdr:to>
      <xdr:col>7</xdr:col>
      <xdr:colOff>853440</xdr:colOff>
      <xdr:row>49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47</xdr:row>
      <xdr:rowOff>9525</xdr:rowOff>
    </xdr:from>
    <xdr:to>
      <xdr:col>5</xdr:col>
      <xdr:colOff>1714500</xdr:colOff>
      <xdr:row>50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41</xdr:row>
      <xdr:rowOff>169545</xdr:rowOff>
    </xdr:from>
    <xdr:to>
      <xdr:col>5</xdr:col>
      <xdr:colOff>1764030</xdr:colOff>
      <xdr:row>45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ENCHAPADAS</a:t>
          </a:r>
          <a:r>
            <a:rPr lang="es-CL" sz="1200" b="1" baseline="0"/>
            <a:t> CON TAPACANTO PVC 0,4MM LO MAS PARECIDO A LA LAMINA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00"/>
  <sheetViews>
    <sheetView tabSelected="1" zoomScale="98" zoomScaleNormal="98" workbookViewId="0">
      <selection activeCell="C18" sqref="C18"/>
    </sheetView>
  </sheetViews>
  <sheetFormatPr baseColWidth="10" defaultRowHeight="14.4" x14ac:dyDescent="0.3"/>
  <cols>
    <col min="1" max="1" width="6" customWidth="1"/>
    <col min="2" max="2" width="10.5546875" customWidth="1"/>
    <col min="3" max="3" width="27.777343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180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183</v>
      </c>
      <c r="D10" s="243"/>
      <c r="E10" s="243"/>
      <c r="F10" s="244" t="s">
        <v>0</v>
      </c>
      <c r="G10" s="277">
        <v>45849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181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182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184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185</v>
      </c>
      <c r="D17" s="299"/>
      <c r="E17" s="300"/>
      <c r="F17" s="326" t="s">
        <v>154</v>
      </c>
      <c r="G17" s="326"/>
      <c r="H17" s="327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8" t="s">
        <v>149</v>
      </c>
      <c r="C19" s="329"/>
      <c r="D19" s="329"/>
      <c r="E19" s="329"/>
      <c r="F19" s="329"/>
      <c r="G19" s="329"/>
      <c r="H19" s="330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4" t="s">
        <v>10</v>
      </c>
      <c r="E20" s="324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N57</f>
        <v>84222.09933625639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157</v>
      </c>
      <c r="D21" s="325">
        <v>0.7</v>
      </c>
      <c r="E21" s="325">
        <v>0.45</v>
      </c>
      <c r="F21" s="312" t="s">
        <v>158</v>
      </c>
      <c r="G21" s="313">
        <v>31425</v>
      </c>
      <c r="H21" s="314">
        <f t="shared" ref="H21" si="1">G21*B21</f>
        <v>31425</v>
      </c>
      <c r="I21" s="265"/>
      <c r="J21" s="47"/>
      <c r="K21" s="340">
        <f>B21</f>
        <v>1</v>
      </c>
      <c r="L21" s="341">
        <f t="shared" ref="L21:M21" si="2">D21+L$19</f>
        <v>0.75</v>
      </c>
      <c r="M21" s="341">
        <f t="shared" si="2"/>
        <v>0.45</v>
      </c>
      <c r="N21" s="261">
        <f>L21*M21</f>
        <v>0.33750000000000002</v>
      </c>
      <c r="O21" s="259">
        <f>N21*K21</f>
        <v>0.33750000000000002</v>
      </c>
      <c r="P21" s="252">
        <f>P$20*N21</f>
        <v>28424.958525986534</v>
      </c>
      <c r="Q21" s="258">
        <f>P21+Q$20</f>
        <v>31424.958525986534</v>
      </c>
      <c r="R21" s="308">
        <f>K21*L21</f>
        <v>0.75</v>
      </c>
      <c r="S21" s="14"/>
      <c r="T21" s="9"/>
      <c r="W21" s="4"/>
    </row>
    <row r="22" spans="2:24" ht="17.399999999999999" x14ac:dyDescent="0.3">
      <c r="B22" s="322">
        <v>1</v>
      </c>
      <c r="C22" s="312" t="s">
        <v>157</v>
      </c>
      <c r="D22" s="325">
        <v>0.4</v>
      </c>
      <c r="E22" s="325">
        <v>0.6</v>
      </c>
      <c r="F22" s="312" t="s">
        <v>159</v>
      </c>
      <c r="G22" s="313">
        <v>25740</v>
      </c>
      <c r="H22" s="314">
        <f>G22*B23</f>
        <v>77220</v>
      </c>
      <c r="I22" s="265"/>
      <c r="J22" s="47"/>
      <c r="K22" s="342">
        <f t="shared" ref="K22:K39" si="3">B22</f>
        <v>1</v>
      </c>
      <c r="L22" s="343">
        <f t="shared" ref="L22:L39" si="4">D22+L$19</f>
        <v>0.45</v>
      </c>
      <c r="M22" s="343">
        <f t="shared" ref="M22:M39" si="5">E22+M$19</f>
        <v>0.6</v>
      </c>
      <c r="N22" s="261">
        <f t="shared" ref="N22:N39" si="6">L22*M22</f>
        <v>0.27</v>
      </c>
      <c r="O22" s="259">
        <f t="shared" ref="O22:O39" si="7">N22*K22</f>
        <v>0.27</v>
      </c>
      <c r="P22" s="252">
        <f t="shared" ref="P22:P39" si="8">P$20*N22</f>
        <v>22739.966820789228</v>
      </c>
      <c r="Q22" s="258">
        <f t="shared" ref="Q22:Q39" si="9">P22+Q$20</f>
        <v>25739.966820789228</v>
      </c>
      <c r="R22" s="308">
        <f t="shared" ref="R22:R39" si="10">K22*L22</f>
        <v>0.45</v>
      </c>
      <c r="S22" s="14"/>
      <c r="T22" s="9"/>
      <c r="W22" s="4"/>
    </row>
    <row r="23" spans="2:24" ht="17.399999999999999" x14ac:dyDescent="0.3">
      <c r="B23" s="322">
        <v>3</v>
      </c>
      <c r="C23" s="312" t="s">
        <v>157</v>
      </c>
      <c r="D23" s="325">
        <v>0.7</v>
      </c>
      <c r="E23" s="325">
        <v>0.34699999999999998</v>
      </c>
      <c r="F23" s="312" t="s">
        <v>160</v>
      </c>
      <c r="G23" s="313">
        <v>24919</v>
      </c>
      <c r="H23" s="314">
        <f>G23*B24</f>
        <v>49838</v>
      </c>
      <c r="I23" s="265"/>
      <c r="J23" s="47"/>
      <c r="K23" s="340">
        <f t="shared" si="3"/>
        <v>3</v>
      </c>
      <c r="L23" s="341">
        <f t="shared" si="4"/>
        <v>0.75</v>
      </c>
      <c r="M23" s="341">
        <f t="shared" si="5"/>
        <v>0.34699999999999998</v>
      </c>
      <c r="N23" s="261">
        <f t="shared" si="6"/>
        <v>0.26024999999999998</v>
      </c>
      <c r="O23" s="259">
        <f t="shared" si="7"/>
        <v>0.78074999999999994</v>
      </c>
      <c r="P23" s="252">
        <f t="shared" si="8"/>
        <v>21918.801352260725</v>
      </c>
      <c r="Q23" s="258">
        <f t="shared" si="9"/>
        <v>24918.801352260725</v>
      </c>
      <c r="R23" s="308">
        <f t="shared" si="10"/>
        <v>2.25</v>
      </c>
      <c r="S23" s="14"/>
      <c r="T23" s="9"/>
      <c r="W23" s="4"/>
    </row>
    <row r="24" spans="2:24" ht="17.399999999999999" x14ac:dyDescent="0.3">
      <c r="B24" s="322">
        <v>2</v>
      </c>
      <c r="C24" s="312" t="s">
        <v>157</v>
      </c>
      <c r="D24" s="325">
        <v>0.45900000000000002</v>
      </c>
      <c r="E24" s="325">
        <v>0.86</v>
      </c>
      <c r="F24" s="312" t="s">
        <v>161</v>
      </c>
      <c r="G24" s="313">
        <v>39867</v>
      </c>
      <c r="H24" s="314">
        <f>G24*B25</f>
        <v>39867</v>
      </c>
      <c r="I24" s="265"/>
      <c r="J24" s="47"/>
      <c r="K24" s="342">
        <f t="shared" si="3"/>
        <v>2</v>
      </c>
      <c r="L24" s="343">
        <f t="shared" si="4"/>
        <v>0.50900000000000001</v>
      </c>
      <c r="M24" s="343">
        <f t="shared" si="5"/>
        <v>0.86</v>
      </c>
      <c r="N24" s="261">
        <f t="shared" si="6"/>
        <v>0.43774000000000002</v>
      </c>
      <c r="O24" s="259">
        <f t="shared" si="7"/>
        <v>0.87548000000000004</v>
      </c>
      <c r="P24" s="252">
        <f t="shared" si="8"/>
        <v>36867.381763452875</v>
      </c>
      <c r="Q24" s="258">
        <f t="shared" si="9"/>
        <v>39867.381763452875</v>
      </c>
      <c r="R24" s="308">
        <f t="shared" si="10"/>
        <v>1.018</v>
      </c>
      <c r="S24" s="14"/>
      <c r="T24" s="9"/>
      <c r="W24" s="4"/>
    </row>
    <row r="25" spans="2:24" ht="17.399999999999999" x14ac:dyDescent="0.3">
      <c r="B25" s="322">
        <v>1</v>
      </c>
      <c r="C25" s="312" t="s">
        <v>157</v>
      </c>
      <c r="D25" s="325">
        <v>0.92</v>
      </c>
      <c r="E25" s="325">
        <v>0.32800000000000001</v>
      </c>
      <c r="F25" s="312" t="s">
        <v>162</v>
      </c>
      <c r="G25" s="313">
        <v>29796</v>
      </c>
      <c r="H25" s="314">
        <f>G25*B26</f>
        <v>59592</v>
      </c>
      <c r="I25" s="265"/>
      <c r="J25" s="47"/>
      <c r="K25" s="340">
        <f t="shared" si="3"/>
        <v>1</v>
      </c>
      <c r="L25" s="341">
        <f t="shared" si="4"/>
        <v>0.97000000000000008</v>
      </c>
      <c r="M25" s="341">
        <f t="shared" si="5"/>
        <v>0.32800000000000001</v>
      </c>
      <c r="N25" s="261">
        <f t="shared" si="6"/>
        <v>0.31816000000000005</v>
      </c>
      <c r="O25" s="259">
        <f t="shared" si="7"/>
        <v>0.31816000000000005</v>
      </c>
      <c r="P25" s="252">
        <f t="shared" si="8"/>
        <v>26796.103124823338</v>
      </c>
      <c r="Q25" s="258">
        <f t="shared" si="9"/>
        <v>29796.103124823338</v>
      </c>
      <c r="R25" s="308">
        <f t="shared" si="10"/>
        <v>0.97000000000000008</v>
      </c>
      <c r="S25" s="14"/>
      <c r="T25" s="9"/>
      <c r="W25" s="4"/>
    </row>
    <row r="26" spans="2:24" ht="17.399999999999999" x14ac:dyDescent="0.3">
      <c r="B26" s="322">
        <v>2</v>
      </c>
      <c r="C26" s="312" t="s">
        <v>157</v>
      </c>
      <c r="D26" s="325">
        <v>0.75</v>
      </c>
      <c r="E26" s="325">
        <v>0.5</v>
      </c>
      <c r="F26" s="312" t="s">
        <v>163</v>
      </c>
      <c r="G26" s="313">
        <v>36689</v>
      </c>
      <c r="H26" s="314">
        <f>G26*B27</f>
        <v>73378</v>
      </c>
      <c r="I26" s="265"/>
      <c r="J26" s="47"/>
      <c r="K26" s="344">
        <f t="shared" si="3"/>
        <v>2</v>
      </c>
      <c r="L26" s="345">
        <f t="shared" si="4"/>
        <v>0.8</v>
      </c>
      <c r="M26" s="345">
        <f t="shared" si="5"/>
        <v>0.5</v>
      </c>
      <c r="N26" s="261">
        <f t="shared" si="6"/>
        <v>0.4</v>
      </c>
      <c r="O26" s="259">
        <f t="shared" si="7"/>
        <v>0.8</v>
      </c>
      <c r="P26" s="252">
        <f t="shared" si="8"/>
        <v>33688.839734502559</v>
      </c>
      <c r="Q26" s="258">
        <f t="shared" si="9"/>
        <v>36688.839734502559</v>
      </c>
      <c r="R26" s="308">
        <f t="shared" si="10"/>
        <v>1.6</v>
      </c>
      <c r="S26" s="14"/>
      <c r="T26" s="9"/>
      <c r="W26" s="4"/>
    </row>
    <row r="27" spans="2:24" ht="17.399999999999999" x14ac:dyDescent="0.3">
      <c r="B27" s="322">
        <v>2</v>
      </c>
      <c r="C27" s="312" t="s">
        <v>157</v>
      </c>
      <c r="D27" s="325">
        <v>0.92</v>
      </c>
      <c r="E27" s="325">
        <v>0.33300000000000002</v>
      </c>
      <c r="F27" s="312" t="s">
        <v>164</v>
      </c>
      <c r="G27" s="313">
        <v>30205</v>
      </c>
      <c r="H27" s="314">
        <f>G27*B28</f>
        <v>30205</v>
      </c>
      <c r="I27" s="265"/>
      <c r="J27" s="47"/>
      <c r="K27" s="342">
        <f t="shared" si="3"/>
        <v>2</v>
      </c>
      <c r="L27" s="343">
        <f t="shared" si="4"/>
        <v>0.97000000000000008</v>
      </c>
      <c r="M27" s="343">
        <f t="shared" si="5"/>
        <v>0.33300000000000002</v>
      </c>
      <c r="N27" s="261">
        <f t="shared" si="6"/>
        <v>0.32301000000000002</v>
      </c>
      <c r="O27" s="259">
        <f t="shared" si="7"/>
        <v>0.64602000000000004</v>
      </c>
      <c r="P27" s="252">
        <f t="shared" si="8"/>
        <v>27204.580306604177</v>
      </c>
      <c r="Q27" s="258">
        <f t="shared" si="9"/>
        <v>30204.580306604177</v>
      </c>
      <c r="R27" s="308">
        <f t="shared" si="10"/>
        <v>1.9400000000000002</v>
      </c>
      <c r="S27" s="14"/>
      <c r="T27" s="9"/>
      <c r="W27" s="4"/>
    </row>
    <row r="28" spans="2:24" ht="17.399999999999999" x14ac:dyDescent="0.3">
      <c r="B28" s="322">
        <v>1</v>
      </c>
      <c r="C28" s="312" t="s">
        <v>157</v>
      </c>
      <c r="D28" s="325">
        <v>0.75</v>
      </c>
      <c r="E28" s="325">
        <v>0.45</v>
      </c>
      <c r="F28" s="312" t="s">
        <v>165</v>
      </c>
      <c r="G28" s="313">
        <v>33320</v>
      </c>
      <c r="H28" s="314">
        <f>G28*B29</f>
        <v>66640</v>
      </c>
      <c r="I28" s="265"/>
      <c r="J28" s="47"/>
      <c r="K28" s="340">
        <f t="shared" si="3"/>
        <v>1</v>
      </c>
      <c r="L28" s="341">
        <f t="shared" si="4"/>
        <v>0.8</v>
      </c>
      <c r="M28" s="341">
        <f t="shared" si="5"/>
        <v>0.45</v>
      </c>
      <c r="N28" s="261">
        <f t="shared" si="6"/>
        <v>0.36000000000000004</v>
      </c>
      <c r="O28" s="259">
        <f t="shared" si="7"/>
        <v>0.36000000000000004</v>
      </c>
      <c r="P28" s="252">
        <f t="shared" si="8"/>
        <v>30319.955761052304</v>
      </c>
      <c r="Q28" s="258">
        <f t="shared" si="9"/>
        <v>33319.955761052304</v>
      </c>
      <c r="R28" s="308">
        <f t="shared" si="10"/>
        <v>0.8</v>
      </c>
      <c r="S28" s="14"/>
      <c r="T28" s="9"/>
      <c r="W28" s="4"/>
    </row>
    <row r="29" spans="2:24" ht="17.399999999999999" x14ac:dyDescent="0.3">
      <c r="B29" s="322">
        <v>2</v>
      </c>
      <c r="C29" s="312" t="s">
        <v>157</v>
      </c>
      <c r="D29" s="325">
        <v>0.7</v>
      </c>
      <c r="E29" s="325">
        <v>0.29899999999999999</v>
      </c>
      <c r="F29" s="312" t="s">
        <v>166</v>
      </c>
      <c r="G29" s="313">
        <v>21887</v>
      </c>
      <c r="H29" s="314">
        <f>G29*B30</f>
        <v>43774</v>
      </c>
      <c r="I29" s="265"/>
      <c r="J29" s="47"/>
      <c r="K29" s="338">
        <f t="shared" si="3"/>
        <v>2</v>
      </c>
      <c r="L29" s="339">
        <f t="shared" si="4"/>
        <v>0.75</v>
      </c>
      <c r="M29" s="339">
        <f t="shared" si="5"/>
        <v>0.29899999999999999</v>
      </c>
      <c r="N29" s="261">
        <f t="shared" si="6"/>
        <v>0.22425</v>
      </c>
      <c r="O29" s="259">
        <f t="shared" si="7"/>
        <v>0.44850000000000001</v>
      </c>
      <c r="P29" s="252">
        <f t="shared" si="8"/>
        <v>18886.805776155496</v>
      </c>
      <c r="Q29" s="258">
        <f t="shared" si="9"/>
        <v>21886.805776155496</v>
      </c>
      <c r="R29" s="308">
        <f t="shared" si="10"/>
        <v>1.5</v>
      </c>
      <c r="S29" s="14"/>
      <c r="T29" s="9"/>
      <c r="W29" s="4"/>
    </row>
    <row r="30" spans="2:24" ht="17.399999999999999" x14ac:dyDescent="0.3">
      <c r="B30" s="322">
        <v>2</v>
      </c>
      <c r="C30" s="312" t="s">
        <v>157</v>
      </c>
      <c r="D30" s="325">
        <v>0.4</v>
      </c>
      <c r="E30" s="325">
        <v>0.29899999999999999</v>
      </c>
      <c r="F30" s="312" t="s">
        <v>167</v>
      </c>
      <c r="G30" s="313">
        <v>14332</v>
      </c>
      <c r="H30" s="314">
        <f>G30*B31</f>
        <v>28664</v>
      </c>
      <c r="I30" s="265"/>
      <c r="J30" s="47"/>
      <c r="K30" s="340">
        <f t="shared" si="3"/>
        <v>2</v>
      </c>
      <c r="L30" s="341">
        <f t="shared" si="4"/>
        <v>0.45</v>
      </c>
      <c r="M30" s="339">
        <f t="shared" si="5"/>
        <v>0.29899999999999999</v>
      </c>
      <c r="N30" s="261">
        <f t="shared" si="6"/>
        <v>0.13455</v>
      </c>
      <c r="O30" s="259">
        <f t="shared" si="7"/>
        <v>0.26910000000000001</v>
      </c>
      <c r="P30" s="252">
        <f t="shared" si="8"/>
        <v>11332.083465693297</v>
      </c>
      <c r="Q30" s="258">
        <f t="shared" si="9"/>
        <v>14332.083465693297</v>
      </c>
      <c r="R30" s="308">
        <f t="shared" si="10"/>
        <v>0.9</v>
      </c>
      <c r="S30" s="14"/>
      <c r="T30" s="9"/>
      <c r="W30" s="4"/>
    </row>
    <row r="31" spans="2:24" ht="17.399999999999999" x14ac:dyDescent="0.3">
      <c r="B31" s="322">
        <v>2</v>
      </c>
      <c r="C31" s="312" t="s">
        <v>157</v>
      </c>
      <c r="D31" s="325">
        <v>0.373</v>
      </c>
      <c r="E31" s="325">
        <v>0.6</v>
      </c>
      <c r="F31" s="312" t="s">
        <v>168</v>
      </c>
      <c r="G31" s="313">
        <v>24376</v>
      </c>
      <c r="H31" s="314">
        <f>G31*B32</f>
        <v>97504</v>
      </c>
      <c r="I31" s="265"/>
      <c r="J31" s="47"/>
      <c r="K31" s="338">
        <f t="shared" si="3"/>
        <v>2</v>
      </c>
      <c r="L31" s="339">
        <f t="shared" si="4"/>
        <v>0.42299999999999999</v>
      </c>
      <c r="M31" s="339">
        <f t="shared" si="5"/>
        <v>0.6</v>
      </c>
      <c r="N31" s="261">
        <f t="shared" si="6"/>
        <v>0.25379999999999997</v>
      </c>
      <c r="O31" s="259">
        <f t="shared" si="7"/>
        <v>0.50759999999999994</v>
      </c>
      <c r="P31" s="252">
        <f t="shared" si="8"/>
        <v>21375.568811541871</v>
      </c>
      <c r="Q31" s="258">
        <f t="shared" si="9"/>
        <v>24375.568811541871</v>
      </c>
      <c r="R31" s="308">
        <f t="shared" si="10"/>
        <v>0.84599999999999997</v>
      </c>
      <c r="S31" s="14"/>
      <c r="T31" s="9"/>
      <c r="W31" s="4"/>
    </row>
    <row r="32" spans="2:24" ht="17.399999999999999" x14ac:dyDescent="0.3">
      <c r="B32" s="322">
        <v>4</v>
      </c>
      <c r="C32" s="312" t="s">
        <v>157</v>
      </c>
      <c r="D32" s="325">
        <v>0.185</v>
      </c>
      <c r="E32" s="325">
        <v>0.45</v>
      </c>
      <c r="F32" s="312" t="s">
        <v>169</v>
      </c>
      <c r="G32" s="313">
        <v>13906</v>
      </c>
      <c r="H32" s="314">
        <f>G32*B33</f>
        <v>13906</v>
      </c>
      <c r="I32" s="265"/>
      <c r="J32" s="47"/>
      <c r="K32" s="340">
        <f t="shared" si="3"/>
        <v>4</v>
      </c>
      <c r="L32" s="341">
        <f t="shared" si="4"/>
        <v>0.23499999999999999</v>
      </c>
      <c r="M32" s="341">
        <f t="shared" si="5"/>
        <v>0.45</v>
      </c>
      <c r="N32" s="261">
        <f t="shared" si="6"/>
        <v>0.10575</v>
      </c>
      <c r="O32" s="259">
        <f t="shared" si="7"/>
        <v>0.42299999999999999</v>
      </c>
      <c r="P32" s="252">
        <f t="shared" si="8"/>
        <v>8906.4870048091125</v>
      </c>
      <c r="Q32" s="258">
        <f t="shared" si="9"/>
        <v>11906.487004809112</v>
      </c>
      <c r="R32" s="308">
        <f t="shared" si="10"/>
        <v>0.94</v>
      </c>
      <c r="S32" s="14"/>
      <c r="T32" s="9"/>
      <c r="W32" s="4"/>
    </row>
    <row r="33" spans="2:23" ht="17.399999999999999" x14ac:dyDescent="0.3">
      <c r="B33" s="322">
        <v>1</v>
      </c>
      <c r="C33" s="312" t="s">
        <v>157</v>
      </c>
      <c r="D33" s="325">
        <v>0.1</v>
      </c>
      <c r="E33" s="325">
        <v>0.6</v>
      </c>
      <c r="F33" s="312" t="s">
        <v>170</v>
      </c>
      <c r="G33" s="313">
        <v>11906</v>
      </c>
      <c r="H33" s="314">
        <f>G33*B34</f>
        <v>11906</v>
      </c>
      <c r="I33" s="265"/>
      <c r="J33" s="47"/>
      <c r="K33" s="338">
        <f t="shared" si="3"/>
        <v>1</v>
      </c>
      <c r="L33" s="339">
        <f t="shared" si="4"/>
        <v>0.15000000000000002</v>
      </c>
      <c r="M33" s="339">
        <f t="shared" si="5"/>
        <v>0.6</v>
      </c>
      <c r="N33" s="261">
        <f t="shared" si="6"/>
        <v>9.0000000000000011E-2</v>
      </c>
      <c r="O33" s="259">
        <f t="shared" si="7"/>
        <v>9.0000000000000011E-2</v>
      </c>
      <c r="P33" s="252">
        <f t="shared" si="8"/>
        <v>7579.9889402630761</v>
      </c>
      <c r="Q33" s="258">
        <f t="shared" si="9"/>
        <v>10579.988940263076</v>
      </c>
      <c r="R33" s="308">
        <f t="shared" si="10"/>
        <v>0.15000000000000002</v>
      </c>
      <c r="S33" s="14"/>
      <c r="T33" s="9"/>
      <c r="W33" s="4"/>
    </row>
    <row r="34" spans="2:23" ht="17.399999999999999" x14ac:dyDescent="0.3">
      <c r="B34" s="322">
        <v>1</v>
      </c>
      <c r="C34" s="312" t="s">
        <v>87</v>
      </c>
      <c r="D34" s="325">
        <v>0.78</v>
      </c>
      <c r="E34" s="325">
        <v>0.06</v>
      </c>
      <c r="F34" s="312" t="s">
        <v>171</v>
      </c>
      <c r="G34" s="313">
        <v>2000</v>
      </c>
      <c r="H34" s="314">
        <f>G34*B35</f>
        <v>2000</v>
      </c>
      <c r="I34" s="265"/>
      <c r="J34" s="47"/>
      <c r="K34" s="338"/>
      <c r="L34" s="339">
        <f t="shared" si="4"/>
        <v>0.83000000000000007</v>
      </c>
      <c r="M34" s="339">
        <f t="shared" si="5"/>
        <v>0.06</v>
      </c>
      <c r="N34" s="261">
        <f t="shared" si="6"/>
        <v>4.9800000000000004E-2</v>
      </c>
      <c r="O34" s="259">
        <f t="shared" si="7"/>
        <v>0</v>
      </c>
      <c r="P34" s="252">
        <f t="shared" si="8"/>
        <v>4194.2605469455684</v>
      </c>
      <c r="Q34" s="258">
        <f t="shared" si="9"/>
        <v>7194.2605469455684</v>
      </c>
      <c r="R34" s="308">
        <f t="shared" si="10"/>
        <v>0</v>
      </c>
      <c r="S34" s="14"/>
      <c r="T34" s="9"/>
      <c r="W34" s="4"/>
    </row>
    <row r="35" spans="2:23" ht="17.399999999999999" x14ac:dyDescent="0.3">
      <c r="B35" s="322">
        <v>1</v>
      </c>
      <c r="C35" s="312" t="s">
        <v>87</v>
      </c>
      <c r="D35" s="325">
        <v>0.7</v>
      </c>
      <c r="E35" s="325">
        <v>0.3</v>
      </c>
      <c r="F35" s="312" t="s">
        <v>172</v>
      </c>
      <c r="G35" s="313">
        <v>3150</v>
      </c>
      <c r="H35" s="314">
        <f>G35*B36</f>
        <v>3150</v>
      </c>
      <c r="I35" s="265"/>
      <c r="J35" s="47"/>
      <c r="K35" s="338"/>
      <c r="L35" s="339">
        <f t="shared" si="4"/>
        <v>0.75</v>
      </c>
      <c r="M35" s="339">
        <f t="shared" si="5"/>
        <v>0.3</v>
      </c>
      <c r="N35" s="261">
        <f t="shared" si="6"/>
        <v>0.22499999999999998</v>
      </c>
      <c r="O35" s="259">
        <f t="shared" si="7"/>
        <v>0</v>
      </c>
      <c r="P35" s="252">
        <f t="shared" si="8"/>
        <v>18949.972350657685</v>
      </c>
      <c r="Q35" s="258">
        <f t="shared" si="9"/>
        <v>21949.972350657685</v>
      </c>
      <c r="R35" s="308">
        <f t="shared" si="10"/>
        <v>0</v>
      </c>
      <c r="S35" s="14"/>
      <c r="T35" s="9"/>
      <c r="W35" s="4"/>
    </row>
    <row r="36" spans="2:23" ht="17.399999999999999" x14ac:dyDescent="0.3">
      <c r="B36" s="322">
        <v>1</v>
      </c>
      <c r="C36" s="312" t="s">
        <v>87</v>
      </c>
      <c r="D36" s="325">
        <v>0.78</v>
      </c>
      <c r="E36" s="325">
        <v>0.56000000000000005</v>
      </c>
      <c r="F36" s="312" t="s">
        <v>173</v>
      </c>
      <c r="G36" s="313">
        <v>6552</v>
      </c>
      <c r="H36" s="314">
        <f>G36*B37</f>
        <v>6552</v>
      </c>
      <c r="I36" s="265"/>
      <c r="J36" s="47"/>
      <c r="K36" s="338"/>
      <c r="L36" s="341">
        <f t="shared" si="4"/>
        <v>0.83000000000000007</v>
      </c>
      <c r="M36" s="341">
        <f t="shared" si="5"/>
        <v>0.56000000000000005</v>
      </c>
      <c r="N36" s="261">
        <f t="shared" si="6"/>
        <v>0.4648000000000001</v>
      </c>
      <c r="O36" s="259">
        <f t="shared" si="7"/>
        <v>0</v>
      </c>
      <c r="P36" s="252">
        <f t="shared" si="8"/>
        <v>39146.431771491982</v>
      </c>
      <c r="Q36" s="258">
        <f t="shared" si="9"/>
        <v>42146.431771491982</v>
      </c>
      <c r="R36" s="308">
        <f t="shared" si="10"/>
        <v>0</v>
      </c>
      <c r="S36" s="14"/>
      <c r="T36" s="9"/>
      <c r="W36" s="4"/>
    </row>
    <row r="37" spans="2:23" ht="17.399999999999999" x14ac:dyDescent="0.3">
      <c r="B37" s="322">
        <v>1</v>
      </c>
      <c r="C37" s="312" t="s">
        <v>177</v>
      </c>
      <c r="D37" s="325">
        <v>0.75</v>
      </c>
      <c r="E37" s="325">
        <v>0.1</v>
      </c>
      <c r="F37" s="312" t="s">
        <v>174</v>
      </c>
      <c r="G37" s="313">
        <v>6738</v>
      </c>
      <c r="H37" s="314">
        <f>G37*B38</f>
        <v>6738</v>
      </c>
      <c r="I37" s="265"/>
      <c r="J37" s="47"/>
      <c r="K37" s="338">
        <f t="shared" si="3"/>
        <v>1</v>
      </c>
      <c r="L37" s="339">
        <f t="shared" si="4"/>
        <v>0.8</v>
      </c>
      <c r="M37" s="339">
        <f t="shared" si="5"/>
        <v>0.1</v>
      </c>
      <c r="N37" s="261">
        <f t="shared" si="6"/>
        <v>8.0000000000000016E-2</v>
      </c>
      <c r="O37" s="259">
        <f t="shared" si="7"/>
        <v>8.0000000000000016E-2</v>
      </c>
      <c r="P37" s="252">
        <f t="shared" si="8"/>
        <v>6737.7679469005125</v>
      </c>
      <c r="Q37" s="258">
        <f t="shared" si="9"/>
        <v>9737.7679469005125</v>
      </c>
      <c r="R37" s="308">
        <f t="shared" si="10"/>
        <v>0.8</v>
      </c>
      <c r="S37" s="14"/>
      <c r="T37" s="9"/>
      <c r="W37" s="4"/>
    </row>
    <row r="38" spans="2:23" ht="17.399999999999999" x14ac:dyDescent="0.3">
      <c r="B38" s="322">
        <v>1</v>
      </c>
      <c r="C38" s="312" t="s">
        <v>177</v>
      </c>
      <c r="D38" s="325">
        <v>0.75</v>
      </c>
      <c r="E38" s="325">
        <v>0.04</v>
      </c>
      <c r="F38" s="312" t="s">
        <v>175</v>
      </c>
      <c r="G38" s="313">
        <v>2695</v>
      </c>
      <c r="H38" s="314">
        <f>G38*B38</f>
        <v>2695</v>
      </c>
      <c r="I38" s="265"/>
      <c r="J38" s="47"/>
      <c r="K38" s="338">
        <f t="shared" si="3"/>
        <v>1</v>
      </c>
      <c r="L38" s="339">
        <f t="shared" si="4"/>
        <v>0.8</v>
      </c>
      <c r="M38" s="339">
        <f t="shared" si="5"/>
        <v>0.04</v>
      </c>
      <c r="N38" s="261">
        <f t="shared" si="6"/>
        <v>3.2000000000000001E-2</v>
      </c>
      <c r="O38" s="259">
        <f t="shared" si="7"/>
        <v>3.2000000000000001E-2</v>
      </c>
      <c r="P38" s="252">
        <f t="shared" si="8"/>
        <v>2695.1071787602045</v>
      </c>
      <c r="Q38" s="258">
        <f t="shared" si="9"/>
        <v>5695.107178760205</v>
      </c>
      <c r="R38" s="308">
        <f t="shared" si="10"/>
        <v>0.8</v>
      </c>
      <c r="S38" s="14"/>
      <c r="T38" s="9"/>
      <c r="W38" s="4"/>
    </row>
    <row r="39" spans="2:23" ht="17.399999999999999" x14ac:dyDescent="0.3">
      <c r="B39" s="322">
        <v>2</v>
      </c>
      <c r="C39" s="312" t="s">
        <v>178</v>
      </c>
      <c r="D39" s="325">
        <v>2</v>
      </c>
      <c r="E39" s="325">
        <v>7.0000000000000007E-2</v>
      </c>
      <c r="F39" s="312" t="s">
        <v>176</v>
      </c>
      <c r="G39" s="313">
        <v>12086</v>
      </c>
      <c r="H39" s="314">
        <f>G39*B39</f>
        <v>24172</v>
      </c>
      <c r="I39" s="265"/>
      <c r="J39" s="47"/>
      <c r="K39" s="342">
        <f t="shared" si="3"/>
        <v>2</v>
      </c>
      <c r="L39" s="343">
        <f t="shared" si="4"/>
        <v>2.0499999999999998</v>
      </c>
      <c r="M39" s="343">
        <f t="shared" si="5"/>
        <v>7.0000000000000007E-2</v>
      </c>
      <c r="N39" s="261">
        <f t="shared" si="6"/>
        <v>0.14349999999999999</v>
      </c>
      <c r="O39" s="259">
        <f t="shared" si="7"/>
        <v>0.28699999999999998</v>
      </c>
      <c r="P39" s="252">
        <f t="shared" si="8"/>
        <v>12085.87125475279</v>
      </c>
      <c r="Q39" s="258">
        <f t="shared" si="9"/>
        <v>15085.87125475279</v>
      </c>
      <c r="R39" s="308">
        <f t="shared" si="10"/>
        <v>4.0999999999999996</v>
      </c>
      <c r="S39" s="14"/>
      <c r="T39" s="9"/>
      <c r="W39" s="4"/>
    </row>
    <row r="40" spans="2:23" ht="17.399999999999999" x14ac:dyDescent="0.3">
      <c r="B40" s="286"/>
      <c r="C40" s="286"/>
      <c r="D40" s="287"/>
      <c r="E40" s="287"/>
      <c r="F40" s="286"/>
      <c r="G40" s="317"/>
      <c r="H40" s="317"/>
      <c r="I40" s="265"/>
      <c r="J40" s="47"/>
      <c r="K40" s="47"/>
      <c r="L40" s="39"/>
      <c r="M40" s="39"/>
      <c r="N40" s="261"/>
      <c r="O40" s="259"/>
      <c r="P40" s="252"/>
      <c r="Q40" s="258"/>
      <c r="R40" s="308"/>
      <c r="S40" s="14"/>
      <c r="T40" s="9"/>
      <c r="W40" s="4"/>
    </row>
    <row r="41" spans="2:23" ht="17.399999999999999" x14ac:dyDescent="0.3">
      <c r="B41" s="286"/>
      <c r="C41" s="286"/>
      <c r="D41" s="287"/>
      <c r="E41" s="287"/>
      <c r="F41" s="286"/>
      <c r="G41" s="317"/>
      <c r="H41" s="317"/>
      <c r="I41" s="265"/>
      <c r="J41" s="47"/>
      <c r="K41" s="47"/>
      <c r="L41" s="39"/>
      <c r="M41" s="39"/>
      <c r="N41" s="261"/>
      <c r="O41" s="259"/>
      <c r="P41" s="252"/>
      <c r="Q41" s="258"/>
      <c r="R41" s="308"/>
      <c r="S41" s="14"/>
      <c r="T41" s="9"/>
      <c r="W41" s="4"/>
    </row>
    <row r="42" spans="2:23" ht="18" thickBot="1" x14ac:dyDescent="0.35">
      <c r="B42" s="286"/>
      <c r="C42" s="286"/>
      <c r="D42" s="287"/>
      <c r="E42" s="287"/>
      <c r="F42" s="286"/>
      <c r="G42" s="265"/>
      <c r="H42" s="232"/>
      <c r="I42" s="232"/>
      <c r="J42" s="47"/>
      <c r="K42" s="47"/>
      <c r="L42" s="39"/>
      <c r="M42" s="39"/>
      <c r="N42" s="261"/>
      <c r="O42" s="259"/>
      <c r="P42" s="252"/>
      <c r="Q42" s="258"/>
      <c r="R42" s="308"/>
      <c r="S42" s="14"/>
      <c r="T42" s="9"/>
      <c r="W42" s="4"/>
    </row>
    <row r="43" spans="2:23" ht="17.399999999999999" x14ac:dyDescent="0.3">
      <c r="B43" s="286"/>
      <c r="C43" s="286"/>
      <c r="D43" s="287"/>
      <c r="E43" s="287"/>
      <c r="F43" s="286"/>
      <c r="G43" s="309" t="s">
        <v>30</v>
      </c>
      <c r="H43" s="310">
        <f>SUM(H21:H42)</f>
        <v>669226</v>
      </c>
      <c r="I43" s="265"/>
      <c r="J43" s="47"/>
      <c r="K43" s="47"/>
      <c r="L43" s="39">
        <f>SUM(L21:L42)</f>
        <v>14.067</v>
      </c>
      <c r="M43" s="39"/>
      <c r="N43" s="261"/>
      <c r="O43" s="259"/>
      <c r="P43" s="252"/>
      <c r="Q43" s="258"/>
      <c r="R43" s="308"/>
      <c r="S43" s="14"/>
      <c r="T43" s="9"/>
      <c r="W43" s="4"/>
    </row>
    <row r="44" spans="2:23" ht="17.399999999999999" x14ac:dyDescent="0.3">
      <c r="B44" s="280"/>
      <c r="C44" s="283"/>
      <c r="D44" s="284"/>
      <c r="E44" s="284"/>
      <c r="F44" s="285"/>
      <c r="G44" s="307" t="s">
        <v>53</v>
      </c>
      <c r="H44" s="304">
        <f>H43*19%</f>
        <v>127152.94</v>
      </c>
      <c r="I44" s="265"/>
      <c r="J44" s="47"/>
      <c r="K44" s="47"/>
      <c r="L44" s="39"/>
      <c r="M44" s="12"/>
      <c r="N44" s="12"/>
      <c r="O44" s="253">
        <f>SUM(O21:O39)</f>
        <v>6.5251100000000006</v>
      </c>
      <c r="P44" s="14"/>
      <c r="Q44" s="12"/>
      <c r="R44" s="238"/>
      <c r="S44" s="14"/>
      <c r="T44" s="9"/>
      <c r="W44" s="4"/>
    </row>
    <row r="45" spans="2:23" ht="18" thickBot="1" x14ac:dyDescent="0.35">
      <c r="B45" s="276"/>
      <c r="C45" s="282"/>
      <c r="D45" s="272"/>
      <c r="E45" s="272"/>
      <c r="F45" s="273"/>
      <c r="G45" s="281" t="s">
        <v>6</v>
      </c>
      <c r="H45" s="305">
        <f>H43+H44</f>
        <v>796378.94</v>
      </c>
      <c r="I45" s="265"/>
      <c r="J45" s="47"/>
      <c r="K45" s="47"/>
      <c r="L45" s="39"/>
      <c r="M45" s="12"/>
      <c r="N45" s="12"/>
      <c r="O45" s="253">
        <f>O44</f>
        <v>6.5251100000000006</v>
      </c>
      <c r="P45" s="14"/>
      <c r="Q45" s="12"/>
      <c r="R45" s="238">
        <f>SUM(R21:R44)</f>
        <v>19.814</v>
      </c>
      <c r="S45" s="14"/>
      <c r="T45" s="9"/>
      <c r="W45" s="4"/>
    </row>
    <row r="46" spans="2:23" ht="17.399999999999999" x14ac:dyDescent="0.3">
      <c r="B46" s="276"/>
      <c r="C46" s="271"/>
      <c r="D46" s="272"/>
      <c r="E46" s="272"/>
      <c r="F46" s="273"/>
      <c r="I46" s="265"/>
      <c r="J46" s="47"/>
      <c r="K46" s="47"/>
      <c r="L46" s="14"/>
      <c r="M46" s="12"/>
      <c r="N46" s="12"/>
      <c r="O46" s="39">
        <f>O45*20%</f>
        <v>1.3050220000000001</v>
      </c>
      <c r="P46" s="39" t="s">
        <v>132</v>
      </c>
      <c r="Q46" s="42"/>
      <c r="R46" s="239"/>
      <c r="S46" s="14"/>
      <c r="T46" s="9"/>
      <c r="W46" s="4"/>
    </row>
    <row r="47" spans="2:23" ht="17.399999999999999" x14ac:dyDescent="0.3">
      <c r="B47" s="271"/>
      <c r="C47" s="271"/>
      <c r="D47" s="272"/>
      <c r="E47" s="272"/>
      <c r="F47" s="273"/>
      <c r="G47" s="274"/>
      <c r="H47" s="275"/>
      <c r="I47" s="265"/>
      <c r="J47" s="319"/>
      <c r="K47" s="47"/>
      <c r="L47" s="14"/>
      <c r="M47" s="12"/>
      <c r="N47" s="12"/>
      <c r="O47" s="46">
        <f>O45+O46</f>
        <v>7.8301320000000008</v>
      </c>
      <c r="P47" s="14"/>
      <c r="Q47" s="14"/>
      <c r="R47" s="237">
        <v>40</v>
      </c>
      <c r="S47" s="14"/>
      <c r="T47" s="9"/>
      <c r="W47" s="4"/>
    </row>
    <row r="48" spans="2:23" ht="17.399999999999999" x14ac:dyDescent="0.35">
      <c r="B48" s="269"/>
      <c r="C48" s="230"/>
      <c r="D48" s="230"/>
      <c r="E48" s="232"/>
      <c r="F48" s="233"/>
      <c r="G48" s="230"/>
      <c r="H48" s="275"/>
      <c r="I48" s="265"/>
      <c r="J48" s="319"/>
      <c r="K48" s="47"/>
      <c r="L48" s="14"/>
      <c r="M48" s="14"/>
      <c r="N48" s="14"/>
      <c r="O48" s="14"/>
      <c r="P48" s="14"/>
      <c r="Q48" s="14"/>
      <c r="R48" s="237"/>
      <c r="S48" s="14"/>
      <c r="T48" s="9"/>
      <c r="W48" s="4"/>
    </row>
    <row r="49" spans="2:23" ht="17.399999999999999" x14ac:dyDescent="0.35">
      <c r="B49" s="234"/>
      <c r="C49" s="235"/>
      <c r="D49" s="236"/>
      <c r="E49" s="234"/>
      <c r="F49" s="230"/>
      <c r="G49" s="230"/>
      <c r="I49" s="265"/>
      <c r="J49" s="47"/>
      <c r="K49" s="47"/>
      <c r="L49" s="39">
        <f>O47</f>
        <v>7.8301320000000008</v>
      </c>
      <c r="M49" s="12">
        <v>3500</v>
      </c>
      <c r="N49" s="12">
        <f t="shared" ref="N49:N54" si="11">L49*M49</f>
        <v>27405.462000000003</v>
      </c>
      <c r="O49" s="14" t="s">
        <v>22</v>
      </c>
      <c r="P49" s="14" t="s">
        <v>23</v>
      </c>
      <c r="Q49" s="14"/>
      <c r="R49" s="240"/>
      <c r="S49" s="14"/>
      <c r="T49" s="9"/>
      <c r="W49" s="4"/>
    </row>
    <row r="50" spans="2:23" ht="17.399999999999999" x14ac:dyDescent="0.35">
      <c r="B50" s="230"/>
      <c r="C50" s="230"/>
      <c r="D50" s="230"/>
      <c r="E50" s="230"/>
      <c r="F50" s="230"/>
      <c r="G50" s="230"/>
      <c r="I50" s="265"/>
      <c r="J50" s="47"/>
      <c r="K50" s="47"/>
      <c r="L50" s="249">
        <v>2</v>
      </c>
      <c r="M50" s="12">
        <v>45000</v>
      </c>
      <c r="N50" s="12">
        <f t="shared" si="11"/>
        <v>90000</v>
      </c>
      <c r="O50" s="39" t="s">
        <v>155</v>
      </c>
      <c r="P50" s="42"/>
      <c r="Q50" s="14"/>
      <c r="R50" s="239"/>
      <c r="S50" s="14"/>
      <c r="T50" s="9"/>
      <c r="W50" s="4"/>
    </row>
    <row r="51" spans="2:23" s="230" customFormat="1" ht="17.399999999999999" x14ac:dyDescent="0.35">
      <c r="I51" s="262"/>
      <c r="J51" s="47"/>
      <c r="K51" s="250"/>
      <c r="L51" s="14"/>
      <c r="M51" s="250">
        <v>43000</v>
      </c>
      <c r="N51" s="12">
        <f t="shared" si="11"/>
        <v>0</v>
      </c>
      <c r="O51" s="39" t="s">
        <v>32</v>
      </c>
      <c r="P51" s="42"/>
      <c r="R51" s="239"/>
      <c r="S51" s="256"/>
      <c r="V51" s="231"/>
    </row>
    <row r="52" spans="2:23" s="230" customFormat="1" ht="17.399999999999999" x14ac:dyDescent="0.35">
      <c r="B52" s="24" t="s">
        <v>153</v>
      </c>
      <c r="I52" s="262"/>
      <c r="J52" s="318"/>
      <c r="K52" s="250"/>
      <c r="L52" s="14">
        <v>3</v>
      </c>
      <c r="M52" s="250">
        <v>40511</v>
      </c>
      <c r="N52" s="12">
        <f t="shared" si="11"/>
        <v>121533</v>
      </c>
      <c r="O52" s="14" t="s">
        <v>143</v>
      </c>
      <c r="P52" s="17"/>
      <c r="R52" s="237"/>
      <c r="S52" s="256"/>
      <c r="V52" s="231"/>
    </row>
    <row r="53" spans="2:23" s="230" customFormat="1" ht="17.399999999999999" x14ac:dyDescent="0.35">
      <c r="B53" s="24" t="s">
        <v>146</v>
      </c>
      <c r="C53"/>
      <c r="D53"/>
      <c r="E53"/>
      <c r="F53"/>
      <c r="I53" s="262"/>
      <c r="J53" s="318"/>
      <c r="K53" s="250"/>
      <c r="L53" s="249"/>
      <c r="M53" s="250">
        <v>800</v>
      </c>
      <c r="N53" s="12">
        <f t="shared" si="11"/>
        <v>0</v>
      </c>
      <c r="O53" s="14" t="s">
        <v>34</v>
      </c>
      <c r="P53" s="14"/>
      <c r="Q53" s="230">
        <v>1.52</v>
      </c>
      <c r="R53" s="237"/>
      <c r="S53" s="237"/>
    </row>
    <row r="54" spans="2:23" s="230" customFormat="1" ht="17.399999999999999" x14ac:dyDescent="0.35">
      <c r="B54" s="29" t="s">
        <v>127</v>
      </c>
      <c r="C54"/>
      <c r="D54"/>
      <c r="E54"/>
      <c r="F54" s="229" t="s">
        <v>16</v>
      </c>
      <c r="I54" s="303"/>
      <c r="J54" s="47"/>
      <c r="K54" s="250"/>
      <c r="L54" s="266"/>
      <c r="M54" s="12">
        <v>1500</v>
      </c>
      <c r="N54" s="12">
        <f t="shared" si="11"/>
        <v>0</v>
      </c>
      <c r="O54" s="14" t="s">
        <v>24</v>
      </c>
      <c r="P54" s="14"/>
      <c r="Q54">
        <v>2.44</v>
      </c>
      <c r="R54"/>
      <c r="S54" s="237">
        <v>1500</v>
      </c>
      <c r="W54" s="231"/>
    </row>
    <row r="55" spans="2:23" s="230" customFormat="1" ht="17.399999999999999" x14ac:dyDescent="0.35">
      <c r="I55" s="230" t="s">
        <v>179</v>
      </c>
      <c r="J55" s="47"/>
      <c r="K55" s="250"/>
      <c r="L55" s="14"/>
      <c r="M55" s="12"/>
      <c r="N55" s="12">
        <f>SUM(N49:N54)</f>
        <v>238938.462</v>
      </c>
      <c r="O55" s="39" t="s">
        <v>25</v>
      </c>
      <c r="P55" s="14"/>
      <c r="Q55">
        <f>Q53*Q54</f>
        <v>3.7088000000000001</v>
      </c>
      <c r="R55"/>
      <c r="S55" s="237">
        <f>R47*S54</f>
        <v>60000</v>
      </c>
      <c r="W55" s="231"/>
    </row>
    <row r="56" spans="2:23" s="230" customFormat="1" ht="17.399999999999999" x14ac:dyDescent="0.35">
      <c r="J56" s="47">
        <v>48208</v>
      </c>
      <c r="K56" s="250"/>
      <c r="L56" s="254" t="s">
        <v>35</v>
      </c>
      <c r="M56" s="12"/>
      <c r="N56" s="255">
        <f>N55*2.3</f>
        <v>549558.46259999997</v>
      </c>
      <c r="O56" s="14" t="s">
        <v>142</v>
      </c>
      <c r="P56" s="14"/>
      <c r="Q56" s="46">
        <f>O45/Q55</f>
        <v>1.7593588222605696</v>
      </c>
      <c r="R56"/>
      <c r="S56" s="257" t="e">
        <f>S55/#REF!</f>
        <v>#REF!</v>
      </c>
    </row>
    <row r="57" spans="2:23" s="230" customFormat="1" ht="17.399999999999999" x14ac:dyDescent="0.35">
      <c r="G57"/>
      <c r="H57" s="260"/>
      <c r="I57" s="260"/>
      <c r="J57" s="47">
        <f>J56/1.19</f>
        <v>40510.924369747903</v>
      </c>
      <c r="K57" s="250"/>
      <c r="L57" s="14"/>
      <c r="M57" s="12"/>
      <c r="N57" s="12">
        <f>N56/O45</f>
        <v>84222.09933625639</v>
      </c>
      <c r="O57" s="45" t="s">
        <v>26</v>
      </c>
      <c r="P57" s="14"/>
      <c r="Q57" s="14"/>
      <c r="R57"/>
      <c r="S57" s="237"/>
    </row>
    <row r="58" spans="2:23" s="230" customFormat="1" ht="17.399999999999999" x14ac:dyDescent="0.35">
      <c r="G58"/>
      <c r="J58" s="47"/>
      <c r="K58" s="250"/>
      <c r="L58" s="13"/>
      <c r="M58" s="14"/>
      <c r="N58" s="17">
        <f>N56/N55</f>
        <v>2.2999999999999998</v>
      </c>
      <c r="O58" s="15"/>
      <c r="P58"/>
      <c r="Q58"/>
      <c r="R58"/>
      <c r="S58" s="237"/>
    </row>
    <row r="59" spans="2:23" s="230" customFormat="1" ht="17.399999999999999" x14ac:dyDescent="0.35">
      <c r="G59" s="23"/>
      <c r="J59" s="47"/>
      <c r="K59" s="12"/>
      <c r="S59" s="237"/>
    </row>
    <row r="60" spans="2:23" s="230" customFormat="1" ht="17.399999999999999" x14ac:dyDescent="0.35">
      <c r="B60"/>
      <c r="C60" s="228"/>
      <c r="D60" s="22"/>
      <c r="E60" s="22"/>
      <c r="F60" s="21"/>
      <c r="G60" s="23"/>
      <c r="J60" s="47"/>
      <c r="K60" s="12"/>
      <c r="S60" s="237">
        <v>1.83</v>
      </c>
    </row>
    <row r="61" spans="2:23" ht="14.4" customHeight="1" x14ac:dyDescent="0.3">
      <c r="J61" s="47"/>
      <c r="K61" s="12"/>
      <c r="S61">
        <v>2.5</v>
      </c>
    </row>
    <row r="62" spans="2:23" x14ac:dyDescent="0.3">
      <c r="J62" s="47"/>
      <c r="K62" s="250"/>
      <c r="S62">
        <f>S60*S61</f>
        <v>4.5750000000000002</v>
      </c>
    </row>
    <row r="63" spans="2:23" x14ac:dyDescent="0.3">
      <c r="K63" s="250"/>
      <c r="S63" s="270">
        <f>O47/S62</f>
        <v>1.711504262295082</v>
      </c>
    </row>
    <row r="64" spans="2:23" x14ac:dyDescent="0.3">
      <c r="K64" s="250"/>
    </row>
    <row r="65" spans="14:19" ht="15" customHeight="1" x14ac:dyDescent="0.3"/>
    <row r="67" spans="14:19" x14ac:dyDescent="0.3">
      <c r="N67">
        <v>40935</v>
      </c>
      <c r="O67" t="s">
        <v>17</v>
      </c>
      <c r="P67" t="s">
        <v>28</v>
      </c>
    </row>
    <row r="69" spans="14:19" x14ac:dyDescent="0.3">
      <c r="N69" s="54"/>
      <c r="O69" s="54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4" spans="14:19" x14ac:dyDescent="0.3">
      <c r="R74" s="18"/>
      <c r="S74" s="18"/>
    </row>
    <row r="75" spans="14:19" x14ac:dyDescent="0.3">
      <c r="R75" s="18"/>
      <c r="S75" s="18"/>
    </row>
    <row r="76" spans="14:19" x14ac:dyDescent="0.3">
      <c r="R76" s="18"/>
      <c r="S76" s="18"/>
    </row>
    <row r="77" spans="14:19" x14ac:dyDescent="0.3">
      <c r="R77" s="18"/>
      <c r="S77" s="18"/>
    </row>
    <row r="78" spans="14:19" x14ac:dyDescent="0.3">
      <c r="R78" s="18"/>
      <c r="S78" s="18"/>
    </row>
    <row r="81" spans="3:14" x14ac:dyDescent="0.3">
      <c r="N81" s="43"/>
    </row>
    <row r="82" spans="3:14" x14ac:dyDescent="0.3">
      <c r="N82" s="43"/>
    </row>
    <row r="83" spans="3:14" x14ac:dyDescent="0.3">
      <c r="N83" s="6"/>
    </row>
    <row r="84" spans="3:14" x14ac:dyDescent="0.3">
      <c r="N84" s="6"/>
    </row>
    <row r="92" spans="3:14" x14ac:dyDescent="0.3">
      <c r="C92" t="s">
        <v>150</v>
      </c>
    </row>
    <row r="93" spans="3:14" x14ac:dyDescent="0.3">
      <c r="C93" t="s">
        <v>149</v>
      </c>
    </row>
    <row r="96" spans="3:14" x14ac:dyDescent="0.3">
      <c r="C96" t="s">
        <v>149</v>
      </c>
    </row>
    <row r="173" spans="3:3" x14ac:dyDescent="0.3">
      <c r="C173" t="s">
        <v>149</v>
      </c>
    </row>
    <row r="174" spans="3:3" x14ac:dyDescent="0.3">
      <c r="C174" t="s">
        <v>151</v>
      </c>
    </row>
    <row r="175" spans="3:3" x14ac:dyDescent="0.3">
      <c r="C175" t="s">
        <v>152</v>
      </c>
    </row>
    <row r="600" spans="3:3" x14ac:dyDescent="0.3">
      <c r="C600" t="s">
        <v>149</v>
      </c>
    </row>
  </sheetData>
  <mergeCells count="2">
    <mergeCell ref="F17:H17"/>
    <mergeCell ref="B19:H19"/>
  </mergeCells>
  <phoneticPr fontId="34" type="noConversion"/>
  <hyperlinks>
    <hyperlink ref="F5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45849</v>
      </c>
    </row>
    <row r="6" spans="2:31" ht="16.2" thickBot="1" x14ac:dyDescent="0.35">
      <c r="B6" s="140" t="s">
        <v>2</v>
      </c>
      <c r="C6" s="139" t="str">
        <f>'2229'!C10</f>
        <v>MARCO MORENO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2" t="s">
        <v>100</v>
      </c>
      <c r="I7" s="333"/>
      <c r="J7" s="333"/>
      <c r="K7" s="334"/>
      <c r="N7" s="75"/>
      <c r="O7" s="331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11026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1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-71046.789650120772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'2229'!H43</f>
        <v>669226</v>
      </c>
      <c r="E11" s="132">
        <f>D11*0.19</f>
        <v>127152.94</v>
      </c>
      <c r="F11" s="131">
        <f>E11+D11</f>
        <v>796378.94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34943.210349879228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147239.55278743961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16943.210349879228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521986.44721256039</v>
      </c>
      <c r="E13" s="221">
        <f>(D11/D12)-1</f>
        <v>3.5451509959835255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7943.2103498792276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-31056.789650120772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242945.26209927534</v>
      </c>
      <c r="F15" s="216">
        <f>E15-D12</f>
        <v>95705.70931183573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-31056.789650120772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8943.2103498792276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'2229'!N50</f>
        <v>90000</v>
      </c>
      <c r="E19" s="123">
        <f>D19*0.19</f>
        <v>17100</v>
      </c>
      <c r="F19" s="120">
        <f>SUM(D19:E19)</f>
        <v>107100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'2229'!N49</f>
        <v>27405.462000000003</v>
      </c>
      <c r="E20" s="121">
        <f>D20*0.19</f>
        <v>5207.0377800000006</v>
      </c>
      <c r="F20" s="120">
        <f>SUM(D20:E20)</f>
        <v>32612.499780000006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117405.462</v>
      </c>
      <c r="E21" s="116">
        <f>SUM(E18:E20)</f>
        <v>22307.037779999999</v>
      </c>
      <c r="F21" s="115">
        <f>SUM(F18:F20)</f>
        <v>139712.49978000001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104845.90222</v>
      </c>
    </row>
    <row r="41" spans="2:16" ht="15" thickBot="1" x14ac:dyDescent="0.35">
      <c r="H41" s="335" t="s">
        <v>62</v>
      </c>
      <c r="I41" s="336"/>
      <c r="J41" s="336"/>
      <c r="K41" s="336"/>
      <c r="L41" s="336"/>
      <c r="M41" s="337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669226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117405.462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521986.44721256039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521986.44721256039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2024-07-11T14:48:54Z</dcterms:modified>
</cp:coreProperties>
</file>