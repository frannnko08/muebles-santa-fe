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F9D5A2EA-C58C-4C1F-946B-D150D94D0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R26" i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<sst xmlns="http://schemas.openxmlformats.org/spreadsheetml/2006/main" count="218" uniqueCount="163">
  <si>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</si>
  <si>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</si>
  <si>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</si>
  <si>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</si>
  <si>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</si>
  <si>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</si>
  <si>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</si>
  <si>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</si>
  <si>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</si>
  <si>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</si>
  <si>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</si>
  <si>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</si>
  <si>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</si>
  <si>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</si>
  <si>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</si>
  <si>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</si>
  <si>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</si>
  <si>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</si>
  <si>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</si>
  <si>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</si>
  <si>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</si>
  <si>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</si>
  <si>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</si>
  <si>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</si>
  <si>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</si>
  <si>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</si>
  <si>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</si>
  <si>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</si>
  <si>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</si>
  <si>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</si>
  <si>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</si>
  <si>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</si>
  <si>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</si>
  <si>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</si>
  <si>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</si>
  <si>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</si>
  <si>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</si>
  <si>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</si>
  <si>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</si>
  <si>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</si>
  <si>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</si>
  <si>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</si>
  <si>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</si>
  <si>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</si>
  <si>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</si>
  <si>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</si>
  <si>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</si>
  <si>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</si>
  <si>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</si>
  <si>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</si>
  <si>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</si>
  <si>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</si>
  <si>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</si>
  <si>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</si>
  <si>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</si>
  <si>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</si>
  <si>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</si>
  <si>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</si>
  <si>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</si>
  <si>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</si>
  <si>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</si>
  <si>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</si>
  <si>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</si>
  <si>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</si>
  <si>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</si>
  <si>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</si>
  <si>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</si>
  <si>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</si>
  <si>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</si>
  <si>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</si>
  <si>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</si>
  <si>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</si>
  <si>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</si>
  <si>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</si>
  <si>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</si>
  <si>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</si>
  <si>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</si>
  <si>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</si>
  <si>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</si>
  <si>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</si>
  <si>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</si>
  <si>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</si>
  <si>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</si>
  <si>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</si>
  <si>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</si>
  <si>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</si>
  <si>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</si>
  <si>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</si>
  <si>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</si>
  <si>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</si>
  <si>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</si>
  <si>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</si>
  <si>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</si>
  <si>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</si>
  <si>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</si>
  <si>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</si>
  <si>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</si>
  <si>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</si>
  <si>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</si>
  <si>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</si>
  <si>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</si>
  <si>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</si>
  <si>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</si>
  <si>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</si>
  <si>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</si>
  <si>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</si>
  <si>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</si>
  <si>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</si>
  <si>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</si>
  <si>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</si>
  <si>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</si>
  <si>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</si>
  <si>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</si>
  <si>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</si>
  <si>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</si>
  <si>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</si>
  <si>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</si>
  <si>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</si>
  <si>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</si>
  <si>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</si>
  <si>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</si>
  <si>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</si>
  <si>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</si>
  <si>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</si>
  <si>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</si>
  <si>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</si>
  <si>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</si>
  <si>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</si>
  <si>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</si>
  <si>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</si>
  <si>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</si>
  <si>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</si>
  <si>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</si>
  <si>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</si>
  <si>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</si>
  <si>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</si>
  <si>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</si>
  <si>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</si>
  <si>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</si>
  <si>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</si>
  <si>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</si>
  <si>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</si>
  <si>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</si>
  <si>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</si>
  <si>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</si>
  <si>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</si>
  <si>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</si>
  <si>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</si>
  <si>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</si>
  <si>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</si>
  <si>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</si>
  <si>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</si>
  <si>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</si>
  <si>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</si>
  <si>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</si>
  <si>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</si>
  <si>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</si>
  <si>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</si>
  <si>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</si>
  <si>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ANTONIO ALVAREZ</t>
  </si>
  <si>
    <t>+569 9339 9955</t>
  </si>
  <si>
    <t>GRANITO CINZA PP-383 TX</t>
  </si>
  <si>
    <t>N° 11021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</si>
</sst>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45483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6" t="s">
        <v>10</v>
      </c>
      <c r="E20" s="326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83511.347918136904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37</v>
      </c>
      <c r="D21" s="327">
        <v>2.13</v>
      </c>
      <c r="E21" s="327">
        <v>0.52</v>
      </c>
      <c r="F21" s="312" t="s">
        <v>161</v>
      </c>
      <c r="G21" s="313">
        <v>97668</v>
      </c>
      <c r="H21" s="314">
        <f t="shared" ref="H21" si="1">G21*B21</f>
        <v>97668</v>
      </c>
      <c r="I21" s="265"/>
      <c r="J21" s="47"/>
      <c r="K21" s="324">
        <f>B21</f>
        <v>1</v>
      </c>
      <c r="L21" s="325">
        <f t="shared" ref="L21:M21" si="2">D21+L$19</f>
        <v>2.1799999999999997</v>
      </c>
      <c r="M21" s="325">
        <f t="shared" si="2"/>
        <v>0.52</v>
      </c>
      <c r="N21" s="261">
        <f>L21*M21</f>
        <v>1.1335999999999999</v>
      </c>
      <c r="O21" s="259">
        <f>N21*K21</f>
        <v>1.1335999999999999</v>
      </c>
      <c r="P21" s="252">
        <f>P$20*N21</f>
        <v>94668.463999999993</v>
      </c>
      <c r="Q21" s="258">
        <f>P21+Q$20</f>
        <v>97668.463999999993</v>
      </c>
      <c r="R21" s="308">
        <f>K21*L21</f>
        <v>2.1799999999999997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7"/>
      <c r="H22" s="317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97668</v>
      </c>
      <c r="I24" s="265"/>
      <c r="J24" s="47"/>
      <c r="K24" s="47"/>
      <c r="L24" s="39">
        <f>SUM(L21:L23)</f>
        <v>2.1799999999999997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/>
      <c r="I25" s="265"/>
      <c r="J25" s="47"/>
      <c r="K25" s="47"/>
      <c r="L25" s="39"/>
      <c r="M25" s="12"/>
      <c r="N25" s="12"/>
      <c r="O25" s="253">
        <f>SUM(O21:O21)</f>
        <v>1.1335999999999999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97668</v>
      </c>
      <c r="I26" s="265"/>
      <c r="J26" s="47"/>
      <c r="K26" s="47"/>
      <c r="L26" s="39"/>
      <c r="M26" s="12"/>
      <c r="N26" s="12"/>
      <c r="O26" s="253">
        <f>O25</f>
        <v>1.1335999999999999</v>
      </c>
      <c r="P26" s="14"/>
      <c r="Q26" s="12"/>
      <c r="R26" s="238">
        <f>SUM(R21:R25)</f>
        <v>2.1799999999999997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0.22672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9"/>
      <c r="K28" s="47"/>
      <c r="L28" s="14"/>
      <c r="M28" s="12"/>
      <c r="N28" s="12"/>
      <c r="O28" s="46">
        <f>O26+O27</f>
        <v>1.36032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9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1.36032</v>
      </c>
      <c r="M30" s="12">
        <v>3500</v>
      </c>
      <c r="N30" s="12">
        <f t="shared" ref="N30:N35" si="3">L30*M30</f>
        <v>4761.12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0.4</v>
      </c>
      <c r="M31" s="12">
        <v>25000</v>
      </c>
      <c r="N31" s="12">
        <f t="shared" si="3"/>
        <v>10000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43000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8"/>
      <c r="K33" s="250"/>
      <c r="L33" s="14">
        <v>1</v>
      </c>
      <c r="M33" s="250">
        <v>25000</v>
      </c>
      <c r="N33" s="12">
        <f t="shared" si="3"/>
        <v>25000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8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2.1800000000000002</v>
      </c>
      <c r="M35" s="12">
        <v>1500</v>
      </c>
      <c r="N35" s="12">
        <f t="shared" si="3"/>
        <v>3270.0000000000005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43031.119999999995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43000</v>
      </c>
      <c r="K37" s="250"/>
      <c r="L37" s="254" t="s">
        <v>35</v>
      </c>
      <c r="M37" s="12"/>
      <c r="N37" s="255">
        <f>N36*2.2</f>
        <v>94668.463999999993</v>
      </c>
      <c r="O37" s="14" t="s">
        <v>142</v>
      </c>
      <c r="P37" s="14"/>
      <c r="Q37" s="46">
        <f>O26/Q36</f>
        <v>0.30565142364106984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36134.45378151261</v>
      </c>
      <c r="K38" s="250"/>
      <c r="L38" s="14"/>
      <c r="M38" s="12"/>
      <c r="N38" s="12">
        <f>N37/O26</f>
        <v>83511.347918136904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0.2973377049180328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45483</v>
      </c>
    </row>
    <row r="6" spans="2:31" ht="16.2" thickBot="1" x14ac:dyDescent="0.35">
      <c r="B6" s="140" t="s">
        <v>2</v>
      </c>
      <c r="C6" s="139" t="str">
        <f>'2229'!C10</f>
        <v>ANTONIO ALVAREZ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11021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-4014.3170334541064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97668</v>
      </c>
      <c r="E11" s="132">
        <f>D11*0.19</f>
        <v>18556.920000000002</v>
      </c>
      <c r="F11" s="131">
        <f>E11+D11</f>
        <v>116224.92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101975.68296654589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44595.210787439617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83975.682966545894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53072.789212560383</v>
      </c>
      <c r="E13" s="221">
        <f>(D11/D12)-1</f>
        <v>1.1901006470297593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74975.682966545894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35975.682966545894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73582.097799275361</v>
      </c>
      <c r="F15" s="216">
        <f>E15-D12</f>
        <v>28986.887011835744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35975.682966545894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75975.682966545894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4761.12</v>
      </c>
      <c r="E20" s="121">
        <f>D20*0.19</f>
        <v>904.61279999999999</v>
      </c>
      <c r="F20" s="120">
        <f>SUM(D20:E20)</f>
        <v>5665.7327999999998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14761.119999999999</v>
      </c>
      <c r="E21" s="116">
        <f>SUM(E18:E20)</f>
        <v>2804.6127999999999</v>
      </c>
      <c r="F21" s="115">
        <f>SUM(F18:F20)</f>
        <v>17565.732799999998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15752.307200000003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97668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14761.119999999999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53072.789212560383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53072.789212560383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2024-07-05T02:03:45Z</dcterms:modified>
</cp:coreProperties>
</file>