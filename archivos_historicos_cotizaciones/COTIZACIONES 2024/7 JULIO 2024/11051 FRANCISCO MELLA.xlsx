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7 JULIO 2024\"/>
    </mc:Choice>
  </mc:AlternateContent>
  <xr:revisionPtr revIDLastSave="0" documentId="13_ncr:1_{3B57EA12-F5A6-4371-B8D9-9D6505E5B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K22" i="1"/>
  <c r="L22" i="1"/>
  <c r="M22" i="1"/>
  <c r="N22" i="1"/>
  <c r="O22" i="1" s="1"/>
  <c r="R22" i="1"/>
  <c r="H22" i="1"/>
  <c r="K21" i="1"/>
  <c r="J32" i="1"/>
  <c r="K10" i="1"/>
  <c r="J40" i="1" l="1"/>
  <c r="L21" i="1" l="1"/>
  <c r="L26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H21" i="1" s="1"/>
  <c r="H26" i="1" s="1"/>
  <c r="R28" i="1"/>
  <c r="H28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<sst xmlns="http://schemas.openxmlformats.org/spreadsheetml/2006/main" count="220" uniqueCount="165">
  <si>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</si>
  <si>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</si>
  <si>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</si>
  <si>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</si>
  <si>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</si>
  <si>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</si>
  <si>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</si>
  <si>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</si>
  <si>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</si>
  <si>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</si>
  <si>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</si>
  <si>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</si>
  <si>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</si>
  <si>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</si>
  <si>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</si>
  <si>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</si>
  <si>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</si>
  <si>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</si>
  <si>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</si>
  <si>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</si>
  <si>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</si>
  <si>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</si>
  <si>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</si>
  <si>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</si>
  <si>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</si>
  <si>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</si>
  <si>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</si>
  <si>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</si>
  <si>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</si>
  <si>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</si>
  <si>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</si>
  <si>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</si>
  <si>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</si>
  <si>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</si>
  <si>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</si>
  <si>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</si>
  <si>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</si>
  <si>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</si>
  <si>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</si>
  <si>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</si>
  <si>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</si>
  <si>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</si>
  <si>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</si>
  <si>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</si>
  <si>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</si>
  <si>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</si>
  <si>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</si>
  <si>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</si>
  <si>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</si>
  <si>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</si>
  <si>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</si>
  <si>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</si>
  <si>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</si>
  <si>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</si>
  <si>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</si>
  <si>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</si>
  <si>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</si>
  <si>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</si>
  <si>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</si>
  <si>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</si>
  <si>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</si>
  <si>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</si>
  <si>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</si>
  <si>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</si>
  <si>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</si>
  <si>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</si>
  <si>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</si>
  <si>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</si>
  <si>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</si>
  <si>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</si>
  <si>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</si>
  <si>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</si>
  <si>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</si>
  <si>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</si>
  <si>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</si>
  <si>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</si>
  <si>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</si>
  <si>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</si>
  <si>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</si>
  <si>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</si>
  <si>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</si>
  <si>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</si>
  <si>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</si>
  <si>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</si>
  <si>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</si>
  <si>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</si>
  <si>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</si>
  <si>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</si>
  <si>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</si>
  <si>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</si>
  <si>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</si>
  <si>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</si>
  <si>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</si>
  <si>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</si>
  <si>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</si>
  <si>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</si>
  <si>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</si>
  <si>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</si>
  <si>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</si>
  <si>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</si>
  <si>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</si>
  <si>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</si>
  <si>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</si>
  <si>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</si>
  <si>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</si>
  <si>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</si>
  <si>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</si>
  <si>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</si>
  <si>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</si>
  <si>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</si>
  <si>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</si>
  <si>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</si>
  <si>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</si>
  <si>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</si>
  <si>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</si>
  <si>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</si>
  <si>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</si>
  <si>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</si>
  <si>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</si>
  <si>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</si>
  <si>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</si>
  <si>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</si>
  <si>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</si>
  <si>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</si>
  <si>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</si>
  <si>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</si>
  <si>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</si>
  <si>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</si>
  <si>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</si>
  <si>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</si>
  <si>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</si>
  <si>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</si>
  <si>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</si>
  <si>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</si>
  <si>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</si>
  <si>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</si>
  <si>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</si>
  <si>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</si>
  <si>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</si>
  <si>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</si>
  <si>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</si>
  <si>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</si>
  <si>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</si>
  <si>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</si>
  <si>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</si>
  <si>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</si>
  <si>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</si>
  <si>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</si>
  <si>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</si>
  <si>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</si>
  <si>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</si>
  <si>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</si>
  <si>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</si>
  <si>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</si>
  <si>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</si>
  <si>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</si>
  <si>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</si>
  <si>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</si>
  <si>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</si>
  <si>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</si>
  <si>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</si>
  <si>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CUB CON RESPALDO FRENTE 90° R8</t>
  </si>
  <si>
    <t>N° 11051</t>
  </si>
  <si>
    <t>CUB CON RESPALDO FRENTE 90° R9</t>
  </si>
  <si>
    <t>CLASSIC 3111 PF8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</si>
</sst>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C1" zoomScale="98" zoomScaleNormal="98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45502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41" t="s">
        <v>7</v>
      </c>
      <c r="C20" s="315" t="s">
        <v>1</v>
      </c>
      <c r="D20" s="325" t="s">
        <v>10</v>
      </c>
      <c r="E20" s="32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98051.625899280582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161</v>
      </c>
      <c r="D21" s="326">
        <v>2.2000000000000002</v>
      </c>
      <c r="E21" s="326">
        <v>0.55000000000000004</v>
      </c>
      <c r="F21" s="312" t="s">
        <v>164</v>
      </c>
      <c r="G21" s="313">
        <v>124339</v>
      </c>
      <c r="H21" s="314">
        <f t="shared" ref="H21" si="1">G21*B21</f>
        <v>124339</v>
      </c>
      <c r="I21" s="265"/>
      <c r="J21" s="47"/>
      <c r="K21" s="323">
        <f>B21</f>
        <v>1</v>
      </c>
      <c r="L21" s="324">
        <f t="shared" ref="L21:M21" si="2">D21+L$19</f>
        <v>2.25</v>
      </c>
      <c r="M21" s="324">
        <f t="shared" si="2"/>
        <v>0.55000000000000004</v>
      </c>
      <c r="N21" s="261">
        <f>L21*M21</f>
        <v>1.2375</v>
      </c>
      <c r="O21" s="259">
        <f>N21*K21</f>
        <v>1.2375</v>
      </c>
      <c r="P21" s="252">
        <f>P$20*N21</f>
        <v>121338.88705035973</v>
      </c>
      <c r="Q21" s="258">
        <f>P21+Q$20</f>
        <v>124338.88705035973</v>
      </c>
      <c r="R21" s="308">
        <f>K21*L21</f>
        <v>2.25</v>
      </c>
      <c r="S21" s="14"/>
      <c r="T21" s="9"/>
      <c r="W21" s="4"/>
    </row>
    <row r="22" spans="2:24" ht="17.399999999999999" x14ac:dyDescent="0.3">
      <c r="B22" s="321">
        <v>1</v>
      </c>
      <c r="C22" s="312" t="s">
        <v>163</v>
      </c>
      <c r="D22" s="326">
        <v>1.2</v>
      </c>
      <c r="E22" s="326">
        <v>0.4</v>
      </c>
      <c r="F22" s="312" t="s">
        <v>164</v>
      </c>
      <c r="G22" s="313">
        <v>52026</v>
      </c>
      <c r="H22" s="314">
        <f t="shared" ref="H22" si="3">G22*B22</f>
        <v>52026</v>
      </c>
      <c r="I22" s="265"/>
      <c r="J22" s="47"/>
      <c r="K22" s="323">
        <f>B22</f>
        <v>1</v>
      </c>
      <c r="L22" s="324">
        <f t="shared" ref="L22" si="4">D22+L$19</f>
        <v>1.25</v>
      </c>
      <c r="M22" s="324">
        <f t="shared" ref="M22" si="5">E22+M$19</f>
        <v>0.4</v>
      </c>
      <c r="N22" s="261">
        <f>L22*M22</f>
        <v>0.5</v>
      </c>
      <c r="O22" s="259">
        <f>N22*K22</f>
        <v>0.5</v>
      </c>
      <c r="P22" s="252">
        <f>P$20*N22</f>
        <v>49025.812949640291</v>
      </c>
      <c r="Q22" s="258">
        <f>P22+Q$20</f>
        <v>52025.812949640291</v>
      </c>
      <c r="R22" s="308">
        <f>K22*L22</f>
        <v>1.25</v>
      </c>
      <c r="S22" s="14"/>
      <c r="T22" s="9"/>
      <c r="W22" s="4"/>
    </row>
    <row r="23" spans="2:24" ht="17.399999999999999" x14ac:dyDescent="0.3">
      <c r="B23" s="339"/>
      <c r="C23" s="339"/>
      <c r="D23" s="340"/>
      <c r="E23" s="340"/>
      <c r="F23" s="339"/>
      <c r="G23" s="317"/>
      <c r="H23" s="317"/>
      <c r="I23" s="265"/>
      <c r="J23" s="47"/>
      <c r="K23" s="323"/>
      <c r="L23" s="324"/>
      <c r="M23" s="324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7"/>
      <c r="H24" s="31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176365</v>
      </c>
      <c r="I26" s="265"/>
      <c r="J26" s="47"/>
      <c r="K26" s="47"/>
      <c r="L26" s="39">
        <f>SUM(L21:L25)</f>
        <v>3.5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/>
      <c r="I27" s="265"/>
      <c r="J27" s="47"/>
      <c r="K27" s="47"/>
      <c r="L27" s="39"/>
      <c r="M27" s="12"/>
      <c r="N27" s="12"/>
      <c r="O27" s="253">
        <f>SUM(O21:O22)</f>
        <v>1.7375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176365</v>
      </c>
      <c r="I28" s="265"/>
      <c r="J28" s="47"/>
      <c r="K28" s="47"/>
      <c r="L28" s="39"/>
      <c r="M28" s="12"/>
      <c r="N28" s="12"/>
      <c r="O28" s="253">
        <f>O27</f>
        <v>1.7375</v>
      </c>
      <c r="P28" s="14"/>
      <c r="Q28" s="12"/>
      <c r="R28" s="238">
        <f>SUM(R21:R27)</f>
        <v>3.5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68</v>
      </c>
      <c r="K29" s="47"/>
      <c r="L29" s="14"/>
      <c r="M29" s="12"/>
      <c r="N29" s="12"/>
      <c r="O29" s="39">
        <f>O28*20%</f>
        <v>0.34750000000000003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9">
        <v>53</v>
      </c>
      <c r="K30" s="47"/>
      <c r="L30" s="14"/>
      <c r="M30" s="12"/>
      <c r="N30" s="12"/>
      <c r="O30" s="46">
        <f>O28+O29</f>
        <v>2.085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9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>
        <f>SUM(J29:J31)</f>
        <v>121</v>
      </c>
      <c r="K32" s="47"/>
      <c r="L32" s="39">
        <f>O30</f>
        <v>2.085</v>
      </c>
      <c r="M32" s="12">
        <v>3500</v>
      </c>
      <c r="N32" s="12">
        <f t="shared" ref="N32:N37" si="6">L32*M32</f>
        <v>7297.5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6"/>
        <v>25000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86700</v>
      </c>
      <c r="N34" s="12">
        <f t="shared" si="6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8"/>
      <c r="K35" s="250"/>
      <c r="L35" s="14">
        <v>1</v>
      </c>
      <c r="M35" s="250">
        <v>39891</v>
      </c>
      <c r="N35" s="12">
        <f t="shared" si="6"/>
        <v>39891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8"/>
      <c r="K36" s="250"/>
      <c r="L36" s="249"/>
      <c r="M36" s="250">
        <v>800</v>
      </c>
      <c r="N36" s="12">
        <f t="shared" si="6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3.5</v>
      </c>
      <c r="M37" s="12">
        <v>1500</v>
      </c>
      <c r="N37" s="12">
        <f t="shared" si="6"/>
        <v>5250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77438.5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47470</v>
      </c>
      <c r="K39" s="250"/>
      <c r="L39" s="254" t="s">
        <v>35</v>
      </c>
      <c r="M39" s="12"/>
      <c r="N39" s="255">
        <f>N38*2.2</f>
        <v>170364.7</v>
      </c>
      <c r="O39" s="14" t="s">
        <v>142</v>
      </c>
      <c r="P39" s="14"/>
      <c r="Q39" s="46">
        <f>O28/Q38</f>
        <v>0.46848037100949091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39890.756302521011</v>
      </c>
      <c r="K40" s="250"/>
      <c r="L40" s="14"/>
      <c r="M40" s="12"/>
      <c r="N40" s="12">
        <f>N39/O28</f>
        <v>98051.625899280582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0.45573770491803278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45502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11051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-12307.979200120773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176365</v>
      </c>
      <c r="E11" s="132">
        <f>D11*0.19</f>
        <v>33509.35</v>
      </c>
      <c r="F11" s="131">
        <f>E11+D11</f>
        <v>209874.35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93682.020799879232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62131.590787439614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75682.020799879232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114233.40921256039</v>
      </c>
      <c r="E13" s="221">
        <f>(D11/D12)-1</f>
        <v>1.8385720977814328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66682.020799879232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27682.020799879225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102517.12479927536</v>
      </c>
      <c r="F15" s="216">
        <f>E15-D12</f>
        <v>40385.534011835749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27682.020799879225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67682.020799879232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7297.5</v>
      </c>
      <c r="E20" s="121">
        <f>D20*0.19</f>
        <v>1386.5250000000001</v>
      </c>
      <c r="F20" s="120">
        <f>SUM(D20:E20)</f>
        <v>8684.0249999999996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32297.5</v>
      </c>
      <c r="E21" s="116">
        <f>SUM(E18:E20)</f>
        <v>6136.5249999999996</v>
      </c>
      <c r="F21" s="115">
        <f>SUM(F18:F20)</f>
        <v>38434.025000000001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27372.824999999997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176365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32297.5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114233.40921256039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114233.40921256039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2024-07-30T22:29:46Z</cp:lastPrinted>
  <dcterms:created xsi:type="dcterms:W3CDTF">2013-03-18T13:35:42Z</dcterms:created>
  <dcterms:modified xsi:type="dcterms:W3CDTF">2024-07-30T22:32:05Z</dcterms:modified>
</cp:coreProperties>
</file>