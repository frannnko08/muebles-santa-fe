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CCD49978-F834-40D7-AEC1-62409BD9E4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K22" i="1"/>
  <c r="K23" i="1"/>
  <c r="K24" i="1"/>
  <c r="K21" i="1"/>
  <c r="L23" i="1"/>
  <c r="L24" i="1"/>
  <c r="J46" i="1"/>
  <c r="L22" i="1"/>
  <c r="M22" i="1"/>
  <c r="M23" i="1"/>
  <c r="M24" i="1"/>
  <c r="N24" i="1" l="1"/>
  <c r="O24" i="1" s="1"/>
  <c r="R24" i="1"/>
  <c r="N22" i="1"/>
  <c r="O22" i="1" s="1"/>
  <c r="N23" i="1"/>
  <c r="O23" i="1" s="1"/>
  <c r="R22" i="1"/>
  <c r="R23" i="1"/>
  <c r="H24" i="1"/>
  <c r="H22" i="1"/>
  <c r="S23" i="1" l="1"/>
  <c r="J43" i="1"/>
  <c r="L21" i="1"/>
  <c r="L28" i="1" s="1"/>
  <c r="M21" i="1"/>
  <c r="S21" i="1" l="1"/>
  <c r="S28" i="1" s="1"/>
  <c r="S29" i="1" s="1"/>
  <c r="S30" i="1" s="1"/>
  <c r="R21" i="1"/>
  <c r="R30" i="1" s="1"/>
  <c r="N21" i="1"/>
  <c r="O21" i="1" s="1"/>
  <c r="U36" i="1"/>
  <c r="U37" i="1" s="1"/>
  <c r="N35" i="1" l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N40" i="1" s="1"/>
  <c r="N41" i="1" s="1"/>
  <c r="Q41" i="1"/>
  <c r="D20" i="3" l="1"/>
  <c r="E20" i="3" s="1"/>
  <c r="E21" i="3" s="1"/>
  <c r="N42" i="1" l="1"/>
  <c r="D21" i="3"/>
  <c r="M43" i="3" s="1"/>
  <c r="D12" i="3" s="1"/>
  <c r="F20" i="3"/>
  <c r="F21" i="3" s="1"/>
  <c r="N43" i="1" l="1"/>
  <c r="P20" i="1"/>
  <c r="E15" i="3"/>
  <c r="P22" i="1" l="1"/>
  <c r="Q22" i="1" s="1"/>
  <c r="P24" i="1"/>
  <c r="Q24" i="1" s="1"/>
  <c r="P23" i="1"/>
  <c r="Q23" i="1" s="1"/>
  <c r="H23" i="1"/>
  <c r="P21" i="1"/>
  <c r="F15" i="3"/>
  <c r="Q21" i="1" l="1"/>
  <c r="H21" i="1" l="1"/>
  <c r="H28" i="1" l="1"/>
  <c r="H29" i="1" s="1"/>
  <c r="H30" i="1" s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<sst xmlns="http://schemas.openxmlformats.org/spreadsheetml/2006/main" count="237" uniqueCount="176">
  <si>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</si>
  <si>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</si>
  <si>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</si>
  <si>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</si>
  <si>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</si>
  <si>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</si>
  <si>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</si>
  <si>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</si>
  <si>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</si>
  <si>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</si>
  <si>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</si>
  <si>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</si>
  <si>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</si>
  <si>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</si>
  <si>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</si>
  <si>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</si>
  <si>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</si>
  <si>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</si>
  <si>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</si>
  <si>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</si>
  <si>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</si>
  <si>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</si>
  <si>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</si>
  <si>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</si>
  <si>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</si>
  <si>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</si>
  <si>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</si>
  <si>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</si>
  <si>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</si>
  <si>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</si>
  <si>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</si>
  <si>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</si>
  <si>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</si>
  <si>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</si>
  <si>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</si>
  <si>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</si>
  <si>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</si>
  <si>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</si>
  <si>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</si>
  <si>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</si>
  <si>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</si>
  <si>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</si>
  <si>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</si>
  <si>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</si>
  <si>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</si>
  <si>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</si>
  <si>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</si>
  <si>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</si>
  <si>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</si>
  <si>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</si>
  <si>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</si>
  <si>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</si>
  <si>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</si>
  <si>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</si>
  <si>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</si>
  <si>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</si>
  <si>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</si>
  <si>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</si>
  <si>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</si>
  <si>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</si>
  <si>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</si>
  <si>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</si>
  <si>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</si>
  <si>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</si>
  <si>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</si>
  <si>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</si>
  <si>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</si>
  <si>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</si>
  <si>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</si>
  <si>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</si>
  <si>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</si>
  <si>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</si>
  <si>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</si>
  <si>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</si>
  <si>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</si>
  <si>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</si>
  <si>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</si>
  <si>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</si>
  <si>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</si>
  <si>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</si>
  <si>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</si>
  <si>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</si>
  <si>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</si>
  <si>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</si>
  <si>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</si>
  <si>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</si>
  <si>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</si>
  <si>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</si>
  <si>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</si>
  <si>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</si>
  <si>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</si>
  <si>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</si>
  <si>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</si>
  <si>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</si>
  <si>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</si>
  <si>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</si>
  <si>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</si>
  <si>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</si>
  <si>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</si>
  <si>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</si>
  <si>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</si>
  <si>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</si>
  <si>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</si>
  <si>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</si>
  <si>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</si>
  <si>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</si>
  <si>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</si>
  <si>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</si>
  <si>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</si>
  <si>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</si>
  <si>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</si>
  <si>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</si>
  <si>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</si>
  <si>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</si>
  <si>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</si>
  <si>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</si>
  <si>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</si>
  <si>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</si>
  <si>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</si>
  <si>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</si>
  <si>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</si>
  <si>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</si>
  <si>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</si>
  <si>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</si>
  <si>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</si>
  <si>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</si>
  <si>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</si>
  <si>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</si>
  <si>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</si>
  <si>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</si>
  <si>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</si>
  <si>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</si>
  <si>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</si>
  <si>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</si>
  <si>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</si>
  <si>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</si>
  <si>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</si>
  <si>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</si>
  <si>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</si>
  <si>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</si>
  <si>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</si>
  <si>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</si>
  <si>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</si>
  <si>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</si>
  <si>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</si>
  <si>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</si>
  <si>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</si>
  <si>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</si>
  <si>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</si>
  <si>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</si>
  <si>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</si>
  <si>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</si>
  <si>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</si>
  <si>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</si>
  <si>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</si>
  <si>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</si>
  <si>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</si>
  <si>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</si>
  <si>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</si>
  <si>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</si>
  <si>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</si>
  <si>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</si>
  <si>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</si>
  <si>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</si>
  <si>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</si>
  <si>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</si>
  <si>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</si>
  <si>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 xml:space="preserve">SI </t>
  </si>
  <si>
    <t>N° 11048</t>
  </si>
  <si>
    <t>SANTIAGO</t>
  </si>
  <si>
    <t>7  DIAS HABILES</t>
  </si>
  <si>
    <t>PR6</t>
  </si>
  <si>
    <t>GRIS NUBE 2189 MT</t>
  </si>
  <si>
    <t>IMAN INGENERIA SPA</t>
  </si>
  <si>
    <t>76.792.833-5</t>
  </si>
  <si>
    <t>+569 26090569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</si>
</sst>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166" fontId="3" fillId="7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27</xdr:row>
      <xdr:rowOff>9525</xdr:rowOff>
    </xdr:from>
    <xdr:to>
      <xdr:col>5</xdr:col>
      <xdr:colOff>1594096</xdr:colOff>
      <xdr:row>30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PUERTAS SE ENTREGAN ENCHAPADAS CON TAPACANTO PVC 0,4MM CON EL COLOR LO MAS PARECIDO A LA LAMINA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6" zoomScale="93" zoomScaleNormal="93" workbookViewId="0">
      <selection activeCell="G16" sqref="G16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173</v>
      </c>
      <c r="D10" s="243"/>
      <c r="E10" s="243"/>
      <c r="F10" s="244" t="s">
        <v>0</v>
      </c>
      <c r="G10" s="277">
        <v>45497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 t="s">
        <v>174</v>
      </c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167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175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169</v>
      </c>
      <c r="D17" s="318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93835.695171611413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2</v>
      </c>
      <c r="C21" s="325" t="s">
        <v>171</v>
      </c>
      <c r="D21" s="326">
        <v>0.65</v>
      </c>
      <c r="E21" s="326">
        <v>0.44</v>
      </c>
      <c r="F21" s="325" t="s">
        <v>172</v>
      </c>
      <c r="G21" s="327">
        <v>31901</v>
      </c>
      <c r="H21" s="327">
        <f>G21*B21</f>
        <v>63802</v>
      </c>
      <c r="I21" s="265"/>
      <c r="J21" s="47"/>
      <c r="K21" s="47">
        <f>B21</f>
        <v>2</v>
      </c>
      <c r="L21" s="39">
        <f t="shared" ref="L21" si="1">D21+L$19</f>
        <v>0.70000000000000007</v>
      </c>
      <c r="M21" s="39">
        <f t="shared" ref="M21" si="2">E21+M$19</f>
        <v>0.44</v>
      </c>
      <c r="N21" s="261">
        <f t="shared" ref="N21" si="3">L21*M21</f>
        <v>0.30800000000000005</v>
      </c>
      <c r="O21" s="259">
        <f t="shared" ref="O21" si="4">N21*K21</f>
        <v>0.6160000000000001</v>
      </c>
      <c r="P21" s="252">
        <f t="shared" ref="P21" si="5">P$20*N21</f>
        <v>28901.39411285632</v>
      </c>
      <c r="Q21" s="328">
        <f t="shared" ref="Q21" si="6">P21+Q$20</f>
        <v>31901.39411285632</v>
      </c>
      <c r="R21" s="298">
        <f>L21*K21*2</f>
        <v>2.8000000000000003</v>
      </c>
      <c r="S21" s="46">
        <f>M21*2*K21</f>
        <v>1.76</v>
      </c>
      <c r="T21" s="9"/>
      <c r="W21" s="4"/>
    </row>
    <row r="22" spans="2:24" ht="17.399999999999999" x14ac:dyDescent="0.3">
      <c r="B22" s="325">
        <v>2</v>
      </c>
      <c r="C22" s="325" t="s">
        <v>171</v>
      </c>
      <c r="D22" s="326">
        <v>0.65</v>
      </c>
      <c r="E22" s="326">
        <v>0.35</v>
      </c>
      <c r="F22" s="325" t="s">
        <v>172</v>
      </c>
      <c r="G22" s="327">
        <v>25990</v>
      </c>
      <c r="H22" s="327">
        <f>G22*B22</f>
        <v>51980</v>
      </c>
      <c r="I22" s="265"/>
      <c r="J22" s="47"/>
      <c r="K22" s="47">
        <f t="shared" ref="K22:K24" si="7">B22</f>
        <v>2</v>
      </c>
      <c r="L22" s="331">
        <f t="shared" ref="L22:L24" si="8">D22+L$19</f>
        <v>0.70000000000000007</v>
      </c>
      <c r="M22" s="39">
        <f t="shared" ref="M22:M24" si="9">E22+M$19</f>
        <v>0.35</v>
      </c>
      <c r="N22" s="261">
        <f t="shared" ref="N22:N24" si="10">L22*M22</f>
        <v>0.245</v>
      </c>
      <c r="O22" s="259">
        <f t="shared" ref="O22:O24" si="11">N22*K22</f>
        <v>0.49</v>
      </c>
      <c r="P22" s="252">
        <f t="shared" ref="P22:P24" si="12">P$20*N22</f>
        <v>22989.745317044795</v>
      </c>
      <c r="Q22" s="328">
        <f t="shared" ref="Q22:Q24" si="13">P22+Q$20</f>
        <v>25989.745317044795</v>
      </c>
      <c r="R22" s="298">
        <f t="shared" ref="R22:R24" si="14">L22*K22*2</f>
        <v>2.8000000000000003</v>
      </c>
      <c r="S22" s="46"/>
      <c r="T22" s="9"/>
      <c r="W22" s="4"/>
    </row>
    <row r="23" spans="2:24" ht="17.399999999999999" x14ac:dyDescent="0.3">
      <c r="B23" s="325">
        <v>3</v>
      </c>
      <c r="C23" s="325" t="s">
        <v>171</v>
      </c>
      <c r="D23" s="326">
        <v>0.72499999999999998</v>
      </c>
      <c r="E23" s="326">
        <v>0.34</v>
      </c>
      <c r="F23" s="325" t="s">
        <v>172</v>
      </c>
      <c r="G23" s="327">
        <v>27726</v>
      </c>
      <c r="H23" s="327">
        <f t="shared" ref="H23:H24" si="15">G23*B23</f>
        <v>83178</v>
      </c>
      <c r="I23" s="265"/>
      <c r="J23" s="47"/>
      <c r="K23" s="47">
        <f t="shared" si="7"/>
        <v>3</v>
      </c>
      <c r="L23" s="331">
        <f t="shared" si="8"/>
        <v>0.77500000000000002</v>
      </c>
      <c r="M23" s="39">
        <f t="shared" si="9"/>
        <v>0.34</v>
      </c>
      <c r="N23" s="261">
        <f t="shared" si="10"/>
        <v>0.26350000000000001</v>
      </c>
      <c r="O23" s="259">
        <f t="shared" si="11"/>
        <v>0.79049999999999998</v>
      </c>
      <c r="P23" s="252">
        <f t="shared" si="12"/>
        <v>24725.705677719609</v>
      </c>
      <c r="Q23" s="328">
        <f t="shared" si="13"/>
        <v>27725.705677719609</v>
      </c>
      <c r="R23" s="298">
        <f t="shared" si="14"/>
        <v>4.6500000000000004</v>
      </c>
      <c r="S23" s="46">
        <f t="shared" ref="S23" si="16">M23*2*K23</f>
        <v>2.04</v>
      </c>
      <c r="T23" s="9"/>
      <c r="W23" s="4"/>
    </row>
    <row r="24" spans="2:24" ht="17.399999999999999" x14ac:dyDescent="0.3">
      <c r="B24" s="325">
        <v>2</v>
      </c>
      <c r="C24" s="325" t="s">
        <v>171</v>
      </c>
      <c r="D24" s="326">
        <v>0.72499999999999998</v>
      </c>
      <c r="E24" s="326">
        <v>0.44</v>
      </c>
      <c r="F24" s="325" t="s">
        <v>172</v>
      </c>
      <c r="G24" s="327">
        <v>34998</v>
      </c>
      <c r="H24" s="327">
        <f t="shared" si="15"/>
        <v>69996</v>
      </c>
      <c r="I24" s="265"/>
      <c r="J24" s="47">
        <v>24131</v>
      </c>
      <c r="K24" s="47">
        <f t="shared" si="7"/>
        <v>2</v>
      </c>
      <c r="L24" s="39">
        <f t="shared" si="8"/>
        <v>0.77500000000000002</v>
      </c>
      <c r="M24" s="39">
        <f t="shared" si="9"/>
        <v>0.44</v>
      </c>
      <c r="N24" s="261">
        <f t="shared" si="10"/>
        <v>0.34100000000000003</v>
      </c>
      <c r="O24" s="259">
        <f t="shared" si="11"/>
        <v>0.68200000000000005</v>
      </c>
      <c r="P24" s="252">
        <f t="shared" si="12"/>
        <v>31997.972053519494</v>
      </c>
      <c r="Q24" s="328">
        <f t="shared" si="13"/>
        <v>34997.972053519494</v>
      </c>
      <c r="R24" s="298">
        <f t="shared" si="14"/>
        <v>3.1</v>
      </c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30"/>
      <c r="H25" s="330"/>
      <c r="I25" s="265"/>
      <c r="J25" s="47"/>
      <c r="K25" s="47"/>
      <c r="L25" s="39"/>
      <c r="M25" s="39"/>
      <c r="N25" s="261"/>
      <c r="O25" s="259"/>
      <c r="P25" s="252"/>
      <c r="Q25" s="328"/>
      <c r="R25" s="298"/>
      <c r="S25" s="46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30"/>
      <c r="H26" s="330"/>
      <c r="I26" s="265"/>
      <c r="J26" s="47"/>
      <c r="K26" s="47"/>
      <c r="L26" s="39"/>
      <c r="M26" s="39"/>
      <c r="N26" s="261"/>
      <c r="O26" s="259"/>
      <c r="P26" s="252"/>
      <c r="Q26" s="328"/>
      <c r="R26" s="29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29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299" t="s">
        <v>29</v>
      </c>
      <c r="H28" s="300">
        <f>SUM(H21:H27)</f>
        <v>268956</v>
      </c>
      <c r="I28" s="265"/>
      <c r="J28" s="47"/>
      <c r="K28" s="47"/>
      <c r="L28" s="39">
        <f>SUM(L21:L27)</f>
        <v>2.95</v>
      </c>
      <c r="M28" s="39"/>
      <c r="N28" s="261"/>
      <c r="O28" s="259"/>
      <c r="P28" s="252"/>
      <c r="Q28" s="258"/>
      <c r="R28" s="298"/>
      <c r="S28" s="46">
        <f>SUM(S21:S27)</f>
        <v>3.8</v>
      </c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7" t="s">
        <v>52</v>
      </c>
      <c r="H29" s="295">
        <f>H28*19%</f>
        <v>51101.64</v>
      </c>
      <c r="I29" s="265"/>
      <c r="J29" s="47"/>
      <c r="K29" s="47"/>
      <c r="L29" s="39"/>
      <c r="M29" s="12"/>
      <c r="N29" s="12"/>
      <c r="O29" s="253">
        <f>SUM(O21:O24)</f>
        <v>2.5785</v>
      </c>
      <c r="P29" s="14"/>
      <c r="Q29" s="12"/>
      <c r="R29" s="239"/>
      <c r="S29" s="46">
        <f>S28*20%</f>
        <v>0.76</v>
      </c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6">
        <f>H28+H29</f>
        <v>320057.64</v>
      </c>
      <c r="I30" s="265"/>
      <c r="J30" s="47"/>
      <c r="K30" s="47"/>
      <c r="L30" s="39"/>
      <c r="M30" s="12"/>
      <c r="N30" s="12"/>
      <c r="O30" s="253">
        <f>O29</f>
        <v>2.5785</v>
      </c>
      <c r="P30" s="14"/>
      <c r="Q30" s="12"/>
      <c r="R30" s="239">
        <f>SUM(R21:R29)</f>
        <v>13.35</v>
      </c>
      <c r="S30" s="46">
        <f>S28+S29</f>
        <v>4.5599999999999996</v>
      </c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0.51570000000000005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3.0941999999999998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5" t="s">
        <v>22</v>
      </c>
      <c r="U33" s="302" t="s">
        <v>153</v>
      </c>
      <c r="V33" s="306">
        <v>44971</v>
      </c>
      <c r="W33" s="30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3.0941999999999998</v>
      </c>
      <c r="M34" s="12">
        <v>3500</v>
      </c>
      <c r="N34" s="12">
        <f t="shared" ref="N34:N39" si="17">L34*M34</f>
        <v>10829.699999999999</v>
      </c>
      <c r="O34" s="14" t="s">
        <v>22</v>
      </c>
      <c r="P34" s="14"/>
      <c r="Q34" s="14"/>
      <c r="R34" s="241"/>
      <c r="S34" s="14"/>
      <c r="T34" s="305" t="s">
        <v>154</v>
      </c>
      <c r="U34" s="302">
        <v>3625</v>
      </c>
      <c r="V34" s="59" t="s">
        <v>155</v>
      </c>
      <c r="W34" s="30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</v>
      </c>
      <c r="M35" s="12">
        <v>45000</v>
      </c>
      <c r="N35" s="12">
        <f t="shared" si="17"/>
        <v>45000</v>
      </c>
      <c r="O35" s="39" t="s">
        <v>32</v>
      </c>
      <c r="P35" s="42"/>
      <c r="Q35" s="14"/>
      <c r="R35" s="240"/>
      <c r="S35" s="14"/>
      <c r="T35" s="305"/>
      <c r="U35" s="59">
        <v>906.25</v>
      </c>
      <c r="V35" s="59" t="s">
        <v>156</v>
      </c>
      <c r="W35" s="307"/>
    </row>
    <row r="36" spans="2:23" s="230" customFormat="1" ht="17.399999999999999" x14ac:dyDescent="0.35">
      <c r="I36" s="262"/>
      <c r="J36" s="232"/>
      <c r="K36" s="250"/>
      <c r="L36" s="14"/>
      <c r="M36" s="250">
        <v>25000</v>
      </c>
      <c r="N36" s="12">
        <f t="shared" si="17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7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>
        <v>1.5</v>
      </c>
      <c r="M37" s="250">
        <v>36100</v>
      </c>
      <c r="N37" s="12">
        <f t="shared" si="17"/>
        <v>54150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07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17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4"/>
      <c r="K39" s="250"/>
      <c r="L39" s="266"/>
      <c r="M39" s="12">
        <v>1500</v>
      </c>
      <c r="N39" s="12">
        <f t="shared" si="17"/>
        <v>0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109979.7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241955.34000000003</v>
      </c>
      <c r="O41" s="14" t="s">
        <v>141</v>
      </c>
      <c r="P41" s="14"/>
      <c r="Q41" s="40">
        <f>O32/Q40</f>
        <v>0.83428602243313199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42950</v>
      </c>
      <c r="K42" s="250"/>
      <c r="L42" s="14"/>
      <c r="M42" s="12"/>
      <c r="N42" s="12">
        <f>N41/O30</f>
        <v>93835.695171611413</v>
      </c>
      <c r="O42" s="45" t="s">
        <v>25</v>
      </c>
      <c r="P42" s="14"/>
      <c r="Q42" s="14"/>
      <c r="R42"/>
      <c r="S42" s="238"/>
      <c r="T42" s="59" t="s">
        <v>159</v>
      </c>
      <c r="U42" s="302">
        <v>43650</v>
      </c>
    </row>
    <row r="43" spans="2:23" s="230" customFormat="1" ht="17.399999999999999" x14ac:dyDescent="0.35">
      <c r="G43"/>
      <c r="H43" s="230" t="s">
        <v>165</v>
      </c>
      <c r="J43" s="230">
        <f>J42/1.19</f>
        <v>36092.436974789918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03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0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230">
        <v>110000</v>
      </c>
      <c r="K45" s="12"/>
      <c r="S45" s="238"/>
      <c r="T45" s="59" t="s">
        <v>157</v>
      </c>
      <c r="U45" s="59">
        <v>474.45</v>
      </c>
    </row>
    <row r="46" spans="2:23" ht="14.4" customHeight="1" x14ac:dyDescent="0.3">
      <c r="J46">
        <f>J45/9</f>
        <v>12222.222222222223</v>
      </c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45497</v>
      </c>
    </row>
    <row r="6" spans="2:31" ht="16.2" thickBot="1" x14ac:dyDescent="0.35">
      <c r="B6" s="140" t="s">
        <v>2</v>
      </c>
      <c r="C6" s="139" t="str">
        <f>'2229'!C10</f>
        <v>IMAN INGENERIA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11048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-21268.457533454104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268956</v>
      </c>
      <c r="E11" s="132">
        <f>D11*0.19</f>
        <v>51101.64</v>
      </c>
      <c r="F11" s="131">
        <f>E11+D11</f>
        <v>320057.64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84721.5424665459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85663.790787439619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66721.5424665459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183292.20921256038</v>
      </c>
      <c r="E13" s="221">
        <f>(D11/D12)-1</f>
        <v>2.1396696028473614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57721.5424665459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18721.542466545896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141345.25479927537</v>
      </c>
      <c r="F15" s="216">
        <f>E15-D12</f>
        <v>55681.464011835749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18721.542466545896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58721.5424665459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10829.699999999999</v>
      </c>
      <c r="E20" s="121">
        <f>D20*0.19</f>
        <v>2057.643</v>
      </c>
      <c r="F20" s="120">
        <f>SUM(D20:E20)</f>
        <v>12887.342999999999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55829.7</v>
      </c>
      <c r="E21" s="116">
        <f>SUM(E18:E20)</f>
        <v>10607.643</v>
      </c>
      <c r="F21" s="115">
        <f>SUM(F18:F20)</f>
        <v>66437.342999999993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40493.997000000003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268956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55829.7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183292.20921256038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183292.20921256038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2024-07-24T11:54:53Z</dcterms:modified>
</cp:coreProperties>
</file>