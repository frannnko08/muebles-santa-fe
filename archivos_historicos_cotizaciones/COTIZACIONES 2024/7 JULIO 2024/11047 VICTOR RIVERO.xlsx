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F4AC3F3-5842-438C-8776-F4C96DD92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E15" i="3"/>
  <c r="P21" i="1" l="1"/>
  <c r="F15" i="3"/>
  <c r="Q21" i="1" l="1"/>
  <c r="G21" i="1" s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<sst xmlns="http://schemas.openxmlformats.org/spreadsheetml/2006/main" count="218" uniqueCount="165">
  <si>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</si>
  <si>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</si>
  <si>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</si>
  <si>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</si>
  <si>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</si>
  <si>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</si>
  <si>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</si>
  <si>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</si>
  <si>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</si>
  <si>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</si>
  <si>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</si>
  <si>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</si>
  <si>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</si>
  <si>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</si>
  <si>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</si>
  <si>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</si>
  <si>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</si>
  <si>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</si>
  <si>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</si>
  <si>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</si>
  <si>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</si>
  <si>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</si>
  <si>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</si>
  <si>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</si>
  <si>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</si>
  <si>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</si>
  <si>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</si>
  <si>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</si>
  <si>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</si>
  <si>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</si>
  <si>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</si>
  <si>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</si>
  <si>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</si>
  <si>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</si>
  <si>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</si>
  <si>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</si>
  <si>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</si>
  <si>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</si>
  <si>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</si>
  <si>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</si>
  <si>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</si>
  <si>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</si>
  <si>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</si>
  <si>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</si>
  <si>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</si>
  <si>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</si>
  <si>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</si>
  <si>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</si>
  <si>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</si>
  <si>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</si>
  <si>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</si>
  <si>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</si>
  <si>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</si>
  <si>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</si>
  <si>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</si>
  <si>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</si>
  <si>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</si>
  <si>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</si>
  <si>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</si>
  <si>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</si>
  <si>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</si>
  <si>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</si>
  <si>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</si>
  <si>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</si>
  <si>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</si>
  <si>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</si>
  <si>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</si>
  <si>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</si>
  <si>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</si>
  <si>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</si>
  <si>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</si>
  <si>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</si>
  <si>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</si>
  <si>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</si>
  <si>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</si>
  <si>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</si>
  <si>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</si>
  <si>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</si>
  <si>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</si>
  <si>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</si>
  <si>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</si>
  <si>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</si>
  <si>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</si>
  <si>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</si>
  <si>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</si>
  <si>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</si>
  <si>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</si>
  <si>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</si>
  <si>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</si>
  <si>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</si>
  <si>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</si>
  <si>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</si>
  <si>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</si>
  <si>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</si>
  <si>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</si>
  <si>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</si>
  <si>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</si>
  <si>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</si>
  <si>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</si>
  <si>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</si>
  <si>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</si>
  <si>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</si>
  <si>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</si>
  <si>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</si>
  <si>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</si>
  <si>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</si>
  <si>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</si>
  <si>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</si>
  <si>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</si>
  <si>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</si>
  <si>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</si>
  <si>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</si>
  <si>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</si>
  <si>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</si>
  <si>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</si>
  <si>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</si>
  <si>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</si>
  <si>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</si>
  <si>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</si>
  <si>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</si>
  <si>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</si>
  <si>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</si>
  <si>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</si>
  <si>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</si>
  <si>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</si>
  <si>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</si>
  <si>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</si>
  <si>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</si>
  <si>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</si>
  <si>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</si>
  <si>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</si>
  <si>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</si>
  <si>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</si>
  <si>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</si>
  <si>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</si>
  <si>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</si>
  <si>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</si>
  <si>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</si>
  <si>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</si>
  <si>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</si>
  <si>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</si>
  <si>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</si>
  <si>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</si>
  <si>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</si>
  <si>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</si>
  <si>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</si>
  <si>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</si>
  <si>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</si>
  <si>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</si>
  <si>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</si>
  <si>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</si>
  <si>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</si>
  <si>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</si>
  <si>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</si>
  <si>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</si>
  <si>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</si>
  <si>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</si>
  <si>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</si>
  <si>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</si>
  <si>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VICTOR RIVERO</t>
  </si>
  <si>
    <t>+56958788293</t>
  </si>
  <si>
    <t>PR6</t>
  </si>
  <si>
    <t>THAI SAMOA TEAK 10845 MT</t>
  </si>
  <si>
    <t>3 DIAS HABILES</t>
  </si>
  <si>
    <t>N° 11047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</si>
</sst>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45495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v>104094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161</v>
      </c>
      <c r="D21" s="313">
        <v>0.68500000000000005</v>
      </c>
      <c r="E21" s="313">
        <v>0.47499999999999998</v>
      </c>
      <c r="F21" s="312" t="s">
        <v>162</v>
      </c>
      <c r="G21" s="314">
        <f>Q21</f>
        <v>39341.817750000002</v>
      </c>
      <c r="H21" s="315">
        <f t="shared" ref="H21" si="1">G21*B21</f>
        <v>78683.635500000004</v>
      </c>
      <c r="I21" s="265"/>
      <c r="J21" s="47"/>
      <c r="K21" s="325">
        <f t="shared" si="0"/>
        <v>2</v>
      </c>
      <c r="L21" s="326">
        <f t="shared" ref="L21:M21" si="2">D21+L$19</f>
        <v>0.7350000000000001</v>
      </c>
      <c r="M21" s="326">
        <f t="shared" si="2"/>
        <v>0.47499999999999998</v>
      </c>
      <c r="N21" s="261">
        <f>L21*M21</f>
        <v>0.34912500000000002</v>
      </c>
      <c r="O21" s="259">
        <f>N21*K21</f>
        <v>0.69825000000000004</v>
      </c>
      <c r="P21" s="252">
        <f>P$20*N21</f>
        <v>36341.817750000002</v>
      </c>
      <c r="Q21" s="258">
        <f>P21+Q$20</f>
        <v>39341.817750000002</v>
      </c>
      <c r="R21" s="308">
        <f>K21*L21</f>
        <v>1.4700000000000002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78683.635500000004</v>
      </c>
      <c r="I24" s="265"/>
      <c r="J24" s="47"/>
      <c r="K24" s="47"/>
      <c r="L24" s="39">
        <f>SUM(L21:L23)</f>
        <v>0.7350000000000001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14949.890745000001</v>
      </c>
      <c r="I25" s="265"/>
      <c r="J25" s="47"/>
      <c r="K25" s="47"/>
      <c r="L25" s="39"/>
      <c r="M25" s="12"/>
      <c r="N25" s="12"/>
      <c r="O25" s="253">
        <f>SUM(O21:O21)</f>
        <v>0.69825000000000004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93633.526245000001</v>
      </c>
      <c r="I26" s="265"/>
      <c r="J26" s="47"/>
      <c r="K26" s="47"/>
      <c r="L26" s="39"/>
      <c r="M26" s="12"/>
      <c r="N26" s="12"/>
      <c r="O26" s="253">
        <f>O25</f>
        <v>0.69825000000000004</v>
      </c>
      <c r="P26" s="14"/>
      <c r="Q26" s="12"/>
      <c r="R26" s="238">
        <f>SUM(R21:R25)</f>
        <v>1.4700000000000002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0.13965000000000002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0.83790000000000009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0.83790000000000009</v>
      </c>
      <c r="M30" s="12">
        <v>3500</v>
      </c>
      <c r="N30" s="12">
        <f t="shared" ref="N30:N35" si="3">L30*M30</f>
        <v>2932.65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4</v>
      </c>
      <c r="M31" s="12">
        <v>40000</v>
      </c>
      <c r="N31" s="12">
        <f t="shared" si="3"/>
        <v>160000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6</v>
      </c>
      <c r="M33" s="250">
        <v>33700</v>
      </c>
      <c r="N33" s="12">
        <f t="shared" si="3"/>
        <v>202200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365132.65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64280</v>
      </c>
      <c r="K37" s="250"/>
      <c r="L37" s="254" t="s">
        <v>35</v>
      </c>
      <c r="M37" s="12"/>
      <c r="N37" s="255">
        <f>N36*2.2</f>
        <v>803291.83000000007</v>
      </c>
      <c r="O37" s="14" t="s">
        <v>142</v>
      </c>
      <c r="P37" s="14"/>
      <c r="Q37" s="46">
        <f>O26/Q36</f>
        <v>0.18826844262295084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54016.806722689078</v>
      </c>
      <c r="K38" s="250"/>
      <c r="L38" s="14"/>
      <c r="M38" s="12"/>
      <c r="N38" s="12">
        <f>N37/O26</f>
        <v>1150435.8467597566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0.18314754098360658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45495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11047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39896.914466545881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78683.635500000004</v>
      </c>
      <c r="E11" s="132">
        <f>D11*0.19</f>
        <v>14949.890745000001</v>
      </c>
      <c r="F11" s="131">
        <f>E11+D11</f>
        <v>93633.526245000001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145886.91446654589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192766.7407874396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127886.91446654589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-114083.1052874396</v>
      </c>
      <c r="E13" s="221">
        <f>(D11/D12)-1</f>
        <v>-0.59181944365204042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118886.91446654589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79886.914466545888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318065.1222992753</v>
      </c>
      <c r="F15" s="216">
        <f>E15-D12</f>
        <v>125298.3815118357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79886.914466545888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119886.91446654589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160000</v>
      </c>
      <c r="E19" s="123">
        <f>D19*0.19</f>
        <v>30400</v>
      </c>
      <c r="F19" s="120">
        <f>SUM(D19:E19)</f>
        <v>190400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2932.65</v>
      </c>
      <c r="E20" s="121">
        <f>D20*0.19</f>
        <v>557.20350000000008</v>
      </c>
      <c r="F20" s="120">
        <f>SUM(D20:E20)</f>
        <v>3489.8535000000002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162932.65</v>
      </c>
      <c r="E21" s="116">
        <f>SUM(E18:E20)</f>
        <v>30957.2035</v>
      </c>
      <c r="F21" s="115">
        <f>SUM(F18:F20)</f>
        <v>193889.8535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-16007.312754999999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78683.635500000004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162932.65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-114083.1052874396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-114083.1052874396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2024-07-22T21:54:25Z</dcterms:modified>
</cp:coreProperties>
</file>