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778DBFC1-3E27-45D1-A807-B24076FD6F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H22" i="1"/>
  <c r="K21" i="1"/>
  <c r="J30" i="1"/>
  <c r="J35" i="1"/>
  <c r="J36" i="1" s="1"/>
  <c r="N33" i="1"/>
  <c r="N32" i="1" l="1"/>
  <c r="N34" i="1"/>
  <c r="N35" i="1"/>
  <c r="K22" i="1"/>
  <c r="L22" i="1"/>
  <c r="M22" i="1"/>
  <c r="N22" i="1" l="1"/>
  <c r="O22" i="1" s="1"/>
  <c r="J39" i="1"/>
  <c r="L21" i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2" i="1" l="1"/>
  <c r="Q22" i="1" s="1"/>
  <c r="P21" i="1"/>
  <c r="F15" i="3"/>
  <c r="Q21" i="1" l="1"/>
  <c r="H21" i="1" l="1"/>
  <c r="H24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<sst xmlns="http://schemas.openxmlformats.org/spreadsheetml/2006/main" count="235" uniqueCount="179">
  <si>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</si>
  <si>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</si>
  <si>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</si>
  <si>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</si>
  <si>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</si>
  <si>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</si>
  <si>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</si>
  <si>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</si>
  <si>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</si>
  <si>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</si>
  <si>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</si>
  <si>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</si>
  <si>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</si>
  <si>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</si>
  <si>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</si>
  <si>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</si>
  <si>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</si>
  <si>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</si>
  <si>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</si>
  <si>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</si>
  <si>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</si>
  <si>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</si>
  <si>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</si>
  <si>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</si>
  <si>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</si>
  <si>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</si>
  <si>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</si>
  <si>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</si>
  <si>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</si>
  <si>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</si>
  <si>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</si>
  <si>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</si>
  <si>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</si>
  <si>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</si>
  <si>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</si>
  <si>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</si>
  <si>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</si>
  <si>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</si>
  <si>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</si>
  <si>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</si>
  <si>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</si>
  <si>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</si>
  <si>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</si>
  <si>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</si>
  <si>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</si>
  <si>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</si>
  <si>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</si>
  <si>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</si>
  <si>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</si>
  <si>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</si>
  <si>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</si>
  <si>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</si>
  <si>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</si>
  <si>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</si>
  <si>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</si>
  <si>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</si>
  <si>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</si>
  <si>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</si>
  <si>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</si>
  <si>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</si>
  <si>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</si>
  <si>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</si>
  <si>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</si>
  <si>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</si>
  <si>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</si>
  <si>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</si>
  <si>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</si>
  <si>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</si>
  <si>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</si>
  <si>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</si>
  <si>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</si>
  <si>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</si>
  <si>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</si>
  <si>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</si>
  <si>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</si>
  <si>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</si>
  <si>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</si>
  <si>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</si>
  <si>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</si>
  <si>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</si>
  <si>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</si>
  <si>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</si>
  <si>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</si>
  <si>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</si>
  <si>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</si>
  <si>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</si>
  <si>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</si>
  <si>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</si>
  <si>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</si>
  <si>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</si>
  <si>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</si>
  <si>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</si>
  <si>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</si>
  <si>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</si>
  <si>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</si>
  <si>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</si>
  <si>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</si>
  <si>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</si>
  <si>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</si>
  <si>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</si>
  <si>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</si>
  <si>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</si>
  <si>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</si>
  <si>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</si>
  <si>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</si>
  <si>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</si>
  <si>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</si>
  <si>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</si>
  <si>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</si>
  <si>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</si>
  <si>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</si>
  <si>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</si>
  <si>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</si>
  <si>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</si>
  <si>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</si>
  <si>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</si>
  <si>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</si>
  <si>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</si>
  <si>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</si>
  <si>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</si>
  <si>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</si>
  <si>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</si>
  <si>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</si>
  <si>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</si>
  <si>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</si>
  <si>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</si>
  <si>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</si>
  <si>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</si>
  <si>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</si>
  <si>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</si>
  <si>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</si>
  <si>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</si>
  <si>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</si>
  <si>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</si>
  <si>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</si>
  <si>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</si>
  <si>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</si>
  <si>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</si>
  <si>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</si>
  <si>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</si>
  <si>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</si>
  <si>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</si>
  <si>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</si>
  <si>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</si>
  <si>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</si>
  <si>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</si>
  <si>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</si>
  <si>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</si>
  <si>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</si>
  <si>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</si>
  <si>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</si>
  <si>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</si>
  <si>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</si>
  <si>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</si>
  <si>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</si>
  <si>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</si>
  <si>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</si>
  <si>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</si>
  <si>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</si>
  <si>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</si>
  <si>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</si>
  <si>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</si>
  <si>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</si>
  <si>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</si>
  <si>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</si>
  <si>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</si>
  <si>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</si>
  <si>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</si>
  <si>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+569 9449 0390</t>
  </si>
  <si>
    <t>CATHERINE SALINAS</t>
  </si>
  <si>
    <t>10 DIAS HABILES</t>
  </si>
  <si>
    <t>GRIS NUBE</t>
  </si>
  <si>
    <t>KING</t>
  </si>
  <si>
    <t>MDF 3MM</t>
  </si>
  <si>
    <t>152X244</t>
  </si>
  <si>
    <t>DESFONDADO</t>
  </si>
  <si>
    <t>N° 11011</t>
  </si>
  <si>
    <t>GRANITINO NEGRO 3014 BR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</si>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</sst>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393290</xdr:colOff>
      <xdr:row>22</xdr:row>
      <xdr:rowOff>206170</xdr:rowOff>
    </xdr:from>
    <xdr:to>
      <xdr:col>5</xdr:col>
      <xdr:colOff>1610483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93290" y="4778170"/>
          <a:ext cx="6444677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CORTADAS A LA MEDIDA Y ENCHAPADOS SUS CANTO SIN REGRUESO AMBOS LADOS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</a:t>
          </a:r>
        </a:p>
        <a:p>
          <a:pPr algn="l"/>
          <a:r>
            <a:rPr lang="es-CL" sz="1200" b="0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APORTA PIEZA CURVA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9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10937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45474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167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168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164</v>
      </c>
      <c r="H16" s="248"/>
    </row>
    <row r="17" spans="1:24" ht="15" thickBot="1" x14ac:dyDescent="0.35">
      <c r="B17" s="317" t="s">
        <v>13</v>
      </c>
      <c r="C17" s="318" t="s">
        <v>166</v>
      </c>
      <c r="D17" s="319"/>
      <c r="E17" s="119"/>
      <c r="F17" s="331" t="s">
        <v>165</v>
      </c>
      <c r="G17" s="331"/>
      <c r="H17" s="332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1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72284.905462184863</v>
      </c>
      <c r="Q20" s="258">
        <v>5000</v>
      </c>
      <c r="R20" s="38"/>
      <c r="S20" s="14" t="s">
        <v>129</v>
      </c>
      <c r="T20" s="9"/>
      <c r="W20" s="4"/>
    </row>
    <row r="21" spans="1:24" ht="17.399999999999999" x14ac:dyDescent="0.3">
      <c r="B21" s="326">
        <v>1</v>
      </c>
      <c r="C21" s="326" t="s">
        <v>36</v>
      </c>
      <c r="D21" s="327">
        <v>1.31</v>
      </c>
      <c r="E21" s="327">
        <v>0.56000000000000005</v>
      </c>
      <c r="F21" s="326" t="s">
        <v>177</v>
      </c>
      <c r="G21" s="328">
        <v>60052</v>
      </c>
      <c r="H21" s="328">
        <f>G21*B21</f>
        <v>60052</v>
      </c>
      <c r="I21" s="265"/>
      <c r="J21" s="47"/>
      <c r="K21" s="330">
        <f t="shared" ref="K21:K22" si="1">B21</f>
        <v>1</v>
      </c>
      <c r="L21" s="39">
        <f t="shared" ref="L21" si="2">D21+L$19</f>
        <v>1.36</v>
      </c>
      <c r="M21" s="39">
        <f t="shared" ref="M21" si="3">E21+M$19</f>
        <v>0.56000000000000005</v>
      </c>
      <c r="N21" s="261">
        <f t="shared" ref="N21" si="4">L21*M21</f>
        <v>0.76160000000000017</v>
      </c>
      <c r="O21" s="259">
        <f t="shared" ref="O21" si="5">N21*K21</f>
        <v>0.76160000000000017</v>
      </c>
      <c r="P21" s="252">
        <f t="shared" ref="P21" si="6">P$20*N21</f>
        <v>55052.184000000001</v>
      </c>
      <c r="Q21" s="329">
        <f t="shared" ref="Q21" si="7">P21+Q$20</f>
        <v>60052.184000000001</v>
      </c>
      <c r="R21" s="298">
        <f>L21*K21*2</f>
        <v>2.72</v>
      </c>
      <c r="S21" s="46">
        <f>M21*2*K21</f>
        <v>1.1200000000000001</v>
      </c>
      <c r="T21" s="9"/>
      <c r="W21" s="4"/>
    </row>
    <row r="22" spans="1:24" ht="17.399999999999999" x14ac:dyDescent="0.3">
      <c r="A22" t="s">
        <v>178</v>
      </c>
      <c r="B22" s="326">
        <v>1</v>
      </c>
      <c r="C22" s="326" t="s">
        <v>175</v>
      </c>
      <c r="D22" s="327"/>
      <c r="E22" s="327"/>
      <c r="F22" s="326"/>
      <c r="G22" s="328">
        <v>15000</v>
      </c>
      <c r="H22" s="328">
        <f>G22*B22</f>
        <v>15000</v>
      </c>
      <c r="I22" s="265"/>
      <c r="J22" s="47"/>
      <c r="K22" s="330">
        <f t="shared" si="1"/>
        <v>1</v>
      </c>
      <c r="L22" s="39">
        <f t="shared" ref="L22" si="8">D22+L$19</f>
        <v>0.05</v>
      </c>
      <c r="M22" s="39">
        <f t="shared" ref="M22" si="9">E22+M$19</f>
        <v>0</v>
      </c>
      <c r="N22" s="261">
        <f t="shared" ref="N22" si="10">L22*M22</f>
        <v>0</v>
      </c>
      <c r="O22" s="259">
        <f t="shared" ref="O22" si="11">N22*K22</f>
        <v>0</v>
      </c>
      <c r="P22" s="252">
        <f t="shared" ref="P22" si="12">P$20*N22</f>
        <v>0</v>
      </c>
      <c r="Q22" s="329">
        <f t="shared" ref="Q22" si="13">P22+Q$20</f>
        <v>5000</v>
      </c>
      <c r="R22" s="298"/>
      <c r="S22" s="46"/>
      <c r="T22" s="9"/>
      <c r="W22" s="4"/>
    </row>
    <row r="23" spans="1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>
        <v>0</v>
      </c>
      <c r="O23" s="259"/>
      <c r="P23" s="252"/>
      <c r="Q23" s="258"/>
      <c r="R23" s="298"/>
      <c r="S23" s="14"/>
      <c r="T23" s="9"/>
      <c r="W23" s="4"/>
    </row>
    <row r="24" spans="1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75052</v>
      </c>
      <c r="I24" s="265"/>
      <c r="J24" s="47"/>
      <c r="K24" s="47"/>
      <c r="L24" s="39">
        <f>SUM(L21:L23)</f>
        <v>1.4100000000000001</v>
      </c>
      <c r="M24" s="39"/>
      <c r="N24" s="261"/>
      <c r="O24" s="259"/>
      <c r="P24" s="252"/>
      <c r="Q24" s="258"/>
      <c r="R24" s="298"/>
      <c r="S24" s="46">
        <f>SUM(S21:S23)</f>
        <v>1.1200000000000001</v>
      </c>
      <c r="T24" s="9"/>
      <c r="W24" s="4"/>
    </row>
    <row r="25" spans="1:24" ht="17.399999999999999" x14ac:dyDescent="0.3">
      <c r="B25" s="280"/>
      <c r="C25" s="283"/>
      <c r="D25" s="284"/>
      <c r="E25" s="284"/>
      <c r="F25" s="285"/>
      <c r="G25" s="297" t="s">
        <v>52</v>
      </c>
      <c r="H25" s="295"/>
      <c r="I25" s="265"/>
      <c r="J25" s="47"/>
      <c r="K25" s="47"/>
      <c r="L25" s="39"/>
      <c r="M25" s="12"/>
      <c r="N25" s="12"/>
      <c r="O25" s="253">
        <f>SUM(O21:O22)</f>
        <v>0.76160000000000017</v>
      </c>
      <c r="P25" s="14"/>
      <c r="Q25" s="12"/>
      <c r="R25" s="239"/>
      <c r="S25" s="46">
        <f>S24*20%</f>
        <v>0.22400000000000003</v>
      </c>
      <c r="T25" s="9"/>
      <c r="W25" s="4"/>
    </row>
    <row r="26" spans="1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75052</v>
      </c>
      <c r="I26" s="265"/>
      <c r="J26" s="47"/>
      <c r="K26" s="47"/>
      <c r="L26" s="39"/>
      <c r="M26" s="12"/>
      <c r="N26" s="12"/>
      <c r="O26" s="253">
        <f>O25</f>
        <v>0.76160000000000017</v>
      </c>
      <c r="P26" s="14"/>
      <c r="Q26" s="12"/>
      <c r="R26" s="239">
        <f>SUM(R21:R25)</f>
        <v>2.72</v>
      </c>
      <c r="S26" s="46">
        <f>S24+S25</f>
        <v>1.3440000000000001</v>
      </c>
      <c r="T26" s="9"/>
      <c r="W26" s="4"/>
    </row>
    <row r="27" spans="1:24" ht="17.399999999999999" x14ac:dyDescent="0.3">
      <c r="B27" s="276"/>
      <c r="C27" s="271"/>
      <c r="D27" s="272"/>
      <c r="E27" s="272"/>
      <c r="F27" s="273"/>
      <c r="I27" s="265"/>
      <c r="J27" s="47">
        <v>147074</v>
      </c>
      <c r="K27" s="47"/>
      <c r="L27" s="14"/>
      <c r="M27" s="12"/>
      <c r="N27" s="12"/>
      <c r="O27" s="39">
        <f>O26*20%</f>
        <v>0.15232000000000004</v>
      </c>
      <c r="P27" s="39" t="s">
        <v>131</v>
      </c>
      <c r="Q27" s="42"/>
      <c r="R27" s="240"/>
      <c r="S27" s="14"/>
      <c r="T27" s="9"/>
      <c r="W27" s="4"/>
    </row>
    <row r="28" spans="1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>
        <v>33749</v>
      </c>
      <c r="K28" s="47"/>
      <c r="L28" s="14"/>
      <c r="M28" s="12"/>
      <c r="N28" s="12"/>
      <c r="O28" s="46">
        <f>O26+O27</f>
        <v>0.91392000000000018</v>
      </c>
      <c r="P28" s="14"/>
      <c r="Q28" s="14"/>
      <c r="R28" s="238">
        <v>40</v>
      </c>
      <c r="S28" s="14"/>
      <c r="T28" s="9"/>
      <c r="W28" s="4"/>
    </row>
    <row r="29" spans="1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>
        <v>94650</v>
      </c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153</v>
      </c>
      <c r="V29" s="306">
        <v>44971</v>
      </c>
      <c r="W29" s="307"/>
    </row>
    <row r="30" spans="1:24" ht="17.399999999999999" x14ac:dyDescent="0.35">
      <c r="B30" s="235"/>
      <c r="C30" s="236"/>
      <c r="D30" s="237"/>
      <c r="E30" s="235"/>
      <c r="F30" s="230"/>
      <c r="G30" s="230"/>
      <c r="I30" s="265"/>
      <c r="J30" s="47">
        <f>SUM(J27:J29)</f>
        <v>275473</v>
      </c>
      <c r="K30" s="47"/>
      <c r="L30" s="39">
        <f>O28</f>
        <v>0.91392000000000018</v>
      </c>
      <c r="M30" s="12">
        <v>3500</v>
      </c>
      <c r="N30" s="12">
        <f t="shared" ref="N30:N35" si="14">L30*M30</f>
        <v>3198.7200000000007</v>
      </c>
      <c r="O30" s="14" t="s">
        <v>22</v>
      </c>
      <c r="P30" s="14"/>
      <c r="Q30" s="14"/>
      <c r="R30" s="241"/>
      <c r="S30" s="14"/>
      <c r="T30" s="305" t="s">
        <v>154</v>
      </c>
      <c r="U30" s="302">
        <v>3625</v>
      </c>
      <c r="V30" s="59" t="s">
        <v>155</v>
      </c>
      <c r="W30" s="307"/>
    </row>
    <row r="31" spans="1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0.25</v>
      </c>
      <c r="M31" s="12">
        <v>25000</v>
      </c>
      <c r="N31" s="12">
        <f t="shared" si="14"/>
        <v>6250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156</v>
      </c>
      <c r="W31" s="307"/>
    </row>
    <row r="32" spans="1:24" s="230" customFormat="1" ht="17.399999999999999" x14ac:dyDescent="0.35">
      <c r="I32" s="262"/>
      <c r="J32" s="232"/>
      <c r="K32" s="250"/>
      <c r="L32" s="14"/>
      <c r="M32" s="250">
        <v>40340</v>
      </c>
      <c r="N32" s="12">
        <f t="shared" si="1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0.5</v>
      </c>
      <c r="M33" s="250">
        <v>27100</v>
      </c>
      <c r="N33" s="12">
        <f t="shared" si="14"/>
        <v>13550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J34" s="230">
        <v>27000</v>
      </c>
      <c r="K34" s="250"/>
      <c r="L34" s="249"/>
      <c r="M34" s="250">
        <v>300</v>
      </c>
      <c r="N34" s="12">
        <f t="shared" si="14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J35" s="230">
        <f>J34*19%</f>
        <v>5130</v>
      </c>
      <c r="K35" s="250"/>
      <c r="L35" s="266">
        <v>1.35</v>
      </c>
      <c r="M35" s="12">
        <v>1500</v>
      </c>
      <c r="N35" s="12">
        <f t="shared" si="14"/>
        <v>2025.0000000000002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I36" s="230" t="s">
        <v>172</v>
      </c>
      <c r="J36" s="230">
        <f>J34+J35</f>
        <v>32130</v>
      </c>
      <c r="K36" s="250"/>
      <c r="L36" s="14"/>
      <c r="M36" s="12"/>
      <c r="N36" s="12">
        <f>SUM(N30:N35)</f>
        <v>25023.72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55052.184000000008</v>
      </c>
      <c r="O37" s="14" t="s">
        <v>141</v>
      </c>
      <c r="P37" s="14"/>
      <c r="Q37" s="40">
        <f>O28/Q36</f>
        <v>0.24641932700603972</v>
      </c>
      <c r="R37"/>
      <c r="S37" s="257"/>
    </row>
    <row r="38" spans="2:23" s="230" customFormat="1" ht="17.399999999999999" x14ac:dyDescent="0.35">
      <c r="G38"/>
      <c r="H38" s="260"/>
      <c r="I38" s="230" t="s">
        <v>171</v>
      </c>
      <c r="J38" s="230">
        <v>32216</v>
      </c>
      <c r="K38" s="250">
        <v>0</v>
      </c>
      <c r="L38" s="14"/>
      <c r="M38" s="12"/>
      <c r="N38" s="12">
        <f>N37/O26</f>
        <v>72284.905462184863</v>
      </c>
      <c r="O38" s="45" t="s">
        <v>25</v>
      </c>
      <c r="P38" s="14"/>
      <c r="Q38" s="14"/>
      <c r="R38"/>
      <c r="S38" s="238"/>
      <c r="T38" s="59" t="s">
        <v>159</v>
      </c>
      <c r="U38" s="302">
        <v>43650</v>
      </c>
    </row>
    <row r="39" spans="2:23" s="230" customFormat="1" ht="17.399999999999999" x14ac:dyDescent="0.35">
      <c r="G39"/>
      <c r="J39" s="230">
        <f>J38/1.19</f>
        <v>27072.268907563026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I41" s="230" t="s">
        <v>173</v>
      </c>
      <c r="K41" s="12"/>
      <c r="S41" s="238"/>
      <c r="T41" s="59" t="s">
        <v>157</v>
      </c>
      <c r="U41" s="59">
        <v>474.45</v>
      </c>
    </row>
    <row r="42" spans="2:23" ht="14.4" customHeight="1" x14ac:dyDescent="0.3">
      <c r="I42" t="s">
        <v>174</v>
      </c>
      <c r="J42">
        <v>8990</v>
      </c>
      <c r="K42" s="12"/>
      <c r="T42" s="59"/>
      <c r="U42" s="59"/>
    </row>
    <row r="43" spans="2:23" x14ac:dyDescent="0.3">
      <c r="K43" s="250"/>
    </row>
    <row r="44" spans="2:23" x14ac:dyDescent="0.3">
      <c r="I44">
        <v>46850</v>
      </c>
      <c r="K44" s="250"/>
      <c r="S44" s="270"/>
    </row>
    <row r="45" spans="2:23" x14ac:dyDescent="0.3">
      <c r="K45" s="250"/>
    </row>
    <row r="46" spans="2:23" ht="15" customHeight="1" x14ac:dyDescent="0.3">
      <c r="I46">
        <f>I44/1.19</f>
        <v>39369.747899159665</v>
      </c>
    </row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45474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11011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-1705.893700120773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75052</v>
      </c>
      <c r="E11" s="132">
        <f>D11*0.19</f>
        <v>14259.880000000001</v>
      </c>
      <c r="F11" s="131">
        <f>E11+D11</f>
        <v>89311.88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104284.10629987923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39282.810787439616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86284.106299879233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35769.189212560384</v>
      </c>
      <c r="E13" s="221">
        <f>(D11/D12)-1</f>
        <v>0.91055574933546546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77284.106299879233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38284.106299879226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64816.637799275362</v>
      </c>
      <c r="F15" s="216">
        <f>E15-D12</f>
        <v>25533.827011835747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38284.106299879226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78284.106299879233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6250</v>
      </c>
      <c r="E19" s="123">
        <f>D19*0.19</f>
        <v>1187.5</v>
      </c>
      <c r="F19" s="120">
        <f>SUM(D19:E19)</f>
        <v>7437.5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3198.7200000000007</v>
      </c>
      <c r="E20" s="121">
        <f>D20*0.19</f>
        <v>607.75680000000011</v>
      </c>
      <c r="F20" s="120">
        <f>SUM(D20:E20)</f>
        <v>3806.4768000000008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9448.7200000000012</v>
      </c>
      <c r="E21" s="116">
        <f>SUM(E18:E20)</f>
        <v>1795.2568000000001</v>
      </c>
      <c r="F21" s="115">
        <f>SUM(F18:F20)</f>
        <v>11243.9768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12464.623200000002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75052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9448.7200000000012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35769.189212560384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35769.189212560384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2024-07-09T21:36:37Z</dcterms:modified>
</cp:coreProperties>
</file>