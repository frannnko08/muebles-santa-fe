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4BB319A9-D584-40A1-B5DF-BCD45E0B8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U24" i="1"/>
  <c r="U23" i="1"/>
  <c r="T22" i="1"/>
  <c r="T21" i="1"/>
  <c r="H23" i="1" l="1"/>
  <c r="R23" i="1"/>
  <c r="R22" i="1"/>
  <c r="K23" i="1"/>
  <c r="L23" i="1"/>
  <c r="N23" i="1" s="1"/>
  <c r="M23" i="1"/>
  <c r="I47" i="1"/>
  <c r="H22" i="1"/>
  <c r="K21" i="1"/>
  <c r="J31" i="1"/>
  <c r="J36" i="1"/>
  <c r="J37" i="1" s="1"/>
  <c r="N34" i="1"/>
  <c r="O23" i="1" l="1"/>
  <c r="N33" i="1"/>
  <c r="N35" i="1"/>
  <c r="N36" i="1"/>
  <c r="K22" i="1"/>
  <c r="L22" i="1"/>
  <c r="M22" i="1"/>
  <c r="N22" i="1" l="1"/>
  <c r="O22" i="1" s="1"/>
  <c r="J40" i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3" i="1"/>
  <c r="Q23" i="1" s="1"/>
  <c r="E15" i="3"/>
  <c r="P22" i="1" l="1"/>
  <c r="Q22" i="1" s="1"/>
  <c r="P21" i="1"/>
  <c r="F15" i="3"/>
  <c r="Q21" i="1" l="1"/>
  <c r="H25" i="1" l="1"/>
  <c r="H26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<sst xmlns="http://schemas.openxmlformats.org/spreadsheetml/2006/main" count="238" uniqueCount="178">
  <si>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</si>
  <si>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</si>
  <si>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</si>
  <si>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</si>
  <si>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</si>
  <si>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</si>
  <si>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</si>
  <si>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</si>
  <si>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</si>
  <si>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</si>
  <si>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</si>
  <si>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</si>
  <si>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</si>
  <si>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</si>
  <si>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</si>
  <si>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</si>
  <si>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</si>
  <si>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</si>
  <si>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</si>
  <si>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</si>
  <si>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</si>
  <si>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</si>
  <si>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</si>
  <si>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</si>
  <si>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</si>
  <si>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</si>
  <si>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</si>
  <si>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</si>
  <si>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</si>
  <si>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</si>
  <si>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</si>
  <si>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</si>
  <si>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</si>
  <si>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</si>
  <si>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</si>
  <si>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</si>
  <si>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</si>
  <si>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</si>
  <si>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</si>
  <si>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</si>
  <si>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</si>
  <si>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</si>
  <si>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</si>
  <si>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</si>
  <si>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</si>
  <si>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</si>
  <si>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</si>
  <si>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</si>
  <si>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</si>
  <si>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</si>
  <si>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</si>
  <si>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</si>
  <si>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</si>
  <si>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</si>
  <si>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</si>
  <si>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</si>
  <si>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</si>
  <si>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</si>
  <si>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</si>
  <si>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</si>
  <si>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</si>
  <si>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</si>
  <si>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</si>
  <si>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</si>
  <si>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</si>
  <si>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</si>
  <si>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</si>
  <si>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</si>
  <si>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</si>
  <si>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</si>
  <si>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</si>
  <si>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</si>
  <si>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</si>
  <si>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</si>
  <si>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</si>
  <si>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</si>
  <si>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</si>
  <si>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</si>
  <si>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</si>
  <si>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</si>
  <si>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</si>
  <si>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</si>
  <si>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</si>
  <si>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</si>
  <si>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</si>
  <si>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</si>
  <si>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</si>
  <si>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</si>
  <si>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</si>
  <si>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</si>
  <si>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</si>
  <si>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</si>
  <si>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</si>
  <si>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</si>
  <si>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</si>
  <si>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</si>
  <si>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</si>
  <si>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</si>
  <si>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</si>
  <si>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</si>
  <si>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</si>
  <si>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</si>
  <si>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</si>
  <si>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</si>
  <si>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</si>
  <si>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</si>
  <si>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</si>
  <si>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</si>
  <si>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</si>
  <si>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</si>
  <si>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</si>
  <si>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</si>
  <si>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</si>
  <si>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</si>
  <si>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</si>
  <si>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</si>
  <si>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</si>
  <si>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</si>
  <si>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</si>
  <si>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</si>
  <si>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</si>
  <si>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</si>
  <si>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</si>
  <si>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</si>
  <si>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</si>
  <si>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</si>
  <si>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</si>
  <si>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</si>
  <si>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</si>
  <si>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</si>
  <si>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</si>
  <si>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</si>
  <si>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</si>
  <si>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</si>
  <si>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</si>
  <si>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</si>
  <si>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</si>
  <si>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</si>
  <si>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</si>
  <si>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</si>
  <si>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</si>
  <si>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</si>
  <si>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</si>
  <si>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</si>
  <si>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</si>
  <si>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</si>
  <si>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</si>
  <si>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</si>
  <si>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</si>
  <si>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</si>
  <si>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</si>
  <si>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</si>
  <si>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</si>
  <si>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</si>
  <si>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</si>
  <si>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</si>
  <si>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</si>
  <si>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</si>
  <si>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</si>
  <si>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</si>
  <si>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</si>
  <si>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</si>
  <si>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</si>
  <si>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</si>
  <si>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</si>
  <si>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</si>
  <si>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</si>
  <si>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</si>
  <si>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</si>
  <si>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</si>
  <si>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</si>
  <si>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</si>
  <si>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UVZ</t>
  </si>
  <si>
    <t>ROSSY VALDES</t>
  </si>
  <si>
    <t>+569 5158 9695</t>
  </si>
  <si>
    <t>5 DIAS HABILES</t>
  </si>
  <si>
    <t>GALAXIA GRAFITO 0491 MT</t>
  </si>
  <si>
    <t>N° 11013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</si>
</sst>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393290</xdr:colOff>
      <xdr:row>23</xdr:row>
      <xdr:rowOff>206170</xdr:rowOff>
    </xdr:from>
    <xdr:to>
      <xdr:col>5</xdr:col>
      <xdr:colOff>1610483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93290" y="4778170"/>
          <a:ext cx="6444677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VALORES POR SERVICIO MAQUILA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D15" zoomScale="93" zoomScaleNormal="93" workbookViewId="0">
      <selection activeCell="H21" sqref="H21"/>
    </sheetView>
  </sheetViews>
  <sheetFormatPr baseColWidth="10" defaultRowHeight="14.4" x14ac:dyDescent="0.3"/>
  <cols>
    <col min="1" max="1" width="6" customWidth="1"/>
    <col min="2" max="2" width="10.5546875" customWidth="1"/>
    <col min="3" max="3" width="38.1093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172</v>
      </c>
      <c r="D10" s="243"/>
      <c r="E10" s="243"/>
      <c r="F10" s="244" t="s">
        <v>0</v>
      </c>
      <c r="G10" s="277">
        <v>45474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173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174</v>
      </c>
      <c r="D15" s="316"/>
      <c r="F15" t="s">
        <v>135</v>
      </c>
      <c r="G15" s="314" t="s">
        <v>167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  <c r="M16">
        <v>41428</v>
      </c>
    </row>
    <row r="17" spans="2:24" ht="15" thickBot="1" x14ac:dyDescent="0.35">
      <c r="B17" s="317" t="s">
        <v>13</v>
      </c>
      <c r="C17" s="318" t="s">
        <v>166</v>
      </c>
      <c r="D17" s="319"/>
      <c r="E17" s="119"/>
      <c r="F17" s="331" t="s">
        <v>165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v>21000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4</v>
      </c>
      <c r="C21" s="326" t="s">
        <v>36</v>
      </c>
      <c r="D21" s="327">
        <v>2.7</v>
      </c>
      <c r="E21" s="327">
        <v>0.6</v>
      </c>
      <c r="F21" s="326" t="s">
        <v>176</v>
      </c>
      <c r="G21" s="328">
        <v>25000</v>
      </c>
      <c r="H21" s="328">
        <f>G21*B21</f>
        <v>100000</v>
      </c>
      <c r="I21" s="265">
        <v>0</v>
      </c>
      <c r="J21" s="47">
        <v>2</v>
      </c>
      <c r="K21" s="330">
        <f t="shared" ref="K21:K22" si="1">B21</f>
        <v>4</v>
      </c>
      <c r="L21" s="39">
        <f t="shared" ref="L21" si="2">D21+L$19</f>
        <v>2.75</v>
      </c>
      <c r="M21" s="39">
        <f t="shared" ref="M21" si="3">E21+M$19</f>
        <v>0.6</v>
      </c>
      <c r="N21" s="261">
        <f t="shared" ref="N21" si="4">L21*M21</f>
        <v>1.65</v>
      </c>
      <c r="O21" s="259">
        <f t="shared" ref="O21" si="5">N21*K21</f>
        <v>6.6</v>
      </c>
      <c r="P21" s="252">
        <f t="shared" ref="P21" si="6">P$20*N21</f>
        <v>34650</v>
      </c>
      <c r="Q21" s="329">
        <f t="shared" ref="Q21" si="7">P21+Q$20</f>
        <v>37650</v>
      </c>
      <c r="R21" s="298">
        <f>L21*K21*2</f>
        <v>22</v>
      </c>
      <c r="S21" s="46">
        <f>M21*2*K21</f>
        <v>4.8</v>
      </c>
      <c r="T21" s="9">
        <f>25000</f>
        <v>25000</v>
      </c>
      <c r="U21">
        <v>2.7</v>
      </c>
      <c r="W21" s="4"/>
    </row>
    <row r="22" spans="2:24" ht="17.399999999999999" x14ac:dyDescent="0.3">
      <c r="B22" s="326">
        <v>4</v>
      </c>
      <c r="C22" s="326" t="s">
        <v>36</v>
      </c>
      <c r="D22" s="327">
        <v>1.5</v>
      </c>
      <c r="E22" s="327">
        <v>0.6</v>
      </c>
      <c r="F22" s="326" t="s">
        <v>176</v>
      </c>
      <c r="G22" s="328">
        <v>20000</v>
      </c>
      <c r="H22" s="328">
        <f>G22*B22</f>
        <v>80000</v>
      </c>
      <c r="I22" s="265">
        <v>19530</v>
      </c>
      <c r="J22" s="47">
        <v>1</v>
      </c>
      <c r="K22" s="330">
        <f t="shared" si="1"/>
        <v>4</v>
      </c>
      <c r="L22" s="39">
        <f t="shared" ref="L22" si="8">D22+L$19</f>
        <v>1.55</v>
      </c>
      <c r="M22" s="39">
        <f t="shared" ref="M22" si="9">E22+M$19</f>
        <v>0.6</v>
      </c>
      <c r="N22" s="261">
        <f t="shared" ref="N22" si="10">L22*M22</f>
        <v>0.92999999999999994</v>
      </c>
      <c r="O22" s="259">
        <f t="shared" ref="O22" si="11">N22*K22</f>
        <v>3.7199999999999998</v>
      </c>
      <c r="P22" s="252">
        <f t="shared" ref="P22" si="12">P$20*N22</f>
        <v>19530</v>
      </c>
      <c r="Q22" s="329">
        <f t="shared" ref="Q22" si="13">P22+Q$20</f>
        <v>22530</v>
      </c>
      <c r="R22" s="298">
        <f t="shared" ref="R22" si="14">L22*K22*2</f>
        <v>12.4</v>
      </c>
      <c r="S22" s="46"/>
      <c r="T22" s="9">
        <f>T21/2.7</f>
        <v>9259.2592592592591</v>
      </c>
      <c r="U22">
        <v>0.6</v>
      </c>
      <c r="W22" s="4"/>
    </row>
    <row r="23" spans="2:24" ht="17.399999999999999" x14ac:dyDescent="0.3">
      <c r="B23" s="326">
        <v>3</v>
      </c>
      <c r="C23" s="326" t="s">
        <v>36</v>
      </c>
      <c r="D23" s="327">
        <v>1.7</v>
      </c>
      <c r="E23" s="327">
        <v>0.6</v>
      </c>
      <c r="F23" s="326" t="s">
        <v>176</v>
      </c>
      <c r="G23" s="328">
        <v>38000</v>
      </c>
      <c r="H23" s="328">
        <f>G23*B23</f>
        <v>114000</v>
      </c>
      <c r="I23" s="265">
        <v>22050</v>
      </c>
      <c r="J23" s="47">
        <v>1</v>
      </c>
      <c r="K23" s="330">
        <f t="shared" ref="K23" si="15">B23</f>
        <v>3</v>
      </c>
      <c r="L23" s="39">
        <f t="shared" ref="L23" si="16">D23+L$19</f>
        <v>1.75</v>
      </c>
      <c r="M23" s="39">
        <f t="shared" ref="M23" si="17">E23+M$19</f>
        <v>0.6</v>
      </c>
      <c r="N23" s="261">
        <f t="shared" ref="N23" si="18">L23*M23</f>
        <v>1.05</v>
      </c>
      <c r="O23" s="259">
        <f t="shared" ref="O23" si="19">N23*K23</f>
        <v>3.1500000000000004</v>
      </c>
      <c r="P23" s="252">
        <f t="shared" ref="P23" si="20">P$20*N23</f>
        <v>22050</v>
      </c>
      <c r="Q23" s="329">
        <f t="shared" ref="Q23" si="21">P23+Q$20</f>
        <v>25050</v>
      </c>
      <c r="R23" s="298">
        <f>L23*K23*2</f>
        <v>10.5</v>
      </c>
      <c r="S23" s="46"/>
      <c r="T23" s="9"/>
      <c r="U23">
        <f>U21*U22</f>
        <v>1.62</v>
      </c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>
        <v>0</v>
      </c>
      <c r="O24" s="259"/>
      <c r="P24" s="252"/>
      <c r="Q24" s="258"/>
      <c r="R24" s="298"/>
      <c r="S24" s="14"/>
      <c r="T24" s="9"/>
      <c r="U24">
        <f>T21/U23</f>
        <v>15432.098765432098</v>
      </c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294000</v>
      </c>
      <c r="I25" s="265">
        <v>294000</v>
      </c>
      <c r="J25" s="47"/>
      <c r="K25" s="47"/>
      <c r="L25" s="39">
        <f>SUM(L21:L24)</f>
        <v>6.05</v>
      </c>
      <c r="M25" s="39"/>
      <c r="N25" s="261"/>
      <c r="O25" s="259"/>
      <c r="P25" s="252"/>
      <c r="Q25" s="258"/>
      <c r="R25" s="298"/>
      <c r="S25" s="46">
        <f>SUM(S21:S24)</f>
        <v>4.8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f>H25*19%</f>
        <v>55860</v>
      </c>
      <c r="I26" s="265"/>
      <c r="J26" s="47"/>
      <c r="K26" s="47"/>
      <c r="L26" s="39"/>
      <c r="M26" s="12"/>
      <c r="N26" s="12"/>
      <c r="O26" s="253">
        <f>SUM(O21:O22)</f>
        <v>10.32</v>
      </c>
      <c r="P26" s="14"/>
      <c r="Q26" s="12"/>
      <c r="R26" s="239"/>
      <c r="S26" s="46">
        <f>S25*20%</f>
        <v>0.96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349860</v>
      </c>
      <c r="I27" s="265"/>
      <c r="J27" s="47"/>
      <c r="K27" s="47"/>
      <c r="L27" s="39"/>
      <c r="M27" s="12"/>
      <c r="N27" s="12"/>
      <c r="O27" s="253">
        <f>O26</f>
        <v>10.32</v>
      </c>
      <c r="P27" s="14"/>
      <c r="Q27" s="12"/>
      <c r="R27" s="239">
        <f>SUM(R21:R26)</f>
        <v>44.9</v>
      </c>
      <c r="S27" s="46">
        <f>S25+S26</f>
        <v>5.76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147074</v>
      </c>
      <c r="K28" s="47"/>
      <c r="L28" s="14"/>
      <c r="M28" s="12"/>
      <c r="N28" s="12"/>
      <c r="O28" s="39">
        <f>O27*20%</f>
        <v>2.0640000000000001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>
        <v>33749</v>
      </c>
      <c r="K29" s="47"/>
      <c r="L29" s="14"/>
      <c r="M29" s="12"/>
      <c r="N29" s="12"/>
      <c r="O29" s="46">
        <f>O27+O28</f>
        <v>12.384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>
        <v>94650</v>
      </c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>
        <f>SUM(J28:J30)</f>
        <v>275473</v>
      </c>
      <c r="K31" s="47"/>
      <c r="L31" s="39">
        <f>O29</f>
        <v>12.384</v>
      </c>
      <c r="M31" s="12">
        <v>3500</v>
      </c>
      <c r="N31" s="12">
        <f t="shared" ref="N31:N36" si="22">L31*M31</f>
        <v>43344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/>
      <c r="M32" s="12">
        <v>22500</v>
      </c>
      <c r="N32" s="12">
        <f t="shared" si="22"/>
        <v>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62300</v>
      </c>
      <c r="N33" s="12">
        <f t="shared" si="22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27100</v>
      </c>
      <c r="N34" s="12">
        <f t="shared" si="22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J35" s="230">
        <v>27000</v>
      </c>
      <c r="K35" s="250"/>
      <c r="L35" s="249"/>
      <c r="M35" s="250">
        <v>300</v>
      </c>
      <c r="N35" s="12">
        <f t="shared" si="22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J36" s="230">
        <f>J35*19%</f>
        <v>5130</v>
      </c>
      <c r="K36" s="250"/>
      <c r="L36" s="266">
        <v>0.5</v>
      </c>
      <c r="M36" s="12">
        <v>45000</v>
      </c>
      <c r="N36" s="12">
        <f t="shared" si="22"/>
        <v>22500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I37" s="230" t="s">
        <v>169</v>
      </c>
      <c r="J37" s="230">
        <f>J35+J36</f>
        <v>32130</v>
      </c>
      <c r="K37" s="250"/>
      <c r="L37" s="14"/>
      <c r="M37" s="12"/>
      <c r="N37" s="12">
        <f>SUM(N31:N36)</f>
        <v>65844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144856.80000000002</v>
      </c>
      <c r="O38" s="14" t="s">
        <v>141</v>
      </c>
      <c r="P38" s="14"/>
      <c r="Q38" s="40">
        <f>O29/Q37</f>
        <v>3.3390854184641934</v>
      </c>
      <c r="R38"/>
      <c r="S38" s="257"/>
    </row>
    <row r="39" spans="2:23" s="230" customFormat="1" ht="17.399999999999999" x14ac:dyDescent="0.35">
      <c r="G39"/>
      <c r="H39" s="260"/>
      <c r="I39" s="230" t="s">
        <v>168</v>
      </c>
      <c r="J39" s="230">
        <v>32216</v>
      </c>
      <c r="K39" s="250">
        <v>0</v>
      </c>
      <c r="L39" s="14"/>
      <c r="M39" s="12"/>
      <c r="N39" s="12">
        <f>N38/O27</f>
        <v>14036.511627906979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J40" s="230">
        <f>J39/1.19</f>
        <v>27072.268907563026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I42" s="230" t="s">
        <v>170</v>
      </c>
      <c r="K42" s="12"/>
      <c r="S42" s="238"/>
      <c r="T42" s="59" t="s">
        <v>157</v>
      </c>
      <c r="U42" s="59">
        <v>474.45</v>
      </c>
    </row>
    <row r="43" spans="2:23" ht="14.4" customHeight="1" x14ac:dyDescent="0.3">
      <c r="I43" t="s">
        <v>171</v>
      </c>
      <c r="J43">
        <v>8990</v>
      </c>
      <c r="K43" s="12"/>
      <c r="T43" s="59"/>
      <c r="U43" s="59"/>
    </row>
    <row r="44" spans="2:23" x14ac:dyDescent="0.3">
      <c r="K44" s="250"/>
    </row>
    <row r="45" spans="2:23" x14ac:dyDescent="0.3">
      <c r="I45">
        <v>86440</v>
      </c>
      <c r="K45" s="250"/>
      <c r="S45" s="270"/>
    </row>
    <row r="46" spans="2:23" x14ac:dyDescent="0.3">
      <c r="K46" s="250"/>
    </row>
    <row r="47" spans="2:23" ht="15" customHeight="1" x14ac:dyDescent="0.3">
      <c r="I47">
        <f>I45/1.19</f>
        <v>72638.655462184877</v>
      </c>
    </row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45474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11013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-28876.025033454109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294000</v>
      </c>
      <c r="E11" s="132">
        <f>D11*0.19</f>
        <v>55860</v>
      </c>
      <c r="F11" s="131">
        <f>E11+D11</f>
        <v>349860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77113.974966545895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73178.090787439607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59113.974966545895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220821.90921256039</v>
      </c>
      <c r="E13" s="221">
        <f>(D11/D12)-1</f>
        <v>3.0175959339248379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50113.974966545895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11113.974966545891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120743.84979927534</v>
      </c>
      <c r="F15" s="216">
        <f>E15-D12</f>
        <v>47565.759011835733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11113.974966545891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51113.974966545895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43344</v>
      </c>
      <c r="E20" s="121">
        <f>D20*0.19</f>
        <v>8235.36</v>
      </c>
      <c r="F20" s="120">
        <f>SUM(D20:E20)</f>
        <v>51579.360000000001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43344</v>
      </c>
      <c r="E21" s="116">
        <f>SUM(E18:E20)</f>
        <v>8235.36</v>
      </c>
      <c r="F21" s="115">
        <f>SUM(F18:F20)</f>
        <v>51579.360000000001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47624.639999999999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294000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43344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220821.90921256039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220821.90921256039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2024-07-01T15:38:57Z</cp:lastPrinted>
  <dcterms:created xsi:type="dcterms:W3CDTF">2013-03-18T13:35:42Z</dcterms:created>
  <dcterms:modified xsi:type="dcterms:W3CDTF">2024-07-05T00:03:29Z</dcterms:modified>
</cp:coreProperties>
</file>