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C197579A-B8E0-4EFE-B248-335DA7074D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43" i="1"/>
  <c r="J40" i="1" l="1"/>
  <c r="L21" i="1"/>
  <c r="L25" i="1" s="1"/>
  <c r="M21" i="1"/>
  <c r="S21" i="1" l="1"/>
  <c r="S25" i="1" s="1"/>
  <c r="S26" i="1" s="1"/>
  <c r="S27" i="1" s="1"/>
  <c r="R21" i="1"/>
  <c r="R27" i="1" s="1"/>
  <c r="N21" i="1"/>
  <c r="O21" i="1" s="1"/>
  <c r="O26" i="1" s="1"/>
  <c r="U33" i="1"/>
  <c r="U34" i="1" s="1"/>
  <c r="N32" i="1" l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N37" i="1" s="1"/>
  <c r="N38" i="1" s="1"/>
  <c r="Q38" i="1"/>
  <c r="D20" i="3" l="1"/>
  <c r="E20" i="3" s="1"/>
  <c r="E21" i="3" s="1"/>
  <c r="N39" i="1" l="1"/>
  <c r="D21" i="3"/>
  <c r="M43" i="3" s="1"/>
  <c r="D12" i="3" s="1"/>
  <c r="F20" i="3"/>
  <c r="F21" i="3" s="1"/>
  <c r="N40" i="1" l="1"/>
  <c r="P20" i="1"/>
  <c r="E15" i="3"/>
  <c r="P21" i="1" l="1"/>
  <c r="F15" i="3"/>
  <c r="Q21" i="1" l="1"/>
  <c r="H21" i="1" l="1"/>
  <c r="H25" i="1" l="1"/>
  <c r="H27" i="1" s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<sst xmlns="http://schemas.openxmlformats.org/spreadsheetml/2006/main" count="230" uniqueCount="174">
  <si>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</si>
  <si>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</si>
  <si>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</si>
  <si>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</si>
  <si>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</si>
  <si>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</si>
  <si>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</si>
  <si>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</si>
  <si>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</si>
  <si>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</si>
  <si>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</si>
  <si>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</si>
  <si>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</si>
  <si>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</si>
  <si>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</si>
  <si>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</si>
  <si>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</si>
  <si>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</si>
  <si>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</si>
  <si>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</si>
  <si>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</si>
  <si>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</si>
  <si>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</si>
  <si>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</si>
  <si>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</si>
  <si>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</si>
  <si>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</si>
  <si>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</si>
  <si>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</si>
  <si>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</si>
  <si>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</si>
  <si>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</si>
  <si>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</si>
  <si>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</si>
  <si>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</si>
  <si>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</si>
  <si>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</si>
  <si>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</si>
  <si>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</si>
  <si>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</si>
  <si>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</si>
  <si>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</si>
  <si>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</si>
  <si>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</si>
  <si>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</si>
  <si>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</si>
  <si>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</si>
  <si>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</si>
  <si>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</si>
  <si>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</si>
  <si>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</si>
  <si>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</si>
  <si>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</si>
  <si>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</si>
  <si>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</si>
  <si>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</si>
  <si>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</si>
  <si>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</si>
  <si>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</si>
  <si>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</si>
  <si>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</si>
  <si>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</si>
  <si>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</si>
  <si>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</si>
  <si>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</si>
  <si>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</si>
  <si>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</si>
  <si>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</si>
  <si>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</si>
  <si>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</si>
  <si>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</si>
  <si>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</si>
  <si>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</si>
  <si>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</si>
  <si>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</si>
  <si>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</si>
  <si>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</si>
  <si>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</si>
  <si>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</si>
  <si>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</si>
  <si>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</si>
  <si>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</si>
  <si>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</si>
  <si>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</si>
  <si>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</si>
  <si>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</si>
  <si>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</si>
  <si>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</si>
  <si>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</si>
  <si>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</si>
  <si>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</si>
  <si>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</si>
  <si>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</si>
  <si>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</si>
  <si>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</si>
  <si>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</si>
  <si>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</si>
  <si>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</si>
  <si>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</si>
  <si>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</si>
  <si>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</si>
  <si>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</si>
  <si>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</si>
  <si>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</si>
  <si>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</si>
  <si>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</si>
  <si>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</si>
  <si>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</si>
  <si>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</si>
  <si>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</si>
  <si>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</si>
  <si>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</si>
  <si>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</si>
  <si>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</si>
  <si>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</si>
  <si>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</si>
  <si>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</si>
  <si>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</si>
  <si>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</si>
  <si>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</si>
  <si>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</si>
  <si>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</si>
  <si>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</si>
  <si>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</si>
  <si>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</si>
  <si>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</si>
  <si>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</si>
  <si>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</si>
  <si>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</si>
  <si>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</si>
  <si>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</si>
  <si>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</si>
  <si>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</si>
  <si>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</si>
  <si>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</si>
  <si>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</si>
  <si>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</si>
  <si>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</si>
  <si>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</si>
  <si>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</si>
  <si>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</si>
  <si>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</si>
  <si>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</si>
  <si>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</si>
  <si>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</si>
  <si>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</si>
  <si>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</si>
  <si>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</si>
  <si>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</si>
  <si>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</si>
  <si>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</si>
  <si>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</si>
  <si>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</si>
  <si>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</si>
  <si>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</si>
  <si>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</si>
  <si>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</si>
  <si>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</si>
  <si>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</si>
  <si>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</si>
  <si>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</si>
  <si>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</si>
  <si>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</si>
  <si>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</si>
  <si>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</si>
  <si>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</si>
  <si>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</si>
  <si>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</si>
  <si>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7  DIAS HABILES</t>
  </si>
  <si>
    <t>FRANCISCO MELLA</t>
  </si>
  <si>
    <t>N° 11050</t>
  </si>
  <si>
    <t>+569 84514974</t>
  </si>
  <si>
    <t>CUB C/R 90° R8</t>
  </si>
  <si>
    <t>MAPLE CLARO 1322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</si>
</sst>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36" fillId="0" borderId="0" xfId="0" quotePrefix="1" applyFont="1"/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24</xdr:row>
      <xdr:rowOff>9525</xdr:rowOff>
    </xdr:from>
    <xdr:to>
      <xdr:col>5</xdr:col>
      <xdr:colOff>1594096</xdr:colOff>
      <xdr:row>27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baseline="0"/>
            <a:t>OBSERVACIONES: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zoomScale="93" zoomScaleNormal="93" workbookViewId="0">
      <selection activeCell="I30" sqref="I30"/>
    </sheetView>
  </sheetViews>
  <sheetFormatPr baseColWidth="10" defaultRowHeight="14.4" x14ac:dyDescent="0.3"/>
  <cols>
    <col min="1" max="1" width="6" customWidth="1"/>
    <col min="2" max="2" width="10.5546875" customWidth="1"/>
    <col min="3" max="3" width="22.21875" customWidth="1"/>
    <col min="4" max="4" width="11.109375" customWidth="1"/>
    <col min="5" max="5" width="10.5546875" customWidth="1"/>
    <col min="6" max="6" width="36.77734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170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169</v>
      </c>
      <c r="D10" s="243"/>
      <c r="E10" s="243"/>
      <c r="F10" s="244" t="s">
        <v>0</v>
      </c>
      <c r="G10" s="277">
        <v>45497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9" t="s">
        <v>171</v>
      </c>
      <c r="D15" s="315"/>
      <c r="F15" t="s">
        <v>135</v>
      </c>
      <c r="G15" s="314" t="s">
        <v>136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164</v>
      </c>
      <c r="H16" s="248"/>
    </row>
    <row r="17" spans="2:24" ht="15" thickBot="1" x14ac:dyDescent="0.35">
      <c r="B17" s="316" t="s">
        <v>13</v>
      </c>
      <c r="C17" s="317" t="s">
        <v>167</v>
      </c>
      <c r="D17" s="318"/>
      <c r="E17" s="119"/>
      <c r="F17" s="331" t="s">
        <v>166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148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98706.666666666672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1</v>
      </c>
      <c r="C21" s="325" t="s">
        <v>172</v>
      </c>
      <c r="D21" s="326">
        <v>2.4500000000000002</v>
      </c>
      <c r="E21" s="326">
        <v>0.6</v>
      </c>
      <c r="F21" s="325" t="s">
        <v>173</v>
      </c>
      <c r="G21" s="327">
        <v>151060</v>
      </c>
      <c r="H21" s="327">
        <f>G21*B21</f>
        <v>151060</v>
      </c>
      <c r="I21" s="265"/>
      <c r="J21" s="47"/>
      <c r="K21" s="47">
        <f>B21</f>
        <v>1</v>
      </c>
      <c r="L21" s="39">
        <f t="shared" ref="L21" si="1">D21+L$19</f>
        <v>2.5</v>
      </c>
      <c r="M21" s="39">
        <f t="shared" ref="M21" si="2">E21+M$19</f>
        <v>0.6</v>
      </c>
      <c r="N21" s="261">
        <f t="shared" ref="N21" si="3">L21*M21</f>
        <v>1.5</v>
      </c>
      <c r="O21" s="259">
        <f t="shared" ref="O21" si="4">N21*K21</f>
        <v>1.5</v>
      </c>
      <c r="P21" s="252">
        <f t="shared" ref="P21" si="5">P$20*N21</f>
        <v>148060</v>
      </c>
      <c r="Q21" s="328">
        <f t="shared" ref="Q21" si="6">P21+Q$20</f>
        <v>151060</v>
      </c>
      <c r="R21" s="298">
        <f>L21*K21*2</f>
        <v>5</v>
      </c>
      <c r="S21" s="46">
        <f>M21*2*K21</f>
        <v>1.2</v>
      </c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30"/>
      <c r="H22" s="330"/>
      <c r="I22" s="265"/>
      <c r="J22" s="47"/>
      <c r="K22" s="47"/>
      <c r="L22" s="39"/>
      <c r="M22" s="39"/>
      <c r="N22" s="261"/>
      <c r="O22" s="259"/>
      <c r="P22" s="252"/>
      <c r="Q22" s="328"/>
      <c r="R22" s="298"/>
      <c r="S22" s="46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30"/>
      <c r="H23" s="330"/>
      <c r="I23" s="265"/>
      <c r="J23" s="47"/>
      <c r="K23" s="47"/>
      <c r="L23" s="39"/>
      <c r="M23" s="39"/>
      <c r="N23" s="261"/>
      <c r="O23" s="259"/>
      <c r="P23" s="252"/>
      <c r="Q23" s="328"/>
      <c r="R23" s="298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29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299" t="s">
        <v>29</v>
      </c>
      <c r="H25" s="300">
        <f>SUM(H21:H24)</f>
        <v>151060</v>
      </c>
      <c r="I25" s="265"/>
      <c r="J25" s="47"/>
      <c r="K25" s="47"/>
      <c r="L25" s="39">
        <f>SUM(L21:L24)</f>
        <v>2.5</v>
      </c>
      <c r="M25" s="39"/>
      <c r="N25" s="261"/>
      <c r="O25" s="259"/>
      <c r="P25" s="252"/>
      <c r="Q25" s="258"/>
      <c r="R25" s="298"/>
      <c r="S25" s="46">
        <f>SUM(S21:S24)</f>
        <v>1.2</v>
      </c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297" t="s">
        <v>52</v>
      </c>
      <c r="H26" s="295"/>
      <c r="I26" s="265"/>
      <c r="J26" s="47"/>
      <c r="K26" s="47"/>
      <c r="L26" s="39"/>
      <c r="M26" s="12"/>
      <c r="N26" s="12"/>
      <c r="O26" s="253">
        <f>SUM(O21:O21)</f>
        <v>1.5</v>
      </c>
      <c r="P26" s="14"/>
      <c r="Q26" s="12"/>
      <c r="R26" s="239"/>
      <c r="S26" s="46">
        <f>S25*20%</f>
        <v>0.24</v>
      </c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296">
        <f>H25+H26</f>
        <v>151060</v>
      </c>
      <c r="I27" s="265"/>
      <c r="J27" s="47"/>
      <c r="K27" s="47"/>
      <c r="L27" s="39"/>
      <c r="M27" s="12"/>
      <c r="N27" s="12"/>
      <c r="O27" s="253">
        <f>O26</f>
        <v>1.5</v>
      </c>
      <c r="P27" s="14"/>
      <c r="Q27" s="12"/>
      <c r="R27" s="239">
        <f>SUM(R21:R26)</f>
        <v>5</v>
      </c>
      <c r="S27" s="46">
        <f>S25+S26</f>
        <v>1.44</v>
      </c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0.30000000000000004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1.8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05" t="s">
        <v>22</v>
      </c>
      <c r="U30" s="302" t="s">
        <v>153</v>
      </c>
      <c r="V30" s="306">
        <v>44971</v>
      </c>
      <c r="W30" s="307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1.8</v>
      </c>
      <c r="M31" s="12">
        <v>3500</v>
      </c>
      <c r="N31" s="12">
        <f t="shared" ref="N31:N36" si="7">L31*M31</f>
        <v>6300</v>
      </c>
      <c r="O31" s="14" t="s">
        <v>22</v>
      </c>
      <c r="P31" s="14"/>
      <c r="Q31" s="14"/>
      <c r="R31" s="241"/>
      <c r="S31" s="14"/>
      <c r="T31" s="305" t="s">
        <v>154</v>
      </c>
      <c r="U31" s="302">
        <v>3625</v>
      </c>
      <c r="V31" s="59" t="s">
        <v>155</v>
      </c>
      <c r="W31" s="307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0.5</v>
      </c>
      <c r="M32" s="12">
        <v>25000</v>
      </c>
      <c r="N32" s="12">
        <f t="shared" si="7"/>
        <v>12500</v>
      </c>
      <c r="O32" s="39" t="s">
        <v>32</v>
      </c>
      <c r="P32" s="42"/>
      <c r="Q32" s="14"/>
      <c r="R32" s="240"/>
      <c r="S32" s="14"/>
      <c r="T32" s="305"/>
      <c r="U32" s="59">
        <v>906.25</v>
      </c>
      <c r="V32" s="59" t="s">
        <v>156</v>
      </c>
      <c r="W32" s="307"/>
    </row>
    <row r="33" spans="2:23" s="230" customFormat="1" ht="17.399999999999999" x14ac:dyDescent="0.35">
      <c r="I33" s="262"/>
      <c r="J33" s="232"/>
      <c r="K33" s="250"/>
      <c r="L33" s="14"/>
      <c r="M33" s="250">
        <v>25000</v>
      </c>
      <c r="N33" s="12">
        <f t="shared" si="7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07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1</v>
      </c>
      <c r="M34" s="250">
        <v>48500</v>
      </c>
      <c r="N34" s="12">
        <f t="shared" si="7"/>
        <v>48500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07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7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294"/>
      <c r="K36" s="250"/>
      <c r="L36" s="266"/>
      <c r="M36" s="12">
        <v>1500</v>
      </c>
      <c r="N36" s="12">
        <f t="shared" si="7"/>
        <v>0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67300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148060</v>
      </c>
      <c r="O38" s="14" t="s">
        <v>141</v>
      </c>
      <c r="P38" s="14"/>
      <c r="Q38" s="40">
        <f>O29/Q37</f>
        <v>0.48533218291630714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57660</v>
      </c>
      <c r="K39" s="250"/>
      <c r="L39" s="14"/>
      <c r="M39" s="12"/>
      <c r="N39" s="12">
        <f>N38/O27</f>
        <v>98706.666666666672</v>
      </c>
      <c r="O39" s="45" t="s">
        <v>25</v>
      </c>
      <c r="P39" s="14"/>
      <c r="Q39" s="14"/>
      <c r="R39"/>
      <c r="S39" s="238"/>
      <c r="T39" s="59" t="s">
        <v>159</v>
      </c>
      <c r="U39" s="302">
        <v>43650</v>
      </c>
    </row>
    <row r="40" spans="2:23" s="230" customFormat="1" ht="17.399999999999999" x14ac:dyDescent="0.35">
      <c r="G40"/>
      <c r="H40" s="230" t="s">
        <v>165</v>
      </c>
      <c r="J40" s="230">
        <f>J39/1.19</f>
        <v>48453.781512605041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161</v>
      </c>
      <c r="U40" s="303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04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230">
        <v>110000</v>
      </c>
      <c r="K42" s="12"/>
      <c r="S42" s="238"/>
      <c r="T42" s="59" t="s">
        <v>157</v>
      </c>
      <c r="U42" s="59">
        <v>474.45</v>
      </c>
    </row>
    <row r="43" spans="2:23" ht="14.4" customHeight="1" x14ac:dyDescent="0.3">
      <c r="J43">
        <f>J42/9</f>
        <v>12222.222222222223</v>
      </c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45497</v>
      </c>
    </row>
    <row r="6" spans="2:31" ht="16.2" thickBot="1" x14ac:dyDescent="0.35">
      <c r="B6" s="140" t="s">
        <v>2</v>
      </c>
      <c r="C6" s="139" t="str">
        <f>'2229'!C10</f>
        <v>FRANCISCO MELLA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99</v>
      </c>
      <c r="I7" s="338"/>
      <c r="J7" s="338"/>
      <c r="K7" s="339"/>
      <c r="N7" s="75"/>
      <c r="O7" s="33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11050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-11802.291700120773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151060</v>
      </c>
      <c r="E11" s="132">
        <f>D11*0.19</f>
        <v>28701.4</v>
      </c>
      <c r="F11" s="131">
        <f>E11+D11</f>
        <v>179761.4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94187.708299879232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48634.090787439614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76187.708299879232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102425.90921256039</v>
      </c>
      <c r="E13" s="221">
        <f>(D11/D12)-1</f>
        <v>2.1060516924275103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67187.708299879232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28187.708299879225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80246.249799275363</v>
      </c>
      <c r="F15" s="216">
        <f>E15-D12</f>
        <v>31612.159011835749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28187.708299879225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68187.708299879232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6300</v>
      </c>
      <c r="E20" s="121">
        <f>D20*0.19</f>
        <v>1197</v>
      </c>
      <c r="F20" s="120">
        <f>SUM(D20:E20)</f>
        <v>7497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18800</v>
      </c>
      <c r="E21" s="116">
        <f>SUM(E18:E20)</f>
        <v>3572</v>
      </c>
      <c r="F21" s="115">
        <f>SUM(F18:F20)</f>
        <v>22372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25129.4</v>
      </c>
    </row>
    <row r="41" spans="2:16" ht="15" thickBot="1" x14ac:dyDescent="0.35">
      <c r="H41" s="340" t="s">
        <v>61</v>
      </c>
      <c r="I41" s="341"/>
      <c r="J41" s="341"/>
      <c r="K41" s="341"/>
      <c r="L41" s="341"/>
      <c r="M41" s="34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151060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18800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102425.90921256039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102425.90921256039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2024-06-13T20:03:18Z</cp:lastPrinted>
  <dcterms:created xsi:type="dcterms:W3CDTF">2013-03-18T13:35:42Z</dcterms:created>
  <dcterms:modified xsi:type="dcterms:W3CDTF">2024-07-24T18:26:45Z</dcterms:modified>
</cp:coreProperties>
</file>