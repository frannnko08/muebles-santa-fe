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762E2B57-6B05-46D5-97AD-0504EE7040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L26" i="1"/>
  <c r="O27" i="1"/>
  <c r="K22" i="1"/>
  <c r="L22" i="1"/>
  <c r="M22" i="1"/>
  <c r="N22" i="1"/>
  <c r="O22" i="1" s="1"/>
  <c r="K23" i="1"/>
  <c r="L23" i="1"/>
  <c r="N23" i="1" s="1"/>
  <c r="M23" i="1"/>
  <c r="K24" i="1"/>
  <c r="L24" i="1"/>
  <c r="N24" i="1" s="1"/>
  <c r="M24" i="1"/>
  <c r="K21" i="1"/>
  <c r="L21" i="1"/>
  <c r="M21" i="1"/>
  <c r="O23" i="1" l="1"/>
  <c r="O24" i="1"/>
  <c r="N21" i="1"/>
  <c r="O21" i="1" s="1"/>
  <c r="R21" i="1"/>
  <c r="J41" i="1"/>
  <c r="S26" i="1" l="1"/>
  <c r="S27" i="1" s="1"/>
  <c r="S28" i="1" s="1"/>
  <c r="R28" i="1"/>
  <c r="U34" i="1"/>
  <c r="U35" i="1" s="1"/>
  <c r="O28" i="1" l="1"/>
  <c r="O29" i="1" s="1"/>
  <c r="N33" i="1"/>
  <c r="O30" i="1" l="1"/>
  <c r="M20" i="1"/>
  <c r="K20" i="1"/>
  <c r="L32" i="1" l="1"/>
  <c r="N34" i="1"/>
  <c r="Q38" i="1"/>
  <c r="Q39" i="1" s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N38" i="1" s="1"/>
  <c r="N39" i="1" s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3" i="1" l="1"/>
  <c r="P22" i="1"/>
  <c r="P24" i="1"/>
  <c r="P21" i="1"/>
  <c r="F15" i="3"/>
  <c r="Q23" i="1" l="1"/>
  <c r="H23" i="1"/>
  <c r="Q24" i="1"/>
  <c r="H24" i="1"/>
  <c r="H22" i="1"/>
  <c r="Q22" i="1"/>
  <c r="Q21" i="1"/>
  <c r="H21" i="1"/>
  <c r="H27" i="1" l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<sst xmlns="http://schemas.openxmlformats.org/spreadsheetml/2006/main" count="237" uniqueCount="175">
  <si>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</si>
  <si>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</si>
  <si>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</si>
  <si>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</si>
  <si>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</si>
  <si>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</si>
  <si>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</si>
  <si>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</si>
  <si>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</si>
  <si>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</si>
  <si>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</si>
  <si>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</si>
  <si>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</si>
  <si>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</si>
  <si>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</si>
  <si>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</si>
  <si>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</si>
  <si>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</si>
  <si>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</si>
  <si>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</si>
  <si>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</si>
  <si>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</si>
  <si>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</si>
  <si>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</si>
  <si>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</si>
  <si>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</si>
  <si>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</si>
  <si>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</si>
  <si>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</si>
  <si>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</si>
  <si>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</si>
  <si>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</si>
  <si>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</si>
  <si>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</si>
  <si>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</si>
  <si>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</si>
  <si>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</si>
  <si>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</si>
  <si>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</si>
  <si>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</si>
  <si>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</si>
  <si>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</si>
  <si>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</si>
  <si>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</si>
  <si>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</si>
  <si>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</si>
  <si>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</si>
  <si>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</si>
  <si>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</si>
  <si>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</si>
  <si>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</si>
  <si>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</si>
  <si>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</si>
  <si>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</si>
  <si>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</si>
  <si>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</si>
  <si>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</si>
  <si>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</si>
  <si>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</si>
  <si>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</si>
  <si>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</si>
  <si>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</si>
  <si>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</si>
  <si>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</si>
  <si>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</si>
  <si>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</si>
  <si>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</si>
  <si>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</si>
  <si>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</si>
  <si>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</si>
  <si>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</si>
  <si>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</si>
  <si>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</si>
  <si>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</si>
  <si>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</si>
  <si>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</si>
  <si>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</si>
  <si>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</si>
  <si>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</si>
  <si>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</si>
  <si>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</si>
  <si>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</si>
  <si>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</si>
  <si>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</si>
  <si>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</si>
  <si>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</si>
  <si>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</si>
  <si>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</si>
  <si>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</si>
  <si>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</si>
  <si>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</si>
  <si>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</si>
  <si>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</si>
  <si>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</si>
  <si>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</si>
  <si>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</si>
  <si>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</si>
  <si>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</si>
  <si>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</si>
  <si>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</si>
  <si>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</si>
  <si>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</si>
  <si>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</si>
  <si>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</si>
  <si>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</si>
  <si>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</si>
  <si>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</si>
  <si>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</si>
  <si>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</si>
  <si>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</si>
  <si>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</si>
  <si>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</si>
  <si>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</si>
  <si>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</si>
  <si>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</si>
  <si>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</si>
  <si>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</si>
  <si>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</si>
  <si>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</si>
  <si>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</si>
  <si>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</si>
  <si>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</si>
  <si>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</si>
  <si>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</si>
  <si>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</si>
  <si>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</si>
  <si>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</si>
  <si>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</si>
  <si>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</si>
  <si>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</si>
  <si>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</si>
  <si>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</si>
  <si>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</si>
  <si>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</si>
  <si>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</si>
  <si>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</si>
  <si>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</si>
  <si>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</si>
  <si>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</si>
  <si>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</si>
  <si>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</si>
  <si>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</si>
  <si>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</si>
  <si>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</si>
  <si>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</si>
  <si>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</si>
  <si>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</si>
  <si>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</si>
  <si>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</si>
  <si>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</si>
  <si>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</si>
  <si>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</si>
  <si>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</si>
  <si>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</si>
  <si>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</si>
  <si>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</si>
  <si>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</si>
  <si>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</si>
  <si>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</si>
  <si>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</si>
  <si>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</si>
  <si>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</si>
  <si>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</si>
  <si>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</si>
  <si>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</si>
  <si>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</si>
  <si>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</si>
  <si>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</si>
  <si>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</si>
  <si>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5 DIAS HABILES</t>
  </si>
  <si>
    <t>N° 11039</t>
  </si>
  <si>
    <t>CARLOS VENTURA</t>
  </si>
  <si>
    <t>+569 6395 3717</t>
  </si>
  <si>
    <t>CUBIERTA C/RESPALDO 90° R8</t>
  </si>
  <si>
    <t>COLOR MARMOLES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</si>
</sst>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41" fontId="22" fillId="0" borderId="4" xfId="4" applyFont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2" fillId="0" borderId="31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166" fontId="11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1966452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837186"/>
          <a:ext cx="6444226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SOBRE 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3" zoomScaleNormal="93" workbookViewId="0">
      <selection activeCell="F21" sqref="F21:F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171</v>
      </c>
      <c r="D10" s="243"/>
      <c r="E10" s="243"/>
      <c r="F10" s="244" t="s">
        <v>0</v>
      </c>
      <c r="G10" s="277">
        <v>45491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172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4" t="s">
        <v>166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82385.045045045059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9">
        <v>1</v>
      </c>
      <c r="C21" s="330" t="s">
        <v>173</v>
      </c>
      <c r="D21" s="331">
        <v>2.2000000000000002</v>
      </c>
      <c r="E21" s="331">
        <v>0.6</v>
      </c>
      <c r="F21" s="330" t="s">
        <v>174</v>
      </c>
      <c r="G21" s="332">
        <v>114220</v>
      </c>
      <c r="H21" s="333">
        <f t="shared" ref="H21" si="1">G21*B21</f>
        <v>114220</v>
      </c>
      <c r="I21" s="265"/>
      <c r="J21" s="47"/>
      <c r="K21" s="47">
        <f t="shared" ref="K21" si="2">B21</f>
        <v>1</v>
      </c>
      <c r="L21" s="39">
        <f t="shared" ref="L21" si="3">D21+L$19</f>
        <v>2.25</v>
      </c>
      <c r="M21" s="39">
        <f t="shared" ref="M21" si="4">E21+M$19</f>
        <v>0.6</v>
      </c>
      <c r="N21" s="261">
        <f t="shared" ref="N21" si="5">L21*M21</f>
        <v>1.3499999999999999</v>
      </c>
      <c r="O21" s="259">
        <f t="shared" ref="O21" si="6">N21*K21</f>
        <v>1.3499999999999999</v>
      </c>
      <c r="P21" s="252">
        <f t="shared" ref="P21" si="7">P$20*N21</f>
        <v>111219.81081081081</v>
      </c>
      <c r="Q21" s="324">
        <f t="shared" ref="Q21" si="8">P21+Q$20</f>
        <v>114219.81081081081</v>
      </c>
      <c r="R21" s="298">
        <f t="shared" ref="R21" si="9">L21*K21*2</f>
        <v>4.5</v>
      </c>
      <c r="S21" s="14"/>
      <c r="T21" s="9"/>
      <c r="W21" s="4"/>
    </row>
    <row r="22" spans="2:24" ht="18" thickBot="1" x14ac:dyDescent="0.35">
      <c r="B22" s="329">
        <v>1</v>
      </c>
      <c r="C22" s="330" t="s">
        <v>173</v>
      </c>
      <c r="D22" s="331">
        <v>1.8</v>
      </c>
      <c r="E22" s="331">
        <v>0.6</v>
      </c>
      <c r="F22" s="330" t="s">
        <v>174</v>
      </c>
      <c r="G22" s="332">
        <v>94447</v>
      </c>
      <c r="H22" s="333">
        <f t="shared" ref="H22:H24" si="10">G22*B22</f>
        <v>94447</v>
      </c>
      <c r="I22" s="265"/>
      <c r="J22" s="47"/>
      <c r="K22" s="47">
        <f t="shared" ref="K22:K24" si="11">B22</f>
        <v>1</v>
      </c>
      <c r="L22" s="39">
        <f t="shared" ref="L22:L24" si="12">D22+L$19</f>
        <v>1.85</v>
      </c>
      <c r="M22" s="39">
        <f t="shared" ref="M22:M24" si="13">E22+M$19</f>
        <v>0.6</v>
      </c>
      <c r="N22" s="261">
        <f t="shared" ref="N22:N24" si="14">L22*M22</f>
        <v>1.1100000000000001</v>
      </c>
      <c r="O22" s="259">
        <f t="shared" ref="O22:O24" si="15">N22*K22</f>
        <v>1.1100000000000001</v>
      </c>
      <c r="P22" s="252">
        <f t="shared" ref="P22:P24" si="16">P$20*N22</f>
        <v>91447.400000000023</v>
      </c>
      <c r="Q22" s="324">
        <f t="shared" ref="Q22:Q24" si="17">P22+Q$20</f>
        <v>94447.400000000023</v>
      </c>
      <c r="R22" s="298"/>
      <c r="S22" s="14"/>
      <c r="T22" s="9"/>
      <c r="W22" s="4"/>
    </row>
    <row r="23" spans="2:24" ht="18" thickBot="1" x14ac:dyDescent="0.35">
      <c r="B23" s="329">
        <v>1</v>
      </c>
      <c r="C23" s="330" t="s">
        <v>173</v>
      </c>
      <c r="D23" s="331">
        <v>1.7</v>
      </c>
      <c r="E23" s="331">
        <v>0.6</v>
      </c>
      <c r="F23" s="330" t="s">
        <v>174</v>
      </c>
      <c r="G23" s="332">
        <v>89504</v>
      </c>
      <c r="H23" s="333">
        <f t="shared" si="10"/>
        <v>89504</v>
      </c>
      <c r="I23" s="265"/>
      <c r="J23" s="47"/>
      <c r="K23" s="47">
        <f t="shared" si="11"/>
        <v>1</v>
      </c>
      <c r="L23" s="39">
        <f t="shared" si="12"/>
        <v>1.75</v>
      </c>
      <c r="M23" s="39">
        <f t="shared" si="13"/>
        <v>0.6</v>
      </c>
      <c r="N23" s="261">
        <f t="shared" si="14"/>
        <v>1.05</v>
      </c>
      <c r="O23" s="259">
        <f t="shared" si="15"/>
        <v>1.05</v>
      </c>
      <c r="P23" s="252">
        <f t="shared" si="16"/>
        <v>86504.297297297322</v>
      </c>
      <c r="Q23" s="324">
        <f t="shared" si="17"/>
        <v>89504.297297297322</v>
      </c>
      <c r="R23" s="298"/>
      <c r="S23" s="14"/>
      <c r="T23" s="9"/>
      <c r="W23" s="4"/>
    </row>
    <row r="24" spans="2:24" ht="18" thickBot="1" x14ac:dyDescent="0.35">
      <c r="B24" s="329">
        <v>1</v>
      </c>
      <c r="C24" s="330" t="s">
        <v>173</v>
      </c>
      <c r="D24" s="331">
        <v>1.5</v>
      </c>
      <c r="E24" s="331">
        <v>0.6</v>
      </c>
      <c r="F24" s="330" t="s">
        <v>174</v>
      </c>
      <c r="G24" s="332">
        <v>79618</v>
      </c>
      <c r="H24" s="333">
        <f t="shared" si="10"/>
        <v>79618</v>
      </c>
      <c r="I24" s="265"/>
      <c r="J24" s="47"/>
      <c r="K24" s="47">
        <f t="shared" si="11"/>
        <v>1</v>
      </c>
      <c r="L24" s="39">
        <f t="shared" si="12"/>
        <v>1.55</v>
      </c>
      <c r="M24" s="39">
        <f t="shared" si="13"/>
        <v>0.6</v>
      </c>
      <c r="N24" s="261">
        <f t="shared" si="14"/>
        <v>0.92999999999999994</v>
      </c>
      <c r="O24" s="259">
        <f t="shared" si="15"/>
        <v>0.92999999999999994</v>
      </c>
      <c r="P24" s="252">
        <f t="shared" si="16"/>
        <v>76618.091891891905</v>
      </c>
      <c r="Q24" s="324">
        <f t="shared" si="17"/>
        <v>79618.091891891905</v>
      </c>
      <c r="R24" s="29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325"/>
      <c r="H25" s="326"/>
      <c r="I25" s="233"/>
      <c r="J25" s="47"/>
      <c r="K25" s="47"/>
      <c r="L25" s="39"/>
      <c r="M25" s="39"/>
      <c r="N25" s="261"/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27" t="s">
        <v>29</v>
      </c>
      <c r="H26" s="328">
        <f>SUM(H21:H24)</f>
        <v>377789</v>
      </c>
      <c r="I26" s="265"/>
      <c r="J26" s="47"/>
      <c r="K26" s="47"/>
      <c r="L26" s="39">
        <f>SUM(L21:L25)</f>
        <v>7.3999999999999995</v>
      </c>
      <c r="M26" s="39"/>
      <c r="N26" s="261"/>
      <c r="O26" s="259"/>
      <c r="P26" s="252"/>
      <c r="Q26" s="258"/>
      <c r="R26" s="298"/>
      <c r="S26" s="46">
        <f>SUM(S25:S25)</f>
        <v>0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H26*0.19</f>
        <v>71779.91</v>
      </c>
      <c r="I27" s="265"/>
      <c r="J27" s="47"/>
      <c r="K27" s="47"/>
      <c r="L27" s="39"/>
      <c r="M27" s="12"/>
      <c r="N27" s="12"/>
      <c r="O27" s="253">
        <f>SUM(O21:O24)</f>
        <v>4.4399999999999995</v>
      </c>
      <c r="P27" s="14"/>
      <c r="Q27" s="12"/>
      <c r="R27" s="239"/>
      <c r="S27" s="46">
        <f>S26*20%</f>
        <v>0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449568.91000000003</v>
      </c>
      <c r="I28" s="265"/>
      <c r="J28" s="47"/>
      <c r="K28" s="47"/>
      <c r="L28" s="39"/>
      <c r="M28" s="12"/>
      <c r="N28" s="12"/>
      <c r="O28" s="253">
        <f>O27</f>
        <v>4.4399999999999995</v>
      </c>
      <c r="P28" s="14"/>
      <c r="Q28" s="12"/>
      <c r="R28" s="239">
        <f>SUM(R25:R27)</f>
        <v>0</v>
      </c>
      <c r="S28" s="46">
        <f>S26+S27</f>
        <v>0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0.8879999999999999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5.3279999999999994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3" t="s">
        <v>22</v>
      </c>
      <c r="U31" s="300" t="s">
        <v>153</v>
      </c>
      <c r="V31" s="304">
        <v>44971</v>
      </c>
      <c r="W31" s="305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5.3279999999999994</v>
      </c>
      <c r="M32" s="12">
        <v>3500</v>
      </c>
      <c r="N32" s="12">
        <f t="shared" ref="N32:N37" si="18">L32*M32</f>
        <v>18647.999999999996</v>
      </c>
      <c r="O32" s="14" t="s">
        <v>22</v>
      </c>
      <c r="P32" s="14"/>
      <c r="Q32" s="14"/>
      <c r="R32" s="241"/>
      <c r="S32" s="14"/>
      <c r="T32" s="303" t="s">
        <v>154</v>
      </c>
      <c r="U32" s="300">
        <v>3625</v>
      </c>
      <c r="V32" s="59" t="s">
        <v>155</v>
      </c>
      <c r="W32" s="305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 t="s">
        <v>167</v>
      </c>
      <c r="K33" s="47"/>
      <c r="L33" s="249">
        <v>2</v>
      </c>
      <c r="M33" s="12">
        <v>25000</v>
      </c>
      <c r="N33" s="12">
        <f t="shared" si="18"/>
        <v>50000</v>
      </c>
      <c r="O33" s="39" t="s">
        <v>32</v>
      </c>
      <c r="P33" s="42"/>
      <c r="Q33" s="14"/>
      <c r="R33" s="240"/>
      <c r="S33" s="14"/>
      <c r="T33" s="303"/>
      <c r="U33" s="59">
        <v>906.25</v>
      </c>
      <c r="V33" s="59" t="s">
        <v>156</v>
      </c>
      <c r="W33" s="305"/>
    </row>
    <row r="34" spans="2:23" s="230" customFormat="1" ht="17.399999999999999" x14ac:dyDescent="0.35">
      <c r="I34" s="262"/>
      <c r="J34" s="232">
        <v>40754</v>
      </c>
      <c r="K34" s="250">
        <v>34989</v>
      </c>
      <c r="L34" s="14"/>
      <c r="M34" s="250">
        <v>87500</v>
      </c>
      <c r="N34" s="12">
        <f t="shared" si="18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5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>
        <v>26644</v>
      </c>
      <c r="K35" s="250">
        <v>22025</v>
      </c>
      <c r="L35" s="14">
        <v>4</v>
      </c>
      <c r="M35" s="250">
        <v>21630</v>
      </c>
      <c r="N35" s="12">
        <f t="shared" si="18"/>
        <v>86520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5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8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K37" s="250"/>
      <c r="L37" s="266">
        <v>7.4</v>
      </c>
      <c r="M37" s="12">
        <v>1500</v>
      </c>
      <c r="N37" s="12">
        <f t="shared" si="18"/>
        <v>11100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166268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365789.60000000003</v>
      </c>
      <c r="O39" s="14" t="s">
        <v>141</v>
      </c>
      <c r="P39" s="14"/>
      <c r="Q39" s="40">
        <f>O30/Q38</f>
        <v>1.4365832614322691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104070</v>
      </c>
      <c r="K40" s="250"/>
      <c r="L40" s="14"/>
      <c r="M40" s="12"/>
      <c r="N40" s="12">
        <f>N39/O28</f>
        <v>82385.045045045059</v>
      </c>
      <c r="O40" s="45" t="s">
        <v>25</v>
      </c>
      <c r="P40" s="14"/>
      <c r="Q40" s="14"/>
      <c r="R40"/>
      <c r="S40" s="238"/>
      <c r="T40" s="59" t="s">
        <v>159</v>
      </c>
      <c r="U40" s="300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87453.781512605041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01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2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45491</v>
      </c>
    </row>
    <row r="6" spans="2:31" ht="16.2" thickBot="1" x14ac:dyDescent="0.35">
      <c r="B6" s="140" t="s">
        <v>2</v>
      </c>
      <c r="C6" s="139" t="str">
        <f>'2229'!C10</f>
        <v>CARLOS VENTURA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11039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-35882.258366787442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377789</v>
      </c>
      <c r="E11" s="132">
        <f>D11*0.19</f>
        <v>71779.91</v>
      </c>
      <c r="F11" s="131">
        <f>E11+D11</f>
        <v>449568.91000000003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70107.741633212558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98482.090787439607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52107.741633212558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279306.90921256039</v>
      </c>
      <c r="E13" s="221">
        <f>(D11/D12)-1</f>
        <v>2.8361188006802873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43107.741633212558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4107.7416332125576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162495.44979927535</v>
      </c>
      <c r="F15" s="216">
        <f>E15-D12</f>
        <v>64013.359011835739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4107.7416332125576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44107.741633212558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18647.999999999996</v>
      </c>
      <c r="E20" s="121">
        <f>D20*0.19</f>
        <v>3543.1199999999994</v>
      </c>
      <c r="F20" s="120">
        <f>SUM(D20:E20)</f>
        <v>22191.119999999995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68648</v>
      </c>
      <c r="E21" s="116">
        <f>SUM(E18:E20)</f>
        <v>13043.119999999999</v>
      </c>
      <c r="F21" s="115">
        <f>SUM(F18:F20)</f>
        <v>81691.12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58736.790000000008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377789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68648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279306.90921256039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279306.90921256039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2024-07-15T19:36:55Z</cp:lastPrinted>
  <dcterms:created xsi:type="dcterms:W3CDTF">2013-03-18T13:35:42Z</dcterms:created>
  <dcterms:modified xsi:type="dcterms:W3CDTF">2024-07-18T12:53:01Z</dcterms:modified>
</cp:coreProperties>
</file>