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47C777A0-9AC9-4F6F-B878-81689B784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L25" i="1" s="1"/>
  <c r="M21" i="1"/>
  <c r="R21" i="1" l="1"/>
  <c r="R27" i="1" s="1"/>
  <c r="N21" i="1"/>
  <c r="O21" i="1" s="1"/>
  <c r="O26" i="1" l="1"/>
  <c r="J39" i="1"/>
  <c r="N32" i="1" l="1"/>
  <c r="O27" i="1" l="1"/>
  <c r="O28" i="1" s="1"/>
  <c r="O29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H23" i="1" s="1"/>
  <c r="K15" i="1" l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<sst xmlns="http://schemas.openxmlformats.org/spreadsheetml/2006/main" count="219" uniqueCount="164">
  <si>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</si>
  <si>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</si>
  <si>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</si>
  <si>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</si>
  <si>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</si>
  <si>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</si>
  <si>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</si>
  <si>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</si>
  <si>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</si>
  <si>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</si>
  <si>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</si>
  <si>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</si>
  <si>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</si>
  <si>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</si>
  <si>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</si>
  <si>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</si>
  <si>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</si>
  <si>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</si>
  <si>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</si>
  <si>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</si>
  <si>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</si>
  <si>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</si>
  <si>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</si>
  <si>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</si>
  <si>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</si>
  <si>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</si>
  <si>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</si>
  <si>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</si>
  <si>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</si>
  <si>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</si>
  <si>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</si>
  <si>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</si>
  <si>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</si>
  <si>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</si>
  <si>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</si>
  <si>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</si>
  <si>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</si>
  <si>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</si>
  <si>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</si>
  <si>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</si>
  <si>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</si>
  <si>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</si>
  <si>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</si>
  <si>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</si>
  <si>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</si>
  <si>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</si>
  <si>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</si>
  <si>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</si>
  <si>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</si>
  <si>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</si>
  <si>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</si>
  <si>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</si>
  <si>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</si>
  <si>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</si>
  <si>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</si>
  <si>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</si>
  <si>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</si>
  <si>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</si>
  <si>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</si>
  <si>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</si>
  <si>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</si>
  <si>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</si>
  <si>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</si>
  <si>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</si>
  <si>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</si>
  <si>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</si>
  <si>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</si>
  <si>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</si>
  <si>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</si>
  <si>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</si>
  <si>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</si>
  <si>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</si>
  <si>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</si>
  <si>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</si>
  <si>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</si>
  <si>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</si>
  <si>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</si>
  <si>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</si>
  <si>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</si>
  <si>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</si>
  <si>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</si>
  <si>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</si>
  <si>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</si>
  <si>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</si>
  <si>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</si>
  <si>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</si>
  <si>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</si>
  <si>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</si>
  <si>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</si>
  <si>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</si>
  <si>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</si>
  <si>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</si>
  <si>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</si>
  <si>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</si>
  <si>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</si>
  <si>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</si>
  <si>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</si>
  <si>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</si>
  <si>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</si>
  <si>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</si>
  <si>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</si>
  <si>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</si>
  <si>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</si>
  <si>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</si>
  <si>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</si>
  <si>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</si>
  <si>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</si>
  <si>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</si>
  <si>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</si>
  <si>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</si>
  <si>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</si>
  <si>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</si>
  <si>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</si>
  <si>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</si>
  <si>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</si>
  <si>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</si>
  <si>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</si>
  <si>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</si>
  <si>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</si>
  <si>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</si>
  <si>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</si>
  <si>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</si>
  <si>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</si>
  <si>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</si>
  <si>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</si>
  <si>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</si>
  <si>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</si>
  <si>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</si>
  <si>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</si>
  <si>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</si>
  <si>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</si>
  <si>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</si>
  <si>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</si>
  <si>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</si>
  <si>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</si>
  <si>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</si>
  <si>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</si>
  <si>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</si>
  <si>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</si>
  <si>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</si>
  <si>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</si>
  <si>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</si>
  <si>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</si>
  <si>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</si>
  <si>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</si>
  <si>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</si>
  <si>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</si>
  <si>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</si>
  <si>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</si>
  <si>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</si>
  <si>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</si>
  <si>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</si>
  <si>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</si>
  <si>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</si>
  <si>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</si>
  <si>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</si>
  <si>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</si>
  <si>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</si>
  <si>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MUEBLES ME SPA</t>
  </si>
  <si>
    <t>CHRISTIAN HERNANDEZ</t>
  </si>
  <si>
    <t>+569 50156493</t>
  </si>
  <si>
    <t>5 DIAS HABILES</t>
  </si>
  <si>
    <t>CUB C/R 90° R8 FALDON 20 CMS</t>
  </si>
  <si>
    <t>NEGRO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</si>
</sst>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7776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26</xdr:row>
      <xdr:rowOff>9525</xdr:rowOff>
    </xdr:from>
    <xdr:to>
      <xdr:col>5</xdr:col>
      <xdr:colOff>1679511</xdr:colOff>
      <xdr:row>29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225489</xdr:rowOff>
    </xdr:from>
    <xdr:to>
      <xdr:col>5</xdr:col>
      <xdr:colOff>1656183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RESPALDO DE 10 CMS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3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>
        <v>11055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45506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161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159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H23/L13</f>
        <v>7836.5069739235905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157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5" t="s">
        <v>154</v>
      </c>
      <c r="G17" s="325"/>
      <c r="H17" s="326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>
        <v>0.2</v>
      </c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57439.772468714458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18">
        <v>2</v>
      </c>
      <c r="C21" s="324" t="s">
        <v>162</v>
      </c>
      <c r="D21" s="320">
        <v>2.88</v>
      </c>
      <c r="E21" s="320">
        <v>0.55000000000000004</v>
      </c>
      <c r="F21" s="319" t="s">
        <v>163</v>
      </c>
      <c r="G21" s="321">
        <v>129224</v>
      </c>
      <c r="H21" s="322">
        <f t="shared" ref="H21" si="1">G21*B21</f>
        <v>258448</v>
      </c>
      <c r="I21" s="265"/>
      <c r="J21" s="47"/>
      <c r="K21" s="47">
        <f t="shared" ref="K21" si="2">B21</f>
        <v>2</v>
      </c>
      <c r="L21" s="39">
        <f t="shared" ref="L21" si="3">D21+L$19</f>
        <v>2.9299999999999997</v>
      </c>
      <c r="M21" s="39">
        <f t="shared" ref="M21" si="4">E21+M$19</f>
        <v>0.75</v>
      </c>
      <c r="N21" s="261">
        <f t="shared" ref="N21" si="5">L21*M21</f>
        <v>2.1974999999999998</v>
      </c>
      <c r="O21" s="259">
        <f t="shared" ref="O21" si="6">N21*K21</f>
        <v>4.3949999999999996</v>
      </c>
      <c r="P21" s="252">
        <f t="shared" ref="P21" si="7">P$20*N21</f>
        <v>126223.90000000001</v>
      </c>
      <c r="Q21" s="258">
        <f t="shared" ref="Q21" si="8">P21+Q$20</f>
        <v>129223.90000000001</v>
      </c>
      <c r="R21" s="307">
        <f t="shared" ref="R21" si="9">K21*L21</f>
        <v>5.8599999999999994</v>
      </c>
      <c r="S21" s="14"/>
      <c r="T21" s="9"/>
      <c r="W21" s="4"/>
    </row>
    <row r="22" spans="1:24" ht="18" thickBot="1" x14ac:dyDescent="0.35">
      <c r="B22" s="285"/>
      <c r="C22" s="285"/>
      <c r="D22" s="286"/>
      <c r="E22" s="286"/>
      <c r="F22" s="285"/>
      <c r="G22" s="323"/>
      <c r="H22" s="323"/>
      <c r="I22" s="232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08" t="s">
        <v>30</v>
      </c>
      <c r="H23" s="309">
        <f>SUM(H21:H22)</f>
        <v>258448</v>
      </c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H23*0.19</f>
        <v>49105.120000000003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307553.12</v>
      </c>
      <c r="I25" s="265"/>
      <c r="J25" s="47"/>
      <c r="K25" s="47"/>
      <c r="L25" s="39">
        <f>SUM(L21:L21)*2</f>
        <v>5.8599999999999994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39"/>
      <c r="M26" s="12"/>
      <c r="N26" s="12"/>
      <c r="O26" s="253">
        <f>SUM(O21:O22)</f>
        <v>4.3949999999999996</v>
      </c>
      <c r="P26" s="14"/>
      <c r="Q26" s="12"/>
      <c r="R26" s="238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4"/>
      <c r="I27" s="265"/>
      <c r="J27" s="47"/>
      <c r="K27" s="47"/>
      <c r="L27" s="39"/>
      <c r="M27" s="12"/>
      <c r="N27" s="12"/>
      <c r="O27" s="253">
        <f>O26</f>
        <v>4.3949999999999996</v>
      </c>
      <c r="P27" s="14"/>
      <c r="Q27" s="12"/>
      <c r="R27" s="238">
        <f>SUM(R21:R26)</f>
        <v>5.8599999999999994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47"/>
      <c r="K28" s="47"/>
      <c r="L28" s="14"/>
      <c r="M28" s="12"/>
      <c r="N28" s="12"/>
      <c r="O28" s="39">
        <f>O27*0.2</f>
        <v>0.879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2"/>
      <c r="K29" s="47"/>
      <c r="L29" s="14"/>
      <c r="M29" s="12"/>
      <c r="N29" s="12"/>
      <c r="O29" s="46">
        <f>O27+O28</f>
        <v>5.2739999999999991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A31" s="230"/>
      <c r="B31" s="24" t="s">
        <v>155</v>
      </c>
      <c r="C31" s="230"/>
      <c r="D31" s="230"/>
      <c r="E31" s="230"/>
      <c r="F31" s="230"/>
      <c r="G31" s="230"/>
      <c r="H31" s="230"/>
      <c r="I31" s="265"/>
      <c r="J31" s="47"/>
      <c r="K31" s="47"/>
      <c r="L31" s="39">
        <f>O29</f>
        <v>5.2739999999999991</v>
      </c>
      <c r="M31" s="12">
        <v>3500</v>
      </c>
      <c r="N31" s="12">
        <f t="shared" ref="N31:N36" si="10">L31*M31</f>
        <v>18458.999999999996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4" t="s">
        <v>156</v>
      </c>
      <c r="G32" s="230"/>
      <c r="H32" s="230"/>
      <c r="I32" s="265"/>
      <c r="J32" s="47"/>
      <c r="K32" s="47"/>
      <c r="L32" s="249">
        <v>1.5</v>
      </c>
      <c r="M32" s="12">
        <v>25000</v>
      </c>
      <c r="N32" s="12">
        <f t="shared" si="10"/>
        <v>37500</v>
      </c>
      <c r="O32" s="39" t="s">
        <v>152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47"/>
      <c r="K33" s="250"/>
      <c r="L33" s="14"/>
      <c r="M33" s="250">
        <v>23500</v>
      </c>
      <c r="N33" s="12">
        <f t="shared" si="10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I34" s="262"/>
      <c r="J34" s="311"/>
      <c r="K34" s="250"/>
      <c r="L34" s="14">
        <v>2</v>
      </c>
      <c r="M34" s="250">
        <v>25000</v>
      </c>
      <c r="N34" s="12">
        <f t="shared" si="10"/>
        <v>50000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I35" s="262"/>
      <c r="J35" s="311"/>
      <c r="K35" s="250"/>
      <c r="L35" s="249"/>
      <c r="M35" s="250">
        <v>800</v>
      </c>
      <c r="N35" s="12">
        <f t="shared" si="10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>
        <v>5.86</v>
      </c>
      <c r="M36" s="12">
        <v>1500</v>
      </c>
      <c r="N36" s="12">
        <f t="shared" si="10"/>
        <v>8790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114749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N37*2.2</f>
        <v>252447.80000000002</v>
      </c>
      <c r="O38" s="14" t="s">
        <v>142</v>
      </c>
      <c r="P38" s="14"/>
      <c r="Q38" s="46">
        <f>O29/Q37</f>
        <v>1.4220232959447796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57439.772468714458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1.1527868852459013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45506</v>
      </c>
    </row>
    <row r="6" spans="2:31" ht="16.2" thickBot="1" x14ac:dyDescent="0.35">
      <c r="B6" s="140" t="s">
        <v>2</v>
      </c>
      <c r="C6" s="139" t="str">
        <f>'2229'!C10</f>
        <v>MUEBLES ME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>
        <f>'2229'!D8</f>
        <v>11055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-19481.566700120777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258448</v>
      </c>
      <c r="E11" s="132">
        <f>D11*0.19</f>
        <v>49105.120000000003</v>
      </c>
      <c r="F11" s="131">
        <f>E11+D11</f>
        <v>307553.12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86508.433299879223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85793.090787439607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68508.433299879223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172654.90921256039</v>
      </c>
      <c r="E13" s="221">
        <f>(D11/D12)-1</f>
        <v>2.0124570362003746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59508.433299879223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20508.433299879223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141558.59979927534</v>
      </c>
      <c r="F15" s="216">
        <f>E15-D12</f>
        <v>55765.509011835733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20508.433299879223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60508.433299879223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18458.999999999996</v>
      </c>
      <c r="E20" s="121">
        <f>D20*0.19</f>
        <v>3507.2099999999991</v>
      </c>
      <c r="F20" s="120">
        <f>SUM(D20:E20)</f>
        <v>21966.209999999995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55959</v>
      </c>
      <c r="E21" s="116">
        <f>SUM(E18:E20)</f>
        <v>10632.21</v>
      </c>
      <c r="F21" s="115">
        <f>SUM(F18:F20)</f>
        <v>66591.209999999992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38472.910000000003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258448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55959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172654.90921256039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172654.90921256039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2024-07-02T20:57:46Z</cp:lastPrinted>
  <dcterms:created xsi:type="dcterms:W3CDTF">2013-03-18T13:35:42Z</dcterms:created>
  <dcterms:modified xsi:type="dcterms:W3CDTF">2024-08-02T16:35:09Z</dcterms:modified>
</cp:coreProperties>
</file>